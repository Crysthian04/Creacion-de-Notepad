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PLAN_SEMANAL!$X$3:$X$7</definedName>
    <definedName name="lista_turnos">CAT_TURNOS!$G$4:$G$9</definedName>
    <definedName name="lista_meses_dash">DASHBOARD!$X$3:$X$4</definedName>
    <definedName name="_xlnm._FilterDatabase" localSheetId="2" hidden="1">'PLAN_SEMANAL'!$A$25:$N$1225</definedName>
    <definedName name="_xlnm.Print_Area" localSheetId="2">'PLAN_SEMANAL'!$A$1:$N$33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6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3" fontId="3" fillId="5" borderId="0" pivotButton="0" quotePrefix="0" xfId="0"/>
    <xf numFmtId="1" fontId="3" fillId="5" borderId="0" pivotButton="0" quotePrefix="0" xfId="0"/>
    <xf numFmtId="0" fontId="6" fillId="5" borderId="0" pivotButton="0" quotePrefix="0" xfId="0"/>
    <xf numFmtId="2" fontId="3" fillId="5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164" fontId="6" fillId="5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'COSTOS'!$B$9:$C$9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'COSTOS'!$B$17:$C$17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11" headerRowCount="1">
  <autoFilter ref="A3:F11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2026-07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2026-08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</row>
    <row r="7" ht="26" customHeight="1">
      <c r="A7" s="9">
        <f>IFERROR(INDEX(ADHERENCIA!$E$134:$E$135,MATCH($B$3,ADHERENCIA!$A$134:$A$135,0)),"")</f>
        <v/>
      </c>
      <c r="B7" s="8" t="n"/>
      <c r="C7" s="8" t="n"/>
      <c r="D7" s="8" t="n"/>
      <c r="E7" s="8" t="n"/>
      <c r="G7" s="9">
        <f>IFERROR(INDEX(PERFIL_HH!$L$373:$L$374,MATCH($B$3,PERFIL_HH!$A$373:$A$374,0)),"")</f>
        <v/>
      </c>
      <c r="H7" s="8" t="n"/>
      <c r="I7" s="8" t="n"/>
      <c r="J7" s="8" t="n"/>
      <c r="K7" s="8" t="n"/>
      <c r="M7" s="10">
        <f>IFERROR(INDEX(BACKLOG!$F$34:$F$35,MATCH($B$3,BACKLOG!$A$34:$A$35,0)),"")</f>
        <v/>
      </c>
      <c r="N7" s="8" t="n"/>
      <c r="O7" s="8" t="n"/>
      <c r="P7" s="8" t="n"/>
      <c r="Q7" s="8" t="n"/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IFERROR(INDEX(ADHERENCIA!$M$134:$M$135,MATCH($B$3,ADHERENCIA!$A$134:$A$135,0)),"")</f>
        <v/>
      </c>
      <c r="H13" s="8" t="n"/>
      <c r="I13" s="8" t="n"/>
      <c r="J13" s="8" t="n"/>
      <c r="K13" s="8" t="n"/>
      <c r="M13" s="9">
        <f>IFERROR(INDEX(ADHERENCIA!$I$134:$I$135,MATCH($B$3,ADHERENCIA!$A$134:$A$135,0)),"")</f>
        <v/>
      </c>
      <c r="N13" s="8" t="n"/>
      <c r="O13" s="8" t="n"/>
      <c r="P13" s="8" t="n"/>
      <c r="Q13" s="8" t="n"/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</row>
    <row r="17">
      <c r="G17" s="13">
        <f>IFERROR(INDEX(ADHERENCIA!$N$134:$N$135,MATCH($B$3,ADHERENCIA!$A$134:$A$135,0)),"")</f>
        <v/>
      </c>
      <c r="H17" s="2" t="inlineStr">
        <is>
          <t>← lubricacion vencidas al corte (celda de apoyo del semáforo)</t>
        </is>
      </c>
      <c r="M17" s="13">
        <f>IFERROR(INDEX(ADHERENCIA!$J$134:$J$135,MATCH($B$3,ADHERENCIA!$A$134:$A$135,0)),"")</f>
        <v/>
      </c>
      <c r="N17" s="2" t="inlineStr">
        <is>
          <t>← calibracion vencidas al corte (celda de apoyo del semáforo)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IF(N(IFERROR(INDEX(ADHERENCIA!$AA$134:$AA$135,MATCH($B$3,ADHERENCIA!$A$134:$A$135,0)),""))=0,"",$O35/IFERROR(INDEX(ADHERENCIA!$AA$134:$AA$135,MATCH($B$3,ADHERENCIA!$A$134:$A$135,0)),""))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IF(N(IFERROR(INDEX(ADHERENCIA!$T$134:$T$135,MATCH($B$3,ADHERENCIA!$A$134:$A$135,0)),""))=0,"",$P35/IFERROR(INDEX(ADHERENCIA!$T$134:$T$135,MATCH($B$3,ADHERENCIA!$A$134:$A$135,0)),""))</f>
        <v/>
      </c>
      <c r="O35" s="17">
        <f>IFERROR(INDEX(ADHERENCIA!$V$134:$V$135,MATCH($B$3,ADHERENCIA!$A$134:$A$135,0)),"")</f>
        <v/>
      </c>
      <c r="P35" s="5">
        <f>IFERROR(INDEX(ADHERENCIA!$O$134:$O$135,MATCH($B$3,ADHERENCIA!$A$134:$A$135,0)),"")</f>
        <v/>
      </c>
    </row>
    <row r="36">
      <c r="J36" s="5" t="inlineStr">
        <is>
          <t>preventivo</t>
        </is>
      </c>
      <c r="K36" s="15">
        <f>IF(N(IFERROR(INDEX(ADHERENCIA!$AA$134:$AA$135,MATCH($B$3,ADHERENCIA!$A$134:$A$135,0)),""))=0,"",$O36/IFERROR(INDEX(ADHERENCIA!$AA$134:$AA$135,MATCH($B$3,ADHERENCIA!$A$134:$A$135,0)),""))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IF(N(IFERROR(INDEX(ADHERENCIA!$T$134:$T$135,MATCH($B$3,ADHERENCIA!$A$134:$A$135,0)),""))=0,"",$P36/IFERROR(INDEX(ADHERENCIA!$T$134:$T$135,MATCH($B$3,ADHERENCIA!$A$134:$A$135,0)),""))</f>
        <v/>
      </c>
      <c r="O36" s="17">
        <f>IFERROR(INDEX(ADHERENCIA!$W$134:$W$135,MATCH($B$3,ADHERENCIA!$A$134:$A$135,0)),"")</f>
        <v/>
      </c>
      <c r="P36" s="5">
        <f>IFERROR(INDEX(ADHERENCIA!$P$134:$P$135,MATCH($B$3,ADHERENCIA!$A$134:$A$135,0)),"")</f>
        <v/>
      </c>
    </row>
    <row r="37">
      <c r="J37" s="5" t="inlineStr">
        <is>
          <t>correctivo_programado</t>
        </is>
      </c>
      <c r="K37" s="15">
        <f>IF(N(IFERROR(INDEX(ADHERENCIA!$AA$134:$AA$135,MATCH($B$3,ADHERENCIA!$A$134:$A$135,0)),""))=0,"",$O37/IFERROR(INDEX(ADHERENCIA!$AA$134:$AA$135,MATCH($B$3,ADHERENCIA!$A$134:$A$135,0)),""))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IF(N(IFERROR(INDEX(ADHERENCIA!$T$134:$T$135,MATCH($B$3,ADHERENCIA!$A$134:$A$135,0)),""))=0,"",$P37/IFERROR(INDEX(ADHERENCIA!$T$134:$T$135,MATCH($B$3,ADHERENCIA!$A$134:$A$135,0)),""))</f>
        <v/>
      </c>
      <c r="O37" s="17">
        <f>IFERROR(INDEX(ADHERENCIA!$X$134:$X$135,MATCH($B$3,ADHERENCIA!$A$134:$A$135,0)),"")</f>
        <v/>
      </c>
      <c r="P37" s="5">
        <f>IFERROR(INDEX(ADHERENCIA!$Q$134:$Q$135,MATCH($B$3,ADHERENCIA!$A$134:$A$135,0)),"")</f>
        <v/>
      </c>
    </row>
    <row r="38">
      <c r="J38" s="5" t="inlineStr">
        <is>
          <t>emergencia</t>
        </is>
      </c>
      <c r="K38" s="15">
        <f>IF(N(IFERROR(INDEX(ADHERENCIA!$AA$134:$AA$135,MATCH($B$3,ADHERENCIA!$A$134:$A$135,0)),""))=0,"",$O38/IFERROR(INDEX(ADHERENCIA!$AA$134:$AA$135,MATCH($B$3,ADHERENCIA!$A$134:$A$135,0)),""))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IF(N(IFERROR(INDEX(ADHERENCIA!$T$134:$T$135,MATCH($B$3,ADHERENCIA!$A$134:$A$135,0)),""))=0,"",$P38/IFERROR(INDEX(ADHERENCIA!$T$134:$T$135,MATCH($B$3,ADHERENCIA!$A$134:$A$135,0)),""))</f>
        <v/>
      </c>
      <c r="O38" s="17">
        <f>IFERROR(INDEX(ADHERENCIA!$Y$134:$Y$135,MATCH($B$3,ADHERENCIA!$A$134:$A$135,0)),"")</f>
        <v/>
      </c>
      <c r="P38" s="5">
        <f>IFERROR(INDEX(ADHERENCIA!$R$134:$R$135,MATCH($B$3,ADHERENCIA!$A$134:$A$135,0)),"")</f>
        <v/>
      </c>
    </row>
    <row r="39">
      <c r="J39" s="5" t="inlineStr">
        <is>
          <t>SIN CLASIFICAR</t>
        </is>
      </c>
      <c r="K39" s="15">
        <f>IF(N(IFERROR(INDEX(ADHERENCIA!$AA$134:$AA$135,MATCH($B$3,ADHERENCIA!$A$134:$A$135,0)),""))=0,"",$O39/IFERROR(INDEX(ADHERENCIA!$AA$134:$AA$135,MATCH($B$3,ADHERENCIA!$A$134:$A$135,0)),""))</f>
        <v/>
      </c>
      <c r="L39" s="15">
        <f>0</f>
        <v/>
      </c>
      <c r="M39" s="16">
        <f>IF($K39="","",($K39-$L39)*100)</f>
        <v/>
      </c>
      <c r="N39" s="15">
        <f>IF(N(IFERROR(INDEX(ADHERENCIA!$T$134:$T$135,MATCH($B$3,ADHERENCIA!$A$134:$A$135,0)),""))=0,"",$P39/IFERROR(INDEX(ADHERENCIA!$T$134:$T$135,MATCH($B$3,ADHERENCIA!$A$134:$A$135,0)),""))</f>
        <v/>
      </c>
      <c r="O39" s="17">
        <f>IFERROR(INDEX(ADHERENCIA!$Z$134:$Z$135,MATCH($B$3,ADHERENCIA!$A$134:$A$135,0)),"")</f>
        <v/>
      </c>
      <c r="P39" s="5">
        <f>IFERROR(INDEX(ADHERENCIA!$S$134:$S$135,MATCH($B$3,ADHERENCIA!$A$134:$A$135,0)),"")</f>
        <v/>
      </c>
    </row>
    <row r="40">
      <c r="J40" s="3" t="inlineStr">
        <is>
          <t>TOTAL (control)</t>
        </is>
      </c>
      <c r="K40" s="15">
        <f>IF(N(IFERROR(INDEX(ADHERENCIA!$AA$134:$AA$135,MATCH($B$3,ADHERENCIA!$A$134:$A$135,0)),""))=0,"",SUM($K$35:$K$39))</f>
        <v/>
      </c>
      <c r="L40" s="15">
        <f>SUM($L$35:$L$39)</f>
        <v/>
      </c>
      <c r="N40" s="15">
        <f>IF(N(IFERROR(INDEX(ADHERENCIA!$T$134:$T$135,MATCH($B$3,ADHERENCIA!$A$134:$A$135,0)),""))=0,"",SUM($N$35:$N$39))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ROUND($O40-N(IFERROR(INDEX(ADHERENCIA!$AA$134:$AA$135,MATCH($B$3,ADHERENCIA!$A$134:$A$135,0)),"")),6)</f>
        <v/>
      </c>
      <c r="P41" s="5">
        <f>$P40-N(IFERROR(INDEX(ADHERENCIA!$T$134:$T$135,MATCH($B$3,ADHERENCIA!$A$134:$A$135,0)),""))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IFERROR(INDEX(PERFIL_HH!$D$373:$D$374,MATCH($B$3,PERFIL_HH!$A$373:$A$374,0)),"")</f>
        <v/>
      </c>
      <c r="C62" s="17">
        <f>IFERROR(INDEX(PERFIL_HH!$E$373:$E$374,MATCH($B$3,PERFIL_HH!$A$373:$A$374,0)),"")</f>
        <v/>
      </c>
    </row>
    <row r="63">
      <c r="A63" s="5" t="inlineStr">
        <is>
          <t>ELE</t>
        </is>
      </c>
      <c r="B63" s="17">
        <f>IFERROR(INDEX(PERFIL_HH!$F$373:$F$374,MATCH($B$3,PERFIL_HH!$A$373:$A$374,0)),"")</f>
        <v/>
      </c>
      <c r="C63" s="17">
        <f>IFERROR(INDEX(PERFIL_HH!$G$373:$G$374,MATCH($B$3,PERFIL_HH!$A$373:$A$374,0)),"")</f>
        <v/>
      </c>
    </row>
    <row r="64">
      <c r="A64" s="5" t="inlineStr">
        <is>
          <t>AUT</t>
        </is>
      </c>
      <c r="B64" s="17">
        <f>IFERROR(INDEX(PERFIL_HH!$H$373:$H$374,MATCH($B$3,PERFIL_HH!$A$373:$A$374,0)),"")</f>
        <v/>
      </c>
      <c r="C64" s="17">
        <f>IFERROR(INDEX(PERFIL_HH!$I$373:$I$374,MATCH($B$3,PERFIL_HH!$A$373:$A$374,0)),"")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IF($A96="","",IFERROR(INDEX(ADHERENCIA!$D$139:$D$198,MATCH($A96,ADHERENCIA!$A$139:$A$198,0)),""))</f>
        <v/>
      </c>
      <c r="C96" s="5">
        <f>IF($A96="","",IFERROR(INDEX(ADHERENCIA!$E$139:$E$198,MATCH($A96,ADHERENCIA!$A$139:$A$198,0)),""))</f>
        <v/>
      </c>
    </row>
    <row r="97">
      <c r="A97" s="5">
        <f>IF($A55="","",$A55)</f>
        <v/>
      </c>
      <c r="B97" s="5">
        <f>IF($A97="","",IFERROR(INDEX(ADHERENCIA!$D$139:$D$198,MATCH($A97,ADHERENCIA!$A$139:$A$198,0)),""))</f>
        <v/>
      </c>
      <c r="C97" s="5">
        <f>IF($A97="","",IFERROR(INDEX(ADHERENCIA!$E$139:$E$198,MATCH($A97,ADHERENCIA!$A$139:$A$198,0)),""))</f>
        <v/>
      </c>
    </row>
    <row r="98">
      <c r="A98" s="5">
        <f>IF($A56="","",$A56)</f>
        <v/>
      </c>
      <c r="B98" s="5">
        <f>IF($A98="","",IFERROR(INDEX(ADHERENCIA!$D$139:$D$198,MATCH($A98,ADHERENCIA!$A$139:$A$198,0)),""))</f>
        <v/>
      </c>
      <c r="C98" s="5">
        <f>IF($A98="","",IFERROR(INDEX(ADHERENCIA!$E$139:$E$198,MATCH($A98,ADHERENCIA!$A$139:$A$198,0)),""))</f>
        <v/>
      </c>
    </row>
    <row r="99">
      <c r="A99" s="5">
        <f>IF($A57="","",$A57)</f>
        <v/>
      </c>
      <c r="B99" s="5">
        <f>IF($A99="","",IFERROR(INDEX(ADHERENCIA!$D$139:$D$198,MATCH($A99,ADHERENCIA!$A$139:$A$198,0)),""))</f>
        <v/>
      </c>
      <c r="C99" s="5">
        <f>IF($A99="","",IFERROR(INDEX(ADHERENCIA!$E$139:$E$198,MATCH($A99,ADHERENCIA!$A$139:$A$198,0)),""))</f>
        <v/>
      </c>
    </row>
    <row r="100">
      <c r="A100" s="5">
        <f>IF($A58="","",$A58)</f>
        <v/>
      </c>
      <c r="B100" s="5">
        <f>IF($A100="","",IFERROR(INDEX(ADHERENCIA!$D$139:$D$198,MATCH($A100,ADHERENCIA!$A$139:$A$198,0)),""))</f>
        <v/>
      </c>
      <c r="C100" s="5">
        <f>IF($A100="","",IFERROR(INDEX(ADHERENCIA!$E$139:$E$198,MATCH($A100,ADHERENCIA!$A$139:$A$198,0)),""))</f>
        <v/>
      </c>
    </row>
    <row r="101">
      <c r="A101" s="5">
        <f>IF($A59="","",$A59)</f>
        <v/>
      </c>
      <c r="B101" s="5">
        <f>IF($A101="","",IFERROR(INDEX(ADHERENCIA!$D$139:$D$198,MATCH($A101,ADHERENCIA!$A$139:$A$198,0)),""))</f>
        <v/>
      </c>
      <c r="C101" s="5">
        <f>IF($A101="","",IFERROR(INDEX(ADHERENCIA!$E$139:$E$198,MATCH($A101,ADHERENCIA!$A$139:$A$198,0)),""))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5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3.5.0 · generado 2026-07-27 · ARCHIVO DE PLANTILLA: trae 8 órdenes de EJEMPLO que hay que borrar.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28" customHeight="1">
      <c r="A35" s="20" t="inlineStr">
        <is>
          <t>Color de las celdas: el TEXTO AZUL es lo editable. El texto negro es una columna CALCULADA: si escribe encima, borra la fórmula de esa fila y esa fila deja de actualizarse, en silencio.</t>
        </is>
      </c>
    </row>
    <row r="36" ht="28" customHeight="1">
      <c r="A36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7" ht="28" customHeight="1">
      <c r="A37" s="20" t="inlineStr">
        <is>
          <t>En ASIGNACIONES, el turno se DERIVA de la rotación. Para una excepción puntual use turno_manual; al vaciarlo vuelve la rotación automática.</t>
        </is>
      </c>
    </row>
    <row r="38">
      <c r="A38" s="5" t="inlineStr"/>
    </row>
    <row r="39">
      <c r="A39" s="3" t="inlineStr">
        <is>
          <t>F. SI ALGO SALE MAL</t>
        </is>
      </c>
    </row>
    <row r="40" ht="28" customHeight="1">
      <c r="A40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1" ht="28" customHeight="1">
      <c r="A41" s="20" t="inlineStr">
        <is>
          <t>VALIDACION reporta códigos desconocidos → falta mapear ese código en el catálogo correspondiente (CAT_CENTROS_COSTO, CAT_PUESTOS, CAT_ACTIVIDADES, CAT_TIPOS_OT).</t>
        </is>
      </c>
    </row>
    <row r="42" ht="28" customHeight="1">
      <c r="A42" s="20" t="inlineStr">
        <is>
          <t>Aparecen órdenes que no reconozco → quedaron filas de ejemplo, o filas de una importación anterior más larga. Bórrelas (ver la advertencia del punto B).</t>
        </is>
      </c>
    </row>
    <row r="43" ht="28" customHeight="1">
      <c r="A43" s="20" t="inlineStr">
        <is>
          <t>El tablero está casi vacío → no hay datos cargados del mes elegido en el selector, o el mes en curso todavía no tiene órdenes anteriores a la fecha de datos.</t>
        </is>
      </c>
    </row>
    <row r="44">
      <c r="A44" s="20" t="inlineStr">
        <is>
          <t>Un técnico no aparece en las listas → está marcado activo = no en TECNICOS.</t>
        </is>
      </c>
    </row>
    <row r="45" ht="28" customHeight="1">
      <c r="A45" s="20" t="inlineStr">
        <is>
          <t>Un técnico aparece sin turno y con 0 h → está de vacaciones (PLAN_VACACIONES) o inactivo. El hueco se deja a la vista a propósito.</t>
        </is>
      </c>
    </row>
    <row r="46">
      <c r="A46" s="5" t="inlineStr"/>
    </row>
    <row r="47">
      <c r="A47" s="3" t="inlineStr">
        <is>
          <t>G. LO QUE ESTA HERRAMIENTA NO PUEDE CALCULAR</t>
        </is>
      </c>
    </row>
    <row r="48" ht="28" customHeight="1">
      <c r="A48" s="20" t="inlineStr">
        <is>
          <t>MTBF y MTTR — harían falta las fechas de falla y de puesta en marcha de cada parada. Aquí no hay eventos de parada, solo órdenes.</t>
        </is>
      </c>
    </row>
    <row r="49" ht="28" customHeight="1">
      <c r="A49" s="20" t="inlineStr">
        <is>
          <t>Disponibilidad — requiere tiempo requerido de operación y tiempo fuera de servicio del equipo; ninguno de los dos entra en este libro.</t>
        </is>
      </c>
    </row>
    <row r="50">
      <c r="A50" s="20" t="inlineStr">
        <is>
          <t>OEE — necesita producción real, velocidad nominal y calidad; son datos de producción, no de mantenimiento.</t>
        </is>
      </c>
    </row>
    <row r="51" ht="28" customHeight="1">
      <c r="A51" s="20" t="inlineStr">
        <is>
          <t>Indicadores de repuestos (rotación de inventario, quiebres, inmovilizado) — requieren el stock y los movimientos de almacén.</t>
        </is>
      </c>
    </row>
    <row r="52" ht="28" customHeight="1">
      <c r="A52" s="20" t="inlineStr">
        <is>
          <t>Pedirle estos indicadores a este archivo daría números inventados. Se calculan donde están los datos: el ERP, el sistema de producción o el de almacén.</t>
        </is>
      </c>
    </row>
    <row r="53">
      <c r="A53" s="5" t="inlineStr"/>
    </row>
    <row r="54">
      <c r="A54" s="3" t="inlineStr">
        <is>
          <t>PRINCIPIO DE DISEÑO — por qué está hecho así</t>
        </is>
      </c>
    </row>
    <row r="55" ht="28" customHeight="1">
      <c r="A55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14" t="inlineStr">
        <is>
          <t>etiqueta</t>
        </is>
      </c>
      <c r="S3" s="14" t="inlineStr">
        <is>
          <t>hha_seleccion</t>
        </is>
      </c>
      <c r="T3" s="14" t="inlineStr">
        <is>
          <t>dentro_capacidad</t>
        </is>
      </c>
      <c r="U3" s="14" t="inlineStr">
        <is>
          <t>sobreasignacion</t>
        </is>
      </c>
      <c r="V3" s="1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2026-S30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2026-S31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2026-S32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2026-S33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IF('ORDENES'!$A4="","",IF('ORDENES'!$AI4="","-",'ORDENES'!$AI4))</f>
        <v/>
      </c>
      <c r="D26" s="5">
        <f>IF('ORDENES'!$A4="","",IF('ORDENES'!$AA4="","-",'ORDENES'!$AA4))</f>
        <v/>
      </c>
      <c r="E26" s="5">
        <f>IF('ORDENES'!$A4="","",IF('ORDENES'!$Y4="","-",'ORDENES'!$Y4))</f>
        <v/>
      </c>
      <c r="F26" s="5">
        <f>IF('ORDENES'!$A4="","",IF('ORDENES'!$AB4="","-",'ORDENES'!$AB4))</f>
        <v/>
      </c>
      <c r="G26" s="5">
        <f>IF('ORDENES'!$A4="","",IF('ORDENES'!$Z4="","-",'ORDENES'!$Z4))</f>
        <v/>
      </c>
      <c r="H26" s="5">
        <f>IF('ORDENES'!$A4="","",IF('ORDENES'!$AH4="","-",'ORDENES'!$AH4))</f>
        <v/>
      </c>
      <c r="I26" s="5">
        <f>IF('ORDENES'!$A4="","",IF('ORDENES'!$AU4="","-",'ORDENES'!$AU4))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3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IF('ORDENES'!$A4="","",'ORDENES'!$AG4)</f>
        <v/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IF('ORDENES'!$A5="","",IF('ORDENES'!$AI5="","-",'ORDENES'!$AI5))</f>
        <v/>
      </c>
      <c r="D27" s="5">
        <f>IF('ORDENES'!$A5="","",IF('ORDENES'!$AA5="","-",'ORDENES'!$AA5))</f>
        <v/>
      </c>
      <c r="E27" s="5">
        <f>IF('ORDENES'!$A5="","",IF('ORDENES'!$Y5="","-",'ORDENES'!$Y5))</f>
        <v/>
      </c>
      <c r="F27" s="5">
        <f>IF('ORDENES'!$A5="","",IF('ORDENES'!$AB5="","-",'ORDENES'!$AB5))</f>
        <v/>
      </c>
      <c r="G27" s="5">
        <f>IF('ORDENES'!$A5="","",IF('ORDENES'!$Z5="","-",'ORDENES'!$Z5))</f>
        <v/>
      </c>
      <c r="H27" s="5">
        <f>IF('ORDENES'!$A5="","",IF('ORDENES'!$AH5="","-",'ORDENES'!$AH5))</f>
        <v/>
      </c>
      <c r="I27" s="5">
        <f>IF('ORDENES'!$A5="","",IF('ORDENES'!$AU5="","-",'ORDENES'!$AU5))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3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IF('ORDENES'!$A5="","",'ORDENES'!$AG5)</f>
        <v/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IF('ORDENES'!$A6="","",IF('ORDENES'!$AI6="","-",'ORDENES'!$AI6))</f>
        <v/>
      </c>
      <c r="D28" s="5">
        <f>IF('ORDENES'!$A6="","",IF('ORDENES'!$AA6="","-",'ORDENES'!$AA6))</f>
        <v/>
      </c>
      <c r="E28" s="5">
        <f>IF('ORDENES'!$A6="","",IF('ORDENES'!$Y6="","-",'ORDENES'!$Y6))</f>
        <v/>
      </c>
      <c r="F28" s="5">
        <f>IF('ORDENES'!$A6="","",IF('ORDENES'!$AB6="","-",'ORDENES'!$AB6))</f>
        <v/>
      </c>
      <c r="G28" s="5">
        <f>IF('ORDENES'!$A6="","",IF('ORDENES'!$Z6="","-",'ORDENES'!$Z6))</f>
        <v/>
      </c>
      <c r="H28" s="5">
        <f>IF('ORDENES'!$A6="","",IF('ORDENES'!$AH6="","-",'ORDENES'!$AH6))</f>
        <v/>
      </c>
      <c r="I28" s="5">
        <f>IF('ORDENES'!$A6="","",IF('ORDENES'!$AU6="","-",'ORDENES'!$AU6))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3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IF('ORDENES'!$A6="","",'ORDENES'!$AG6)</f>
        <v/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IF('ORDENES'!$A7="","",IF('ORDENES'!$AI7="","-",'ORDENES'!$AI7))</f>
        <v/>
      </c>
      <c r="D29" s="5">
        <f>IF('ORDENES'!$A7="","",IF('ORDENES'!$AA7="","-",'ORDENES'!$AA7))</f>
        <v/>
      </c>
      <c r="E29" s="5">
        <f>IF('ORDENES'!$A7="","",IF('ORDENES'!$Y7="","-",'ORDENES'!$Y7))</f>
        <v/>
      </c>
      <c r="F29" s="5">
        <f>IF('ORDENES'!$A7="","",IF('ORDENES'!$AB7="","-",'ORDENES'!$AB7))</f>
        <v/>
      </c>
      <c r="G29" s="5">
        <f>IF('ORDENES'!$A7="","",IF('ORDENES'!$Z7="","-",'ORDENES'!$Z7))</f>
        <v/>
      </c>
      <c r="H29" s="5">
        <f>IF('ORDENES'!$A7="","",IF('ORDENES'!$AH7="","-",'ORDENES'!$AH7))</f>
        <v/>
      </c>
      <c r="I29" s="5">
        <f>IF('ORDENES'!$A7="","",IF('ORDENES'!$AU7="","-",'ORDENES'!$AU7))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3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IF('ORDENES'!$A7="","",'ORDENES'!$AG7)</f>
        <v/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IF('ORDENES'!$A8="","",IF('ORDENES'!$AI8="","-",'ORDENES'!$AI8))</f>
        <v/>
      </c>
      <c r="D30" s="5">
        <f>IF('ORDENES'!$A8="","",IF('ORDENES'!$AA8="","-",'ORDENES'!$AA8))</f>
        <v/>
      </c>
      <c r="E30" s="5">
        <f>IF('ORDENES'!$A8="","",IF('ORDENES'!$Y8="","-",'ORDENES'!$Y8))</f>
        <v/>
      </c>
      <c r="F30" s="5">
        <f>IF('ORDENES'!$A8="","",IF('ORDENES'!$AB8="","-",'ORDENES'!$AB8))</f>
        <v/>
      </c>
      <c r="G30" s="5">
        <f>IF('ORDENES'!$A8="","",IF('ORDENES'!$Z8="","-",'ORDENES'!$Z8))</f>
        <v/>
      </c>
      <c r="H30" s="5">
        <f>IF('ORDENES'!$A8="","",IF('ORDENES'!$AH8="","-",'ORDENES'!$AH8))</f>
        <v/>
      </c>
      <c r="I30" s="5">
        <f>IF('ORDENES'!$A8="","",IF('ORDENES'!$AU8="","-",'ORDENES'!$AU8))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3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IF('ORDENES'!$A8="","",'ORDENES'!$AG8)</f>
        <v/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IF('ORDENES'!$A9="","",IF('ORDENES'!$AI9="","-",'ORDENES'!$AI9))</f>
        <v/>
      </c>
      <c r="D31" s="5">
        <f>IF('ORDENES'!$A9="","",IF('ORDENES'!$AA9="","-",'ORDENES'!$AA9))</f>
        <v/>
      </c>
      <c r="E31" s="5">
        <f>IF('ORDENES'!$A9="","",IF('ORDENES'!$Y9="","-",'ORDENES'!$Y9))</f>
        <v/>
      </c>
      <c r="F31" s="5">
        <f>IF('ORDENES'!$A9="","",IF('ORDENES'!$AB9="","-",'ORDENES'!$AB9))</f>
        <v/>
      </c>
      <c r="G31" s="5">
        <f>IF('ORDENES'!$A9="","",IF('ORDENES'!$Z9="","-",'ORDENES'!$Z9))</f>
        <v/>
      </c>
      <c r="H31" s="5">
        <f>IF('ORDENES'!$A9="","",IF('ORDENES'!$AH9="","-",'ORDENES'!$AH9))</f>
        <v/>
      </c>
      <c r="I31" s="5">
        <f>IF('ORDENES'!$A9="","",IF('ORDENES'!$AU9="","-",'ORDENES'!$AU9))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3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IF('ORDENES'!$A9="","",'ORDENES'!$AG9)</f>
        <v/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IF('ORDENES'!$A10="","",IF('ORDENES'!$AI10="","-",'ORDENES'!$AI10))</f>
        <v/>
      </c>
      <c r="D32" s="5">
        <f>IF('ORDENES'!$A10="","",IF('ORDENES'!$AA10="","-",'ORDENES'!$AA10))</f>
        <v/>
      </c>
      <c r="E32" s="5">
        <f>IF('ORDENES'!$A10="","",IF('ORDENES'!$Y10="","-",'ORDENES'!$Y10))</f>
        <v/>
      </c>
      <c r="F32" s="5">
        <f>IF('ORDENES'!$A10="","",IF('ORDENES'!$AB10="","-",'ORDENES'!$AB10))</f>
        <v/>
      </c>
      <c r="G32" s="5">
        <f>IF('ORDENES'!$A10="","",IF('ORDENES'!$Z10="","-",'ORDENES'!$Z10))</f>
        <v/>
      </c>
      <c r="H32" s="5">
        <f>IF('ORDENES'!$A10="","",IF('ORDENES'!$AH10="","-",'ORDENES'!$AH10))</f>
        <v/>
      </c>
      <c r="I32" s="5">
        <f>IF('ORDENES'!$A10="","",IF('ORDENES'!$AU10="","-",'ORDENES'!$AU10))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3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IF('ORDENES'!$A10="","",'ORDENES'!$AG10)</f>
        <v/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IF('ORDENES'!$A11="","",IF('ORDENES'!$AI11="","-",'ORDENES'!$AI11))</f>
        <v/>
      </c>
      <c r="D33" s="5">
        <f>IF('ORDENES'!$A11="","",IF('ORDENES'!$AA11="","-",'ORDENES'!$AA11))</f>
        <v/>
      </c>
      <c r="E33" s="5">
        <f>IF('ORDENES'!$A11="","",IF('ORDENES'!$Y11="","-",'ORDENES'!$Y11))</f>
        <v/>
      </c>
      <c r="F33" s="5">
        <f>IF('ORDENES'!$A11="","",IF('ORDENES'!$AB11="","-",'ORDENES'!$AB11))</f>
        <v/>
      </c>
      <c r="G33" s="5">
        <f>IF('ORDENES'!$A11="","",IF('ORDENES'!$Z11="","-",'ORDENES'!$Z11))</f>
        <v/>
      </c>
      <c r="H33" s="5">
        <f>IF('ORDENES'!$A11="","",IF('ORDENES'!$AH11="","-",'ORDENES'!$AH11))</f>
        <v/>
      </c>
      <c r="I33" s="5">
        <f>IF('ORDENES'!$A11="","",IF('ORDENES'!$AU11="","-",'ORDENES'!$AU11))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3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IF('ORDENES'!$A11="","",'ORDENES'!$AG11)</f>
        <v/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IF('ORDENES'!$A12="","",IF('ORDENES'!$AI12="","-",'ORDENES'!$AI12))</f>
        <v/>
      </c>
      <c r="D34" s="5">
        <f>IF('ORDENES'!$A12="","",IF('ORDENES'!$AA12="","-",'ORDENES'!$AA12))</f>
        <v/>
      </c>
      <c r="E34" s="5">
        <f>IF('ORDENES'!$A12="","",IF('ORDENES'!$Y12="","-",'ORDENES'!$Y12))</f>
        <v/>
      </c>
      <c r="F34" s="5">
        <f>IF('ORDENES'!$A12="","",IF('ORDENES'!$AB12="","-",'ORDENES'!$AB12))</f>
        <v/>
      </c>
      <c r="G34" s="5">
        <f>IF('ORDENES'!$A12="","",IF('ORDENES'!$Z12="","-",'ORDENES'!$Z12))</f>
        <v/>
      </c>
      <c r="H34" s="5">
        <f>IF('ORDENES'!$A12="","",IF('ORDENES'!$AH12="","-",'ORDENES'!$AH12))</f>
        <v/>
      </c>
      <c r="I34" s="5">
        <f>IF('ORDENES'!$A12="","",IF('ORDENES'!$AU12="","-",'ORDENES'!$AU12))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3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IF('ORDENES'!$A12="","",'ORDENES'!$AG12)</f>
        <v/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IF('ORDENES'!$A13="","",IF('ORDENES'!$AI13="","-",'ORDENES'!$AI13))</f>
        <v/>
      </c>
      <c r="D35" s="5">
        <f>IF('ORDENES'!$A13="","",IF('ORDENES'!$AA13="","-",'ORDENES'!$AA13))</f>
        <v/>
      </c>
      <c r="E35" s="5">
        <f>IF('ORDENES'!$A13="","",IF('ORDENES'!$Y13="","-",'ORDENES'!$Y13))</f>
        <v/>
      </c>
      <c r="F35" s="5">
        <f>IF('ORDENES'!$A13="","",IF('ORDENES'!$AB13="","-",'ORDENES'!$AB13))</f>
        <v/>
      </c>
      <c r="G35" s="5">
        <f>IF('ORDENES'!$A13="","",IF('ORDENES'!$Z13="","-",'ORDENES'!$Z13))</f>
        <v/>
      </c>
      <c r="H35" s="5">
        <f>IF('ORDENES'!$A13="","",IF('ORDENES'!$AH13="","-",'ORDENES'!$AH13))</f>
        <v/>
      </c>
      <c r="I35" s="5">
        <f>IF('ORDENES'!$A13="","",IF('ORDENES'!$AU13="","-",'ORDENES'!$AU13))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3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IF('ORDENES'!$A13="","",'ORDENES'!$AG13)</f>
        <v/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IF('ORDENES'!$A14="","",IF('ORDENES'!$AI14="","-",'ORDENES'!$AI14))</f>
        <v/>
      </c>
      <c r="D36" s="5">
        <f>IF('ORDENES'!$A14="","",IF('ORDENES'!$AA14="","-",'ORDENES'!$AA14))</f>
        <v/>
      </c>
      <c r="E36" s="5">
        <f>IF('ORDENES'!$A14="","",IF('ORDENES'!$Y14="","-",'ORDENES'!$Y14))</f>
        <v/>
      </c>
      <c r="F36" s="5">
        <f>IF('ORDENES'!$A14="","",IF('ORDENES'!$AB14="","-",'ORDENES'!$AB14))</f>
        <v/>
      </c>
      <c r="G36" s="5">
        <f>IF('ORDENES'!$A14="","",IF('ORDENES'!$Z14="","-",'ORDENES'!$Z14))</f>
        <v/>
      </c>
      <c r="H36" s="5">
        <f>IF('ORDENES'!$A14="","",IF('ORDENES'!$AH14="","-",'ORDENES'!$AH14))</f>
        <v/>
      </c>
      <c r="I36" s="5">
        <f>IF('ORDENES'!$A14="","",IF('ORDENES'!$AU14="","-",'ORDENES'!$AU14))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3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IF('ORDENES'!$A14="","",'ORDENES'!$AG14)</f>
        <v/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IF('ORDENES'!$A15="","",IF('ORDENES'!$AI15="","-",'ORDENES'!$AI15))</f>
        <v/>
      </c>
      <c r="D37" s="5">
        <f>IF('ORDENES'!$A15="","",IF('ORDENES'!$AA15="","-",'ORDENES'!$AA15))</f>
        <v/>
      </c>
      <c r="E37" s="5">
        <f>IF('ORDENES'!$A15="","",IF('ORDENES'!$Y15="","-",'ORDENES'!$Y15))</f>
        <v/>
      </c>
      <c r="F37" s="5">
        <f>IF('ORDENES'!$A15="","",IF('ORDENES'!$AB15="","-",'ORDENES'!$AB15))</f>
        <v/>
      </c>
      <c r="G37" s="5">
        <f>IF('ORDENES'!$A15="","",IF('ORDENES'!$Z15="","-",'ORDENES'!$Z15))</f>
        <v/>
      </c>
      <c r="H37" s="5">
        <f>IF('ORDENES'!$A15="","",IF('ORDENES'!$AH15="","-",'ORDENES'!$AH15))</f>
        <v/>
      </c>
      <c r="I37" s="5">
        <f>IF('ORDENES'!$A15="","",IF('ORDENES'!$AU15="","-",'ORDENES'!$AU15))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3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IF('ORDENES'!$A15="","",'ORDENES'!$AG15)</f>
        <v/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IF('ORDENES'!$A16="","",IF('ORDENES'!$AI16="","-",'ORDENES'!$AI16))</f>
        <v/>
      </c>
      <c r="D38" s="5">
        <f>IF('ORDENES'!$A16="","",IF('ORDENES'!$AA16="","-",'ORDENES'!$AA16))</f>
        <v/>
      </c>
      <c r="E38" s="5">
        <f>IF('ORDENES'!$A16="","",IF('ORDENES'!$Y16="","-",'ORDENES'!$Y16))</f>
        <v/>
      </c>
      <c r="F38" s="5">
        <f>IF('ORDENES'!$A16="","",IF('ORDENES'!$AB16="","-",'ORDENES'!$AB16))</f>
        <v/>
      </c>
      <c r="G38" s="5">
        <f>IF('ORDENES'!$A16="","",IF('ORDENES'!$Z16="","-",'ORDENES'!$Z16))</f>
        <v/>
      </c>
      <c r="H38" s="5">
        <f>IF('ORDENES'!$A16="","",IF('ORDENES'!$AH16="","-",'ORDENES'!$AH16))</f>
        <v/>
      </c>
      <c r="I38" s="5">
        <f>IF('ORDENES'!$A16="","",IF('ORDENES'!$AU16="","-",'ORDENES'!$AU16))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3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IF('ORDENES'!$A16="","",'ORDENES'!$AG16)</f>
        <v/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IF('ORDENES'!$A17="","",IF('ORDENES'!$AI17="","-",'ORDENES'!$AI17))</f>
        <v/>
      </c>
      <c r="D39" s="5">
        <f>IF('ORDENES'!$A17="","",IF('ORDENES'!$AA17="","-",'ORDENES'!$AA17))</f>
        <v/>
      </c>
      <c r="E39" s="5">
        <f>IF('ORDENES'!$A17="","",IF('ORDENES'!$Y17="","-",'ORDENES'!$Y17))</f>
        <v/>
      </c>
      <c r="F39" s="5">
        <f>IF('ORDENES'!$A17="","",IF('ORDENES'!$AB17="","-",'ORDENES'!$AB17))</f>
        <v/>
      </c>
      <c r="G39" s="5">
        <f>IF('ORDENES'!$A17="","",IF('ORDENES'!$Z17="","-",'ORDENES'!$Z17))</f>
        <v/>
      </c>
      <c r="H39" s="5">
        <f>IF('ORDENES'!$A17="","",IF('ORDENES'!$AH17="","-",'ORDENES'!$AH17))</f>
        <v/>
      </c>
      <c r="I39" s="5">
        <f>IF('ORDENES'!$A17="","",IF('ORDENES'!$AU17="","-",'ORDENES'!$AU17))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3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IF('ORDENES'!$A17="","",'ORDENES'!$AG17)</f>
        <v/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IF('ORDENES'!$A18="","",IF('ORDENES'!$AI18="","-",'ORDENES'!$AI18))</f>
        <v/>
      </c>
      <c r="D40" s="5">
        <f>IF('ORDENES'!$A18="","",IF('ORDENES'!$AA18="","-",'ORDENES'!$AA18))</f>
        <v/>
      </c>
      <c r="E40" s="5">
        <f>IF('ORDENES'!$A18="","",IF('ORDENES'!$Y18="","-",'ORDENES'!$Y18))</f>
        <v/>
      </c>
      <c r="F40" s="5">
        <f>IF('ORDENES'!$A18="","",IF('ORDENES'!$AB18="","-",'ORDENES'!$AB18))</f>
        <v/>
      </c>
      <c r="G40" s="5">
        <f>IF('ORDENES'!$A18="","",IF('ORDENES'!$Z18="","-",'ORDENES'!$Z18))</f>
        <v/>
      </c>
      <c r="H40" s="5">
        <f>IF('ORDENES'!$A18="","",IF('ORDENES'!$AH18="","-",'ORDENES'!$AH18))</f>
        <v/>
      </c>
      <c r="I40" s="5">
        <f>IF('ORDENES'!$A18="","",IF('ORDENES'!$AU18="","-",'ORDENES'!$AU18))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3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IF('ORDENES'!$A18="","",'ORDENES'!$AG18)</f>
        <v/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IF('ORDENES'!$A19="","",IF('ORDENES'!$AI19="","-",'ORDENES'!$AI19))</f>
        <v/>
      </c>
      <c r="D41" s="5">
        <f>IF('ORDENES'!$A19="","",IF('ORDENES'!$AA19="","-",'ORDENES'!$AA19))</f>
        <v/>
      </c>
      <c r="E41" s="5">
        <f>IF('ORDENES'!$A19="","",IF('ORDENES'!$Y19="","-",'ORDENES'!$Y19))</f>
        <v/>
      </c>
      <c r="F41" s="5">
        <f>IF('ORDENES'!$A19="","",IF('ORDENES'!$AB19="","-",'ORDENES'!$AB19))</f>
        <v/>
      </c>
      <c r="G41" s="5">
        <f>IF('ORDENES'!$A19="","",IF('ORDENES'!$Z19="","-",'ORDENES'!$Z19))</f>
        <v/>
      </c>
      <c r="H41" s="5">
        <f>IF('ORDENES'!$A19="","",IF('ORDENES'!$AH19="","-",'ORDENES'!$AH19))</f>
        <v/>
      </c>
      <c r="I41" s="5">
        <f>IF('ORDENES'!$A19="","",IF('ORDENES'!$AU19="","-",'ORDENES'!$AU19))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3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IF('ORDENES'!$A19="","",'ORDENES'!$AG19)</f>
        <v/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IF('ORDENES'!$A20="","",IF('ORDENES'!$AI20="","-",'ORDENES'!$AI20))</f>
        <v/>
      </c>
      <c r="D42" s="5">
        <f>IF('ORDENES'!$A20="","",IF('ORDENES'!$AA20="","-",'ORDENES'!$AA20))</f>
        <v/>
      </c>
      <c r="E42" s="5">
        <f>IF('ORDENES'!$A20="","",IF('ORDENES'!$Y20="","-",'ORDENES'!$Y20))</f>
        <v/>
      </c>
      <c r="F42" s="5">
        <f>IF('ORDENES'!$A20="","",IF('ORDENES'!$AB20="","-",'ORDENES'!$AB20))</f>
        <v/>
      </c>
      <c r="G42" s="5">
        <f>IF('ORDENES'!$A20="","",IF('ORDENES'!$Z20="","-",'ORDENES'!$Z20))</f>
        <v/>
      </c>
      <c r="H42" s="5">
        <f>IF('ORDENES'!$A20="","",IF('ORDENES'!$AH20="","-",'ORDENES'!$AH20))</f>
        <v/>
      </c>
      <c r="I42" s="5">
        <f>IF('ORDENES'!$A20="","",IF('ORDENES'!$AU20="","-",'ORDENES'!$AU20))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3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IF('ORDENES'!$A20="","",'ORDENES'!$AG20)</f>
        <v/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IF('ORDENES'!$A21="","",IF('ORDENES'!$AI21="","-",'ORDENES'!$AI21))</f>
        <v/>
      </c>
      <c r="D43" s="5">
        <f>IF('ORDENES'!$A21="","",IF('ORDENES'!$AA21="","-",'ORDENES'!$AA21))</f>
        <v/>
      </c>
      <c r="E43" s="5">
        <f>IF('ORDENES'!$A21="","",IF('ORDENES'!$Y21="","-",'ORDENES'!$Y21))</f>
        <v/>
      </c>
      <c r="F43" s="5">
        <f>IF('ORDENES'!$A21="","",IF('ORDENES'!$AB21="","-",'ORDENES'!$AB21))</f>
        <v/>
      </c>
      <c r="G43" s="5">
        <f>IF('ORDENES'!$A21="","",IF('ORDENES'!$Z21="","-",'ORDENES'!$Z21))</f>
        <v/>
      </c>
      <c r="H43" s="5">
        <f>IF('ORDENES'!$A21="","",IF('ORDENES'!$AH21="","-",'ORDENES'!$AH21))</f>
        <v/>
      </c>
      <c r="I43" s="5">
        <f>IF('ORDENES'!$A21="","",IF('ORDENES'!$AU21="","-",'ORDENES'!$AU21))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3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IF('ORDENES'!$A21="","",'ORDENES'!$AG21)</f>
        <v/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IF('ORDENES'!$A22="","",IF('ORDENES'!$AI22="","-",'ORDENES'!$AI22))</f>
        <v/>
      </c>
      <c r="D44" s="5">
        <f>IF('ORDENES'!$A22="","",IF('ORDENES'!$AA22="","-",'ORDENES'!$AA22))</f>
        <v/>
      </c>
      <c r="E44" s="5">
        <f>IF('ORDENES'!$A22="","",IF('ORDENES'!$Y22="","-",'ORDENES'!$Y22))</f>
        <v/>
      </c>
      <c r="F44" s="5">
        <f>IF('ORDENES'!$A22="","",IF('ORDENES'!$AB22="","-",'ORDENES'!$AB22))</f>
        <v/>
      </c>
      <c r="G44" s="5">
        <f>IF('ORDENES'!$A22="","",IF('ORDENES'!$Z22="","-",'ORDENES'!$Z22))</f>
        <v/>
      </c>
      <c r="H44" s="5">
        <f>IF('ORDENES'!$A22="","",IF('ORDENES'!$AH22="","-",'ORDENES'!$AH22))</f>
        <v/>
      </c>
      <c r="I44" s="5">
        <f>IF('ORDENES'!$A22="","",IF('ORDENES'!$AU22="","-",'ORDENES'!$AU22))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3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IF('ORDENES'!$A22="","",'ORDENES'!$AG22)</f>
        <v/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IF('ORDENES'!$A23="","",IF('ORDENES'!$AI23="","-",'ORDENES'!$AI23))</f>
        <v/>
      </c>
      <c r="D45" s="5">
        <f>IF('ORDENES'!$A23="","",IF('ORDENES'!$AA23="","-",'ORDENES'!$AA23))</f>
        <v/>
      </c>
      <c r="E45" s="5">
        <f>IF('ORDENES'!$A23="","",IF('ORDENES'!$Y23="","-",'ORDENES'!$Y23))</f>
        <v/>
      </c>
      <c r="F45" s="5">
        <f>IF('ORDENES'!$A23="","",IF('ORDENES'!$AB23="","-",'ORDENES'!$AB23))</f>
        <v/>
      </c>
      <c r="G45" s="5">
        <f>IF('ORDENES'!$A23="","",IF('ORDENES'!$Z23="","-",'ORDENES'!$Z23))</f>
        <v/>
      </c>
      <c r="H45" s="5">
        <f>IF('ORDENES'!$A23="","",IF('ORDENES'!$AH23="","-",'ORDENES'!$AH23))</f>
        <v/>
      </c>
      <c r="I45" s="5">
        <f>IF('ORDENES'!$A23="","",IF('ORDENES'!$AU23="","-",'ORDENES'!$AU23))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3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IF('ORDENES'!$A23="","",'ORDENES'!$AG23)</f>
        <v/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IF('ORDENES'!$A24="","",IF('ORDENES'!$AI24="","-",'ORDENES'!$AI24))</f>
        <v/>
      </c>
      <c r="D46" s="5">
        <f>IF('ORDENES'!$A24="","",IF('ORDENES'!$AA24="","-",'ORDENES'!$AA24))</f>
        <v/>
      </c>
      <c r="E46" s="5">
        <f>IF('ORDENES'!$A24="","",IF('ORDENES'!$Y24="","-",'ORDENES'!$Y24))</f>
        <v/>
      </c>
      <c r="F46" s="5">
        <f>IF('ORDENES'!$A24="","",IF('ORDENES'!$AB24="","-",'ORDENES'!$AB24))</f>
        <v/>
      </c>
      <c r="G46" s="5">
        <f>IF('ORDENES'!$A24="","",IF('ORDENES'!$Z24="","-",'ORDENES'!$Z24))</f>
        <v/>
      </c>
      <c r="H46" s="5">
        <f>IF('ORDENES'!$A24="","",IF('ORDENES'!$AH24="","-",'ORDENES'!$AH24))</f>
        <v/>
      </c>
      <c r="I46" s="5">
        <f>IF('ORDENES'!$A24="","",IF('ORDENES'!$AU24="","-",'ORDENES'!$AU24))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3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IF('ORDENES'!$A24="","",'ORDENES'!$AG24)</f>
        <v/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IF('ORDENES'!$A25="","",IF('ORDENES'!$AI25="","-",'ORDENES'!$AI25))</f>
        <v/>
      </c>
      <c r="D47" s="5">
        <f>IF('ORDENES'!$A25="","",IF('ORDENES'!$AA25="","-",'ORDENES'!$AA25))</f>
        <v/>
      </c>
      <c r="E47" s="5">
        <f>IF('ORDENES'!$A25="","",IF('ORDENES'!$Y25="","-",'ORDENES'!$Y25))</f>
        <v/>
      </c>
      <c r="F47" s="5">
        <f>IF('ORDENES'!$A25="","",IF('ORDENES'!$AB25="","-",'ORDENES'!$AB25))</f>
        <v/>
      </c>
      <c r="G47" s="5">
        <f>IF('ORDENES'!$A25="","",IF('ORDENES'!$Z25="","-",'ORDENES'!$Z25))</f>
        <v/>
      </c>
      <c r="H47" s="5">
        <f>IF('ORDENES'!$A25="","",IF('ORDENES'!$AH25="","-",'ORDENES'!$AH25))</f>
        <v/>
      </c>
      <c r="I47" s="5">
        <f>IF('ORDENES'!$A25="","",IF('ORDENES'!$AU25="","-",'ORDENES'!$AU25))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3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IF('ORDENES'!$A25="","",'ORDENES'!$AG25)</f>
        <v/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IF('ORDENES'!$A26="","",IF('ORDENES'!$AI26="","-",'ORDENES'!$AI26))</f>
        <v/>
      </c>
      <c r="D48" s="5">
        <f>IF('ORDENES'!$A26="","",IF('ORDENES'!$AA26="","-",'ORDENES'!$AA26))</f>
        <v/>
      </c>
      <c r="E48" s="5">
        <f>IF('ORDENES'!$A26="","",IF('ORDENES'!$Y26="","-",'ORDENES'!$Y26))</f>
        <v/>
      </c>
      <c r="F48" s="5">
        <f>IF('ORDENES'!$A26="","",IF('ORDENES'!$AB26="","-",'ORDENES'!$AB26))</f>
        <v/>
      </c>
      <c r="G48" s="5">
        <f>IF('ORDENES'!$A26="","",IF('ORDENES'!$Z26="","-",'ORDENES'!$Z26))</f>
        <v/>
      </c>
      <c r="H48" s="5">
        <f>IF('ORDENES'!$A26="","",IF('ORDENES'!$AH26="","-",'ORDENES'!$AH26))</f>
        <v/>
      </c>
      <c r="I48" s="5">
        <f>IF('ORDENES'!$A26="","",IF('ORDENES'!$AU26="","-",'ORDENES'!$AU26))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3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IF('ORDENES'!$A26="","",'ORDENES'!$AG26)</f>
        <v/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IF('ORDENES'!$A27="","",IF('ORDENES'!$AI27="","-",'ORDENES'!$AI27))</f>
        <v/>
      </c>
      <c r="D49" s="5">
        <f>IF('ORDENES'!$A27="","",IF('ORDENES'!$AA27="","-",'ORDENES'!$AA27))</f>
        <v/>
      </c>
      <c r="E49" s="5">
        <f>IF('ORDENES'!$A27="","",IF('ORDENES'!$Y27="","-",'ORDENES'!$Y27))</f>
        <v/>
      </c>
      <c r="F49" s="5">
        <f>IF('ORDENES'!$A27="","",IF('ORDENES'!$AB27="","-",'ORDENES'!$AB27))</f>
        <v/>
      </c>
      <c r="G49" s="5">
        <f>IF('ORDENES'!$A27="","",IF('ORDENES'!$Z27="","-",'ORDENES'!$Z27))</f>
        <v/>
      </c>
      <c r="H49" s="5">
        <f>IF('ORDENES'!$A27="","",IF('ORDENES'!$AH27="","-",'ORDENES'!$AH27))</f>
        <v/>
      </c>
      <c r="I49" s="5">
        <f>IF('ORDENES'!$A27="","",IF('ORDENES'!$AU27="","-",'ORDENES'!$AU27))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3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IF('ORDENES'!$A27="","",'ORDENES'!$AG27)</f>
        <v/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IF('ORDENES'!$A28="","",IF('ORDENES'!$AI28="","-",'ORDENES'!$AI28))</f>
        <v/>
      </c>
      <c r="D50" s="5">
        <f>IF('ORDENES'!$A28="","",IF('ORDENES'!$AA28="","-",'ORDENES'!$AA28))</f>
        <v/>
      </c>
      <c r="E50" s="5">
        <f>IF('ORDENES'!$A28="","",IF('ORDENES'!$Y28="","-",'ORDENES'!$Y28))</f>
        <v/>
      </c>
      <c r="F50" s="5">
        <f>IF('ORDENES'!$A28="","",IF('ORDENES'!$AB28="","-",'ORDENES'!$AB28))</f>
        <v/>
      </c>
      <c r="G50" s="5">
        <f>IF('ORDENES'!$A28="","",IF('ORDENES'!$Z28="","-",'ORDENES'!$Z28))</f>
        <v/>
      </c>
      <c r="H50" s="5">
        <f>IF('ORDENES'!$A28="","",IF('ORDENES'!$AH28="","-",'ORDENES'!$AH28))</f>
        <v/>
      </c>
      <c r="I50" s="5">
        <f>IF('ORDENES'!$A28="","",IF('ORDENES'!$AU28="","-",'ORDENES'!$AU28))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3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IF('ORDENES'!$A28="","",'ORDENES'!$AG28)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IF('ORDENES'!$A29="","",IF('ORDENES'!$AI29="","-",'ORDENES'!$AI29))</f>
        <v/>
      </c>
      <c r="D51" s="5">
        <f>IF('ORDENES'!$A29="","",IF('ORDENES'!$AA29="","-",'ORDENES'!$AA29))</f>
        <v/>
      </c>
      <c r="E51" s="5">
        <f>IF('ORDENES'!$A29="","",IF('ORDENES'!$Y29="","-",'ORDENES'!$Y29))</f>
        <v/>
      </c>
      <c r="F51" s="5">
        <f>IF('ORDENES'!$A29="","",IF('ORDENES'!$AB29="","-",'ORDENES'!$AB29))</f>
        <v/>
      </c>
      <c r="G51" s="5">
        <f>IF('ORDENES'!$A29="","",IF('ORDENES'!$Z29="","-",'ORDENES'!$Z29))</f>
        <v/>
      </c>
      <c r="H51" s="5">
        <f>IF('ORDENES'!$A29="","",IF('ORDENES'!$AH29="","-",'ORDENES'!$AH29))</f>
        <v/>
      </c>
      <c r="I51" s="5">
        <f>IF('ORDENES'!$A29="","",IF('ORDENES'!$AU29="","-",'ORDENES'!$AU29))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3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IF('ORDENES'!$A29="","",'ORDENES'!$AG29)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IF('ORDENES'!$A30="","",IF('ORDENES'!$AI30="","-",'ORDENES'!$AI30))</f>
        <v/>
      </c>
      <c r="D52" s="5">
        <f>IF('ORDENES'!$A30="","",IF('ORDENES'!$AA30="","-",'ORDENES'!$AA30))</f>
        <v/>
      </c>
      <c r="E52" s="5">
        <f>IF('ORDENES'!$A30="","",IF('ORDENES'!$Y30="","-",'ORDENES'!$Y30))</f>
        <v/>
      </c>
      <c r="F52" s="5">
        <f>IF('ORDENES'!$A30="","",IF('ORDENES'!$AB30="","-",'ORDENES'!$AB30))</f>
        <v/>
      </c>
      <c r="G52" s="5">
        <f>IF('ORDENES'!$A30="","",IF('ORDENES'!$Z30="","-",'ORDENES'!$Z30))</f>
        <v/>
      </c>
      <c r="H52" s="5">
        <f>IF('ORDENES'!$A30="","",IF('ORDENES'!$AH30="","-",'ORDENES'!$AH30))</f>
        <v/>
      </c>
      <c r="I52" s="5">
        <f>IF('ORDENES'!$A30="","",IF('ORDENES'!$AU30="","-",'ORDENES'!$AU30))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3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IF('ORDENES'!$A30="","",'ORDENES'!$AG30)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IF('ORDENES'!$A31="","",IF('ORDENES'!$AI31="","-",'ORDENES'!$AI31))</f>
        <v/>
      </c>
      <c r="D53" s="5">
        <f>IF('ORDENES'!$A31="","",IF('ORDENES'!$AA31="","-",'ORDENES'!$AA31))</f>
        <v/>
      </c>
      <c r="E53" s="5">
        <f>IF('ORDENES'!$A31="","",IF('ORDENES'!$Y31="","-",'ORDENES'!$Y31))</f>
        <v/>
      </c>
      <c r="F53" s="5">
        <f>IF('ORDENES'!$A31="","",IF('ORDENES'!$AB31="","-",'ORDENES'!$AB31))</f>
        <v/>
      </c>
      <c r="G53" s="5">
        <f>IF('ORDENES'!$A31="","",IF('ORDENES'!$Z31="","-",'ORDENES'!$Z31))</f>
        <v/>
      </c>
      <c r="H53" s="5">
        <f>IF('ORDENES'!$A31="","",IF('ORDENES'!$AH31="","-",'ORDENES'!$AH31))</f>
        <v/>
      </c>
      <c r="I53" s="5">
        <f>IF('ORDENES'!$A31="","",IF('ORDENES'!$AU31="","-",'ORDENES'!$AU31))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3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IF('ORDENES'!$A31="","",'ORDENES'!$AG31)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IF('ORDENES'!$A32="","",IF('ORDENES'!$AI32="","-",'ORDENES'!$AI32))</f>
        <v/>
      </c>
      <c r="D54" s="5">
        <f>IF('ORDENES'!$A32="","",IF('ORDENES'!$AA32="","-",'ORDENES'!$AA32))</f>
        <v/>
      </c>
      <c r="E54" s="5">
        <f>IF('ORDENES'!$A32="","",IF('ORDENES'!$Y32="","-",'ORDENES'!$Y32))</f>
        <v/>
      </c>
      <c r="F54" s="5">
        <f>IF('ORDENES'!$A32="","",IF('ORDENES'!$AB32="","-",'ORDENES'!$AB32))</f>
        <v/>
      </c>
      <c r="G54" s="5">
        <f>IF('ORDENES'!$A32="","",IF('ORDENES'!$Z32="","-",'ORDENES'!$Z32))</f>
        <v/>
      </c>
      <c r="H54" s="5">
        <f>IF('ORDENES'!$A32="","",IF('ORDENES'!$AH32="","-",'ORDENES'!$AH32))</f>
        <v/>
      </c>
      <c r="I54" s="5">
        <f>IF('ORDENES'!$A32="","",IF('ORDENES'!$AU32="","-",'ORDENES'!$AU32))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3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IF('ORDENES'!$A32="","",'ORDENES'!$AG32)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IF('ORDENES'!$A33="","",IF('ORDENES'!$AI33="","-",'ORDENES'!$AI33))</f>
        <v/>
      </c>
      <c r="D55" s="5">
        <f>IF('ORDENES'!$A33="","",IF('ORDENES'!$AA33="","-",'ORDENES'!$AA33))</f>
        <v/>
      </c>
      <c r="E55" s="5">
        <f>IF('ORDENES'!$A33="","",IF('ORDENES'!$Y33="","-",'ORDENES'!$Y33))</f>
        <v/>
      </c>
      <c r="F55" s="5">
        <f>IF('ORDENES'!$A33="","",IF('ORDENES'!$AB33="","-",'ORDENES'!$AB33))</f>
        <v/>
      </c>
      <c r="G55" s="5">
        <f>IF('ORDENES'!$A33="","",IF('ORDENES'!$Z33="","-",'ORDENES'!$Z33))</f>
        <v/>
      </c>
      <c r="H55" s="5">
        <f>IF('ORDENES'!$A33="","",IF('ORDENES'!$AH33="","-",'ORDENES'!$AH33))</f>
        <v/>
      </c>
      <c r="I55" s="5">
        <f>IF('ORDENES'!$A33="","",IF('ORDENES'!$AU33="","-",'ORDENES'!$AU33))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3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IF('ORDENES'!$A33="","",'ORDENES'!$AG33)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IF('ORDENES'!$A34="","",IF('ORDENES'!$AI34="","-",'ORDENES'!$AI34))</f>
        <v/>
      </c>
      <c r="D56" s="5">
        <f>IF('ORDENES'!$A34="","",IF('ORDENES'!$AA34="","-",'ORDENES'!$AA34))</f>
        <v/>
      </c>
      <c r="E56" s="5">
        <f>IF('ORDENES'!$A34="","",IF('ORDENES'!$Y34="","-",'ORDENES'!$Y34))</f>
        <v/>
      </c>
      <c r="F56" s="5">
        <f>IF('ORDENES'!$A34="","",IF('ORDENES'!$AB34="","-",'ORDENES'!$AB34))</f>
        <v/>
      </c>
      <c r="G56" s="5">
        <f>IF('ORDENES'!$A34="","",IF('ORDENES'!$Z34="","-",'ORDENES'!$Z34))</f>
        <v/>
      </c>
      <c r="H56" s="5">
        <f>IF('ORDENES'!$A34="","",IF('ORDENES'!$AH34="","-",'ORDENES'!$AH34))</f>
        <v/>
      </c>
      <c r="I56" s="5">
        <f>IF('ORDENES'!$A34="","",IF('ORDENES'!$AU34="","-",'ORDENES'!$AU34))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3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IF('ORDENES'!$A34="","",'ORDENES'!$AG34)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IF('ORDENES'!$A35="","",IF('ORDENES'!$AI35="","-",'ORDENES'!$AI35))</f>
        <v/>
      </c>
      <c r="D57" s="5">
        <f>IF('ORDENES'!$A35="","",IF('ORDENES'!$AA35="","-",'ORDENES'!$AA35))</f>
        <v/>
      </c>
      <c r="E57" s="5">
        <f>IF('ORDENES'!$A35="","",IF('ORDENES'!$Y35="","-",'ORDENES'!$Y35))</f>
        <v/>
      </c>
      <c r="F57" s="5">
        <f>IF('ORDENES'!$A35="","",IF('ORDENES'!$AB35="","-",'ORDENES'!$AB35))</f>
        <v/>
      </c>
      <c r="G57" s="5">
        <f>IF('ORDENES'!$A35="","",IF('ORDENES'!$Z35="","-",'ORDENES'!$Z35))</f>
        <v/>
      </c>
      <c r="H57" s="5">
        <f>IF('ORDENES'!$A35="","",IF('ORDENES'!$AH35="","-",'ORDENES'!$AH35))</f>
        <v/>
      </c>
      <c r="I57" s="5">
        <f>IF('ORDENES'!$A35="","",IF('ORDENES'!$AU35="","-",'ORDENES'!$AU35))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3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IF('ORDENES'!$A35="","",'ORDENES'!$AG35)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IF('ORDENES'!$A36="","",IF('ORDENES'!$AI36="","-",'ORDENES'!$AI36))</f>
        <v/>
      </c>
      <c r="D58" s="5">
        <f>IF('ORDENES'!$A36="","",IF('ORDENES'!$AA36="","-",'ORDENES'!$AA36))</f>
        <v/>
      </c>
      <c r="E58" s="5">
        <f>IF('ORDENES'!$A36="","",IF('ORDENES'!$Y36="","-",'ORDENES'!$Y36))</f>
        <v/>
      </c>
      <c r="F58" s="5">
        <f>IF('ORDENES'!$A36="","",IF('ORDENES'!$AB36="","-",'ORDENES'!$AB36))</f>
        <v/>
      </c>
      <c r="G58" s="5">
        <f>IF('ORDENES'!$A36="","",IF('ORDENES'!$Z36="","-",'ORDENES'!$Z36))</f>
        <v/>
      </c>
      <c r="H58" s="5">
        <f>IF('ORDENES'!$A36="","",IF('ORDENES'!$AH36="","-",'ORDENES'!$AH36))</f>
        <v/>
      </c>
      <c r="I58" s="5">
        <f>IF('ORDENES'!$A36="","",IF('ORDENES'!$AU36="","-",'ORDENES'!$AU36))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3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IF('ORDENES'!$A36="","",'ORDENES'!$AG36)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IF('ORDENES'!$A37="","",IF('ORDENES'!$AI37="","-",'ORDENES'!$AI37))</f>
        <v/>
      </c>
      <c r="D59" s="5">
        <f>IF('ORDENES'!$A37="","",IF('ORDENES'!$AA37="","-",'ORDENES'!$AA37))</f>
        <v/>
      </c>
      <c r="E59" s="5">
        <f>IF('ORDENES'!$A37="","",IF('ORDENES'!$Y37="","-",'ORDENES'!$Y37))</f>
        <v/>
      </c>
      <c r="F59" s="5">
        <f>IF('ORDENES'!$A37="","",IF('ORDENES'!$AB37="","-",'ORDENES'!$AB37))</f>
        <v/>
      </c>
      <c r="G59" s="5">
        <f>IF('ORDENES'!$A37="","",IF('ORDENES'!$Z37="","-",'ORDENES'!$Z37))</f>
        <v/>
      </c>
      <c r="H59" s="5">
        <f>IF('ORDENES'!$A37="","",IF('ORDENES'!$AH37="","-",'ORDENES'!$AH37))</f>
        <v/>
      </c>
      <c r="I59" s="5">
        <f>IF('ORDENES'!$A37="","",IF('ORDENES'!$AU37="","-",'ORDENES'!$AU37))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3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IF('ORDENES'!$A37="","",'ORDENES'!$AG37)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IF('ORDENES'!$A38="","",IF('ORDENES'!$AI38="","-",'ORDENES'!$AI38))</f>
        <v/>
      </c>
      <c r="D60" s="5">
        <f>IF('ORDENES'!$A38="","",IF('ORDENES'!$AA38="","-",'ORDENES'!$AA38))</f>
        <v/>
      </c>
      <c r="E60" s="5">
        <f>IF('ORDENES'!$A38="","",IF('ORDENES'!$Y38="","-",'ORDENES'!$Y38))</f>
        <v/>
      </c>
      <c r="F60" s="5">
        <f>IF('ORDENES'!$A38="","",IF('ORDENES'!$AB38="","-",'ORDENES'!$AB38))</f>
        <v/>
      </c>
      <c r="G60" s="5">
        <f>IF('ORDENES'!$A38="","",IF('ORDENES'!$Z38="","-",'ORDENES'!$Z38))</f>
        <v/>
      </c>
      <c r="H60" s="5">
        <f>IF('ORDENES'!$A38="","",IF('ORDENES'!$AH38="","-",'ORDENES'!$AH38))</f>
        <v/>
      </c>
      <c r="I60" s="5">
        <f>IF('ORDENES'!$A38="","",IF('ORDENES'!$AU38="","-",'ORDENES'!$AU38))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3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IF('ORDENES'!$A38="","",'ORDENES'!$AG38)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IF('ORDENES'!$A39="","",IF('ORDENES'!$AI39="","-",'ORDENES'!$AI39))</f>
        <v/>
      </c>
      <c r="D61" s="5">
        <f>IF('ORDENES'!$A39="","",IF('ORDENES'!$AA39="","-",'ORDENES'!$AA39))</f>
        <v/>
      </c>
      <c r="E61" s="5">
        <f>IF('ORDENES'!$A39="","",IF('ORDENES'!$Y39="","-",'ORDENES'!$Y39))</f>
        <v/>
      </c>
      <c r="F61" s="5">
        <f>IF('ORDENES'!$A39="","",IF('ORDENES'!$AB39="","-",'ORDENES'!$AB39))</f>
        <v/>
      </c>
      <c r="G61" s="5">
        <f>IF('ORDENES'!$A39="","",IF('ORDENES'!$Z39="","-",'ORDENES'!$Z39))</f>
        <v/>
      </c>
      <c r="H61" s="5">
        <f>IF('ORDENES'!$A39="","",IF('ORDENES'!$AH39="","-",'ORDENES'!$AH39))</f>
        <v/>
      </c>
      <c r="I61" s="5">
        <f>IF('ORDENES'!$A39="","",IF('ORDENES'!$AU39="","-",'ORDENES'!$AU39))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3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IF('ORDENES'!$A39="","",'ORDENES'!$AG39)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IF('ORDENES'!$A40="","",IF('ORDENES'!$AI40="","-",'ORDENES'!$AI40))</f>
        <v/>
      </c>
      <c r="D62" s="5">
        <f>IF('ORDENES'!$A40="","",IF('ORDENES'!$AA40="","-",'ORDENES'!$AA40))</f>
        <v/>
      </c>
      <c r="E62" s="5">
        <f>IF('ORDENES'!$A40="","",IF('ORDENES'!$Y40="","-",'ORDENES'!$Y40))</f>
        <v/>
      </c>
      <c r="F62" s="5">
        <f>IF('ORDENES'!$A40="","",IF('ORDENES'!$AB40="","-",'ORDENES'!$AB40))</f>
        <v/>
      </c>
      <c r="G62" s="5">
        <f>IF('ORDENES'!$A40="","",IF('ORDENES'!$Z40="","-",'ORDENES'!$Z40))</f>
        <v/>
      </c>
      <c r="H62" s="5">
        <f>IF('ORDENES'!$A40="","",IF('ORDENES'!$AH40="","-",'ORDENES'!$AH40))</f>
        <v/>
      </c>
      <c r="I62" s="5">
        <f>IF('ORDENES'!$A40="","",IF('ORDENES'!$AU40="","-",'ORDENES'!$AU40))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3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IF('ORDENES'!$A40="","",'ORDENES'!$AG40)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IF('ORDENES'!$A41="","",IF('ORDENES'!$AI41="","-",'ORDENES'!$AI41))</f>
        <v/>
      </c>
      <c r="D63" s="5">
        <f>IF('ORDENES'!$A41="","",IF('ORDENES'!$AA41="","-",'ORDENES'!$AA41))</f>
        <v/>
      </c>
      <c r="E63" s="5">
        <f>IF('ORDENES'!$A41="","",IF('ORDENES'!$Y41="","-",'ORDENES'!$Y41))</f>
        <v/>
      </c>
      <c r="F63" s="5">
        <f>IF('ORDENES'!$A41="","",IF('ORDENES'!$AB41="","-",'ORDENES'!$AB41))</f>
        <v/>
      </c>
      <c r="G63" s="5">
        <f>IF('ORDENES'!$A41="","",IF('ORDENES'!$Z41="","-",'ORDENES'!$Z41))</f>
        <v/>
      </c>
      <c r="H63" s="5">
        <f>IF('ORDENES'!$A41="","",IF('ORDENES'!$AH41="","-",'ORDENES'!$AH41))</f>
        <v/>
      </c>
      <c r="I63" s="5">
        <f>IF('ORDENES'!$A41="","",IF('ORDENES'!$AU41="","-",'ORDENES'!$AU41))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3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IF('ORDENES'!$A41="","",'ORDENES'!$AG41)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IF('ORDENES'!$A42="","",IF('ORDENES'!$AI42="","-",'ORDENES'!$AI42))</f>
        <v/>
      </c>
      <c r="D64" s="5">
        <f>IF('ORDENES'!$A42="","",IF('ORDENES'!$AA42="","-",'ORDENES'!$AA42))</f>
        <v/>
      </c>
      <c r="E64" s="5">
        <f>IF('ORDENES'!$A42="","",IF('ORDENES'!$Y42="","-",'ORDENES'!$Y42))</f>
        <v/>
      </c>
      <c r="F64" s="5">
        <f>IF('ORDENES'!$A42="","",IF('ORDENES'!$AB42="","-",'ORDENES'!$AB42))</f>
        <v/>
      </c>
      <c r="G64" s="5">
        <f>IF('ORDENES'!$A42="","",IF('ORDENES'!$Z42="","-",'ORDENES'!$Z42))</f>
        <v/>
      </c>
      <c r="H64" s="5">
        <f>IF('ORDENES'!$A42="","",IF('ORDENES'!$AH42="","-",'ORDENES'!$AH42))</f>
        <v/>
      </c>
      <c r="I64" s="5">
        <f>IF('ORDENES'!$A42="","",IF('ORDENES'!$AU42="","-",'ORDENES'!$AU42))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3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IF('ORDENES'!$A42="","",'ORDENES'!$AG42)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IF('ORDENES'!$A43="","",IF('ORDENES'!$AI43="","-",'ORDENES'!$AI43))</f>
        <v/>
      </c>
      <c r="D65" s="5">
        <f>IF('ORDENES'!$A43="","",IF('ORDENES'!$AA43="","-",'ORDENES'!$AA43))</f>
        <v/>
      </c>
      <c r="E65" s="5">
        <f>IF('ORDENES'!$A43="","",IF('ORDENES'!$Y43="","-",'ORDENES'!$Y43))</f>
        <v/>
      </c>
      <c r="F65" s="5">
        <f>IF('ORDENES'!$A43="","",IF('ORDENES'!$AB43="","-",'ORDENES'!$AB43))</f>
        <v/>
      </c>
      <c r="G65" s="5">
        <f>IF('ORDENES'!$A43="","",IF('ORDENES'!$Z43="","-",'ORDENES'!$Z43))</f>
        <v/>
      </c>
      <c r="H65" s="5">
        <f>IF('ORDENES'!$A43="","",IF('ORDENES'!$AH43="","-",'ORDENES'!$AH43))</f>
        <v/>
      </c>
      <c r="I65" s="5">
        <f>IF('ORDENES'!$A43="","",IF('ORDENES'!$AU43="","-",'ORDENES'!$AU43))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3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IF('ORDENES'!$A43="","",'ORDENES'!$AG43)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IF('ORDENES'!$A44="","",IF('ORDENES'!$AI44="","-",'ORDENES'!$AI44))</f>
        <v/>
      </c>
      <c r="D66" s="5">
        <f>IF('ORDENES'!$A44="","",IF('ORDENES'!$AA44="","-",'ORDENES'!$AA44))</f>
        <v/>
      </c>
      <c r="E66" s="5">
        <f>IF('ORDENES'!$A44="","",IF('ORDENES'!$Y44="","-",'ORDENES'!$Y44))</f>
        <v/>
      </c>
      <c r="F66" s="5">
        <f>IF('ORDENES'!$A44="","",IF('ORDENES'!$AB44="","-",'ORDENES'!$AB44))</f>
        <v/>
      </c>
      <c r="G66" s="5">
        <f>IF('ORDENES'!$A44="","",IF('ORDENES'!$Z44="","-",'ORDENES'!$Z44))</f>
        <v/>
      </c>
      <c r="H66" s="5">
        <f>IF('ORDENES'!$A44="","",IF('ORDENES'!$AH44="","-",'ORDENES'!$AH44))</f>
        <v/>
      </c>
      <c r="I66" s="5">
        <f>IF('ORDENES'!$A44="","",IF('ORDENES'!$AU44="","-",'ORDENES'!$AU44))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3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IF('ORDENES'!$A44="","",'ORDENES'!$AG44)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IF('ORDENES'!$A45="","",IF('ORDENES'!$AI45="","-",'ORDENES'!$AI45))</f>
        <v/>
      </c>
      <c r="D67" s="5">
        <f>IF('ORDENES'!$A45="","",IF('ORDENES'!$AA45="","-",'ORDENES'!$AA45))</f>
        <v/>
      </c>
      <c r="E67" s="5">
        <f>IF('ORDENES'!$A45="","",IF('ORDENES'!$Y45="","-",'ORDENES'!$Y45))</f>
        <v/>
      </c>
      <c r="F67" s="5">
        <f>IF('ORDENES'!$A45="","",IF('ORDENES'!$AB45="","-",'ORDENES'!$AB45))</f>
        <v/>
      </c>
      <c r="G67" s="5">
        <f>IF('ORDENES'!$A45="","",IF('ORDENES'!$Z45="","-",'ORDENES'!$Z45))</f>
        <v/>
      </c>
      <c r="H67" s="5">
        <f>IF('ORDENES'!$A45="","",IF('ORDENES'!$AH45="","-",'ORDENES'!$AH45))</f>
        <v/>
      </c>
      <c r="I67" s="5">
        <f>IF('ORDENES'!$A45="","",IF('ORDENES'!$AU45="","-",'ORDENES'!$AU45))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3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IF('ORDENES'!$A45="","",'ORDENES'!$AG45)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IF('ORDENES'!$A46="","",IF('ORDENES'!$AI46="","-",'ORDENES'!$AI46))</f>
        <v/>
      </c>
      <c r="D68" s="5">
        <f>IF('ORDENES'!$A46="","",IF('ORDENES'!$AA46="","-",'ORDENES'!$AA46))</f>
        <v/>
      </c>
      <c r="E68" s="5">
        <f>IF('ORDENES'!$A46="","",IF('ORDENES'!$Y46="","-",'ORDENES'!$Y46))</f>
        <v/>
      </c>
      <c r="F68" s="5">
        <f>IF('ORDENES'!$A46="","",IF('ORDENES'!$AB46="","-",'ORDENES'!$AB46))</f>
        <v/>
      </c>
      <c r="G68" s="5">
        <f>IF('ORDENES'!$A46="","",IF('ORDENES'!$Z46="","-",'ORDENES'!$Z46))</f>
        <v/>
      </c>
      <c r="H68" s="5">
        <f>IF('ORDENES'!$A46="","",IF('ORDENES'!$AH46="","-",'ORDENES'!$AH46))</f>
        <v/>
      </c>
      <c r="I68" s="5">
        <f>IF('ORDENES'!$A46="","",IF('ORDENES'!$AU46="","-",'ORDENES'!$AU46))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3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IF('ORDENES'!$A46="","",'ORDENES'!$AG46)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IF('ORDENES'!$A47="","",IF('ORDENES'!$AI47="","-",'ORDENES'!$AI47))</f>
        <v/>
      </c>
      <c r="D69" s="5">
        <f>IF('ORDENES'!$A47="","",IF('ORDENES'!$AA47="","-",'ORDENES'!$AA47))</f>
        <v/>
      </c>
      <c r="E69" s="5">
        <f>IF('ORDENES'!$A47="","",IF('ORDENES'!$Y47="","-",'ORDENES'!$Y47))</f>
        <v/>
      </c>
      <c r="F69" s="5">
        <f>IF('ORDENES'!$A47="","",IF('ORDENES'!$AB47="","-",'ORDENES'!$AB47))</f>
        <v/>
      </c>
      <c r="G69" s="5">
        <f>IF('ORDENES'!$A47="","",IF('ORDENES'!$Z47="","-",'ORDENES'!$Z47))</f>
        <v/>
      </c>
      <c r="H69" s="5">
        <f>IF('ORDENES'!$A47="","",IF('ORDENES'!$AH47="","-",'ORDENES'!$AH47))</f>
        <v/>
      </c>
      <c r="I69" s="5">
        <f>IF('ORDENES'!$A47="","",IF('ORDENES'!$AU47="","-",'ORDENES'!$AU47))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3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IF('ORDENES'!$A47="","",'ORDENES'!$AG47)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IF('ORDENES'!$A48="","",IF('ORDENES'!$AI48="","-",'ORDENES'!$AI48))</f>
        <v/>
      </c>
      <c r="D70" s="5">
        <f>IF('ORDENES'!$A48="","",IF('ORDENES'!$AA48="","-",'ORDENES'!$AA48))</f>
        <v/>
      </c>
      <c r="E70" s="5">
        <f>IF('ORDENES'!$A48="","",IF('ORDENES'!$Y48="","-",'ORDENES'!$Y48))</f>
        <v/>
      </c>
      <c r="F70" s="5">
        <f>IF('ORDENES'!$A48="","",IF('ORDENES'!$AB48="","-",'ORDENES'!$AB48))</f>
        <v/>
      </c>
      <c r="G70" s="5">
        <f>IF('ORDENES'!$A48="","",IF('ORDENES'!$Z48="","-",'ORDENES'!$Z48))</f>
        <v/>
      </c>
      <c r="H70" s="5">
        <f>IF('ORDENES'!$A48="","",IF('ORDENES'!$AH48="","-",'ORDENES'!$AH48))</f>
        <v/>
      </c>
      <c r="I70" s="5">
        <f>IF('ORDENES'!$A48="","",IF('ORDENES'!$AU48="","-",'ORDENES'!$AU48))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3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IF('ORDENES'!$A48="","",'ORDENES'!$AG48)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IF('ORDENES'!$A49="","",IF('ORDENES'!$AI49="","-",'ORDENES'!$AI49))</f>
        <v/>
      </c>
      <c r="D71" s="5">
        <f>IF('ORDENES'!$A49="","",IF('ORDENES'!$AA49="","-",'ORDENES'!$AA49))</f>
        <v/>
      </c>
      <c r="E71" s="5">
        <f>IF('ORDENES'!$A49="","",IF('ORDENES'!$Y49="","-",'ORDENES'!$Y49))</f>
        <v/>
      </c>
      <c r="F71" s="5">
        <f>IF('ORDENES'!$A49="","",IF('ORDENES'!$AB49="","-",'ORDENES'!$AB49))</f>
        <v/>
      </c>
      <c r="G71" s="5">
        <f>IF('ORDENES'!$A49="","",IF('ORDENES'!$Z49="","-",'ORDENES'!$Z49))</f>
        <v/>
      </c>
      <c r="H71" s="5">
        <f>IF('ORDENES'!$A49="","",IF('ORDENES'!$AH49="","-",'ORDENES'!$AH49))</f>
        <v/>
      </c>
      <c r="I71" s="5">
        <f>IF('ORDENES'!$A49="","",IF('ORDENES'!$AU49="","-",'ORDENES'!$AU49))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3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IF('ORDENES'!$A49="","",'ORDENES'!$AG49)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IF('ORDENES'!$A50="","",IF('ORDENES'!$AI50="","-",'ORDENES'!$AI50))</f>
        <v/>
      </c>
      <c r="D72" s="5">
        <f>IF('ORDENES'!$A50="","",IF('ORDENES'!$AA50="","-",'ORDENES'!$AA50))</f>
        <v/>
      </c>
      <c r="E72" s="5">
        <f>IF('ORDENES'!$A50="","",IF('ORDENES'!$Y50="","-",'ORDENES'!$Y50))</f>
        <v/>
      </c>
      <c r="F72" s="5">
        <f>IF('ORDENES'!$A50="","",IF('ORDENES'!$AB50="","-",'ORDENES'!$AB50))</f>
        <v/>
      </c>
      <c r="G72" s="5">
        <f>IF('ORDENES'!$A50="","",IF('ORDENES'!$Z50="","-",'ORDENES'!$Z50))</f>
        <v/>
      </c>
      <c r="H72" s="5">
        <f>IF('ORDENES'!$A50="","",IF('ORDENES'!$AH50="","-",'ORDENES'!$AH50))</f>
        <v/>
      </c>
      <c r="I72" s="5">
        <f>IF('ORDENES'!$A50="","",IF('ORDENES'!$AU50="","-",'ORDENES'!$AU50))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3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IF('ORDENES'!$A50="","",'ORDENES'!$AG50)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IF('ORDENES'!$A51="","",IF('ORDENES'!$AI51="","-",'ORDENES'!$AI51))</f>
        <v/>
      </c>
      <c r="D73" s="5">
        <f>IF('ORDENES'!$A51="","",IF('ORDENES'!$AA51="","-",'ORDENES'!$AA51))</f>
        <v/>
      </c>
      <c r="E73" s="5">
        <f>IF('ORDENES'!$A51="","",IF('ORDENES'!$Y51="","-",'ORDENES'!$Y51))</f>
        <v/>
      </c>
      <c r="F73" s="5">
        <f>IF('ORDENES'!$A51="","",IF('ORDENES'!$AB51="","-",'ORDENES'!$AB51))</f>
        <v/>
      </c>
      <c r="G73" s="5">
        <f>IF('ORDENES'!$A51="","",IF('ORDENES'!$Z51="","-",'ORDENES'!$Z51))</f>
        <v/>
      </c>
      <c r="H73" s="5">
        <f>IF('ORDENES'!$A51="","",IF('ORDENES'!$AH51="","-",'ORDENES'!$AH51))</f>
        <v/>
      </c>
      <c r="I73" s="5">
        <f>IF('ORDENES'!$A51="","",IF('ORDENES'!$AU51="","-",'ORDENES'!$AU51))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3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IF('ORDENES'!$A51="","",'ORDENES'!$AG51)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IF('ORDENES'!$A52="","",IF('ORDENES'!$AI52="","-",'ORDENES'!$AI52))</f>
        <v/>
      </c>
      <c r="D74" s="5">
        <f>IF('ORDENES'!$A52="","",IF('ORDENES'!$AA52="","-",'ORDENES'!$AA52))</f>
        <v/>
      </c>
      <c r="E74" s="5">
        <f>IF('ORDENES'!$A52="","",IF('ORDENES'!$Y52="","-",'ORDENES'!$Y52))</f>
        <v/>
      </c>
      <c r="F74" s="5">
        <f>IF('ORDENES'!$A52="","",IF('ORDENES'!$AB52="","-",'ORDENES'!$AB52))</f>
        <v/>
      </c>
      <c r="G74" s="5">
        <f>IF('ORDENES'!$A52="","",IF('ORDENES'!$Z52="","-",'ORDENES'!$Z52))</f>
        <v/>
      </c>
      <c r="H74" s="5">
        <f>IF('ORDENES'!$A52="","",IF('ORDENES'!$AH52="","-",'ORDENES'!$AH52))</f>
        <v/>
      </c>
      <c r="I74" s="5">
        <f>IF('ORDENES'!$A52="","",IF('ORDENES'!$AU52="","-",'ORDENES'!$AU52))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3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IF('ORDENES'!$A52="","",'ORDENES'!$AG52)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IF('ORDENES'!$A53="","",IF('ORDENES'!$AI53="","-",'ORDENES'!$AI53))</f>
        <v/>
      </c>
      <c r="D75" s="5">
        <f>IF('ORDENES'!$A53="","",IF('ORDENES'!$AA53="","-",'ORDENES'!$AA53))</f>
        <v/>
      </c>
      <c r="E75" s="5">
        <f>IF('ORDENES'!$A53="","",IF('ORDENES'!$Y53="","-",'ORDENES'!$Y53))</f>
        <v/>
      </c>
      <c r="F75" s="5">
        <f>IF('ORDENES'!$A53="","",IF('ORDENES'!$AB53="","-",'ORDENES'!$AB53))</f>
        <v/>
      </c>
      <c r="G75" s="5">
        <f>IF('ORDENES'!$A53="","",IF('ORDENES'!$Z53="","-",'ORDENES'!$Z53))</f>
        <v/>
      </c>
      <c r="H75" s="5">
        <f>IF('ORDENES'!$A53="","",IF('ORDENES'!$AH53="","-",'ORDENES'!$AH53))</f>
        <v/>
      </c>
      <c r="I75" s="5">
        <f>IF('ORDENES'!$A53="","",IF('ORDENES'!$AU53="","-",'ORDENES'!$AU53))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3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IF('ORDENES'!$A53="","",'ORDENES'!$AG53)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IF('ORDENES'!$A54="","",IF('ORDENES'!$AI54="","-",'ORDENES'!$AI54))</f>
        <v/>
      </c>
      <c r="D76" s="5">
        <f>IF('ORDENES'!$A54="","",IF('ORDENES'!$AA54="","-",'ORDENES'!$AA54))</f>
        <v/>
      </c>
      <c r="E76" s="5">
        <f>IF('ORDENES'!$A54="","",IF('ORDENES'!$Y54="","-",'ORDENES'!$Y54))</f>
        <v/>
      </c>
      <c r="F76" s="5">
        <f>IF('ORDENES'!$A54="","",IF('ORDENES'!$AB54="","-",'ORDENES'!$AB54))</f>
        <v/>
      </c>
      <c r="G76" s="5">
        <f>IF('ORDENES'!$A54="","",IF('ORDENES'!$Z54="","-",'ORDENES'!$Z54))</f>
        <v/>
      </c>
      <c r="H76" s="5">
        <f>IF('ORDENES'!$A54="","",IF('ORDENES'!$AH54="","-",'ORDENES'!$AH54))</f>
        <v/>
      </c>
      <c r="I76" s="5">
        <f>IF('ORDENES'!$A54="","",IF('ORDENES'!$AU54="","-",'ORDENES'!$AU54))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3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IF('ORDENES'!$A54="","",'ORDENES'!$AG54)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IF('ORDENES'!$A55="","",IF('ORDENES'!$AI55="","-",'ORDENES'!$AI55))</f>
        <v/>
      </c>
      <c r="D77" s="5">
        <f>IF('ORDENES'!$A55="","",IF('ORDENES'!$AA55="","-",'ORDENES'!$AA55))</f>
        <v/>
      </c>
      <c r="E77" s="5">
        <f>IF('ORDENES'!$A55="","",IF('ORDENES'!$Y55="","-",'ORDENES'!$Y55))</f>
        <v/>
      </c>
      <c r="F77" s="5">
        <f>IF('ORDENES'!$A55="","",IF('ORDENES'!$AB55="","-",'ORDENES'!$AB55))</f>
        <v/>
      </c>
      <c r="G77" s="5">
        <f>IF('ORDENES'!$A55="","",IF('ORDENES'!$Z55="","-",'ORDENES'!$Z55))</f>
        <v/>
      </c>
      <c r="H77" s="5">
        <f>IF('ORDENES'!$A55="","",IF('ORDENES'!$AH55="","-",'ORDENES'!$AH55))</f>
        <v/>
      </c>
      <c r="I77" s="5">
        <f>IF('ORDENES'!$A55="","",IF('ORDENES'!$AU55="","-",'ORDENES'!$AU55))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3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IF('ORDENES'!$A55="","",'ORDENES'!$AG55)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IF('ORDENES'!$A56="","",IF('ORDENES'!$AI56="","-",'ORDENES'!$AI56))</f>
        <v/>
      </c>
      <c r="D78" s="5">
        <f>IF('ORDENES'!$A56="","",IF('ORDENES'!$AA56="","-",'ORDENES'!$AA56))</f>
        <v/>
      </c>
      <c r="E78" s="5">
        <f>IF('ORDENES'!$A56="","",IF('ORDENES'!$Y56="","-",'ORDENES'!$Y56))</f>
        <v/>
      </c>
      <c r="F78" s="5">
        <f>IF('ORDENES'!$A56="","",IF('ORDENES'!$AB56="","-",'ORDENES'!$AB56))</f>
        <v/>
      </c>
      <c r="G78" s="5">
        <f>IF('ORDENES'!$A56="","",IF('ORDENES'!$Z56="","-",'ORDENES'!$Z56))</f>
        <v/>
      </c>
      <c r="H78" s="5">
        <f>IF('ORDENES'!$A56="","",IF('ORDENES'!$AH56="","-",'ORDENES'!$AH56))</f>
        <v/>
      </c>
      <c r="I78" s="5">
        <f>IF('ORDENES'!$A56="","",IF('ORDENES'!$AU56="","-",'ORDENES'!$AU56))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3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IF('ORDENES'!$A56="","",'ORDENES'!$AG56)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IF('ORDENES'!$A57="","",IF('ORDENES'!$AI57="","-",'ORDENES'!$AI57))</f>
        <v/>
      </c>
      <c r="D79" s="5">
        <f>IF('ORDENES'!$A57="","",IF('ORDENES'!$AA57="","-",'ORDENES'!$AA57))</f>
        <v/>
      </c>
      <c r="E79" s="5">
        <f>IF('ORDENES'!$A57="","",IF('ORDENES'!$Y57="","-",'ORDENES'!$Y57))</f>
        <v/>
      </c>
      <c r="F79" s="5">
        <f>IF('ORDENES'!$A57="","",IF('ORDENES'!$AB57="","-",'ORDENES'!$AB57))</f>
        <v/>
      </c>
      <c r="G79" s="5">
        <f>IF('ORDENES'!$A57="","",IF('ORDENES'!$Z57="","-",'ORDENES'!$Z57))</f>
        <v/>
      </c>
      <c r="H79" s="5">
        <f>IF('ORDENES'!$A57="","",IF('ORDENES'!$AH57="","-",'ORDENES'!$AH57))</f>
        <v/>
      </c>
      <c r="I79" s="5">
        <f>IF('ORDENES'!$A57="","",IF('ORDENES'!$AU57="","-",'ORDENES'!$AU57))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3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IF('ORDENES'!$A57="","",'ORDENES'!$AG57)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IF('ORDENES'!$A58="","",IF('ORDENES'!$AI58="","-",'ORDENES'!$AI58))</f>
        <v/>
      </c>
      <c r="D80" s="5">
        <f>IF('ORDENES'!$A58="","",IF('ORDENES'!$AA58="","-",'ORDENES'!$AA58))</f>
        <v/>
      </c>
      <c r="E80" s="5">
        <f>IF('ORDENES'!$A58="","",IF('ORDENES'!$Y58="","-",'ORDENES'!$Y58))</f>
        <v/>
      </c>
      <c r="F80" s="5">
        <f>IF('ORDENES'!$A58="","",IF('ORDENES'!$AB58="","-",'ORDENES'!$AB58))</f>
        <v/>
      </c>
      <c r="G80" s="5">
        <f>IF('ORDENES'!$A58="","",IF('ORDENES'!$Z58="","-",'ORDENES'!$Z58))</f>
        <v/>
      </c>
      <c r="H80" s="5">
        <f>IF('ORDENES'!$A58="","",IF('ORDENES'!$AH58="","-",'ORDENES'!$AH58))</f>
        <v/>
      </c>
      <c r="I80" s="5">
        <f>IF('ORDENES'!$A58="","",IF('ORDENES'!$AU58="","-",'ORDENES'!$AU58))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3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IF('ORDENES'!$A58="","",'ORDENES'!$AG58)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IF('ORDENES'!$A59="","",IF('ORDENES'!$AI59="","-",'ORDENES'!$AI59))</f>
        <v/>
      </c>
      <c r="D81" s="5">
        <f>IF('ORDENES'!$A59="","",IF('ORDENES'!$AA59="","-",'ORDENES'!$AA59))</f>
        <v/>
      </c>
      <c r="E81" s="5">
        <f>IF('ORDENES'!$A59="","",IF('ORDENES'!$Y59="","-",'ORDENES'!$Y59))</f>
        <v/>
      </c>
      <c r="F81" s="5">
        <f>IF('ORDENES'!$A59="","",IF('ORDENES'!$AB59="","-",'ORDENES'!$AB59))</f>
        <v/>
      </c>
      <c r="G81" s="5">
        <f>IF('ORDENES'!$A59="","",IF('ORDENES'!$Z59="","-",'ORDENES'!$Z59))</f>
        <v/>
      </c>
      <c r="H81" s="5">
        <f>IF('ORDENES'!$A59="","",IF('ORDENES'!$AH59="","-",'ORDENES'!$AH59))</f>
        <v/>
      </c>
      <c r="I81" s="5">
        <f>IF('ORDENES'!$A59="","",IF('ORDENES'!$AU59="","-",'ORDENES'!$AU59))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3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IF('ORDENES'!$A59="","",'ORDENES'!$AG59)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IF('ORDENES'!$A60="","",IF('ORDENES'!$AI60="","-",'ORDENES'!$AI60))</f>
        <v/>
      </c>
      <c r="D82" s="5">
        <f>IF('ORDENES'!$A60="","",IF('ORDENES'!$AA60="","-",'ORDENES'!$AA60))</f>
        <v/>
      </c>
      <c r="E82" s="5">
        <f>IF('ORDENES'!$A60="","",IF('ORDENES'!$Y60="","-",'ORDENES'!$Y60))</f>
        <v/>
      </c>
      <c r="F82" s="5">
        <f>IF('ORDENES'!$A60="","",IF('ORDENES'!$AB60="","-",'ORDENES'!$AB60))</f>
        <v/>
      </c>
      <c r="G82" s="5">
        <f>IF('ORDENES'!$A60="","",IF('ORDENES'!$Z60="","-",'ORDENES'!$Z60))</f>
        <v/>
      </c>
      <c r="H82" s="5">
        <f>IF('ORDENES'!$A60="","",IF('ORDENES'!$AH60="","-",'ORDENES'!$AH60))</f>
        <v/>
      </c>
      <c r="I82" s="5">
        <f>IF('ORDENES'!$A60="","",IF('ORDENES'!$AU60="","-",'ORDENES'!$AU60))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3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IF('ORDENES'!$A60="","",'ORDENES'!$AG60)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IF('ORDENES'!$A61="","",IF('ORDENES'!$AI61="","-",'ORDENES'!$AI61))</f>
        <v/>
      </c>
      <c r="D83" s="5">
        <f>IF('ORDENES'!$A61="","",IF('ORDENES'!$AA61="","-",'ORDENES'!$AA61))</f>
        <v/>
      </c>
      <c r="E83" s="5">
        <f>IF('ORDENES'!$A61="","",IF('ORDENES'!$Y61="","-",'ORDENES'!$Y61))</f>
        <v/>
      </c>
      <c r="F83" s="5">
        <f>IF('ORDENES'!$A61="","",IF('ORDENES'!$AB61="","-",'ORDENES'!$AB61))</f>
        <v/>
      </c>
      <c r="G83" s="5">
        <f>IF('ORDENES'!$A61="","",IF('ORDENES'!$Z61="","-",'ORDENES'!$Z61))</f>
        <v/>
      </c>
      <c r="H83" s="5">
        <f>IF('ORDENES'!$A61="","",IF('ORDENES'!$AH61="","-",'ORDENES'!$AH61))</f>
        <v/>
      </c>
      <c r="I83" s="5">
        <f>IF('ORDENES'!$A61="","",IF('ORDENES'!$AU61="","-",'ORDENES'!$AU61))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3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IF('ORDENES'!$A61="","",'ORDENES'!$AG61)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IF('ORDENES'!$A62="","",IF('ORDENES'!$AI62="","-",'ORDENES'!$AI62))</f>
        <v/>
      </c>
      <c r="D84" s="5">
        <f>IF('ORDENES'!$A62="","",IF('ORDENES'!$AA62="","-",'ORDENES'!$AA62))</f>
        <v/>
      </c>
      <c r="E84" s="5">
        <f>IF('ORDENES'!$A62="","",IF('ORDENES'!$Y62="","-",'ORDENES'!$Y62))</f>
        <v/>
      </c>
      <c r="F84" s="5">
        <f>IF('ORDENES'!$A62="","",IF('ORDENES'!$AB62="","-",'ORDENES'!$AB62))</f>
        <v/>
      </c>
      <c r="G84" s="5">
        <f>IF('ORDENES'!$A62="","",IF('ORDENES'!$Z62="","-",'ORDENES'!$Z62))</f>
        <v/>
      </c>
      <c r="H84" s="5">
        <f>IF('ORDENES'!$A62="","",IF('ORDENES'!$AH62="","-",'ORDENES'!$AH62))</f>
        <v/>
      </c>
      <c r="I84" s="5">
        <f>IF('ORDENES'!$A62="","",IF('ORDENES'!$AU62="","-",'ORDENES'!$AU62))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3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IF('ORDENES'!$A62="","",'ORDENES'!$AG62)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IF('ORDENES'!$A63="","",IF('ORDENES'!$AI63="","-",'ORDENES'!$AI63))</f>
        <v/>
      </c>
      <c r="D85" s="5">
        <f>IF('ORDENES'!$A63="","",IF('ORDENES'!$AA63="","-",'ORDENES'!$AA63))</f>
        <v/>
      </c>
      <c r="E85" s="5">
        <f>IF('ORDENES'!$A63="","",IF('ORDENES'!$Y63="","-",'ORDENES'!$Y63))</f>
        <v/>
      </c>
      <c r="F85" s="5">
        <f>IF('ORDENES'!$A63="","",IF('ORDENES'!$AB63="","-",'ORDENES'!$AB63))</f>
        <v/>
      </c>
      <c r="G85" s="5">
        <f>IF('ORDENES'!$A63="","",IF('ORDENES'!$Z63="","-",'ORDENES'!$Z63))</f>
        <v/>
      </c>
      <c r="H85" s="5">
        <f>IF('ORDENES'!$A63="","",IF('ORDENES'!$AH63="","-",'ORDENES'!$AH63))</f>
        <v/>
      </c>
      <c r="I85" s="5">
        <f>IF('ORDENES'!$A63="","",IF('ORDENES'!$AU63="","-",'ORDENES'!$AU63))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3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IF('ORDENES'!$A63="","",'ORDENES'!$AG63)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IF('ORDENES'!$A64="","",IF('ORDENES'!$AI64="","-",'ORDENES'!$AI64))</f>
        <v/>
      </c>
      <c r="D86" s="5">
        <f>IF('ORDENES'!$A64="","",IF('ORDENES'!$AA64="","-",'ORDENES'!$AA64))</f>
        <v/>
      </c>
      <c r="E86" s="5">
        <f>IF('ORDENES'!$A64="","",IF('ORDENES'!$Y64="","-",'ORDENES'!$Y64))</f>
        <v/>
      </c>
      <c r="F86" s="5">
        <f>IF('ORDENES'!$A64="","",IF('ORDENES'!$AB64="","-",'ORDENES'!$AB64))</f>
        <v/>
      </c>
      <c r="G86" s="5">
        <f>IF('ORDENES'!$A64="","",IF('ORDENES'!$Z64="","-",'ORDENES'!$Z64))</f>
        <v/>
      </c>
      <c r="H86" s="5">
        <f>IF('ORDENES'!$A64="","",IF('ORDENES'!$AH64="","-",'ORDENES'!$AH64))</f>
        <v/>
      </c>
      <c r="I86" s="5">
        <f>IF('ORDENES'!$A64="","",IF('ORDENES'!$AU64="","-",'ORDENES'!$AU64))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3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IF('ORDENES'!$A64="","",'ORDENES'!$AG64)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IF('ORDENES'!$A65="","",IF('ORDENES'!$AI65="","-",'ORDENES'!$AI65))</f>
        <v/>
      </c>
      <c r="D87" s="5">
        <f>IF('ORDENES'!$A65="","",IF('ORDENES'!$AA65="","-",'ORDENES'!$AA65))</f>
        <v/>
      </c>
      <c r="E87" s="5">
        <f>IF('ORDENES'!$A65="","",IF('ORDENES'!$Y65="","-",'ORDENES'!$Y65))</f>
        <v/>
      </c>
      <c r="F87" s="5">
        <f>IF('ORDENES'!$A65="","",IF('ORDENES'!$AB65="","-",'ORDENES'!$AB65))</f>
        <v/>
      </c>
      <c r="G87" s="5">
        <f>IF('ORDENES'!$A65="","",IF('ORDENES'!$Z65="","-",'ORDENES'!$Z65))</f>
        <v/>
      </c>
      <c r="H87" s="5">
        <f>IF('ORDENES'!$A65="","",IF('ORDENES'!$AH65="","-",'ORDENES'!$AH65))</f>
        <v/>
      </c>
      <c r="I87" s="5">
        <f>IF('ORDENES'!$A65="","",IF('ORDENES'!$AU65="","-",'ORDENES'!$AU65))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3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IF('ORDENES'!$A65="","",'ORDENES'!$AG65)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IF('ORDENES'!$A66="","",IF('ORDENES'!$AI66="","-",'ORDENES'!$AI66))</f>
        <v/>
      </c>
      <c r="D88" s="5">
        <f>IF('ORDENES'!$A66="","",IF('ORDENES'!$AA66="","-",'ORDENES'!$AA66))</f>
        <v/>
      </c>
      <c r="E88" s="5">
        <f>IF('ORDENES'!$A66="","",IF('ORDENES'!$Y66="","-",'ORDENES'!$Y66))</f>
        <v/>
      </c>
      <c r="F88" s="5">
        <f>IF('ORDENES'!$A66="","",IF('ORDENES'!$AB66="","-",'ORDENES'!$AB66))</f>
        <v/>
      </c>
      <c r="G88" s="5">
        <f>IF('ORDENES'!$A66="","",IF('ORDENES'!$Z66="","-",'ORDENES'!$Z66))</f>
        <v/>
      </c>
      <c r="H88" s="5">
        <f>IF('ORDENES'!$A66="","",IF('ORDENES'!$AH66="","-",'ORDENES'!$AH66))</f>
        <v/>
      </c>
      <c r="I88" s="5">
        <f>IF('ORDENES'!$A66="","",IF('ORDENES'!$AU66="","-",'ORDENES'!$AU66))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3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IF('ORDENES'!$A66="","",'ORDENES'!$AG66)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IF('ORDENES'!$A67="","",IF('ORDENES'!$AI67="","-",'ORDENES'!$AI67))</f>
        <v/>
      </c>
      <c r="D89" s="5">
        <f>IF('ORDENES'!$A67="","",IF('ORDENES'!$AA67="","-",'ORDENES'!$AA67))</f>
        <v/>
      </c>
      <c r="E89" s="5">
        <f>IF('ORDENES'!$A67="","",IF('ORDENES'!$Y67="","-",'ORDENES'!$Y67))</f>
        <v/>
      </c>
      <c r="F89" s="5">
        <f>IF('ORDENES'!$A67="","",IF('ORDENES'!$AB67="","-",'ORDENES'!$AB67))</f>
        <v/>
      </c>
      <c r="G89" s="5">
        <f>IF('ORDENES'!$A67="","",IF('ORDENES'!$Z67="","-",'ORDENES'!$Z67))</f>
        <v/>
      </c>
      <c r="H89" s="5">
        <f>IF('ORDENES'!$A67="","",IF('ORDENES'!$AH67="","-",'ORDENES'!$AH67))</f>
        <v/>
      </c>
      <c r="I89" s="5">
        <f>IF('ORDENES'!$A67="","",IF('ORDENES'!$AU67="","-",'ORDENES'!$AU67))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3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IF('ORDENES'!$A67="","",'ORDENES'!$AG67)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IF('ORDENES'!$A68="","",IF('ORDENES'!$AI68="","-",'ORDENES'!$AI68))</f>
        <v/>
      </c>
      <c r="D90" s="5">
        <f>IF('ORDENES'!$A68="","",IF('ORDENES'!$AA68="","-",'ORDENES'!$AA68))</f>
        <v/>
      </c>
      <c r="E90" s="5">
        <f>IF('ORDENES'!$A68="","",IF('ORDENES'!$Y68="","-",'ORDENES'!$Y68))</f>
        <v/>
      </c>
      <c r="F90" s="5">
        <f>IF('ORDENES'!$A68="","",IF('ORDENES'!$AB68="","-",'ORDENES'!$AB68))</f>
        <v/>
      </c>
      <c r="G90" s="5">
        <f>IF('ORDENES'!$A68="","",IF('ORDENES'!$Z68="","-",'ORDENES'!$Z68))</f>
        <v/>
      </c>
      <c r="H90" s="5">
        <f>IF('ORDENES'!$A68="","",IF('ORDENES'!$AH68="","-",'ORDENES'!$AH68))</f>
        <v/>
      </c>
      <c r="I90" s="5">
        <f>IF('ORDENES'!$A68="","",IF('ORDENES'!$AU68="","-",'ORDENES'!$AU68))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3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IF('ORDENES'!$A68="","",'ORDENES'!$AG68)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IF('ORDENES'!$A69="","",IF('ORDENES'!$AI69="","-",'ORDENES'!$AI69))</f>
        <v/>
      </c>
      <c r="D91" s="5">
        <f>IF('ORDENES'!$A69="","",IF('ORDENES'!$AA69="","-",'ORDENES'!$AA69))</f>
        <v/>
      </c>
      <c r="E91" s="5">
        <f>IF('ORDENES'!$A69="","",IF('ORDENES'!$Y69="","-",'ORDENES'!$Y69))</f>
        <v/>
      </c>
      <c r="F91" s="5">
        <f>IF('ORDENES'!$A69="","",IF('ORDENES'!$AB69="","-",'ORDENES'!$AB69))</f>
        <v/>
      </c>
      <c r="G91" s="5">
        <f>IF('ORDENES'!$A69="","",IF('ORDENES'!$Z69="","-",'ORDENES'!$Z69))</f>
        <v/>
      </c>
      <c r="H91" s="5">
        <f>IF('ORDENES'!$A69="","",IF('ORDENES'!$AH69="","-",'ORDENES'!$AH69))</f>
        <v/>
      </c>
      <c r="I91" s="5">
        <f>IF('ORDENES'!$A69="","",IF('ORDENES'!$AU69="","-",'ORDENES'!$AU69))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3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IF('ORDENES'!$A69="","",'ORDENES'!$AG69)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IF('ORDENES'!$A70="","",IF('ORDENES'!$AI70="","-",'ORDENES'!$AI70))</f>
        <v/>
      </c>
      <c r="D92" s="5">
        <f>IF('ORDENES'!$A70="","",IF('ORDENES'!$AA70="","-",'ORDENES'!$AA70))</f>
        <v/>
      </c>
      <c r="E92" s="5">
        <f>IF('ORDENES'!$A70="","",IF('ORDENES'!$Y70="","-",'ORDENES'!$Y70))</f>
        <v/>
      </c>
      <c r="F92" s="5">
        <f>IF('ORDENES'!$A70="","",IF('ORDENES'!$AB70="","-",'ORDENES'!$AB70))</f>
        <v/>
      </c>
      <c r="G92" s="5">
        <f>IF('ORDENES'!$A70="","",IF('ORDENES'!$Z70="","-",'ORDENES'!$Z70))</f>
        <v/>
      </c>
      <c r="H92" s="5">
        <f>IF('ORDENES'!$A70="","",IF('ORDENES'!$AH70="","-",'ORDENES'!$AH70))</f>
        <v/>
      </c>
      <c r="I92" s="5">
        <f>IF('ORDENES'!$A70="","",IF('ORDENES'!$AU70="","-",'ORDENES'!$AU70))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3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IF('ORDENES'!$A70="","",'ORDENES'!$AG70)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IF('ORDENES'!$A71="","",IF('ORDENES'!$AI71="","-",'ORDENES'!$AI71))</f>
        <v/>
      </c>
      <c r="D93" s="5">
        <f>IF('ORDENES'!$A71="","",IF('ORDENES'!$AA71="","-",'ORDENES'!$AA71))</f>
        <v/>
      </c>
      <c r="E93" s="5">
        <f>IF('ORDENES'!$A71="","",IF('ORDENES'!$Y71="","-",'ORDENES'!$Y71))</f>
        <v/>
      </c>
      <c r="F93" s="5">
        <f>IF('ORDENES'!$A71="","",IF('ORDENES'!$AB71="","-",'ORDENES'!$AB71))</f>
        <v/>
      </c>
      <c r="G93" s="5">
        <f>IF('ORDENES'!$A71="","",IF('ORDENES'!$Z71="","-",'ORDENES'!$Z71))</f>
        <v/>
      </c>
      <c r="H93" s="5">
        <f>IF('ORDENES'!$A71="","",IF('ORDENES'!$AH71="","-",'ORDENES'!$AH71))</f>
        <v/>
      </c>
      <c r="I93" s="5">
        <f>IF('ORDENES'!$A71="","",IF('ORDENES'!$AU71="","-",'ORDENES'!$AU71))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3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IF('ORDENES'!$A71="","",'ORDENES'!$AG71)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IF('ORDENES'!$A72="","",IF('ORDENES'!$AI72="","-",'ORDENES'!$AI72))</f>
        <v/>
      </c>
      <c r="D94" s="5">
        <f>IF('ORDENES'!$A72="","",IF('ORDENES'!$AA72="","-",'ORDENES'!$AA72))</f>
        <v/>
      </c>
      <c r="E94" s="5">
        <f>IF('ORDENES'!$A72="","",IF('ORDENES'!$Y72="","-",'ORDENES'!$Y72))</f>
        <v/>
      </c>
      <c r="F94" s="5">
        <f>IF('ORDENES'!$A72="","",IF('ORDENES'!$AB72="","-",'ORDENES'!$AB72))</f>
        <v/>
      </c>
      <c r="G94" s="5">
        <f>IF('ORDENES'!$A72="","",IF('ORDENES'!$Z72="","-",'ORDENES'!$Z72))</f>
        <v/>
      </c>
      <c r="H94" s="5">
        <f>IF('ORDENES'!$A72="","",IF('ORDENES'!$AH72="","-",'ORDENES'!$AH72))</f>
        <v/>
      </c>
      <c r="I94" s="5">
        <f>IF('ORDENES'!$A72="","",IF('ORDENES'!$AU72="","-",'ORDENES'!$AU72))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3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IF('ORDENES'!$A72="","",'ORDENES'!$AG72)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IF('ORDENES'!$A73="","",IF('ORDENES'!$AI73="","-",'ORDENES'!$AI73))</f>
        <v/>
      </c>
      <c r="D95" s="5">
        <f>IF('ORDENES'!$A73="","",IF('ORDENES'!$AA73="","-",'ORDENES'!$AA73))</f>
        <v/>
      </c>
      <c r="E95" s="5">
        <f>IF('ORDENES'!$A73="","",IF('ORDENES'!$Y73="","-",'ORDENES'!$Y73))</f>
        <v/>
      </c>
      <c r="F95" s="5">
        <f>IF('ORDENES'!$A73="","",IF('ORDENES'!$AB73="","-",'ORDENES'!$AB73))</f>
        <v/>
      </c>
      <c r="G95" s="5">
        <f>IF('ORDENES'!$A73="","",IF('ORDENES'!$Z73="","-",'ORDENES'!$Z73))</f>
        <v/>
      </c>
      <c r="H95" s="5">
        <f>IF('ORDENES'!$A73="","",IF('ORDENES'!$AH73="","-",'ORDENES'!$AH73))</f>
        <v/>
      </c>
      <c r="I95" s="5">
        <f>IF('ORDENES'!$A73="","",IF('ORDENES'!$AU73="","-",'ORDENES'!$AU73))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3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IF('ORDENES'!$A73="","",'ORDENES'!$AG73)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IF('ORDENES'!$A74="","",IF('ORDENES'!$AI74="","-",'ORDENES'!$AI74))</f>
        <v/>
      </c>
      <c r="D96" s="5">
        <f>IF('ORDENES'!$A74="","",IF('ORDENES'!$AA74="","-",'ORDENES'!$AA74))</f>
        <v/>
      </c>
      <c r="E96" s="5">
        <f>IF('ORDENES'!$A74="","",IF('ORDENES'!$Y74="","-",'ORDENES'!$Y74))</f>
        <v/>
      </c>
      <c r="F96" s="5">
        <f>IF('ORDENES'!$A74="","",IF('ORDENES'!$AB74="","-",'ORDENES'!$AB74))</f>
        <v/>
      </c>
      <c r="G96" s="5">
        <f>IF('ORDENES'!$A74="","",IF('ORDENES'!$Z74="","-",'ORDENES'!$Z74))</f>
        <v/>
      </c>
      <c r="H96" s="5">
        <f>IF('ORDENES'!$A74="","",IF('ORDENES'!$AH74="","-",'ORDENES'!$AH74))</f>
        <v/>
      </c>
      <c r="I96" s="5">
        <f>IF('ORDENES'!$A74="","",IF('ORDENES'!$AU74="","-",'ORDENES'!$AU74))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3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IF('ORDENES'!$A74="","",'ORDENES'!$AG74)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IF('ORDENES'!$A75="","",IF('ORDENES'!$AI75="","-",'ORDENES'!$AI75))</f>
        <v/>
      </c>
      <c r="D97" s="5">
        <f>IF('ORDENES'!$A75="","",IF('ORDENES'!$AA75="","-",'ORDENES'!$AA75))</f>
        <v/>
      </c>
      <c r="E97" s="5">
        <f>IF('ORDENES'!$A75="","",IF('ORDENES'!$Y75="","-",'ORDENES'!$Y75))</f>
        <v/>
      </c>
      <c r="F97" s="5">
        <f>IF('ORDENES'!$A75="","",IF('ORDENES'!$AB75="","-",'ORDENES'!$AB75))</f>
        <v/>
      </c>
      <c r="G97" s="5">
        <f>IF('ORDENES'!$A75="","",IF('ORDENES'!$Z75="","-",'ORDENES'!$Z75))</f>
        <v/>
      </c>
      <c r="H97" s="5">
        <f>IF('ORDENES'!$A75="","",IF('ORDENES'!$AH75="","-",'ORDENES'!$AH75))</f>
        <v/>
      </c>
      <c r="I97" s="5">
        <f>IF('ORDENES'!$A75="","",IF('ORDENES'!$AU75="","-",'ORDENES'!$AU75))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3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IF('ORDENES'!$A75="","",'ORDENES'!$AG75)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IF('ORDENES'!$A76="","",IF('ORDENES'!$AI76="","-",'ORDENES'!$AI76))</f>
        <v/>
      </c>
      <c r="D98" s="5">
        <f>IF('ORDENES'!$A76="","",IF('ORDENES'!$AA76="","-",'ORDENES'!$AA76))</f>
        <v/>
      </c>
      <c r="E98" s="5">
        <f>IF('ORDENES'!$A76="","",IF('ORDENES'!$Y76="","-",'ORDENES'!$Y76))</f>
        <v/>
      </c>
      <c r="F98" s="5">
        <f>IF('ORDENES'!$A76="","",IF('ORDENES'!$AB76="","-",'ORDENES'!$AB76))</f>
        <v/>
      </c>
      <c r="G98" s="5">
        <f>IF('ORDENES'!$A76="","",IF('ORDENES'!$Z76="","-",'ORDENES'!$Z76))</f>
        <v/>
      </c>
      <c r="H98" s="5">
        <f>IF('ORDENES'!$A76="","",IF('ORDENES'!$AH76="","-",'ORDENES'!$AH76))</f>
        <v/>
      </c>
      <c r="I98" s="5">
        <f>IF('ORDENES'!$A76="","",IF('ORDENES'!$AU76="","-",'ORDENES'!$AU76))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3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IF('ORDENES'!$A76="","",'ORDENES'!$AG76)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IF('ORDENES'!$A77="","",IF('ORDENES'!$AI77="","-",'ORDENES'!$AI77))</f>
        <v/>
      </c>
      <c r="D99" s="5">
        <f>IF('ORDENES'!$A77="","",IF('ORDENES'!$AA77="","-",'ORDENES'!$AA77))</f>
        <v/>
      </c>
      <c r="E99" s="5">
        <f>IF('ORDENES'!$A77="","",IF('ORDENES'!$Y77="","-",'ORDENES'!$Y77))</f>
        <v/>
      </c>
      <c r="F99" s="5">
        <f>IF('ORDENES'!$A77="","",IF('ORDENES'!$AB77="","-",'ORDENES'!$AB77))</f>
        <v/>
      </c>
      <c r="G99" s="5">
        <f>IF('ORDENES'!$A77="","",IF('ORDENES'!$Z77="","-",'ORDENES'!$Z77))</f>
        <v/>
      </c>
      <c r="H99" s="5">
        <f>IF('ORDENES'!$A77="","",IF('ORDENES'!$AH77="","-",'ORDENES'!$AH77))</f>
        <v/>
      </c>
      <c r="I99" s="5">
        <f>IF('ORDENES'!$A77="","",IF('ORDENES'!$AU77="","-",'ORDENES'!$AU77))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3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IF('ORDENES'!$A77="","",'ORDENES'!$AG77)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IF('ORDENES'!$A78="","",IF('ORDENES'!$AI78="","-",'ORDENES'!$AI78))</f>
        <v/>
      </c>
      <c r="D100" s="5">
        <f>IF('ORDENES'!$A78="","",IF('ORDENES'!$AA78="","-",'ORDENES'!$AA78))</f>
        <v/>
      </c>
      <c r="E100" s="5">
        <f>IF('ORDENES'!$A78="","",IF('ORDENES'!$Y78="","-",'ORDENES'!$Y78))</f>
        <v/>
      </c>
      <c r="F100" s="5">
        <f>IF('ORDENES'!$A78="","",IF('ORDENES'!$AB78="","-",'ORDENES'!$AB78))</f>
        <v/>
      </c>
      <c r="G100" s="5">
        <f>IF('ORDENES'!$A78="","",IF('ORDENES'!$Z78="","-",'ORDENES'!$Z78))</f>
        <v/>
      </c>
      <c r="H100" s="5">
        <f>IF('ORDENES'!$A78="","",IF('ORDENES'!$AH78="","-",'ORDENES'!$AH78))</f>
        <v/>
      </c>
      <c r="I100" s="5">
        <f>IF('ORDENES'!$A78="","",IF('ORDENES'!$AU78="","-",'ORDENES'!$AU78))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3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IF('ORDENES'!$A78="","",'ORDENES'!$AG78)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IF('ORDENES'!$A79="","",IF('ORDENES'!$AI79="","-",'ORDENES'!$AI79))</f>
        <v/>
      </c>
      <c r="D101" s="5">
        <f>IF('ORDENES'!$A79="","",IF('ORDENES'!$AA79="","-",'ORDENES'!$AA79))</f>
        <v/>
      </c>
      <c r="E101" s="5">
        <f>IF('ORDENES'!$A79="","",IF('ORDENES'!$Y79="","-",'ORDENES'!$Y79))</f>
        <v/>
      </c>
      <c r="F101" s="5">
        <f>IF('ORDENES'!$A79="","",IF('ORDENES'!$AB79="","-",'ORDENES'!$AB79))</f>
        <v/>
      </c>
      <c r="G101" s="5">
        <f>IF('ORDENES'!$A79="","",IF('ORDENES'!$Z79="","-",'ORDENES'!$Z79))</f>
        <v/>
      </c>
      <c r="H101" s="5">
        <f>IF('ORDENES'!$A79="","",IF('ORDENES'!$AH79="","-",'ORDENES'!$AH79))</f>
        <v/>
      </c>
      <c r="I101" s="5">
        <f>IF('ORDENES'!$A79="","",IF('ORDENES'!$AU79="","-",'ORDENES'!$AU79))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3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IF('ORDENES'!$A79="","",'ORDENES'!$AG79)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IF('ORDENES'!$A80="","",IF('ORDENES'!$AI80="","-",'ORDENES'!$AI80))</f>
        <v/>
      </c>
      <c r="D102" s="5">
        <f>IF('ORDENES'!$A80="","",IF('ORDENES'!$AA80="","-",'ORDENES'!$AA80))</f>
        <v/>
      </c>
      <c r="E102" s="5">
        <f>IF('ORDENES'!$A80="","",IF('ORDENES'!$Y80="","-",'ORDENES'!$Y80))</f>
        <v/>
      </c>
      <c r="F102" s="5">
        <f>IF('ORDENES'!$A80="","",IF('ORDENES'!$AB80="","-",'ORDENES'!$AB80))</f>
        <v/>
      </c>
      <c r="G102" s="5">
        <f>IF('ORDENES'!$A80="","",IF('ORDENES'!$Z80="","-",'ORDENES'!$Z80))</f>
        <v/>
      </c>
      <c r="H102" s="5">
        <f>IF('ORDENES'!$A80="","",IF('ORDENES'!$AH80="","-",'ORDENES'!$AH80))</f>
        <v/>
      </c>
      <c r="I102" s="5">
        <f>IF('ORDENES'!$A80="","",IF('ORDENES'!$AU80="","-",'ORDENES'!$AU80))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3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IF('ORDENES'!$A80="","",'ORDENES'!$AG80)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IF('ORDENES'!$A81="","",IF('ORDENES'!$AI81="","-",'ORDENES'!$AI81))</f>
        <v/>
      </c>
      <c r="D103" s="5">
        <f>IF('ORDENES'!$A81="","",IF('ORDENES'!$AA81="","-",'ORDENES'!$AA81))</f>
        <v/>
      </c>
      <c r="E103" s="5">
        <f>IF('ORDENES'!$A81="","",IF('ORDENES'!$Y81="","-",'ORDENES'!$Y81))</f>
        <v/>
      </c>
      <c r="F103" s="5">
        <f>IF('ORDENES'!$A81="","",IF('ORDENES'!$AB81="","-",'ORDENES'!$AB81))</f>
        <v/>
      </c>
      <c r="G103" s="5">
        <f>IF('ORDENES'!$A81="","",IF('ORDENES'!$Z81="","-",'ORDENES'!$Z81))</f>
        <v/>
      </c>
      <c r="H103" s="5">
        <f>IF('ORDENES'!$A81="","",IF('ORDENES'!$AH81="","-",'ORDENES'!$AH81))</f>
        <v/>
      </c>
      <c r="I103" s="5">
        <f>IF('ORDENES'!$A81="","",IF('ORDENES'!$AU81="","-",'ORDENES'!$AU81))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3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IF('ORDENES'!$A81="","",'ORDENES'!$AG81)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IF('ORDENES'!$A82="","",IF('ORDENES'!$AI82="","-",'ORDENES'!$AI82))</f>
        <v/>
      </c>
      <c r="D104" s="5">
        <f>IF('ORDENES'!$A82="","",IF('ORDENES'!$AA82="","-",'ORDENES'!$AA82))</f>
        <v/>
      </c>
      <c r="E104" s="5">
        <f>IF('ORDENES'!$A82="","",IF('ORDENES'!$Y82="","-",'ORDENES'!$Y82))</f>
        <v/>
      </c>
      <c r="F104" s="5">
        <f>IF('ORDENES'!$A82="","",IF('ORDENES'!$AB82="","-",'ORDENES'!$AB82))</f>
        <v/>
      </c>
      <c r="G104" s="5">
        <f>IF('ORDENES'!$A82="","",IF('ORDENES'!$Z82="","-",'ORDENES'!$Z82))</f>
        <v/>
      </c>
      <c r="H104" s="5">
        <f>IF('ORDENES'!$A82="","",IF('ORDENES'!$AH82="","-",'ORDENES'!$AH82))</f>
        <v/>
      </c>
      <c r="I104" s="5">
        <f>IF('ORDENES'!$A82="","",IF('ORDENES'!$AU82="","-",'ORDENES'!$AU82))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3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IF('ORDENES'!$A82="","",'ORDENES'!$AG82)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IF('ORDENES'!$A83="","",IF('ORDENES'!$AI83="","-",'ORDENES'!$AI83))</f>
        <v/>
      </c>
      <c r="D105" s="5">
        <f>IF('ORDENES'!$A83="","",IF('ORDENES'!$AA83="","-",'ORDENES'!$AA83))</f>
        <v/>
      </c>
      <c r="E105" s="5">
        <f>IF('ORDENES'!$A83="","",IF('ORDENES'!$Y83="","-",'ORDENES'!$Y83))</f>
        <v/>
      </c>
      <c r="F105" s="5">
        <f>IF('ORDENES'!$A83="","",IF('ORDENES'!$AB83="","-",'ORDENES'!$AB83))</f>
        <v/>
      </c>
      <c r="G105" s="5">
        <f>IF('ORDENES'!$A83="","",IF('ORDENES'!$Z83="","-",'ORDENES'!$Z83))</f>
        <v/>
      </c>
      <c r="H105" s="5">
        <f>IF('ORDENES'!$A83="","",IF('ORDENES'!$AH83="","-",'ORDENES'!$AH83))</f>
        <v/>
      </c>
      <c r="I105" s="5">
        <f>IF('ORDENES'!$A83="","",IF('ORDENES'!$AU83="","-",'ORDENES'!$AU83))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3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IF('ORDENES'!$A83="","",'ORDENES'!$AG83)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IF('ORDENES'!$A84="","",IF('ORDENES'!$AI84="","-",'ORDENES'!$AI84))</f>
        <v/>
      </c>
      <c r="D106" s="5">
        <f>IF('ORDENES'!$A84="","",IF('ORDENES'!$AA84="","-",'ORDENES'!$AA84))</f>
        <v/>
      </c>
      <c r="E106" s="5">
        <f>IF('ORDENES'!$A84="","",IF('ORDENES'!$Y84="","-",'ORDENES'!$Y84))</f>
        <v/>
      </c>
      <c r="F106" s="5">
        <f>IF('ORDENES'!$A84="","",IF('ORDENES'!$AB84="","-",'ORDENES'!$AB84))</f>
        <v/>
      </c>
      <c r="G106" s="5">
        <f>IF('ORDENES'!$A84="","",IF('ORDENES'!$Z84="","-",'ORDENES'!$Z84))</f>
        <v/>
      </c>
      <c r="H106" s="5">
        <f>IF('ORDENES'!$A84="","",IF('ORDENES'!$AH84="","-",'ORDENES'!$AH84))</f>
        <v/>
      </c>
      <c r="I106" s="5">
        <f>IF('ORDENES'!$A84="","",IF('ORDENES'!$AU84="","-",'ORDENES'!$AU84))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3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IF('ORDENES'!$A84="","",'ORDENES'!$AG84)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IF('ORDENES'!$A85="","",IF('ORDENES'!$AI85="","-",'ORDENES'!$AI85))</f>
        <v/>
      </c>
      <c r="D107" s="5">
        <f>IF('ORDENES'!$A85="","",IF('ORDENES'!$AA85="","-",'ORDENES'!$AA85))</f>
        <v/>
      </c>
      <c r="E107" s="5">
        <f>IF('ORDENES'!$A85="","",IF('ORDENES'!$Y85="","-",'ORDENES'!$Y85))</f>
        <v/>
      </c>
      <c r="F107" s="5">
        <f>IF('ORDENES'!$A85="","",IF('ORDENES'!$AB85="","-",'ORDENES'!$AB85))</f>
        <v/>
      </c>
      <c r="G107" s="5">
        <f>IF('ORDENES'!$A85="","",IF('ORDENES'!$Z85="","-",'ORDENES'!$Z85))</f>
        <v/>
      </c>
      <c r="H107" s="5">
        <f>IF('ORDENES'!$A85="","",IF('ORDENES'!$AH85="","-",'ORDENES'!$AH85))</f>
        <v/>
      </c>
      <c r="I107" s="5">
        <f>IF('ORDENES'!$A85="","",IF('ORDENES'!$AU85="","-",'ORDENES'!$AU85))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3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IF('ORDENES'!$A85="","",'ORDENES'!$AG85)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IF('ORDENES'!$A86="","",IF('ORDENES'!$AI86="","-",'ORDENES'!$AI86))</f>
        <v/>
      </c>
      <c r="D108" s="5">
        <f>IF('ORDENES'!$A86="","",IF('ORDENES'!$AA86="","-",'ORDENES'!$AA86))</f>
        <v/>
      </c>
      <c r="E108" s="5">
        <f>IF('ORDENES'!$A86="","",IF('ORDENES'!$Y86="","-",'ORDENES'!$Y86))</f>
        <v/>
      </c>
      <c r="F108" s="5">
        <f>IF('ORDENES'!$A86="","",IF('ORDENES'!$AB86="","-",'ORDENES'!$AB86))</f>
        <v/>
      </c>
      <c r="G108" s="5">
        <f>IF('ORDENES'!$A86="","",IF('ORDENES'!$Z86="","-",'ORDENES'!$Z86))</f>
        <v/>
      </c>
      <c r="H108" s="5">
        <f>IF('ORDENES'!$A86="","",IF('ORDENES'!$AH86="","-",'ORDENES'!$AH86))</f>
        <v/>
      </c>
      <c r="I108" s="5">
        <f>IF('ORDENES'!$A86="","",IF('ORDENES'!$AU86="","-",'ORDENES'!$AU86))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3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IF('ORDENES'!$A86="","",'ORDENES'!$AG86)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IF('ORDENES'!$A87="","",IF('ORDENES'!$AI87="","-",'ORDENES'!$AI87))</f>
        <v/>
      </c>
      <c r="D109" s="5">
        <f>IF('ORDENES'!$A87="","",IF('ORDENES'!$AA87="","-",'ORDENES'!$AA87))</f>
        <v/>
      </c>
      <c r="E109" s="5">
        <f>IF('ORDENES'!$A87="","",IF('ORDENES'!$Y87="","-",'ORDENES'!$Y87))</f>
        <v/>
      </c>
      <c r="F109" s="5">
        <f>IF('ORDENES'!$A87="","",IF('ORDENES'!$AB87="","-",'ORDENES'!$AB87))</f>
        <v/>
      </c>
      <c r="G109" s="5">
        <f>IF('ORDENES'!$A87="","",IF('ORDENES'!$Z87="","-",'ORDENES'!$Z87))</f>
        <v/>
      </c>
      <c r="H109" s="5">
        <f>IF('ORDENES'!$A87="","",IF('ORDENES'!$AH87="","-",'ORDENES'!$AH87))</f>
        <v/>
      </c>
      <c r="I109" s="5">
        <f>IF('ORDENES'!$A87="","",IF('ORDENES'!$AU87="","-",'ORDENES'!$AU87))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3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IF('ORDENES'!$A87="","",'ORDENES'!$AG87)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IF('ORDENES'!$A88="","",IF('ORDENES'!$AI88="","-",'ORDENES'!$AI88))</f>
        <v/>
      </c>
      <c r="D110" s="5">
        <f>IF('ORDENES'!$A88="","",IF('ORDENES'!$AA88="","-",'ORDENES'!$AA88))</f>
        <v/>
      </c>
      <c r="E110" s="5">
        <f>IF('ORDENES'!$A88="","",IF('ORDENES'!$Y88="","-",'ORDENES'!$Y88))</f>
        <v/>
      </c>
      <c r="F110" s="5">
        <f>IF('ORDENES'!$A88="","",IF('ORDENES'!$AB88="","-",'ORDENES'!$AB88))</f>
        <v/>
      </c>
      <c r="G110" s="5">
        <f>IF('ORDENES'!$A88="","",IF('ORDENES'!$Z88="","-",'ORDENES'!$Z88))</f>
        <v/>
      </c>
      <c r="H110" s="5">
        <f>IF('ORDENES'!$A88="","",IF('ORDENES'!$AH88="","-",'ORDENES'!$AH88))</f>
        <v/>
      </c>
      <c r="I110" s="5">
        <f>IF('ORDENES'!$A88="","",IF('ORDENES'!$AU88="","-",'ORDENES'!$AU88))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3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IF('ORDENES'!$A88="","",'ORDENES'!$AG88)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IF('ORDENES'!$A89="","",IF('ORDENES'!$AI89="","-",'ORDENES'!$AI89))</f>
        <v/>
      </c>
      <c r="D111" s="5">
        <f>IF('ORDENES'!$A89="","",IF('ORDENES'!$AA89="","-",'ORDENES'!$AA89))</f>
        <v/>
      </c>
      <c r="E111" s="5">
        <f>IF('ORDENES'!$A89="","",IF('ORDENES'!$Y89="","-",'ORDENES'!$Y89))</f>
        <v/>
      </c>
      <c r="F111" s="5">
        <f>IF('ORDENES'!$A89="","",IF('ORDENES'!$AB89="","-",'ORDENES'!$AB89))</f>
        <v/>
      </c>
      <c r="G111" s="5">
        <f>IF('ORDENES'!$A89="","",IF('ORDENES'!$Z89="","-",'ORDENES'!$Z89))</f>
        <v/>
      </c>
      <c r="H111" s="5">
        <f>IF('ORDENES'!$A89="","",IF('ORDENES'!$AH89="","-",'ORDENES'!$AH89))</f>
        <v/>
      </c>
      <c r="I111" s="5">
        <f>IF('ORDENES'!$A89="","",IF('ORDENES'!$AU89="","-",'ORDENES'!$AU89))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3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IF('ORDENES'!$A89="","",'ORDENES'!$AG89)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IF('ORDENES'!$A90="","",IF('ORDENES'!$AI90="","-",'ORDENES'!$AI90))</f>
        <v/>
      </c>
      <c r="D112" s="5">
        <f>IF('ORDENES'!$A90="","",IF('ORDENES'!$AA90="","-",'ORDENES'!$AA90))</f>
        <v/>
      </c>
      <c r="E112" s="5">
        <f>IF('ORDENES'!$A90="","",IF('ORDENES'!$Y90="","-",'ORDENES'!$Y90))</f>
        <v/>
      </c>
      <c r="F112" s="5">
        <f>IF('ORDENES'!$A90="","",IF('ORDENES'!$AB90="","-",'ORDENES'!$AB90))</f>
        <v/>
      </c>
      <c r="G112" s="5">
        <f>IF('ORDENES'!$A90="","",IF('ORDENES'!$Z90="","-",'ORDENES'!$Z90))</f>
        <v/>
      </c>
      <c r="H112" s="5">
        <f>IF('ORDENES'!$A90="","",IF('ORDENES'!$AH90="","-",'ORDENES'!$AH90))</f>
        <v/>
      </c>
      <c r="I112" s="5">
        <f>IF('ORDENES'!$A90="","",IF('ORDENES'!$AU90="","-",'ORDENES'!$AU90))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3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IF('ORDENES'!$A90="","",'ORDENES'!$AG90)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IF('ORDENES'!$A91="","",IF('ORDENES'!$AI91="","-",'ORDENES'!$AI91))</f>
        <v/>
      </c>
      <c r="D113" s="5">
        <f>IF('ORDENES'!$A91="","",IF('ORDENES'!$AA91="","-",'ORDENES'!$AA91))</f>
        <v/>
      </c>
      <c r="E113" s="5">
        <f>IF('ORDENES'!$A91="","",IF('ORDENES'!$Y91="","-",'ORDENES'!$Y91))</f>
        <v/>
      </c>
      <c r="F113" s="5">
        <f>IF('ORDENES'!$A91="","",IF('ORDENES'!$AB91="","-",'ORDENES'!$AB91))</f>
        <v/>
      </c>
      <c r="G113" s="5">
        <f>IF('ORDENES'!$A91="","",IF('ORDENES'!$Z91="","-",'ORDENES'!$Z91))</f>
        <v/>
      </c>
      <c r="H113" s="5">
        <f>IF('ORDENES'!$A91="","",IF('ORDENES'!$AH91="","-",'ORDENES'!$AH91))</f>
        <v/>
      </c>
      <c r="I113" s="5">
        <f>IF('ORDENES'!$A91="","",IF('ORDENES'!$AU91="","-",'ORDENES'!$AU91))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3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IF('ORDENES'!$A91="","",'ORDENES'!$AG91)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IF('ORDENES'!$A92="","",IF('ORDENES'!$AI92="","-",'ORDENES'!$AI92))</f>
        <v/>
      </c>
      <c r="D114" s="5">
        <f>IF('ORDENES'!$A92="","",IF('ORDENES'!$AA92="","-",'ORDENES'!$AA92))</f>
        <v/>
      </c>
      <c r="E114" s="5">
        <f>IF('ORDENES'!$A92="","",IF('ORDENES'!$Y92="","-",'ORDENES'!$Y92))</f>
        <v/>
      </c>
      <c r="F114" s="5">
        <f>IF('ORDENES'!$A92="","",IF('ORDENES'!$AB92="","-",'ORDENES'!$AB92))</f>
        <v/>
      </c>
      <c r="G114" s="5">
        <f>IF('ORDENES'!$A92="","",IF('ORDENES'!$Z92="","-",'ORDENES'!$Z92))</f>
        <v/>
      </c>
      <c r="H114" s="5">
        <f>IF('ORDENES'!$A92="","",IF('ORDENES'!$AH92="","-",'ORDENES'!$AH92))</f>
        <v/>
      </c>
      <c r="I114" s="5">
        <f>IF('ORDENES'!$A92="","",IF('ORDENES'!$AU92="","-",'ORDENES'!$AU92))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3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IF('ORDENES'!$A92="","",'ORDENES'!$AG92)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IF('ORDENES'!$A93="","",IF('ORDENES'!$AI93="","-",'ORDENES'!$AI93))</f>
        <v/>
      </c>
      <c r="D115" s="5">
        <f>IF('ORDENES'!$A93="","",IF('ORDENES'!$AA93="","-",'ORDENES'!$AA93))</f>
        <v/>
      </c>
      <c r="E115" s="5">
        <f>IF('ORDENES'!$A93="","",IF('ORDENES'!$Y93="","-",'ORDENES'!$Y93))</f>
        <v/>
      </c>
      <c r="F115" s="5">
        <f>IF('ORDENES'!$A93="","",IF('ORDENES'!$AB93="","-",'ORDENES'!$AB93))</f>
        <v/>
      </c>
      <c r="G115" s="5">
        <f>IF('ORDENES'!$A93="","",IF('ORDENES'!$Z93="","-",'ORDENES'!$Z93))</f>
        <v/>
      </c>
      <c r="H115" s="5">
        <f>IF('ORDENES'!$A93="","",IF('ORDENES'!$AH93="","-",'ORDENES'!$AH93))</f>
        <v/>
      </c>
      <c r="I115" s="5">
        <f>IF('ORDENES'!$A93="","",IF('ORDENES'!$AU93="","-",'ORDENES'!$AU93))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3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IF('ORDENES'!$A93="","",'ORDENES'!$AG93)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IF('ORDENES'!$A94="","",IF('ORDENES'!$AI94="","-",'ORDENES'!$AI94))</f>
        <v/>
      </c>
      <c r="D116" s="5">
        <f>IF('ORDENES'!$A94="","",IF('ORDENES'!$AA94="","-",'ORDENES'!$AA94))</f>
        <v/>
      </c>
      <c r="E116" s="5">
        <f>IF('ORDENES'!$A94="","",IF('ORDENES'!$Y94="","-",'ORDENES'!$Y94))</f>
        <v/>
      </c>
      <c r="F116" s="5">
        <f>IF('ORDENES'!$A94="","",IF('ORDENES'!$AB94="","-",'ORDENES'!$AB94))</f>
        <v/>
      </c>
      <c r="G116" s="5">
        <f>IF('ORDENES'!$A94="","",IF('ORDENES'!$Z94="","-",'ORDENES'!$Z94))</f>
        <v/>
      </c>
      <c r="H116" s="5">
        <f>IF('ORDENES'!$A94="","",IF('ORDENES'!$AH94="","-",'ORDENES'!$AH94))</f>
        <v/>
      </c>
      <c r="I116" s="5">
        <f>IF('ORDENES'!$A94="","",IF('ORDENES'!$AU94="","-",'ORDENES'!$AU94))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3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IF('ORDENES'!$A94="","",'ORDENES'!$AG94)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IF('ORDENES'!$A95="","",IF('ORDENES'!$AI95="","-",'ORDENES'!$AI95))</f>
        <v/>
      </c>
      <c r="D117" s="5">
        <f>IF('ORDENES'!$A95="","",IF('ORDENES'!$AA95="","-",'ORDENES'!$AA95))</f>
        <v/>
      </c>
      <c r="E117" s="5">
        <f>IF('ORDENES'!$A95="","",IF('ORDENES'!$Y95="","-",'ORDENES'!$Y95))</f>
        <v/>
      </c>
      <c r="F117" s="5">
        <f>IF('ORDENES'!$A95="","",IF('ORDENES'!$AB95="","-",'ORDENES'!$AB95))</f>
        <v/>
      </c>
      <c r="G117" s="5">
        <f>IF('ORDENES'!$A95="","",IF('ORDENES'!$Z95="","-",'ORDENES'!$Z95))</f>
        <v/>
      </c>
      <c r="H117" s="5">
        <f>IF('ORDENES'!$A95="","",IF('ORDENES'!$AH95="","-",'ORDENES'!$AH95))</f>
        <v/>
      </c>
      <c r="I117" s="5">
        <f>IF('ORDENES'!$A95="","",IF('ORDENES'!$AU95="","-",'ORDENES'!$AU95))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3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IF('ORDENES'!$A95="","",'ORDENES'!$AG95)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IF('ORDENES'!$A96="","",IF('ORDENES'!$AI96="","-",'ORDENES'!$AI96))</f>
        <v/>
      </c>
      <c r="D118" s="5">
        <f>IF('ORDENES'!$A96="","",IF('ORDENES'!$AA96="","-",'ORDENES'!$AA96))</f>
        <v/>
      </c>
      <c r="E118" s="5">
        <f>IF('ORDENES'!$A96="","",IF('ORDENES'!$Y96="","-",'ORDENES'!$Y96))</f>
        <v/>
      </c>
      <c r="F118" s="5">
        <f>IF('ORDENES'!$A96="","",IF('ORDENES'!$AB96="","-",'ORDENES'!$AB96))</f>
        <v/>
      </c>
      <c r="G118" s="5">
        <f>IF('ORDENES'!$A96="","",IF('ORDENES'!$Z96="","-",'ORDENES'!$Z96))</f>
        <v/>
      </c>
      <c r="H118" s="5">
        <f>IF('ORDENES'!$A96="","",IF('ORDENES'!$AH96="","-",'ORDENES'!$AH96))</f>
        <v/>
      </c>
      <c r="I118" s="5">
        <f>IF('ORDENES'!$A96="","",IF('ORDENES'!$AU96="","-",'ORDENES'!$AU96))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3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IF('ORDENES'!$A96="","",'ORDENES'!$AG96)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IF('ORDENES'!$A97="","",IF('ORDENES'!$AI97="","-",'ORDENES'!$AI97))</f>
        <v/>
      </c>
      <c r="D119" s="5">
        <f>IF('ORDENES'!$A97="","",IF('ORDENES'!$AA97="","-",'ORDENES'!$AA97))</f>
        <v/>
      </c>
      <c r="E119" s="5">
        <f>IF('ORDENES'!$A97="","",IF('ORDENES'!$Y97="","-",'ORDENES'!$Y97))</f>
        <v/>
      </c>
      <c r="F119" s="5">
        <f>IF('ORDENES'!$A97="","",IF('ORDENES'!$AB97="","-",'ORDENES'!$AB97))</f>
        <v/>
      </c>
      <c r="G119" s="5">
        <f>IF('ORDENES'!$A97="","",IF('ORDENES'!$Z97="","-",'ORDENES'!$Z97))</f>
        <v/>
      </c>
      <c r="H119" s="5">
        <f>IF('ORDENES'!$A97="","",IF('ORDENES'!$AH97="","-",'ORDENES'!$AH97))</f>
        <v/>
      </c>
      <c r="I119" s="5">
        <f>IF('ORDENES'!$A97="","",IF('ORDENES'!$AU97="","-",'ORDENES'!$AU97))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3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IF('ORDENES'!$A97="","",'ORDENES'!$AG97)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IF('ORDENES'!$A98="","",IF('ORDENES'!$AI98="","-",'ORDENES'!$AI98))</f>
        <v/>
      </c>
      <c r="D120" s="5">
        <f>IF('ORDENES'!$A98="","",IF('ORDENES'!$AA98="","-",'ORDENES'!$AA98))</f>
        <v/>
      </c>
      <c r="E120" s="5">
        <f>IF('ORDENES'!$A98="","",IF('ORDENES'!$Y98="","-",'ORDENES'!$Y98))</f>
        <v/>
      </c>
      <c r="F120" s="5">
        <f>IF('ORDENES'!$A98="","",IF('ORDENES'!$AB98="","-",'ORDENES'!$AB98))</f>
        <v/>
      </c>
      <c r="G120" s="5">
        <f>IF('ORDENES'!$A98="","",IF('ORDENES'!$Z98="","-",'ORDENES'!$Z98))</f>
        <v/>
      </c>
      <c r="H120" s="5">
        <f>IF('ORDENES'!$A98="","",IF('ORDENES'!$AH98="","-",'ORDENES'!$AH98))</f>
        <v/>
      </c>
      <c r="I120" s="5">
        <f>IF('ORDENES'!$A98="","",IF('ORDENES'!$AU98="","-",'ORDENES'!$AU98))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3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IF('ORDENES'!$A98="","",'ORDENES'!$AG98)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IF('ORDENES'!$A99="","",IF('ORDENES'!$AI99="","-",'ORDENES'!$AI99))</f>
        <v/>
      </c>
      <c r="D121" s="5">
        <f>IF('ORDENES'!$A99="","",IF('ORDENES'!$AA99="","-",'ORDENES'!$AA99))</f>
        <v/>
      </c>
      <c r="E121" s="5">
        <f>IF('ORDENES'!$A99="","",IF('ORDENES'!$Y99="","-",'ORDENES'!$Y99))</f>
        <v/>
      </c>
      <c r="F121" s="5">
        <f>IF('ORDENES'!$A99="","",IF('ORDENES'!$AB99="","-",'ORDENES'!$AB99))</f>
        <v/>
      </c>
      <c r="G121" s="5">
        <f>IF('ORDENES'!$A99="","",IF('ORDENES'!$Z99="","-",'ORDENES'!$Z99))</f>
        <v/>
      </c>
      <c r="H121" s="5">
        <f>IF('ORDENES'!$A99="","",IF('ORDENES'!$AH99="","-",'ORDENES'!$AH99))</f>
        <v/>
      </c>
      <c r="I121" s="5">
        <f>IF('ORDENES'!$A99="","",IF('ORDENES'!$AU99="","-",'ORDENES'!$AU99))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3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IF('ORDENES'!$A99="","",'ORDENES'!$AG99)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IF('ORDENES'!$A100="","",IF('ORDENES'!$AI100="","-",'ORDENES'!$AI100))</f>
        <v/>
      </c>
      <c r="D122" s="5">
        <f>IF('ORDENES'!$A100="","",IF('ORDENES'!$AA100="","-",'ORDENES'!$AA100))</f>
        <v/>
      </c>
      <c r="E122" s="5">
        <f>IF('ORDENES'!$A100="","",IF('ORDENES'!$Y100="","-",'ORDENES'!$Y100))</f>
        <v/>
      </c>
      <c r="F122" s="5">
        <f>IF('ORDENES'!$A100="","",IF('ORDENES'!$AB100="","-",'ORDENES'!$AB100))</f>
        <v/>
      </c>
      <c r="G122" s="5">
        <f>IF('ORDENES'!$A100="","",IF('ORDENES'!$Z100="","-",'ORDENES'!$Z100))</f>
        <v/>
      </c>
      <c r="H122" s="5">
        <f>IF('ORDENES'!$A100="","",IF('ORDENES'!$AH100="","-",'ORDENES'!$AH100))</f>
        <v/>
      </c>
      <c r="I122" s="5">
        <f>IF('ORDENES'!$A100="","",IF('ORDENES'!$AU100="","-",'ORDENES'!$AU100))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3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IF('ORDENES'!$A100="","",'ORDENES'!$AG100)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IF('ORDENES'!$A101="","",IF('ORDENES'!$AI101="","-",'ORDENES'!$AI101))</f>
        <v/>
      </c>
      <c r="D123" s="5">
        <f>IF('ORDENES'!$A101="","",IF('ORDENES'!$AA101="","-",'ORDENES'!$AA101))</f>
        <v/>
      </c>
      <c r="E123" s="5">
        <f>IF('ORDENES'!$A101="","",IF('ORDENES'!$Y101="","-",'ORDENES'!$Y101))</f>
        <v/>
      </c>
      <c r="F123" s="5">
        <f>IF('ORDENES'!$A101="","",IF('ORDENES'!$AB101="","-",'ORDENES'!$AB101))</f>
        <v/>
      </c>
      <c r="G123" s="5">
        <f>IF('ORDENES'!$A101="","",IF('ORDENES'!$Z101="","-",'ORDENES'!$Z101))</f>
        <v/>
      </c>
      <c r="H123" s="5">
        <f>IF('ORDENES'!$A101="","",IF('ORDENES'!$AH101="","-",'ORDENES'!$AH101))</f>
        <v/>
      </c>
      <c r="I123" s="5">
        <f>IF('ORDENES'!$A101="","",IF('ORDENES'!$AU101="","-",'ORDENES'!$AU101))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3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IF('ORDENES'!$A101="","",'ORDENES'!$AG101)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IF('ORDENES'!$A102="","",IF('ORDENES'!$AI102="","-",'ORDENES'!$AI102))</f>
        <v/>
      </c>
      <c r="D124" s="5">
        <f>IF('ORDENES'!$A102="","",IF('ORDENES'!$AA102="","-",'ORDENES'!$AA102))</f>
        <v/>
      </c>
      <c r="E124" s="5">
        <f>IF('ORDENES'!$A102="","",IF('ORDENES'!$Y102="","-",'ORDENES'!$Y102))</f>
        <v/>
      </c>
      <c r="F124" s="5">
        <f>IF('ORDENES'!$A102="","",IF('ORDENES'!$AB102="","-",'ORDENES'!$AB102))</f>
        <v/>
      </c>
      <c r="G124" s="5">
        <f>IF('ORDENES'!$A102="","",IF('ORDENES'!$Z102="","-",'ORDENES'!$Z102))</f>
        <v/>
      </c>
      <c r="H124" s="5">
        <f>IF('ORDENES'!$A102="","",IF('ORDENES'!$AH102="","-",'ORDENES'!$AH102))</f>
        <v/>
      </c>
      <c r="I124" s="5">
        <f>IF('ORDENES'!$A102="","",IF('ORDENES'!$AU102="","-",'ORDENES'!$AU102))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3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IF('ORDENES'!$A102="","",'ORDENES'!$AG102)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IF('ORDENES'!$A103="","",IF('ORDENES'!$AI103="","-",'ORDENES'!$AI103))</f>
        <v/>
      </c>
      <c r="D125" s="5">
        <f>IF('ORDENES'!$A103="","",IF('ORDENES'!$AA103="","-",'ORDENES'!$AA103))</f>
        <v/>
      </c>
      <c r="E125" s="5">
        <f>IF('ORDENES'!$A103="","",IF('ORDENES'!$Y103="","-",'ORDENES'!$Y103))</f>
        <v/>
      </c>
      <c r="F125" s="5">
        <f>IF('ORDENES'!$A103="","",IF('ORDENES'!$AB103="","-",'ORDENES'!$AB103))</f>
        <v/>
      </c>
      <c r="G125" s="5">
        <f>IF('ORDENES'!$A103="","",IF('ORDENES'!$Z103="","-",'ORDENES'!$Z103))</f>
        <v/>
      </c>
      <c r="H125" s="5">
        <f>IF('ORDENES'!$A103="","",IF('ORDENES'!$AH103="","-",'ORDENES'!$AH103))</f>
        <v/>
      </c>
      <c r="I125" s="5">
        <f>IF('ORDENES'!$A103="","",IF('ORDENES'!$AU103="","-",'ORDENES'!$AU103))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3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IF('ORDENES'!$A103="","",'ORDENES'!$AG103)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IF('ORDENES'!$A104="","",IF('ORDENES'!$AI104="","-",'ORDENES'!$AI104))</f>
        <v/>
      </c>
      <c r="D126" s="5">
        <f>IF('ORDENES'!$A104="","",IF('ORDENES'!$AA104="","-",'ORDENES'!$AA104))</f>
        <v/>
      </c>
      <c r="E126" s="5">
        <f>IF('ORDENES'!$A104="","",IF('ORDENES'!$Y104="","-",'ORDENES'!$Y104))</f>
        <v/>
      </c>
      <c r="F126" s="5">
        <f>IF('ORDENES'!$A104="","",IF('ORDENES'!$AB104="","-",'ORDENES'!$AB104))</f>
        <v/>
      </c>
      <c r="G126" s="5">
        <f>IF('ORDENES'!$A104="","",IF('ORDENES'!$Z104="","-",'ORDENES'!$Z104))</f>
        <v/>
      </c>
      <c r="H126" s="5">
        <f>IF('ORDENES'!$A104="","",IF('ORDENES'!$AH104="","-",'ORDENES'!$AH104))</f>
        <v/>
      </c>
      <c r="I126" s="5">
        <f>IF('ORDENES'!$A104="","",IF('ORDENES'!$AU104="","-",'ORDENES'!$AU104))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3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IF('ORDENES'!$A104="","",'ORDENES'!$AG104)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IF('ORDENES'!$A105="","",IF('ORDENES'!$AI105="","-",'ORDENES'!$AI105))</f>
        <v/>
      </c>
      <c r="D127" s="5">
        <f>IF('ORDENES'!$A105="","",IF('ORDENES'!$AA105="","-",'ORDENES'!$AA105))</f>
        <v/>
      </c>
      <c r="E127" s="5">
        <f>IF('ORDENES'!$A105="","",IF('ORDENES'!$Y105="","-",'ORDENES'!$Y105))</f>
        <v/>
      </c>
      <c r="F127" s="5">
        <f>IF('ORDENES'!$A105="","",IF('ORDENES'!$AB105="","-",'ORDENES'!$AB105))</f>
        <v/>
      </c>
      <c r="G127" s="5">
        <f>IF('ORDENES'!$A105="","",IF('ORDENES'!$Z105="","-",'ORDENES'!$Z105))</f>
        <v/>
      </c>
      <c r="H127" s="5">
        <f>IF('ORDENES'!$A105="","",IF('ORDENES'!$AH105="","-",'ORDENES'!$AH105))</f>
        <v/>
      </c>
      <c r="I127" s="5">
        <f>IF('ORDENES'!$A105="","",IF('ORDENES'!$AU105="","-",'ORDENES'!$AU105))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3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IF('ORDENES'!$A105="","",'ORDENES'!$AG105)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IF('ORDENES'!$A106="","",IF('ORDENES'!$AI106="","-",'ORDENES'!$AI106))</f>
        <v/>
      </c>
      <c r="D128" s="5">
        <f>IF('ORDENES'!$A106="","",IF('ORDENES'!$AA106="","-",'ORDENES'!$AA106))</f>
        <v/>
      </c>
      <c r="E128" s="5">
        <f>IF('ORDENES'!$A106="","",IF('ORDENES'!$Y106="","-",'ORDENES'!$Y106))</f>
        <v/>
      </c>
      <c r="F128" s="5">
        <f>IF('ORDENES'!$A106="","",IF('ORDENES'!$AB106="","-",'ORDENES'!$AB106))</f>
        <v/>
      </c>
      <c r="G128" s="5">
        <f>IF('ORDENES'!$A106="","",IF('ORDENES'!$Z106="","-",'ORDENES'!$Z106))</f>
        <v/>
      </c>
      <c r="H128" s="5">
        <f>IF('ORDENES'!$A106="","",IF('ORDENES'!$AH106="","-",'ORDENES'!$AH106))</f>
        <v/>
      </c>
      <c r="I128" s="5">
        <f>IF('ORDENES'!$A106="","",IF('ORDENES'!$AU106="","-",'ORDENES'!$AU106))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3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IF('ORDENES'!$A106="","",'ORDENES'!$AG106)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IF('ORDENES'!$A107="","",IF('ORDENES'!$AI107="","-",'ORDENES'!$AI107))</f>
        <v/>
      </c>
      <c r="D129" s="5">
        <f>IF('ORDENES'!$A107="","",IF('ORDENES'!$AA107="","-",'ORDENES'!$AA107))</f>
        <v/>
      </c>
      <c r="E129" s="5">
        <f>IF('ORDENES'!$A107="","",IF('ORDENES'!$Y107="","-",'ORDENES'!$Y107))</f>
        <v/>
      </c>
      <c r="F129" s="5">
        <f>IF('ORDENES'!$A107="","",IF('ORDENES'!$AB107="","-",'ORDENES'!$AB107))</f>
        <v/>
      </c>
      <c r="G129" s="5">
        <f>IF('ORDENES'!$A107="","",IF('ORDENES'!$Z107="","-",'ORDENES'!$Z107))</f>
        <v/>
      </c>
      <c r="H129" s="5">
        <f>IF('ORDENES'!$A107="","",IF('ORDENES'!$AH107="","-",'ORDENES'!$AH107))</f>
        <v/>
      </c>
      <c r="I129" s="5">
        <f>IF('ORDENES'!$A107="","",IF('ORDENES'!$AU107="","-",'ORDENES'!$AU107))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3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IF('ORDENES'!$A107="","",'ORDENES'!$AG107)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IF('ORDENES'!$A108="","",IF('ORDENES'!$AI108="","-",'ORDENES'!$AI108))</f>
        <v/>
      </c>
      <c r="D130" s="5">
        <f>IF('ORDENES'!$A108="","",IF('ORDENES'!$AA108="","-",'ORDENES'!$AA108))</f>
        <v/>
      </c>
      <c r="E130" s="5">
        <f>IF('ORDENES'!$A108="","",IF('ORDENES'!$Y108="","-",'ORDENES'!$Y108))</f>
        <v/>
      </c>
      <c r="F130" s="5">
        <f>IF('ORDENES'!$A108="","",IF('ORDENES'!$AB108="","-",'ORDENES'!$AB108))</f>
        <v/>
      </c>
      <c r="G130" s="5">
        <f>IF('ORDENES'!$A108="","",IF('ORDENES'!$Z108="","-",'ORDENES'!$Z108))</f>
        <v/>
      </c>
      <c r="H130" s="5">
        <f>IF('ORDENES'!$A108="","",IF('ORDENES'!$AH108="","-",'ORDENES'!$AH108))</f>
        <v/>
      </c>
      <c r="I130" s="5">
        <f>IF('ORDENES'!$A108="","",IF('ORDENES'!$AU108="","-",'ORDENES'!$AU108))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3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IF('ORDENES'!$A108="","",'ORDENES'!$AG108)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IF('ORDENES'!$A109="","",IF('ORDENES'!$AI109="","-",'ORDENES'!$AI109))</f>
        <v/>
      </c>
      <c r="D131" s="5">
        <f>IF('ORDENES'!$A109="","",IF('ORDENES'!$AA109="","-",'ORDENES'!$AA109))</f>
        <v/>
      </c>
      <c r="E131" s="5">
        <f>IF('ORDENES'!$A109="","",IF('ORDENES'!$Y109="","-",'ORDENES'!$Y109))</f>
        <v/>
      </c>
      <c r="F131" s="5">
        <f>IF('ORDENES'!$A109="","",IF('ORDENES'!$AB109="","-",'ORDENES'!$AB109))</f>
        <v/>
      </c>
      <c r="G131" s="5">
        <f>IF('ORDENES'!$A109="","",IF('ORDENES'!$Z109="","-",'ORDENES'!$Z109))</f>
        <v/>
      </c>
      <c r="H131" s="5">
        <f>IF('ORDENES'!$A109="","",IF('ORDENES'!$AH109="","-",'ORDENES'!$AH109))</f>
        <v/>
      </c>
      <c r="I131" s="5">
        <f>IF('ORDENES'!$A109="","",IF('ORDENES'!$AU109="","-",'ORDENES'!$AU109))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3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IF('ORDENES'!$A109="","",'ORDENES'!$AG109)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IF('ORDENES'!$A110="","",IF('ORDENES'!$AI110="","-",'ORDENES'!$AI110))</f>
        <v/>
      </c>
      <c r="D132" s="5">
        <f>IF('ORDENES'!$A110="","",IF('ORDENES'!$AA110="","-",'ORDENES'!$AA110))</f>
        <v/>
      </c>
      <c r="E132" s="5">
        <f>IF('ORDENES'!$A110="","",IF('ORDENES'!$Y110="","-",'ORDENES'!$Y110))</f>
        <v/>
      </c>
      <c r="F132" s="5">
        <f>IF('ORDENES'!$A110="","",IF('ORDENES'!$AB110="","-",'ORDENES'!$AB110))</f>
        <v/>
      </c>
      <c r="G132" s="5">
        <f>IF('ORDENES'!$A110="","",IF('ORDENES'!$Z110="","-",'ORDENES'!$Z110))</f>
        <v/>
      </c>
      <c r="H132" s="5">
        <f>IF('ORDENES'!$A110="","",IF('ORDENES'!$AH110="","-",'ORDENES'!$AH110))</f>
        <v/>
      </c>
      <c r="I132" s="5">
        <f>IF('ORDENES'!$A110="","",IF('ORDENES'!$AU110="","-",'ORDENES'!$AU110))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3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IF('ORDENES'!$A110="","",'ORDENES'!$AG110)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IF('ORDENES'!$A111="","",IF('ORDENES'!$AI111="","-",'ORDENES'!$AI111))</f>
        <v/>
      </c>
      <c r="D133" s="5">
        <f>IF('ORDENES'!$A111="","",IF('ORDENES'!$AA111="","-",'ORDENES'!$AA111))</f>
        <v/>
      </c>
      <c r="E133" s="5">
        <f>IF('ORDENES'!$A111="","",IF('ORDENES'!$Y111="","-",'ORDENES'!$Y111))</f>
        <v/>
      </c>
      <c r="F133" s="5">
        <f>IF('ORDENES'!$A111="","",IF('ORDENES'!$AB111="","-",'ORDENES'!$AB111))</f>
        <v/>
      </c>
      <c r="G133" s="5">
        <f>IF('ORDENES'!$A111="","",IF('ORDENES'!$Z111="","-",'ORDENES'!$Z111))</f>
        <v/>
      </c>
      <c r="H133" s="5">
        <f>IF('ORDENES'!$A111="","",IF('ORDENES'!$AH111="","-",'ORDENES'!$AH111))</f>
        <v/>
      </c>
      <c r="I133" s="5">
        <f>IF('ORDENES'!$A111="","",IF('ORDENES'!$AU111="","-",'ORDENES'!$AU111))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3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IF('ORDENES'!$A111="","",'ORDENES'!$AG111)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IF('ORDENES'!$A112="","",IF('ORDENES'!$AI112="","-",'ORDENES'!$AI112))</f>
        <v/>
      </c>
      <c r="D134" s="5">
        <f>IF('ORDENES'!$A112="","",IF('ORDENES'!$AA112="","-",'ORDENES'!$AA112))</f>
        <v/>
      </c>
      <c r="E134" s="5">
        <f>IF('ORDENES'!$A112="","",IF('ORDENES'!$Y112="","-",'ORDENES'!$Y112))</f>
        <v/>
      </c>
      <c r="F134" s="5">
        <f>IF('ORDENES'!$A112="","",IF('ORDENES'!$AB112="","-",'ORDENES'!$AB112))</f>
        <v/>
      </c>
      <c r="G134" s="5">
        <f>IF('ORDENES'!$A112="","",IF('ORDENES'!$Z112="","-",'ORDENES'!$Z112))</f>
        <v/>
      </c>
      <c r="H134" s="5">
        <f>IF('ORDENES'!$A112="","",IF('ORDENES'!$AH112="","-",'ORDENES'!$AH112))</f>
        <v/>
      </c>
      <c r="I134" s="5">
        <f>IF('ORDENES'!$A112="","",IF('ORDENES'!$AU112="","-",'ORDENES'!$AU112))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3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IF('ORDENES'!$A112="","",'ORDENES'!$AG112)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IF('ORDENES'!$A113="","",IF('ORDENES'!$AI113="","-",'ORDENES'!$AI113))</f>
        <v/>
      </c>
      <c r="D135" s="5">
        <f>IF('ORDENES'!$A113="","",IF('ORDENES'!$AA113="","-",'ORDENES'!$AA113))</f>
        <v/>
      </c>
      <c r="E135" s="5">
        <f>IF('ORDENES'!$A113="","",IF('ORDENES'!$Y113="","-",'ORDENES'!$Y113))</f>
        <v/>
      </c>
      <c r="F135" s="5">
        <f>IF('ORDENES'!$A113="","",IF('ORDENES'!$AB113="","-",'ORDENES'!$AB113))</f>
        <v/>
      </c>
      <c r="G135" s="5">
        <f>IF('ORDENES'!$A113="","",IF('ORDENES'!$Z113="","-",'ORDENES'!$Z113))</f>
        <v/>
      </c>
      <c r="H135" s="5">
        <f>IF('ORDENES'!$A113="","",IF('ORDENES'!$AH113="","-",'ORDENES'!$AH113))</f>
        <v/>
      </c>
      <c r="I135" s="5">
        <f>IF('ORDENES'!$A113="","",IF('ORDENES'!$AU113="","-",'ORDENES'!$AU113))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3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IF('ORDENES'!$A113="","",'ORDENES'!$AG113)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IF('ORDENES'!$A114="","",IF('ORDENES'!$AI114="","-",'ORDENES'!$AI114))</f>
        <v/>
      </c>
      <c r="D136" s="5">
        <f>IF('ORDENES'!$A114="","",IF('ORDENES'!$AA114="","-",'ORDENES'!$AA114))</f>
        <v/>
      </c>
      <c r="E136" s="5">
        <f>IF('ORDENES'!$A114="","",IF('ORDENES'!$Y114="","-",'ORDENES'!$Y114))</f>
        <v/>
      </c>
      <c r="F136" s="5">
        <f>IF('ORDENES'!$A114="","",IF('ORDENES'!$AB114="","-",'ORDENES'!$AB114))</f>
        <v/>
      </c>
      <c r="G136" s="5">
        <f>IF('ORDENES'!$A114="","",IF('ORDENES'!$Z114="","-",'ORDENES'!$Z114))</f>
        <v/>
      </c>
      <c r="H136" s="5">
        <f>IF('ORDENES'!$A114="","",IF('ORDENES'!$AH114="","-",'ORDENES'!$AH114))</f>
        <v/>
      </c>
      <c r="I136" s="5">
        <f>IF('ORDENES'!$A114="","",IF('ORDENES'!$AU114="","-",'ORDENES'!$AU114))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3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IF('ORDENES'!$A114="","",'ORDENES'!$AG114)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IF('ORDENES'!$A115="","",IF('ORDENES'!$AI115="","-",'ORDENES'!$AI115))</f>
        <v/>
      </c>
      <c r="D137" s="5">
        <f>IF('ORDENES'!$A115="","",IF('ORDENES'!$AA115="","-",'ORDENES'!$AA115))</f>
        <v/>
      </c>
      <c r="E137" s="5">
        <f>IF('ORDENES'!$A115="","",IF('ORDENES'!$Y115="","-",'ORDENES'!$Y115))</f>
        <v/>
      </c>
      <c r="F137" s="5">
        <f>IF('ORDENES'!$A115="","",IF('ORDENES'!$AB115="","-",'ORDENES'!$AB115))</f>
        <v/>
      </c>
      <c r="G137" s="5">
        <f>IF('ORDENES'!$A115="","",IF('ORDENES'!$Z115="","-",'ORDENES'!$Z115))</f>
        <v/>
      </c>
      <c r="H137" s="5">
        <f>IF('ORDENES'!$A115="","",IF('ORDENES'!$AH115="","-",'ORDENES'!$AH115))</f>
        <v/>
      </c>
      <c r="I137" s="5">
        <f>IF('ORDENES'!$A115="","",IF('ORDENES'!$AU115="","-",'ORDENES'!$AU115))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3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IF('ORDENES'!$A115="","",'ORDENES'!$AG115)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IF('ORDENES'!$A116="","",IF('ORDENES'!$AI116="","-",'ORDENES'!$AI116))</f>
        <v/>
      </c>
      <c r="D138" s="5">
        <f>IF('ORDENES'!$A116="","",IF('ORDENES'!$AA116="","-",'ORDENES'!$AA116))</f>
        <v/>
      </c>
      <c r="E138" s="5">
        <f>IF('ORDENES'!$A116="","",IF('ORDENES'!$Y116="","-",'ORDENES'!$Y116))</f>
        <v/>
      </c>
      <c r="F138" s="5">
        <f>IF('ORDENES'!$A116="","",IF('ORDENES'!$AB116="","-",'ORDENES'!$AB116))</f>
        <v/>
      </c>
      <c r="G138" s="5">
        <f>IF('ORDENES'!$A116="","",IF('ORDENES'!$Z116="","-",'ORDENES'!$Z116))</f>
        <v/>
      </c>
      <c r="H138" s="5">
        <f>IF('ORDENES'!$A116="","",IF('ORDENES'!$AH116="","-",'ORDENES'!$AH116))</f>
        <v/>
      </c>
      <c r="I138" s="5">
        <f>IF('ORDENES'!$A116="","",IF('ORDENES'!$AU116="","-",'ORDENES'!$AU116))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3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IF('ORDENES'!$A116="","",'ORDENES'!$AG116)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IF('ORDENES'!$A117="","",IF('ORDENES'!$AI117="","-",'ORDENES'!$AI117))</f>
        <v/>
      </c>
      <c r="D139" s="5">
        <f>IF('ORDENES'!$A117="","",IF('ORDENES'!$AA117="","-",'ORDENES'!$AA117))</f>
        <v/>
      </c>
      <c r="E139" s="5">
        <f>IF('ORDENES'!$A117="","",IF('ORDENES'!$Y117="","-",'ORDENES'!$Y117))</f>
        <v/>
      </c>
      <c r="F139" s="5">
        <f>IF('ORDENES'!$A117="","",IF('ORDENES'!$AB117="","-",'ORDENES'!$AB117))</f>
        <v/>
      </c>
      <c r="G139" s="5">
        <f>IF('ORDENES'!$A117="","",IF('ORDENES'!$Z117="","-",'ORDENES'!$Z117))</f>
        <v/>
      </c>
      <c r="H139" s="5">
        <f>IF('ORDENES'!$A117="","",IF('ORDENES'!$AH117="","-",'ORDENES'!$AH117))</f>
        <v/>
      </c>
      <c r="I139" s="5">
        <f>IF('ORDENES'!$A117="","",IF('ORDENES'!$AU117="","-",'ORDENES'!$AU117))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3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IF('ORDENES'!$A117="","",'ORDENES'!$AG117)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IF('ORDENES'!$A118="","",IF('ORDENES'!$AI118="","-",'ORDENES'!$AI118))</f>
        <v/>
      </c>
      <c r="D140" s="5">
        <f>IF('ORDENES'!$A118="","",IF('ORDENES'!$AA118="","-",'ORDENES'!$AA118))</f>
        <v/>
      </c>
      <c r="E140" s="5">
        <f>IF('ORDENES'!$A118="","",IF('ORDENES'!$Y118="","-",'ORDENES'!$Y118))</f>
        <v/>
      </c>
      <c r="F140" s="5">
        <f>IF('ORDENES'!$A118="","",IF('ORDENES'!$AB118="","-",'ORDENES'!$AB118))</f>
        <v/>
      </c>
      <c r="G140" s="5">
        <f>IF('ORDENES'!$A118="","",IF('ORDENES'!$Z118="","-",'ORDENES'!$Z118))</f>
        <v/>
      </c>
      <c r="H140" s="5">
        <f>IF('ORDENES'!$A118="","",IF('ORDENES'!$AH118="","-",'ORDENES'!$AH118))</f>
        <v/>
      </c>
      <c r="I140" s="5">
        <f>IF('ORDENES'!$A118="","",IF('ORDENES'!$AU118="","-",'ORDENES'!$AU118))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3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IF('ORDENES'!$A118="","",'ORDENES'!$AG118)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IF('ORDENES'!$A119="","",IF('ORDENES'!$AI119="","-",'ORDENES'!$AI119))</f>
        <v/>
      </c>
      <c r="D141" s="5">
        <f>IF('ORDENES'!$A119="","",IF('ORDENES'!$AA119="","-",'ORDENES'!$AA119))</f>
        <v/>
      </c>
      <c r="E141" s="5">
        <f>IF('ORDENES'!$A119="","",IF('ORDENES'!$Y119="","-",'ORDENES'!$Y119))</f>
        <v/>
      </c>
      <c r="F141" s="5">
        <f>IF('ORDENES'!$A119="","",IF('ORDENES'!$AB119="","-",'ORDENES'!$AB119))</f>
        <v/>
      </c>
      <c r="G141" s="5">
        <f>IF('ORDENES'!$A119="","",IF('ORDENES'!$Z119="","-",'ORDENES'!$Z119))</f>
        <v/>
      </c>
      <c r="H141" s="5">
        <f>IF('ORDENES'!$A119="","",IF('ORDENES'!$AH119="","-",'ORDENES'!$AH119))</f>
        <v/>
      </c>
      <c r="I141" s="5">
        <f>IF('ORDENES'!$A119="","",IF('ORDENES'!$AU119="","-",'ORDENES'!$AU119))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3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IF('ORDENES'!$A119="","",'ORDENES'!$AG119)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IF('ORDENES'!$A120="","",IF('ORDENES'!$AI120="","-",'ORDENES'!$AI120))</f>
        <v/>
      </c>
      <c r="D142" s="5">
        <f>IF('ORDENES'!$A120="","",IF('ORDENES'!$AA120="","-",'ORDENES'!$AA120))</f>
        <v/>
      </c>
      <c r="E142" s="5">
        <f>IF('ORDENES'!$A120="","",IF('ORDENES'!$Y120="","-",'ORDENES'!$Y120))</f>
        <v/>
      </c>
      <c r="F142" s="5">
        <f>IF('ORDENES'!$A120="","",IF('ORDENES'!$AB120="","-",'ORDENES'!$AB120))</f>
        <v/>
      </c>
      <c r="G142" s="5">
        <f>IF('ORDENES'!$A120="","",IF('ORDENES'!$Z120="","-",'ORDENES'!$Z120))</f>
        <v/>
      </c>
      <c r="H142" s="5">
        <f>IF('ORDENES'!$A120="","",IF('ORDENES'!$AH120="","-",'ORDENES'!$AH120))</f>
        <v/>
      </c>
      <c r="I142" s="5">
        <f>IF('ORDENES'!$A120="","",IF('ORDENES'!$AU120="","-",'ORDENES'!$AU120))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3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IF('ORDENES'!$A120="","",'ORDENES'!$AG120)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IF('ORDENES'!$A121="","",IF('ORDENES'!$AI121="","-",'ORDENES'!$AI121))</f>
        <v/>
      </c>
      <c r="D143" s="5">
        <f>IF('ORDENES'!$A121="","",IF('ORDENES'!$AA121="","-",'ORDENES'!$AA121))</f>
        <v/>
      </c>
      <c r="E143" s="5">
        <f>IF('ORDENES'!$A121="","",IF('ORDENES'!$Y121="","-",'ORDENES'!$Y121))</f>
        <v/>
      </c>
      <c r="F143" s="5">
        <f>IF('ORDENES'!$A121="","",IF('ORDENES'!$AB121="","-",'ORDENES'!$AB121))</f>
        <v/>
      </c>
      <c r="G143" s="5">
        <f>IF('ORDENES'!$A121="","",IF('ORDENES'!$Z121="","-",'ORDENES'!$Z121))</f>
        <v/>
      </c>
      <c r="H143" s="5">
        <f>IF('ORDENES'!$A121="","",IF('ORDENES'!$AH121="","-",'ORDENES'!$AH121))</f>
        <v/>
      </c>
      <c r="I143" s="5">
        <f>IF('ORDENES'!$A121="","",IF('ORDENES'!$AU121="","-",'ORDENES'!$AU121))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3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IF('ORDENES'!$A121="","",'ORDENES'!$AG121)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IF('ORDENES'!$A122="","",IF('ORDENES'!$AI122="","-",'ORDENES'!$AI122))</f>
        <v/>
      </c>
      <c r="D144" s="5">
        <f>IF('ORDENES'!$A122="","",IF('ORDENES'!$AA122="","-",'ORDENES'!$AA122))</f>
        <v/>
      </c>
      <c r="E144" s="5">
        <f>IF('ORDENES'!$A122="","",IF('ORDENES'!$Y122="","-",'ORDENES'!$Y122))</f>
        <v/>
      </c>
      <c r="F144" s="5">
        <f>IF('ORDENES'!$A122="","",IF('ORDENES'!$AB122="","-",'ORDENES'!$AB122))</f>
        <v/>
      </c>
      <c r="G144" s="5">
        <f>IF('ORDENES'!$A122="","",IF('ORDENES'!$Z122="","-",'ORDENES'!$Z122))</f>
        <v/>
      </c>
      <c r="H144" s="5">
        <f>IF('ORDENES'!$A122="","",IF('ORDENES'!$AH122="","-",'ORDENES'!$AH122))</f>
        <v/>
      </c>
      <c r="I144" s="5">
        <f>IF('ORDENES'!$A122="","",IF('ORDENES'!$AU122="","-",'ORDENES'!$AU122))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3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IF('ORDENES'!$A122="","",'ORDENES'!$AG122)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IF('ORDENES'!$A123="","",IF('ORDENES'!$AI123="","-",'ORDENES'!$AI123))</f>
        <v/>
      </c>
      <c r="D145" s="5">
        <f>IF('ORDENES'!$A123="","",IF('ORDENES'!$AA123="","-",'ORDENES'!$AA123))</f>
        <v/>
      </c>
      <c r="E145" s="5">
        <f>IF('ORDENES'!$A123="","",IF('ORDENES'!$Y123="","-",'ORDENES'!$Y123))</f>
        <v/>
      </c>
      <c r="F145" s="5">
        <f>IF('ORDENES'!$A123="","",IF('ORDENES'!$AB123="","-",'ORDENES'!$AB123))</f>
        <v/>
      </c>
      <c r="G145" s="5">
        <f>IF('ORDENES'!$A123="","",IF('ORDENES'!$Z123="","-",'ORDENES'!$Z123))</f>
        <v/>
      </c>
      <c r="H145" s="5">
        <f>IF('ORDENES'!$A123="","",IF('ORDENES'!$AH123="","-",'ORDENES'!$AH123))</f>
        <v/>
      </c>
      <c r="I145" s="5">
        <f>IF('ORDENES'!$A123="","",IF('ORDENES'!$AU123="","-",'ORDENES'!$AU123))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3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IF('ORDENES'!$A123="","",'ORDENES'!$AG123)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IF('ORDENES'!$A124="","",IF('ORDENES'!$AI124="","-",'ORDENES'!$AI124))</f>
        <v/>
      </c>
      <c r="D146" s="5">
        <f>IF('ORDENES'!$A124="","",IF('ORDENES'!$AA124="","-",'ORDENES'!$AA124))</f>
        <v/>
      </c>
      <c r="E146" s="5">
        <f>IF('ORDENES'!$A124="","",IF('ORDENES'!$Y124="","-",'ORDENES'!$Y124))</f>
        <v/>
      </c>
      <c r="F146" s="5">
        <f>IF('ORDENES'!$A124="","",IF('ORDENES'!$AB124="","-",'ORDENES'!$AB124))</f>
        <v/>
      </c>
      <c r="G146" s="5">
        <f>IF('ORDENES'!$A124="","",IF('ORDENES'!$Z124="","-",'ORDENES'!$Z124))</f>
        <v/>
      </c>
      <c r="H146" s="5">
        <f>IF('ORDENES'!$A124="","",IF('ORDENES'!$AH124="","-",'ORDENES'!$AH124))</f>
        <v/>
      </c>
      <c r="I146" s="5">
        <f>IF('ORDENES'!$A124="","",IF('ORDENES'!$AU124="","-",'ORDENES'!$AU124))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3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IF('ORDENES'!$A124="","",'ORDENES'!$AG124)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IF('ORDENES'!$A125="","",IF('ORDENES'!$AI125="","-",'ORDENES'!$AI125))</f>
        <v/>
      </c>
      <c r="D147" s="5">
        <f>IF('ORDENES'!$A125="","",IF('ORDENES'!$AA125="","-",'ORDENES'!$AA125))</f>
        <v/>
      </c>
      <c r="E147" s="5">
        <f>IF('ORDENES'!$A125="","",IF('ORDENES'!$Y125="","-",'ORDENES'!$Y125))</f>
        <v/>
      </c>
      <c r="F147" s="5">
        <f>IF('ORDENES'!$A125="","",IF('ORDENES'!$AB125="","-",'ORDENES'!$AB125))</f>
        <v/>
      </c>
      <c r="G147" s="5">
        <f>IF('ORDENES'!$A125="","",IF('ORDENES'!$Z125="","-",'ORDENES'!$Z125))</f>
        <v/>
      </c>
      <c r="H147" s="5">
        <f>IF('ORDENES'!$A125="","",IF('ORDENES'!$AH125="","-",'ORDENES'!$AH125))</f>
        <v/>
      </c>
      <c r="I147" s="5">
        <f>IF('ORDENES'!$A125="","",IF('ORDENES'!$AU125="","-",'ORDENES'!$AU125))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3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IF('ORDENES'!$A125="","",'ORDENES'!$AG125)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IF('ORDENES'!$A126="","",IF('ORDENES'!$AI126="","-",'ORDENES'!$AI126))</f>
        <v/>
      </c>
      <c r="D148" s="5">
        <f>IF('ORDENES'!$A126="","",IF('ORDENES'!$AA126="","-",'ORDENES'!$AA126))</f>
        <v/>
      </c>
      <c r="E148" s="5">
        <f>IF('ORDENES'!$A126="","",IF('ORDENES'!$Y126="","-",'ORDENES'!$Y126))</f>
        <v/>
      </c>
      <c r="F148" s="5">
        <f>IF('ORDENES'!$A126="","",IF('ORDENES'!$AB126="","-",'ORDENES'!$AB126))</f>
        <v/>
      </c>
      <c r="G148" s="5">
        <f>IF('ORDENES'!$A126="","",IF('ORDENES'!$Z126="","-",'ORDENES'!$Z126))</f>
        <v/>
      </c>
      <c r="H148" s="5">
        <f>IF('ORDENES'!$A126="","",IF('ORDENES'!$AH126="","-",'ORDENES'!$AH126))</f>
        <v/>
      </c>
      <c r="I148" s="5">
        <f>IF('ORDENES'!$A126="","",IF('ORDENES'!$AU126="","-",'ORDENES'!$AU126))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3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IF('ORDENES'!$A126="","",'ORDENES'!$AG126)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IF('ORDENES'!$A127="","",IF('ORDENES'!$AI127="","-",'ORDENES'!$AI127))</f>
        <v/>
      </c>
      <c r="D149" s="5">
        <f>IF('ORDENES'!$A127="","",IF('ORDENES'!$AA127="","-",'ORDENES'!$AA127))</f>
        <v/>
      </c>
      <c r="E149" s="5">
        <f>IF('ORDENES'!$A127="","",IF('ORDENES'!$Y127="","-",'ORDENES'!$Y127))</f>
        <v/>
      </c>
      <c r="F149" s="5">
        <f>IF('ORDENES'!$A127="","",IF('ORDENES'!$AB127="","-",'ORDENES'!$AB127))</f>
        <v/>
      </c>
      <c r="G149" s="5">
        <f>IF('ORDENES'!$A127="","",IF('ORDENES'!$Z127="","-",'ORDENES'!$Z127))</f>
        <v/>
      </c>
      <c r="H149" s="5">
        <f>IF('ORDENES'!$A127="","",IF('ORDENES'!$AH127="","-",'ORDENES'!$AH127))</f>
        <v/>
      </c>
      <c r="I149" s="5">
        <f>IF('ORDENES'!$A127="","",IF('ORDENES'!$AU127="","-",'ORDENES'!$AU127))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3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IF('ORDENES'!$A127="","",'ORDENES'!$AG127)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IF('ORDENES'!$A128="","",IF('ORDENES'!$AI128="","-",'ORDENES'!$AI128))</f>
        <v/>
      </c>
      <c r="D150" s="5">
        <f>IF('ORDENES'!$A128="","",IF('ORDENES'!$AA128="","-",'ORDENES'!$AA128))</f>
        <v/>
      </c>
      <c r="E150" s="5">
        <f>IF('ORDENES'!$A128="","",IF('ORDENES'!$Y128="","-",'ORDENES'!$Y128))</f>
        <v/>
      </c>
      <c r="F150" s="5">
        <f>IF('ORDENES'!$A128="","",IF('ORDENES'!$AB128="","-",'ORDENES'!$AB128))</f>
        <v/>
      </c>
      <c r="G150" s="5">
        <f>IF('ORDENES'!$A128="","",IF('ORDENES'!$Z128="","-",'ORDENES'!$Z128))</f>
        <v/>
      </c>
      <c r="H150" s="5">
        <f>IF('ORDENES'!$A128="","",IF('ORDENES'!$AH128="","-",'ORDENES'!$AH128))</f>
        <v/>
      </c>
      <c r="I150" s="5">
        <f>IF('ORDENES'!$A128="","",IF('ORDENES'!$AU128="","-",'ORDENES'!$AU128))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3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IF('ORDENES'!$A128="","",'ORDENES'!$AG128)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IF('ORDENES'!$A129="","",IF('ORDENES'!$AI129="","-",'ORDENES'!$AI129))</f>
        <v/>
      </c>
      <c r="D151" s="5">
        <f>IF('ORDENES'!$A129="","",IF('ORDENES'!$AA129="","-",'ORDENES'!$AA129))</f>
        <v/>
      </c>
      <c r="E151" s="5">
        <f>IF('ORDENES'!$A129="","",IF('ORDENES'!$Y129="","-",'ORDENES'!$Y129))</f>
        <v/>
      </c>
      <c r="F151" s="5">
        <f>IF('ORDENES'!$A129="","",IF('ORDENES'!$AB129="","-",'ORDENES'!$AB129))</f>
        <v/>
      </c>
      <c r="G151" s="5">
        <f>IF('ORDENES'!$A129="","",IF('ORDENES'!$Z129="","-",'ORDENES'!$Z129))</f>
        <v/>
      </c>
      <c r="H151" s="5">
        <f>IF('ORDENES'!$A129="","",IF('ORDENES'!$AH129="","-",'ORDENES'!$AH129))</f>
        <v/>
      </c>
      <c r="I151" s="5">
        <f>IF('ORDENES'!$A129="","",IF('ORDENES'!$AU129="","-",'ORDENES'!$AU129))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3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IF('ORDENES'!$A129="","",'ORDENES'!$AG129)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IF('ORDENES'!$A130="","",IF('ORDENES'!$AI130="","-",'ORDENES'!$AI130))</f>
        <v/>
      </c>
      <c r="D152" s="5">
        <f>IF('ORDENES'!$A130="","",IF('ORDENES'!$AA130="","-",'ORDENES'!$AA130))</f>
        <v/>
      </c>
      <c r="E152" s="5">
        <f>IF('ORDENES'!$A130="","",IF('ORDENES'!$Y130="","-",'ORDENES'!$Y130))</f>
        <v/>
      </c>
      <c r="F152" s="5">
        <f>IF('ORDENES'!$A130="","",IF('ORDENES'!$AB130="","-",'ORDENES'!$AB130))</f>
        <v/>
      </c>
      <c r="G152" s="5">
        <f>IF('ORDENES'!$A130="","",IF('ORDENES'!$Z130="","-",'ORDENES'!$Z130))</f>
        <v/>
      </c>
      <c r="H152" s="5">
        <f>IF('ORDENES'!$A130="","",IF('ORDENES'!$AH130="","-",'ORDENES'!$AH130))</f>
        <v/>
      </c>
      <c r="I152" s="5">
        <f>IF('ORDENES'!$A130="","",IF('ORDENES'!$AU130="","-",'ORDENES'!$AU130))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3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IF('ORDENES'!$A130="","",'ORDENES'!$AG130)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IF('ORDENES'!$A131="","",IF('ORDENES'!$AI131="","-",'ORDENES'!$AI131))</f>
        <v/>
      </c>
      <c r="D153" s="5">
        <f>IF('ORDENES'!$A131="","",IF('ORDENES'!$AA131="","-",'ORDENES'!$AA131))</f>
        <v/>
      </c>
      <c r="E153" s="5">
        <f>IF('ORDENES'!$A131="","",IF('ORDENES'!$Y131="","-",'ORDENES'!$Y131))</f>
        <v/>
      </c>
      <c r="F153" s="5">
        <f>IF('ORDENES'!$A131="","",IF('ORDENES'!$AB131="","-",'ORDENES'!$AB131))</f>
        <v/>
      </c>
      <c r="G153" s="5">
        <f>IF('ORDENES'!$A131="","",IF('ORDENES'!$Z131="","-",'ORDENES'!$Z131))</f>
        <v/>
      </c>
      <c r="H153" s="5">
        <f>IF('ORDENES'!$A131="","",IF('ORDENES'!$AH131="","-",'ORDENES'!$AH131))</f>
        <v/>
      </c>
      <c r="I153" s="5">
        <f>IF('ORDENES'!$A131="","",IF('ORDENES'!$AU131="","-",'ORDENES'!$AU131))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3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IF('ORDENES'!$A131="","",'ORDENES'!$AG131)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IF('ORDENES'!$A132="","",IF('ORDENES'!$AI132="","-",'ORDENES'!$AI132))</f>
        <v/>
      </c>
      <c r="D154" s="5">
        <f>IF('ORDENES'!$A132="","",IF('ORDENES'!$AA132="","-",'ORDENES'!$AA132))</f>
        <v/>
      </c>
      <c r="E154" s="5">
        <f>IF('ORDENES'!$A132="","",IF('ORDENES'!$Y132="","-",'ORDENES'!$Y132))</f>
        <v/>
      </c>
      <c r="F154" s="5">
        <f>IF('ORDENES'!$A132="","",IF('ORDENES'!$AB132="","-",'ORDENES'!$AB132))</f>
        <v/>
      </c>
      <c r="G154" s="5">
        <f>IF('ORDENES'!$A132="","",IF('ORDENES'!$Z132="","-",'ORDENES'!$Z132))</f>
        <v/>
      </c>
      <c r="H154" s="5">
        <f>IF('ORDENES'!$A132="","",IF('ORDENES'!$AH132="","-",'ORDENES'!$AH132))</f>
        <v/>
      </c>
      <c r="I154" s="5">
        <f>IF('ORDENES'!$A132="","",IF('ORDENES'!$AU132="","-",'ORDENES'!$AU132))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3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IF('ORDENES'!$A132="","",'ORDENES'!$AG132)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IF('ORDENES'!$A133="","",IF('ORDENES'!$AI133="","-",'ORDENES'!$AI133))</f>
        <v/>
      </c>
      <c r="D155" s="5">
        <f>IF('ORDENES'!$A133="","",IF('ORDENES'!$AA133="","-",'ORDENES'!$AA133))</f>
        <v/>
      </c>
      <c r="E155" s="5">
        <f>IF('ORDENES'!$A133="","",IF('ORDENES'!$Y133="","-",'ORDENES'!$Y133))</f>
        <v/>
      </c>
      <c r="F155" s="5">
        <f>IF('ORDENES'!$A133="","",IF('ORDENES'!$AB133="","-",'ORDENES'!$AB133))</f>
        <v/>
      </c>
      <c r="G155" s="5">
        <f>IF('ORDENES'!$A133="","",IF('ORDENES'!$Z133="","-",'ORDENES'!$Z133))</f>
        <v/>
      </c>
      <c r="H155" s="5">
        <f>IF('ORDENES'!$A133="","",IF('ORDENES'!$AH133="","-",'ORDENES'!$AH133))</f>
        <v/>
      </c>
      <c r="I155" s="5">
        <f>IF('ORDENES'!$A133="","",IF('ORDENES'!$AU133="","-",'ORDENES'!$AU133))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3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IF('ORDENES'!$A133="","",'ORDENES'!$AG133)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IF('ORDENES'!$A134="","",IF('ORDENES'!$AI134="","-",'ORDENES'!$AI134))</f>
        <v/>
      </c>
      <c r="D156" s="5">
        <f>IF('ORDENES'!$A134="","",IF('ORDENES'!$AA134="","-",'ORDENES'!$AA134))</f>
        <v/>
      </c>
      <c r="E156" s="5">
        <f>IF('ORDENES'!$A134="","",IF('ORDENES'!$Y134="","-",'ORDENES'!$Y134))</f>
        <v/>
      </c>
      <c r="F156" s="5">
        <f>IF('ORDENES'!$A134="","",IF('ORDENES'!$AB134="","-",'ORDENES'!$AB134))</f>
        <v/>
      </c>
      <c r="G156" s="5">
        <f>IF('ORDENES'!$A134="","",IF('ORDENES'!$Z134="","-",'ORDENES'!$Z134))</f>
        <v/>
      </c>
      <c r="H156" s="5">
        <f>IF('ORDENES'!$A134="","",IF('ORDENES'!$AH134="","-",'ORDENES'!$AH134))</f>
        <v/>
      </c>
      <c r="I156" s="5">
        <f>IF('ORDENES'!$A134="","",IF('ORDENES'!$AU134="","-",'ORDENES'!$AU134))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3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IF('ORDENES'!$A134="","",'ORDENES'!$AG134)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IF('ORDENES'!$A135="","",IF('ORDENES'!$AI135="","-",'ORDENES'!$AI135))</f>
        <v/>
      </c>
      <c r="D157" s="5">
        <f>IF('ORDENES'!$A135="","",IF('ORDENES'!$AA135="","-",'ORDENES'!$AA135))</f>
        <v/>
      </c>
      <c r="E157" s="5">
        <f>IF('ORDENES'!$A135="","",IF('ORDENES'!$Y135="","-",'ORDENES'!$Y135))</f>
        <v/>
      </c>
      <c r="F157" s="5">
        <f>IF('ORDENES'!$A135="","",IF('ORDENES'!$AB135="","-",'ORDENES'!$AB135))</f>
        <v/>
      </c>
      <c r="G157" s="5">
        <f>IF('ORDENES'!$A135="","",IF('ORDENES'!$Z135="","-",'ORDENES'!$Z135))</f>
        <v/>
      </c>
      <c r="H157" s="5">
        <f>IF('ORDENES'!$A135="","",IF('ORDENES'!$AH135="","-",'ORDENES'!$AH135))</f>
        <v/>
      </c>
      <c r="I157" s="5">
        <f>IF('ORDENES'!$A135="","",IF('ORDENES'!$AU135="","-",'ORDENES'!$AU135))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3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IF('ORDENES'!$A135="","",'ORDENES'!$AG135)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IF('ORDENES'!$A136="","",IF('ORDENES'!$AI136="","-",'ORDENES'!$AI136))</f>
        <v/>
      </c>
      <c r="D158" s="5">
        <f>IF('ORDENES'!$A136="","",IF('ORDENES'!$AA136="","-",'ORDENES'!$AA136))</f>
        <v/>
      </c>
      <c r="E158" s="5">
        <f>IF('ORDENES'!$A136="","",IF('ORDENES'!$Y136="","-",'ORDENES'!$Y136))</f>
        <v/>
      </c>
      <c r="F158" s="5">
        <f>IF('ORDENES'!$A136="","",IF('ORDENES'!$AB136="","-",'ORDENES'!$AB136))</f>
        <v/>
      </c>
      <c r="G158" s="5">
        <f>IF('ORDENES'!$A136="","",IF('ORDENES'!$Z136="","-",'ORDENES'!$Z136))</f>
        <v/>
      </c>
      <c r="H158" s="5">
        <f>IF('ORDENES'!$A136="","",IF('ORDENES'!$AH136="","-",'ORDENES'!$AH136))</f>
        <v/>
      </c>
      <c r="I158" s="5">
        <f>IF('ORDENES'!$A136="","",IF('ORDENES'!$AU136="","-",'ORDENES'!$AU136))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3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IF('ORDENES'!$A136="","",'ORDENES'!$AG136)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IF('ORDENES'!$A137="","",IF('ORDENES'!$AI137="","-",'ORDENES'!$AI137))</f>
        <v/>
      </c>
      <c r="D159" s="5">
        <f>IF('ORDENES'!$A137="","",IF('ORDENES'!$AA137="","-",'ORDENES'!$AA137))</f>
        <v/>
      </c>
      <c r="E159" s="5">
        <f>IF('ORDENES'!$A137="","",IF('ORDENES'!$Y137="","-",'ORDENES'!$Y137))</f>
        <v/>
      </c>
      <c r="F159" s="5">
        <f>IF('ORDENES'!$A137="","",IF('ORDENES'!$AB137="","-",'ORDENES'!$AB137))</f>
        <v/>
      </c>
      <c r="G159" s="5">
        <f>IF('ORDENES'!$A137="","",IF('ORDENES'!$Z137="","-",'ORDENES'!$Z137))</f>
        <v/>
      </c>
      <c r="H159" s="5">
        <f>IF('ORDENES'!$A137="","",IF('ORDENES'!$AH137="","-",'ORDENES'!$AH137))</f>
        <v/>
      </c>
      <c r="I159" s="5">
        <f>IF('ORDENES'!$A137="","",IF('ORDENES'!$AU137="","-",'ORDENES'!$AU137))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3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IF('ORDENES'!$A137="","",'ORDENES'!$AG137)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IF('ORDENES'!$A138="","",IF('ORDENES'!$AI138="","-",'ORDENES'!$AI138))</f>
        <v/>
      </c>
      <c r="D160" s="5">
        <f>IF('ORDENES'!$A138="","",IF('ORDENES'!$AA138="","-",'ORDENES'!$AA138))</f>
        <v/>
      </c>
      <c r="E160" s="5">
        <f>IF('ORDENES'!$A138="","",IF('ORDENES'!$Y138="","-",'ORDENES'!$Y138))</f>
        <v/>
      </c>
      <c r="F160" s="5">
        <f>IF('ORDENES'!$A138="","",IF('ORDENES'!$AB138="","-",'ORDENES'!$AB138))</f>
        <v/>
      </c>
      <c r="G160" s="5">
        <f>IF('ORDENES'!$A138="","",IF('ORDENES'!$Z138="","-",'ORDENES'!$Z138))</f>
        <v/>
      </c>
      <c r="H160" s="5">
        <f>IF('ORDENES'!$A138="","",IF('ORDENES'!$AH138="","-",'ORDENES'!$AH138))</f>
        <v/>
      </c>
      <c r="I160" s="5">
        <f>IF('ORDENES'!$A138="","",IF('ORDENES'!$AU138="","-",'ORDENES'!$AU138))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3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IF('ORDENES'!$A138="","",'ORDENES'!$AG138)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IF('ORDENES'!$A139="","",IF('ORDENES'!$AI139="","-",'ORDENES'!$AI139))</f>
        <v/>
      </c>
      <c r="D161" s="5">
        <f>IF('ORDENES'!$A139="","",IF('ORDENES'!$AA139="","-",'ORDENES'!$AA139))</f>
        <v/>
      </c>
      <c r="E161" s="5">
        <f>IF('ORDENES'!$A139="","",IF('ORDENES'!$Y139="","-",'ORDENES'!$Y139))</f>
        <v/>
      </c>
      <c r="F161" s="5">
        <f>IF('ORDENES'!$A139="","",IF('ORDENES'!$AB139="","-",'ORDENES'!$AB139))</f>
        <v/>
      </c>
      <c r="G161" s="5">
        <f>IF('ORDENES'!$A139="","",IF('ORDENES'!$Z139="","-",'ORDENES'!$Z139))</f>
        <v/>
      </c>
      <c r="H161" s="5">
        <f>IF('ORDENES'!$A139="","",IF('ORDENES'!$AH139="","-",'ORDENES'!$AH139))</f>
        <v/>
      </c>
      <c r="I161" s="5">
        <f>IF('ORDENES'!$A139="","",IF('ORDENES'!$AU139="","-",'ORDENES'!$AU139))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3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IF('ORDENES'!$A139="","",'ORDENES'!$AG139)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IF('ORDENES'!$A140="","",IF('ORDENES'!$AI140="","-",'ORDENES'!$AI140))</f>
        <v/>
      </c>
      <c r="D162" s="5">
        <f>IF('ORDENES'!$A140="","",IF('ORDENES'!$AA140="","-",'ORDENES'!$AA140))</f>
        <v/>
      </c>
      <c r="E162" s="5">
        <f>IF('ORDENES'!$A140="","",IF('ORDENES'!$Y140="","-",'ORDENES'!$Y140))</f>
        <v/>
      </c>
      <c r="F162" s="5">
        <f>IF('ORDENES'!$A140="","",IF('ORDENES'!$AB140="","-",'ORDENES'!$AB140))</f>
        <v/>
      </c>
      <c r="G162" s="5">
        <f>IF('ORDENES'!$A140="","",IF('ORDENES'!$Z140="","-",'ORDENES'!$Z140))</f>
        <v/>
      </c>
      <c r="H162" s="5">
        <f>IF('ORDENES'!$A140="","",IF('ORDENES'!$AH140="","-",'ORDENES'!$AH140))</f>
        <v/>
      </c>
      <c r="I162" s="5">
        <f>IF('ORDENES'!$A140="","",IF('ORDENES'!$AU140="","-",'ORDENES'!$AU140))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3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IF('ORDENES'!$A140="","",'ORDENES'!$AG140)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IF('ORDENES'!$A141="","",IF('ORDENES'!$AI141="","-",'ORDENES'!$AI141))</f>
        <v/>
      </c>
      <c r="D163" s="5">
        <f>IF('ORDENES'!$A141="","",IF('ORDENES'!$AA141="","-",'ORDENES'!$AA141))</f>
        <v/>
      </c>
      <c r="E163" s="5">
        <f>IF('ORDENES'!$A141="","",IF('ORDENES'!$Y141="","-",'ORDENES'!$Y141))</f>
        <v/>
      </c>
      <c r="F163" s="5">
        <f>IF('ORDENES'!$A141="","",IF('ORDENES'!$AB141="","-",'ORDENES'!$AB141))</f>
        <v/>
      </c>
      <c r="G163" s="5">
        <f>IF('ORDENES'!$A141="","",IF('ORDENES'!$Z141="","-",'ORDENES'!$Z141))</f>
        <v/>
      </c>
      <c r="H163" s="5">
        <f>IF('ORDENES'!$A141="","",IF('ORDENES'!$AH141="","-",'ORDENES'!$AH141))</f>
        <v/>
      </c>
      <c r="I163" s="5">
        <f>IF('ORDENES'!$A141="","",IF('ORDENES'!$AU141="","-",'ORDENES'!$AU141))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3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IF('ORDENES'!$A141="","",'ORDENES'!$AG141)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IF('ORDENES'!$A142="","",IF('ORDENES'!$AI142="","-",'ORDENES'!$AI142))</f>
        <v/>
      </c>
      <c r="D164" s="5">
        <f>IF('ORDENES'!$A142="","",IF('ORDENES'!$AA142="","-",'ORDENES'!$AA142))</f>
        <v/>
      </c>
      <c r="E164" s="5">
        <f>IF('ORDENES'!$A142="","",IF('ORDENES'!$Y142="","-",'ORDENES'!$Y142))</f>
        <v/>
      </c>
      <c r="F164" s="5">
        <f>IF('ORDENES'!$A142="","",IF('ORDENES'!$AB142="","-",'ORDENES'!$AB142))</f>
        <v/>
      </c>
      <c r="G164" s="5">
        <f>IF('ORDENES'!$A142="","",IF('ORDENES'!$Z142="","-",'ORDENES'!$Z142))</f>
        <v/>
      </c>
      <c r="H164" s="5">
        <f>IF('ORDENES'!$A142="","",IF('ORDENES'!$AH142="","-",'ORDENES'!$AH142))</f>
        <v/>
      </c>
      <c r="I164" s="5">
        <f>IF('ORDENES'!$A142="","",IF('ORDENES'!$AU142="","-",'ORDENES'!$AU142))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3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IF('ORDENES'!$A142="","",'ORDENES'!$AG142)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IF('ORDENES'!$A143="","",IF('ORDENES'!$AI143="","-",'ORDENES'!$AI143))</f>
        <v/>
      </c>
      <c r="D165" s="5">
        <f>IF('ORDENES'!$A143="","",IF('ORDENES'!$AA143="","-",'ORDENES'!$AA143))</f>
        <v/>
      </c>
      <c r="E165" s="5">
        <f>IF('ORDENES'!$A143="","",IF('ORDENES'!$Y143="","-",'ORDENES'!$Y143))</f>
        <v/>
      </c>
      <c r="F165" s="5">
        <f>IF('ORDENES'!$A143="","",IF('ORDENES'!$AB143="","-",'ORDENES'!$AB143))</f>
        <v/>
      </c>
      <c r="G165" s="5">
        <f>IF('ORDENES'!$A143="","",IF('ORDENES'!$Z143="","-",'ORDENES'!$Z143))</f>
        <v/>
      </c>
      <c r="H165" s="5">
        <f>IF('ORDENES'!$A143="","",IF('ORDENES'!$AH143="","-",'ORDENES'!$AH143))</f>
        <v/>
      </c>
      <c r="I165" s="5">
        <f>IF('ORDENES'!$A143="","",IF('ORDENES'!$AU143="","-",'ORDENES'!$AU143))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3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IF('ORDENES'!$A143="","",'ORDENES'!$AG143)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IF('ORDENES'!$A144="","",IF('ORDENES'!$AI144="","-",'ORDENES'!$AI144))</f>
        <v/>
      </c>
      <c r="D166" s="5">
        <f>IF('ORDENES'!$A144="","",IF('ORDENES'!$AA144="","-",'ORDENES'!$AA144))</f>
        <v/>
      </c>
      <c r="E166" s="5">
        <f>IF('ORDENES'!$A144="","",IF('ORDENES'!$Y144="","-",'ORDENES'!$Y144))</f>
        <v/>
      </c>
      <c r="F166" s="5">
        <f>IF('ORDENES'!$A144="","",IF('ORDENES'!$AB144="","-",'ORDENES'!$AB144))</f>
        <v/>
      </c>
      <c r="G166" s="5">
        <f>IF('ORDENES'!$A144="","",IF('ORDENES'!$Z144="","-",'ORDENES'!$Z144))</f>
        <v/>
      </c>
      <c r="H166" s="5">
        <f>IF('ORDENES'!$A144="","",IF('ORDENES'!$AH144="","-",'ORDENES'!$AH144))</f>
        <v/>
      </c>
      <c r="I166" s="5">
        <f>IF('ORDENES'!$A144="","",IF('ORDENES'!$AU144="","-",'ORDENES'!$AU144))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3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IF('ORDENES'!$A144="","",'ORDENES'!$AG144)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IF('ORDENES'!$A145="","",IF('ORDENES'!$AI145="","-",'ORDENES'!$AI145))</f>
        <v/>
      </c>
      <c r="D167" s="5">
        <f>IF('ORDENES'!$A145="","",IF('ORDENES'!$AA145="","-",'ORDENES'!$AA145))</f>
        <v/>
      </c>
      <c r="E167" s="5">
        <f>IF('ORDENES'!$A145="","",IF('ORDENES'!$Y145="","-",'ORDENES'!$Y145))</f>
        <v/>
      </c>
      <c r="F167" s="5">
        <f>IF('ORDENES'!$A145="","",IF('ORDENES'!$AB145="","-",'ORDENES'!$AB145))</f>
        <v/>
      </c>
      <c r="G167" s="5">
        <f>IF('ORDENES'!$A145="","",IF('ORDENES'!$Z145="","-",'ORDENES'!$Z145))</f>
        <v/>
      </c>
      <c r="H167" s="5">
        <f>IF('ORDENES'!$A145="","",IF('ORDENES'!$AH145="","-",'ORDENES'!$AH145))</f>
        <v/>
      </c>
      <c r="I167" s="5">
        <f>IF('ORDENES'!$A145="","",IF('ORDENES'!$AU145="","-",'ORDENES'!$AU145))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3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IF('ORDENES'!$A145="","",'ORDENES'!$AG145)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IF('ORDENES'!$A146="","",IF('ORDENES'!$AI146="","-",'ORDENES'!$AI146))</f>
        <v/>
      </c>
      <c r="D168" s="5">
        <f>IF('ORDENES'!$A146="","",IF('ORDENES'!$AA146="","-",'ORDENES'!$AA146))</f>
        <v/>
      </c>
      <c r="E168" s="5">
        <f>IF('ORDENES'!$A146="","",IF('ORDENES'!$Y146="","-",'ORDENES'!$Y146))</f>
        <v/>
      </c>
      <c r="F168" s="5">
        <f>IF('ORDENES'!$A146="","",IF('ORDENES'!$AB146="","-",'ORDENES'!$AB146))</f>
        <v/>
      </c>
      <c r="G168" s="5">
        <f>IF('ORDENES'!$A146="","",IF('ORDENES'!$Z146="","-",'ORDENES'!$Z146))</f>
        <v/>
      </c>
      <c r="H168" s="5">
        <f>IF('ORDENES'!$A146="","",IF('ORDENES'!$AH146="","-",'ORDENES'!$AH146))</f>
        <v/>
      </c>
      <c r="I168" s="5">
        <f>IF('ORDENES'!$A146="","",IF('ORDENES'!$AU146="","-",'ORDENES'!$AU146))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3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IF('ORDENES'!$A146="","",'ORDENES'!$AG146)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IF('ORDENES'!$A147="","",IF('ORDENES'!$AI147="","-",'ORDENES'!$AI147))</f>
        <v/>
      </c>
      <c r="D169" s="5">
        <f>IF('ORDENES'!$A147="","",IF('ORDENES'!$AA147="","-",'ORDENES'!$AA147))</f>
        <v/>
      </c>
      <c r="E169" s="5">
        <f>IF('ORDENES'!$A147="","",IF('ORDENES'!$Y147="","-",'ORDENES'!$Y147))</f>
        <v/>
      </c>
      <c r="F169" s="5">
        <f>IF('ORDENES'!$A147="","",IF('ORDENES'!$AB147="","-",'ORDENES'!$AB147))</f>
        <v/>
      </c>
      <c r="G169" s="5">
        <f>IF('ORDENES'!$A147="","",IF('ORDENES'!$Z147="","-",'ORDENES'!$Z147))</f>
        <v/>
      </c>
      <c r="H169" s="5">
        <f>IF('ORDENES'!$A147="","",IF('ORDENES'!$AH147="","-",'ORDENES'!$AH147))</f>
        <v/>
      </c>
      <c r="I169" s="5">
        <f>IF('ORDENES'!$A147="","",IF('ORDENES'!$AU147="","-",'ORDENES'!$AU147))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3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IF('ORDENES'!$A147="","",'ORDENES'!$AG147)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IF('ORDENES'!$A148="","",IF('ORDENES'!$AI148="","-",'ORDENES'!$AI148))</f>
        <v/>
      </c>
      <c r="D170" s="5">
        <f>IF('ORDENES'!$A148="","",IF('ORDENES'!$AA148="","-",'ORDENES'!$AA148))</f>
        <v/>
      </c>
      <c r="E170" s="5">
        <f>IF('ORDENES'!$A148="","",IF('ORDENES'!$Y148="","-",'ORDENES'!$Y148))</f>
        <v/>
      </c>
      <c r="F170" s="5">
        <f>IF('ORDENES'!$A148="","",IF('ORDENES'!$AB148="","-",'ORDENES'!$AB148))</f>
        <v/>
      </c>
      <c r="G170" s="5">
        <f>IF('ORDENES'!$A148="","",IF('ORDENES'!$Z148="","-",'ORDENES'!$Z148))</f>
        <v/>
      </c>
      <c r="H170" s="5">
        <f>IF('ORDENES'!$A148="","",IF('ORDENES'!$AH148="","-",'ORDENES'!$AH148))</f>
        <v/>
      </c>
      <c r="I170" s="5">
        <f>IF('ORDENES'!$A148="","",IF('ORDENES'!$AU148="","-",'ORDENES'!$AU148))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3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IF('ORDENES'!$A148="","",'ORDENES'!$AG148)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IF('ORDENES'!$A149="","",IF('ORDENES'!$AI149="","-",'ORDENES'!$AI149))</f>
        <v/>
      </c>
      <c r="D171" s="5">
        <f>IF('ORDENES'!$A149="","",IF('ORDENES'!$AA149="","-",'ORDENES'!$AA149))</f>
        <v/>
      </c>
      <c r="E171" s="5">
        <f>IF('ORDENES'!$A149="","",IF('ORDENES'!$Y149="","-",'ORDENES'!$Y149))</f>
        <v/>
      </c>
      <c r="F171" s="5">
        <f>IF('ORDENES'!$A149="","",IF('ORDENES'!$AB149="","-",'ORDENES'!$AB149))</f>
        <v/>
      </c>
      <c r="G171" s="5">
        <f>IF('ORDENES'!$A149="","",IF('ORDENES'!$Z149="","-",'ORDENES'!$Z149))</f>
        <v/>
      </c>
      <c r="H171" s="5">
        <f>IF('ORDENES'!$A149="","",IF('ORDENES'!$AH149="","-",'ORDENES'!$AH149))</f>
        <v/>
      </c>
      <c r="I171" s="5">
        <f>IF('ORDENES'!$A149="","",IF('ORDENES'!$AU149="","-",'ORDENES'!$AU149))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3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IF('ORDENES'!$A149="","",'ORDENES'!$AG149)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IF('ORDENES'!$A150="","",IF('ORDENES'!$AI150="","-",'ORDENES'!$AI150))</f>
        <v/>
      </c>
      <c r="D172" s="5">
        <f>IF('ORDENES'!$A150="","",IF('ORDENES'!$AA150="","-",'ORDENES'!$AA150))</f>
        <v/>
      </c>
      <c r="E172" s="5">
        <f>IF('ORDENES'!$A150="","",IF('ORDENES'!$Y150="","-",'ORDENES'!$Y150))</f>
        <v/>
      </c>
      <c r="F172" s="5">
        <f>IF('ORDENES'!$A150="","",IF('ORDENES'!$AB150="","-",'ORDENES'!$AB150))</f>
        <v/>
      </c>
      <c r="G172" s="5">
        <f>IF('ORDENES'!$A150="","",IF('ORDENES'!$Z150="","-",'ORDENES'!$Z150))</f>
        <v/>
      </c>
      <c r="H172" s="5">
        <f>IF('ORDENES'!$A150="","",IF('ORDENES'!$AH150="","-",'ORDENES'!$AH150))</f>
        <v/>
      </c>
      <c r="I172" s="5">
        <f>IF('ORDENES'!$A150="","",IF('ORDENES'!$AU150="","-",'ORDENES'!$AU150))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3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IF('ORDENES'!$A150="","",'ORDENES'!$AG150)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IF('ORDENES'!$A151="","",IF('ORDENES'!$AI151="","-",'ORDENES'!$AI151))</f>
        <v/>
      </c>
      <c r="D173" s="5">
        <f>IF('ORDENES'!$A151="","",IF('ORDENES'!$AA151="","-",'ORDENES'!$AA151))</f>
        <v/>
      </c>
      <c r="E173" s="5">
        <f>IF('ORDENES'!$A151="","",IF('ORDENES'!$Y151="","-",'ORDENES'!$Y151))</f>
        <v/>
      </c>
      <c r="F173" s="5">
        <f>IF('ORDENES'!$A151="","",IF('ORDENES'!$AB151="","-",'ORDENES'!$AB151))</f>
        <v/>
      </c>
      <c r="G173" s="5">
        <f>IF('ORDENES'!$A151="","",IF('ORDENES'!$Z151="","-",'ORDENES'!$Z151))</f>
        <v/>
      </c>
      <c r="H173" s="5">
        <f>IF('ORDENES'!$A151="","",IF('ORDENES'!$AH151="","-",'ORDENES'!$AH151))</f>
        <v/>
      </c>
      <c r="I173" s="5">
        <f>IF('ORDENES'!$A151="","",IF('ORDENES'!$AU151="","-",'ORDENES'!$AU151))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3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IF('ORDENES'!$A151="","",'ORDENES'!$AG151)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IF('ORDENES'!$A152="","",IF('ORDENES'!$AI152="","-",'ORDENES'!$AI152))</f>
        <v/>
      </c>
      <c r="D174" s="5">
        <f>IF('ORDENES'!$A152="","",IF('ORDENES'!$AA152="","-",'ORDENES'!$AA152))</f>
        <v/>
      </c>
      <c r="E174" s="5">
        <f>IF('ORDENES'!$A152="","",IF('ORDENES'!$Y152="","-",'ORDENES'!$Y152))</f>
        <v/>
      </c>
      <c r="F174" s="5">
        <f>IF('ORDENES'!$A152="","",IF('ORDENES'!$AB152="","-",'ORDENES'!$AB152))</f>
        <v/>
      </c>
      <c r="G174" s="5">
        <f>IF('ORDENES'!$A152="","",IF('ORDENES'!$Z152="","-",'ORDENES'!$Z152))</f>
        <v/>
      </c>
      <c r="H174" s="5">
        <f>IF('ORDENES'!$A152="","",IF('ORDENES'!$AH152="","-",'ORDENES'!$AH152))</f>
        <v/>
      </c>
      <c r="I174" s="5">
        <f>IF('ORDENES'!$A152="","",IF('ORDENES'!$AU152="","-",'ORDENES'!$AU152))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3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IF('ORDENES'!$A152="","",'ORDENES'!$AG152)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IF('ORDENES'!$A153="","",IF('ORDENES'!$AI153="","-",'ORDENES'!$AI153))</f>
        <v/>
      </c>
      <c r="D175" s="5">
        <f>IF('ORDENES'!$A153="","",IF('ORDENES'!$AA153="","-",'ORDENES'!$AA153))</f>
        <v/>
      </c>
      <c r="E175" s="5">
        <f>IF('ORDENES'!$A153="","",IF('ORDENES'!$Y153="","-",'ORDENES'!$Y153))</f>
        <v/>
      </c>
      <c r="F175" s="5">
        <f>IF('ORDENES'!$A153="","",IF('ORDENES'!$AB153="","-",'ORDENES'!$AB153))</f>
        <v/>
      </c>
      <c r="G175" s="5">
        <f>IF('ORDENES'!$A153="","",IF('ORDENES'!$Z153="","-",'ORDENES'!$Z153))</f>
        <v/>
      </c>
      <c r="H175" s="5">
        <f>IF('ORDENES'!$A153="","",IF('ORDENES'!$AH153="","-",'ORDENES'!$AH153))</f>
        <v/>
      </c>
      <c r="I175" s="5">
        <f>IF('ORDENES'!$A153="","",IF('ORDENES'!$AU153="","-",'ORDENES'!$AU153))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3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IF('ORDENES'!$A153="","",'ORDENES'!$AG153)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IF('ORDENES'!$A154="","",IF('ORDENES'!$AI154="","-",'ORDENES'!$AI154))</f>
        <v/>
      </c>
      <c r="D176" s="5">
        <f>IF('ORDENES'!$A154="","",IF('ORDENES'!$AA154="","-",'ORDENES'!$AA154))</f>
        <v/>
      </c>
      <c r="E176" s="5">
        <f>IF('ORDENES'!$A154="","",IF('ORDENES'!$Y154="","-",'ORDENES'!$Y154))</f>
        <v/>
      </c>
      <c r="F176" s="5">
        <f>IF('ORDENES'!$A154="","",IF('ORDENES'!$AB154="","-",'ORDENES'!$AB154))</f>
        <v/>
      </c>
      <c r="G176" s="5">
        <f>IF('ORDENES'!$A154="","",IF('ORDENES'!$Z154="","-",'ORDENES'!$Z154))</f>
        <v/>
      </c>
      <c r="H176" s="5">
        <f>IF('ORDENES'!$A154="","",IF('ORDENES'!$AH154="","-",'ORDENES'!$AH154))</f>
        <v/>
      </c>
      <c r="I176" s="5">
        <f>IF('ORDENES'!$A154="","",IF('ORDENES'!$AU154="","-",'ORDENES'!$AU154))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3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IF('ORDENES'!$A154="","",'ORDENES'!$AG154)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IF('ORDENES'!$A155="","",IF('ORDENES'!$AI155="","-",'ORDENES'!$AI155))</f>
        <v/>
      </c>
      <c r="D177" s="5">
        <f>IF('ORDENES'!$A155="","",IF('ORDENES'!$AA155="","-",'ORDENES'!$AA155))</f>
        <v/>
      </c>
      <c r="E177" s="5">
        <f>IF('ORDENES'!$A155="","",IF('ORDENES'!$Y155="","-",'ORDENES'!$Y155))</f>
        <v/>
      </c>
      <c r="F177" s="5">
        <f>IF('ORDENES'!$A155="","",IF('ORDENES'!$AB155="","-",'ORDENES'!$AB155))</f>
        <v/>
      </c>
      <c r="G177" s="5">
        <f>IF('ORDENES'!$A155="","",IF('ORDENES'!$Z155="","-",'ORDENES'!$Z155))</f>
        <v/>
      </c>
      <c r="H177" s="5">
        <f>IF('ORDENES'!$A155="","",IF('ORDENES'!$AH155="","-",'ORDENES'!$AH155))</f>
        <v/>
      </c>
      <c r="I177" s="5">
        <f>IF('ORDENES'!$A155="","",IF('ORDENES'!$AU155="","-",'ORDENES'!$AU155))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3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IF('ORDENES'!$A155="","",'ORDENES'!$AG155)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IF('ORDENES'!$A156="","",IF('ORDENES'!$AI156="","-",'ORDENES'!$AI156))</f>
        <v/>
      </c>
      <c r="D178" s="5">
        <f>IF('ORDENES'!$A156="","",IF('ORDENES'!$AA156="","-",'ORDENES'!$AA156))</f>
        <v/>
      </c>
      <c r="E178" s="5">
        <f>IF('ORDENES'!$A156="","",IF('ORDENES'!$Y156="","-",'ORDENES'!$Y156))</f>
        <v/>
      </c>
      <c r="F178" s="5">
        <f>IF('ORDENES'!$A156="","",IF('ORDENES'!$AB156="","-",'ORDENES'!$AB156))</f>
        <v/>
      </c>
      <c r="G178" s="5">
        <f>IF('ORDENES'!$A156="","",IF('ORDENES'!$Z156="","-",'ORDENES'!$Z156))</f>
        <v/>
      </c>
      <c r="H178" s="5">
        <f>IF('ORDENES'!$A156="","",IF('ORDENES'!$AH156="","-",'ORDENES'!$AH156))</f>
        <v/>
      </c>
      <c r="I178" s="5">
        <f>IF('ORDENES'!$A156="","",IF('ORDENES'!$AU156="","-",'ORDENES'!$AU156))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3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IF('ORDENES'!$A156="","",'ORDENES'!$AG156)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IF('ORDENES'!$A157="","",IF('ORDENES'!$AI157="","-",'ORDENES'!$AI157))</f>
        <v/>
      </c>
      <c r="D179" s="5">
        <f>IF('ORDENES'!$A157="","",IF('ORDENES'!$AA157="","-",'ORDENES'!$AA157))</f>
        <v/>
      </c>
      <c r="E179" s="5">
        <f>IF('ORDENES'!$A157="","",IF('ORDENES'!$Y157="","-",'ORDENES'!$Y157))</f>
        <v/>
      </c>
      <c r="F179" s="5">
        <f>IF('ORDENES'!$A157="","",IF('ORDENES'!$AB157="","-",'ORDENES'!$AB157))</f>
        <v/>
      </c>
      <c r="G179" s="5">
        <f>IF('ORDENES'!$A157="","",IF('ORDENES'!$Z157="","-",'ORDENES'!$Z157))</f>
        <v/>
      </c>
      <c r="H179" s="5">
        <f>IF('ORDENES'!$A157="","",IF('ORDENES'!$AH157="","-",'ORDENES'!$AH157))</f>
        <v/>
      </c>
      <c r="I179" s="5">
        <f>IF('ORDENES'!$A157="","",IF('ORDENES'!$AU157="","-",'ORDENES'!$AU157))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3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IF('ORDENES'!$A157="","",'ORDENES'!$AG157)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IF('ORDENES'!$A158="","",IF('ORDENES'!$AI158="","-",'ORDENES'!$AI158))</f>
        <v/>
      </c>
      <c r="D180" s="5">
        <f>IF('ORDENES'!$A158="","",IF('ORDENES'!$AA158="","-",'ORDENES'!$AA158))</f>
        <v/>
      </c>
      <c r="E180" s="5">
        <f>IF('ORDENES'!$A158="","",IF('ORDENES'!$Y158="","-",'ORDENES'!$Y158))</f>
        <v/>
      </c>
      <c r="F180" s="5">
        <f>IF('ORDENES'!$A158="","",IF('ORDENES'!$AB158="","-",'ORDENES'!$AB158))</f>
        <v/>
      </c>
      <c r="G180" s="5">
        <f>IF('ORDENES'!$A158="","",IF('ORDENES'!$Z158="","-",'ORDENES'!$Z158))</f>
        <v/>
      </c>
      <c r="H180" s="5">
        <f>IF('ORDENES'!$A158="","",IF('ORDENES'!$AH158="","-",'ORDENES'!$AH158))</f>
        <v/>
      </c>
      <c r="I180" s="5">
        <f>IF('ORDENES'!$A158="","",IF('ORDENES'!$AU158="","-",'ORDENES'!$AU158))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3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IF('ORDENES'!$A158="","",'ORDENES'!$AG158)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IF('ORDENES'!$A159="","",IF('ORDENES'!$AI159="","-",'ORDENES'!$AI159))</f>
        <v/>
      </c>
      <c r="D181" s="5">
        <f>IF('ORDENES'!$A159="","",IF('ORDENES'!$AA159="","-",'ORDENES'!$AA159))</f>
        <v/>
      </c>
      <c r="E181" s="5">
        <f>IF('ORDENES'!$A159="","",IF('ORDENES'!$Y159="","-",'ORDENES'!$Y159))</f>
        <v/>
      </c>
      <c r="F181" s="5">
        <f>IF('ORDENES'!$A159="","",IF('ORDENES'!$AB159="","-",'ORDENES'!$AB159))</f>
        <v/>
      </c>
      <c r="G181" s="5">
        <f>IF('ORDENES'!$A159="","",IF('ORDENES'!$Z159="","-",'ORDENES'!$Z159))</f>
        <v/>
      </c>
      <c r="H181" s="5">
        <f>IF('ORDENES'!$A159="","",IF('ORDENES'!$AH159="","-",'ORDENES'!$AH159))</f>
        <v/>
      </c>
      <c r="I181" s="5">
        <f>IF('ORDENES'!$A159="","",IF('ORDENES'!$AU159="","-",'ORDENES'!$AU159))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3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IF('ORDENES'!$A159="","",'ORDENES'!$AG159)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IF('ORDENES'!$A160="","",IF('ORDENES'!$AI160="","-",'ORDENES'!$AI160))</f>
        <v/>
      </c>
      <c r="D182" s="5">
        <f>IF('ORDENES'!$A160="","",IF('ORDENES'!$AA160="","-",'ORDENES'!$AA160))</f>
        <v/>
      </c>
      <c r="E182" s="5">
        <f>IF('ORDENES'!$A160="","",IF('ORDENES'!$Y160="","-",'ORDENES'!$Y160))</f>
        <v/>
      </c>
      <c r="F182" s="5">
        <f>IF('ORDENES'!$A160="","",IF('ORDENES'!$AB160="","-",'ORDENES'!$AB160))</f>
        <v/>
      </c>
      <c r="G182" s="5">
        <f>IF('ORDENES'!$A160="","",IF('ORDENES'!$Z160="","-",'ORDENES'!$Z160))</f>
        <v/>
      </c>
      <c r="H182" s="5">
        <f>IF('ORDENES'!$A160="","",IF('ORDENES'!$AH160="","-",'ORDENES'!$AH160))</f>
        <v/>
      </c>
      <c r="I182" s="5">
        <f>IF('ORDENES'!$A160="","",IF('ORDENES'!$AU160="","-",'ORDENES'!$AU160))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3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IF('ORDENES'!$A160="","",'ORDENES'!$AG160)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IF('ORDENES'!$A161="","",IF('ORDENES'!$AI161="","-",'ORDENES'!$AI161))</f>
        <v/>
      </c>
      <c r="D183" s="5">
        <f>IF('ORDENES'!$A161="","",IF('ORDENES'!$AA161="","-",'ORDENES'!$AA161))</f>
        <v/>
      </c>
      <c r="E183" s="5">
        <f>IF('ORDENES'!$A161="","",IF('ORDENES'!$Y161="","-",'ORDENES'!$Y161))</f>
        <v/>
      </c>
      <c r="F183" s="5">
        <f>IF('ORDENES'!$A161="","",IF('ORDENES'!$AB161="","-",'ORDENES'!$AB161))</f>
        <v/>
      </c>
      <c r="G183" s="5">
        <f>IF('ORDENES'!$A161="","",IF('ORDENES'!$Z161="","-",'ORDENES'!$Z161))</f>
        <v/>
      </c>
      <c r="H183" s="5">
        <f>IF('ORDENES'!$A161="","",IF('ORDENES'!$AH161="","-",'ORDENES'!$AH161))</f>
        <v/>
      </c>
      <c r="I183" s="5">
        <f>IF('ORDENES'!$A161="","",IF('ORDENES'!$AU161="","-",'ORDENES'!$AU161))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3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IF('ORDENES'!$A161="","",'ORDENES'!$AG161)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IF('ORDENES'!$A162="","",IF('ORDENES'!$AI162="","-",'ORDENES'!$AI162))</f>
        <v/>
      </c>
      <c r="D184" s="5">
        <f>IF('ORDENES'!$A162="","",IF('ORDENES'!$AA162="","-",'ORDENES'!$AA162))</f>
        <v/>
      </c>
      <c r="E184" s="5">
        <f>IF('ORDENES'!$A162="","",IF('ORDENES'!$Y162="","-",'ORDENES'!$Y162))</f>
        <v/>
      </c>
      <c r="F184" s="5">
        <f>IF('ORDENES'!$A162="","",IF('ORDENES'!$AB162="","-",'ORDENES'!$AB162))</f>
        <v/>
      </c>
      <c r="G184" s="5">
        <f>IF('ORDENES'!$A162="","",IF('ORDENES'!$Z162="","-",'ORDENES'!$Z162))</f>
        <v/>
      </c>
      <c r="H184" s="5">
        <f>IF('ORDENES'!$A162="","",IF('ORDENES'!$AH162="","-",'ORDENES'!$AH162))</f>
        <v/>
      </c>
      <c r="I184" s="5">
        <f>IF('ORDENES'!$A162="","",IF('ORDENES'!$AU162="","-",'ORDENES'!$AU162))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3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IF('ORDENES'!$A162="","",'ORDENES'!$AG162)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IF('ORDENES'!$A163="","",IF('ORDENES'!$AI163="","-",'ORDENES'!$AI163))</f>
        <v/>
      </c>
      <c r="D185" s="5">
        <f>IF('ORDENES'!$A163="","",IF('ORDENES'!$AA163="","-",'ORDENES'!$AA163))</f>
        <v/>
      </c>
      <c r="E185" s="5">
        <f>IF('ORDENES'!$A163="","",IF('ORDENES'!$Y163="","-",'ORDENES'!$Y163))</f>
        <v/>
      </c>
      <c r="F185" s="5">
        <f>IF('ORDENES'!$A163="","",IF('ORDENES'!$AB163="","-",'ORDENES'!$AB163))</f>
        <v/>
      </c>
      <c r="G185" s="5">
        <f>IF('ORDENES'!$A163="","",IF('ORDENES'!$Z163="","-",'ORDENES'!$Z163))</f>
        <v/>
      </c>
      <c r="H185" s="5">
        <f>IF('ORDENES'!$A163="","",IF('ORDENES'!$AH163="","-",'ORDENES'!$AH163))</f>
        <v/>
      </c>
      <c r="I185" s="5">
        <f>IF('ORDENES'!$A163="","",IF('ORDENES'!$AU163="","-",'ORDENES'!$AU163))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3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IF('ORDENES'!$A163="","",'ORDENES'!$AG163)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IF('ORDENES'!$A164="","",IF('ORDENES'!$AI164="","-",'ORDENES'!$AI164))</f>
        <v/>
      </c>
      <c r="D186" s="5">
        <f>IF('ORDENES'!$A164="","",IF('ORDENES'!$AA164="","-",'ORDENES'!$AA164))</f>
        <v/>
      </c>
      <c r="E186" s="5">
        <f>IF('ORDENES'!$A164="","",IF('ORDENES'!$Y164="","-",'ORDENES'!$Y164))</f>
        <v/>
      </c>
      <c r="F186" s="5">
        <f>IF('ORDENES'!$A164="","",IF('ORDENES'!$AB164="","-",'ORDENES'!$AB164))</f>
        <v/>
      </c>
      <c r="G186" s="5">
        <f>IF('ORDENES'!$A164="","",IF('ORDENES'!$Z164="","-",'ORDENES'!$Z164))</f>
        <v/>
      </c>
      <c r="H186" s="5">
        <f>IF('ORDENES'!$A164="","",IF('ORDENES'!$AH164="","-",'ORDENES'!$AH164))</f>
        <v/>
      </c>
      <c r="I186" s="5">
        <f>IF('ORDENES'!$A164="","",IF('ORDENES'!$AU164="","-",'ORDENES'!$AU164))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3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IF('ORDENES'!$A164="","",'ORDENES'!$AG164)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IF('ORDENES'!$A165="","",IF('ORDENES'!$AI165="","-",'ORDENES'!$AI165))</f>
        <v/>
      </c>
      <c r="D187" s="5">
        <f>IF('ORDENES'!$A165="","",IF('ORDENES'!$AA165="","-",'ORDENES'!$AA165))</f>
        <v/>
      </c>
      <c r="E187" s="5">
        <f>IF('ORDENES'!$A165="","",IF('ORDENES'!$Y165="","-",'ORDENES'!$Y165))</f>
        <v/>
      </c>
      <c r="F187" s="5">
        <f>IF('ORDENES'!$A165="","",IF('ORDENES'!$AB165="","-",'ORDENES'!$AB165))</f>
        <v/>
      </c>
      <c r="G187" s="5">
        <f>IF('ORDENES'!$A165="","",IF('ORDENES'!$Z165="","-",'ORDENES'!$Z165))</f>
        <v/>
      </c>
      <c r="H187" s="5">
        <f>IF('ORDENES'!$A165="","",IF('ORDENES'!$AH165="","-",'ORDENES'!$AH165))</f>
        <v/>
      </c>
      <c r="I187" s="5">
        <f>IF('ORDENES'!$A165="","",IF('ORDENES'!$AU165="","-",'ORDENES'!$AU165))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3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IF('ORDENES'!$A165="","",'ORDENES'!$AG165)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IF('ORDENES'!$A166="","",IF('ORDENES'!$AI166="","-",'ORDENES'!$AI166))</f>
        <v/>
      </c>
      <c r="D188" s="5">
        <f>IF('ORDENES'!$A166="","",IF('ORDENES'!$AA166="","-",'ORDENES'!$AA166))</f>
        <v/>
      </c>
      <c r="E188" s="5">
        <f>IF('ORDENES'!$A166="","",IF('ORDENES'!$Y166="","-",'ORDENES'!$Y166))</f>
        <v/>
      </c>
      <c r="F188" s="5">
        <f>IF('ORDENES'!$A166="","",IF('ORDENES'!$AB166="","-",'ORDENES'!$AB166))</f>
        <v/>
      </c>
      <c r="G188" s="5">
        <f>IF('ORDENES'!$A166="","",IF('ORDENES'!$Z166="","-",'ORDENES'!$Z166))</f>
        <v/>
      </c>
      <c r="H188" s="5">
        <f>IF('ORDENES'!$A166="","",IF('ORDENES'!$AH166="","-",'ORDENES'!$AH166))</f>
        <v/>
      </c>
      <c r="I188" s="5">
        <f>IF('ORDENES'!$A166="","",IF('ORDENES'!$AU166="","-",'ORDENES'!$AU166))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3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IF('ORDENES'!$A166="","",'ORDENES'!$AG166)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IF('ORDENES'!$A167="","",IF('ORDENES'!$AI167="","-",'ORDENES'!$AI167))</f>
        <v/>
      </c>
      <c r="D189" s="5">
        <f>IF('ORDENES'!$A167="","",IF('ORDENES'!$AA167="","-",'ORDENES'!$AA167))</f>
        <v/>
      </c>
      <c r="E189" s="5">
        <f>IF('ORDENES'!$A167="","",IF('ORDENES'!$Y167="","-",'ORDENES'!$Y167))</f>
        <v/>
      </c>
      <c r="F189" s="5">
        <f>IF('ORDENES'!$A167="","",IF('ORDENES'!$AB167="","-",'ORDENES'!$AB167))</f>
        <v/>
      </c>
      <c r="G189" s="5">
        <f>IF('ORDENES'!$A167="","",IF('ORDENES'!$Z167="","-",'ORDENES'!$Z167))</f>
        <v/>
      </c>
      <c r="H189" s="5">
        <f>IF('ORDENES'!$A167="","",IF('ORDENES'!$AH167="","-",'ORDENES'!$AH167))</f>
        <v/>
      </c>
      <c r="I189" s="5">
        <f>IF('ORDENES'!$A167="","",IF('ORDENES'!$AU167="","-",'ORDENES'!$AU167))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3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IF('ORDENES'!$A167="","",'ORDENES'!$AG167)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IF('ORDENES'!$A168="","",IF('ORDENES'!$AI168="","-",'ORDENES'!$AI168))</f>
        <v/>
      </c>
      <c r="D190" s="5">
        <f>IF('ORDENES'!$A168="","",IF('ORDENES'!$AA168="","-",'ORDENES'!$AA168))</f>
        <v/>
      </c>
      <c r="E190" s="5">
        <f>IF('ORDENES'!$A168="","",IF('ORDENES'!$Y168="","-",'ORDENES'!$Y168))</f>
        <v/>
      </c>
      <c r="F190" s="5">
        <f>IF('ORDENES'!$A168="","",IF('ORDENES'!$AB168="","-",'ORDENES'!$AB168))</f>
        <v/>
      </c>
      <c r="G190" s="5">
        <f>IF('ORDENES'!$A168="","",IF('ORDENES'!$Z168="","-",'ORDENES'!$Z168))</f>
        <v/>
      </c>
      <c r="H190" s="5">
        <f>IF('ORDENES'!$A168="","",IF('ORDENES'!$AH168="","-",'ORDENES'!$AH168))</f>
        <v/>
      </c>
      <c r="I190" s="5">
        <f>IF('ORDENES'!$A168="","",IF('ORDENES'!$AU168="","-",'ORDENES'!$AU168))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3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IF('ORDENES'!$A168="","",'ORDENES'!$AG168)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IF('ORDENES'!$A169="","",IF('ORDENES'!$AI169="","-",'ORDENES'!$AI169))</f>
        <v/>
      </c>
      <c r="D191" s="5">
        <f>IF('ORDENES'!$A169="","",IF('ORDENES'!$AA169="","-",'ORDENES'!$AA169))</f>
        <v/>
      </c>
      <c r="E191" s="5">
        <f>IF('ORDENES'!$A169="","",IF('ORDENES'!$Y169="","-",'ORDENES'!$Y169))</f>
        <v/>
      </c>
      <c r="F191" s="5">
        <f>IF('ORDENES'!$A169="","",IF('ORDENES'!$AB169="","-",'ORDENES'!$AB169))</f>
        <v/>
      </c>
      <c r="G191" s="5">
        <f>IF('ORDENES'!$A169="","",IF('ORDENES'!$Z169="","-",'ORDENES'!$Z169))</f>
        <v/>
      </c>
      <c r="H191" s="5">
        <f>IF('ORDENES'!$A169="","",IF('ORDENES'!$AH169="","-",'ORDENES'!$AH169))</f>
        <v/>
      </c>
      <c r="I191" s="5">
        <f>IF('ORDENES'!$A169="","",IF('ORDENES'!$AU169="","-",'ORDENES'!$AU169))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3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IF('ORDENES'!$A169="","",'ORDENES'!$AG169)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IF('ORDENES'!$A170="","",IF('ORDENES'!$AI170="","-",'ORDENES'!$AI170))</f>
        <v/>
      </c>
      <c r="D192" s="5">
        <f>IF('ORDENES'!$A170="","",IF('ORDENES'!$AA170="","-",'ORDENES'!$AA170))</f>
        <v/>
      </c>
      <c r="E192" s="5">
        <f>IF('ORDENES'!$A170="","",IF('ORDENES'!$Y170="","-",'ORDENES'!$Y170))</f>
        <v/>
      </c>
      <c r="F192" s="5">
        <f>IF('ORDENES'!$A170="","",IF('ORDENES'!$AB170="","-",'ORDENES'!$AB170))</f>
        <v/>
      </c>
      <c r="G192" s="5">
        <f>IF('ORDENES'!$A170="","",IF('ORDENES'!$Z170="","-",'ORDENES'!$Z170))</f>
        <v/>
      </c>
      <c r="H192" s="5">
        <f>IF('ORDENES'!$A170="","",IF('ORDENES'!$AH170="","-",'ORDENES'!$AH170))</f>
        <v/>
      </c>
      <c r="I192" s="5">
        <f>IF('ORDENES'!$A170="","",IF('ORDENES'!$AU170="","-",'ORDENES'!$AU170))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3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IF('ORDENES'!$A170="","",'ORDENES'!$AG170)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IF('ORDENES'!$A171="","",IF('ORDENES'!$AI171="","-",'ORDENES'!$AI171))</f>
        <v/>
      </c>
      <c r="D193" s="5">
        <f>IF('ORDENES'!$A171="","",IF('ORDENES'!$AA171="","-",'ORDENES'!$AA171))</f>
        <v/>
      </c>
      <c r="E193" s="5">
        <f>IF('ORDENES'!$A171="","",IF('ORDENES'!$Y171="","-",'ORDENES'!$Y171))</f>
        <v/>
      </c>
      <c r="F193" s="5">
        <f>IF('ORDENES'!$A171="","",IF('ORDENES'!$AB171="","-",'ORDENES'!$AB171))</f>
        <v/>
      </c>
      <c r="G193" s="5">
        <f>IF('ORDENES'!$A171="","",IF('ORDENES'!$Z171="","-",'ORDENES'!$Z171))</f>
        <v/>
      </c>
      <c r="H193" s="5">
        <f>IF('ORDENES'!$A171="","",IF('ORDENES'!$AH171="","-",'ORDENES'!$AH171))</f>
        <v/>
      </c>
      <c r="I193" s="5">
        <f>IF('ORDENES'!$A171="","",IF('ORDENES'!$AU171="","-",'ORDENES'!$AU171))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3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IF('ORDENES'!$A171="","",'ORDENES'!$AG171)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IF('ORDENES'!$A172="","",IF('ORDENES'!$AI172="","-",'ORDENES'!$AI172))</f>
        <v/>
      </c>
      <c r="D194" s="5">
        <f>IF('ORDENES'!$A172="","",IF('ORDENES'!$AA172="","-",'ORDENES'!$AA172))</f>
        <v/>
      </c>
      <c r="E194" s="5">
        <f>IF('ORDENES'!$A172="","",IF('ORDENES'!$Y172="","-",'ORDENES'!$Y172))</f>
        <v/>
      </c>
      <c r="F194" s="5">
        <f>IF('ORDENES'!$A172="","",IF('ORDENES'!$AB172="","-",'ORDENES'!$AB172))</f>
        <v/>
      </c>
      <c r="G194" s="5">
        <f>IF('ORDENES'!$A172="","",IF('ORDENES'!$Z172="","-",'ORDENES'!$Z172))</f>
        <v/>
      </c>
      <c r="H194" s="5">
        <f>IF('ORDENES'!$A172="","",IF('ORDENES'!$AH172="","-",'ORDENES'!$AH172))</f>
        <v/>
      </c>
      <c r="I194" s="5">
        <f>IF('ORDENES'!$A172="","",IF('ORDENES'!$AU172="","-",'ORDENES'!$AU172))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3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IF('ORDENES'!$A172="","",'ORDENES'!$AG172)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IF('ORDENES'!$A173="","",IF('ORDENES'!$AI173="","-",'ORDENES'!$AI173))</f>
        <v/>
      </c>
      <c r="D195" s="5">
        <f>IF('ORDENES'!$A173="","",IF('ORDENES'!$AA173="","-",'ORDENES'!$AA173))</f>
        <v/>
      </c>
      <c r="E195" s="5">
        <f>IF('ORDENES'!$A173="","",IF('ORDENES'!$Y173="","-",'ORDENES'!$Y173))</f>
        <v/>
      </c>
      <c r="F195" s="5">
        <f>IF('ORDENES'!$A173="","",IF('ORDENES'!$AB173="","-",'ORDENES'!$AB173))</f>
        <v/>
      </c>
      <c r="G195" s="5">
        <f>IF('ORDENES'!$A173="","",IF('ORDENES'!$Z173="","-",'ORDENES'!$Z173))</f>
        <v/>
      </c>
      <c r="H195" s="5">
        <f>IF('ORDENES'!$A173="","",IF('ORDENES'!$AH173="","-",'ORDENES'!$AH173))</f>
        <v/>
      </c>
      <c r="I195" s="5">
        <f>IF('ORDENES'!$A173="","",IF('ORDENES'!$AU173="","-",'ORDENES'!$AU173))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3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IF('ORDENES'!$A173="","",'ORDENES'!$AG173)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IF('ORDENES'!$A174="","",IF('ORDENES'!$AI174="","-",'ORDENES'!$AI174))</f>
        <v/>
      </c>
      <c r="D196" s="5">
        <f>IF('ORDENES'!$A174="","",IF('ORDENES'!$AA174="","-",'ORDENES'!$AA174))</f>
        <v/>
      </c>
      <c r="E196" s="5">
        <f>IF('ORDENES'!$A174="","",IF('ORDENES'!$Y174="","-",'ORDENES'!$Y174))</f>
        <v/>
      </c>
      <c r="F196" s="5">
        <f>IF('ORDENES'!$A174="","",IF('ORDENES'!$AB174="","-",'ORDENES'!$AB174))</f>
        <v/>
      </c>
      <c r="G196" s="5">
        <f>IF('ORDENES'!$A174="","",IF('ORDENES'!$Z174="","-",'ORDENES'!$Z174))</f>
        <v/>
      </c>
      <c r="H196" s="5">
        <f>IF('ORDENES'!$A174="","",IF('ORDENES'!$AH174="","-",'ORDENES'!$AH174))</f>
        <v/>
      </c>
      <c r="I196" s="5">
        <f>IF('ORDENES'!$A174="","",IF('ORDENES'!$AU174="","-",'ORDENES'!$AU174))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3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IF('ORDENES'!$A174="","",'ORDENES'!$AG174)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IF('ORDENES'!$A175="","",IF('ORDENES'!$AI175="","-",'ORDENES'!$AI175))</f>
        <v/>
      </c>
      <c r="D197" s="5">
        <f>IF('ORDENES'!$A175="","",IF('ORDENES'!$AA175="","-",'ORDENES'!$AA175))</f>
        <v/>
      </c>
      <c r="E197" s="5">
        <f>IF('ORDENES'!$A175="","",IF('ORDENES'!$Y175="","-",'ORDENES'!$Y175))</f>
        <v/>
      </c>
      <c r="F197" s="5">
        <f>IF('ORDENES'!$A175="","",IF('ORDENES'!$AB175="","-",'ORDENES'!$AB175))</f>
        <v/>
      </c>
      <c r="G197" s="5">
        <f>IF('ORDENES'!$A175="","",IF('ORDENES'!$Z175="","-",'ORDENES'!$Z175))</f>
        <v/>
      </c>
      <c r="H197" s="5">
        <f>IF('ORDENES'!$A175="","",IF('ORDENES'!$AH175="","-",'ORDENES'!$AH175))</f>
        <v/>
      </c>
      <c r="I197" s="5">
        <f>IF('ORDENES'!$A175="","",IF('ORDENES'!$AU175="","-",'ORDENES'!$AU175))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3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IF('ORDENES'!$A175="","",'ORDENES'!$AG175)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IF('ORDENES'!$A176="","",IF('ORDENES'!$AI176="","-",'ORDENES'!$AI176))</f>
        <v/>
      </c>
      <c r="D198" s="5">
        <f>IF('ORDENES'!$A176="","",IF('ORDENES'!$AA176="","-",'ORDENES'!$AA176))</f>
        <v/>
      </c>
      <c r="E198" s="5">
        <f>IF('ORDENES'!$A176="","",IF('ORDENES'!$Y176="","-",'ORDENES'!$Y176))</f>
        <v/>
      </c>
      <c r="F198" s="5">
        <f>IF('ORDENES'!$A176="","",IF('ORDENES'!$AB176="","-",'ORDENES'!$AB176))</f>
        <v/>
      </c>
      <c r="G198" s="5">
        <f>IF('ORDENES'!$A176="","",IF('ORDENES'!$Z176="","-",'ORDENES'!$Z176))</f>
        <v/>
      </c>
      <c r="H198" s="5">
        <f>IF('ORDENES'!$A176="","",IF('ORDENES'!$AH176="","-",'ORDENES'!$AH176))</f>
        <v/>
      </c>
      <c r="I198" s="5">
        <f>IF('ORDENES'!$A176="","",IF('ORDENES'!$AU176="","-",'ORDENES'!$AU176))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3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IF('ORDENES'!$A176="","",'ORDENES'!$AG176)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IF('ORDENES'!$A177="","",IF('ORDENES'!$AI177="","-",'ORDENES'!$AI177))</f>
        <v/>
      </c>
      <c r="D199" s="5">
        <f>IF('ORDENES'!$A177="","",IF('ORDENES'!$AA177="","-",'ORDENES'!$AA177))</f>
        <v/>
      </c>
      <c r="E199" s="5">
        <f>IF('ORDENES'!$A177="","",IF('ORDENES'!$Y177="","-",'ORDENES'!$Y177))</f>
        <v/>
      </c>
      <c r="F199" s="5">
        <f>IF('ORDENES'!$A177="","",IF('ORDENES'!$AB177="","-",'ORDENES'!$AB177))</f>
        <v/>
      </c>
      <c r="G199" s="5">
        <f>IF('ORDENES'!$A177="","",IF('ORDENES'!$Z177="","-",'ORDENES'!$Z177))</f>
        <v/>
      </c>
      <c r="H199" s="5">
        <f>IF('ORDENES'!$A177="","",IF('ORDENES'!$AH177="","-",'ORDENES'!$AH177))</f>
        <v/>
      </c>
      <c r="I199" s="5">
        <f>IF('ORDENES'!$A177="","",IF('ORDENES'!$AU177="","-",'ORDENES'!$AU177))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3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IF('ORDENES'!$A177="","",'ORDENES'!$AG177)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IF('ORDENES'!$A178="","",IF('ORDENES'!$AI178="","-",'ORDENES'!$AI178))</f>
        <v/>
      </c>
      <c r="D200" s="5">
        <f>IF('ORDENES'!$A178="","",IF('ORDENES'!$AA178="","-",'ORDENES'!$AA178))</f>
        <v/>
      </c>
      <c r="E200" s="5">
        <f>IF('ORDENES'!$A178="","",IF('ORDENES'!$Y178="","-",'ORDENES'!$Y178))</f>
        <v/>
      </c>
      <c r="F200" s="5">
        <f>IF('ORDENES'!$A178="","",IF('ORDENES'!$AB178="","-",'ORDENES'!$AB178))</f>
        <v/>
      </c>
      <c r="G200" s="5">
        <f>IF('ORDENES'!$A178="","",IF('ORDENES'!$Z178="","-",'ORDENES'!$Z178))</f>
        <v/>
      </c>
      <c r="H200" s="5">
        <f>IF('ORDENES'!$A178="","",IF('ORDENES'!$AH178="","-",'ORDENES'!$AH178))</f>
        <v/>
      </c>
      <c r="I200" s="5">
        <f>IF('ORDENES'!$A178="","",IF('ORDENES'!$AU178="","-",'ORDENES'!$AU178))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3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IF('ORDENES'!$A178="","",'ORDENES'!$AG178)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IF('ORDENES'!$A179="","",IF('ORDENES'!$AI179="","-",'ORDENES'!$AI179))</f>
        <v/>
      </c>
      <c r="D201" s="5">
        <f>IF('ORDENES'!$A179="","",IF('ORDENES'!$AA179="","-",'ORDENES'!$AA179))</f>
        <v/>
      </c>
      <c r="E201" s="5">
        <f>IF('ORDENES'!$A179="","",IF('ORDENES'!$Y179="","-",'ORDENES'!$Y179))</f>
        <v/>
      </c>
      <c r="F201" s="5">
        <f>IF('ORDENES'!$A179="","",IF('ORDENES'!$AB179="","-",'ORDENES'!$AB179))</f>
        <v/>
      </c>
      <c r="G201" s="5">
        <f>IF('ORDENES'!$A179="","",IF('ORDENES'!$Z179="","-",'ORDENES'!$Z179))</f>
        <v/>
      </c>
      <c r="H201" s="5">
        <f>IF('ORDENES'!$A179="","",IF('ORDENES'!$AH179="","-",'ORDENES'!$AH179))</f>
        <v/>
      </c>
      <c r="I201" s="5">
        <f>IF('ORDENES'!$A179="","",IF('ORDENES'!$AU179="","-",'ORDENES'!$AU179))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3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IF('ORDENES'!$A179="","",'ORDENES'!$AG179)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IF('ORDENES'!$A180="","",IF('ORDENES'!$AI180="","-",'ORDENES'!$AI180))</f>
        <v/>
      </c>
      <c r="D202" s="5">
        <f>IF('ORDENES'!$A180="","",IF('ORDENES'!$AA180="","-",'ORDENES'!$AA180))</f>
        <v/>
      </c>
      <c r="E202" s="5">
        <f>IF('ORDENES'!$A180="","",IF('ORDENES'!$Y180="","-",'ORDENES'!$Y180))</f>
        <v/>
      </c>
      <c r="F202" s="5">
        <f>IF('ORDENES'!$A180="","",IF('ORDENES'!$AB180="","-",'ORDENES'!$AB180))</f>
        <v/>
      </c>
      <c r="G202" s="5">
        <f>IF('ORDENES'!$A180="","",IF('ORDENES'!$Z180="","-",'ORDENES'!$Z180))</f>
        <v/>
      </c>
      <c r="H202" s="5">
        <f>IF('ORDENES'!$A180="","",IF('ORDENES'!$AH180="","-",'ORDENES'!$AH180))</f>
        <v/>
      </c>
      <c r="I202" s="5">
        <f>IF('ORDENES'!$A180="","",IF('ORDENES'!$AU180="","-",'ORDENES'!$AU180))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3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IF('ORDENES'!$A180="","",'ORDENES'!$AG180)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IF('ORDENES'!$A181="","",IF('ORDENES'!$AI181="","-",'ORDENES'!$AI181))</f>
        <v/>
      </c>
      <c r="D203" s="5">
        <f>IF('ORDENES'!$A181="","",IF('ORDENES'!$AA181="","-",'ORDENES'!$AA181))</f>
        <v/>
      </c>
      <c r="E203" s="5">
        <f>IF('ORDENES'!$A181="","",IF('ORDENES'!$Y181="","-",'ORDENES'!$Y181))</f>
        <v/>
      </c>
      <c r="F203" s="5">
        <f>IF('ORDENES'!$A181="","",IF('ORDENES'!$AB181="","-",'ORDENES'!$AB181))</f>
        <v/>
      </c>
      <c r="G203" s="5">
        <f>IF('ORDENES'!$A181="","",IF('ORDENES'!$Z181="","-",'ORDENES'!$Z181))</f>
        <v/>
      </c>
      <c r="H203" s="5">
        <f>IF('ORDENES'!$A181="","",IF('ORDENES'!$AH181="","-",'ORDENES'!$AH181))</f>
        <v/>
      </c>
      <c r="I203" s="5">
        <f>IF('ORDENES'!$A181="","",IF('ORDENES'!$AU181="","-",'ORDENES'!$AU181))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3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IF('ORDENES'!$A181="","",'ORDENES'!$AG181)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IF('ORDENES'!$A182="","",IF('ORDENES'!$AI182="","-",'ORDENES'!$AI182))</f>
        <v/>
      </c>
      <c r="D204" s="5">
        <f>IF('ORDENES'!$A182="","",IF('ORDENES'!$AA182="","-",'ORDENES'!$AA182))</f>
        <v/>
      </c>
      <c r="E204" s="5">
        <f>IF('ORDENES'!$A182="","",IF('ORDENES'!$Y182="","-",'ORDENES'!$Y182))</f>
        <v/>
      </c>
      <c r="F204" s="5">
        <f>IF('ORDENES'!$A182="","",IF('ORDENES'!$AB182="","-",'ORDENES'!$AB182))</f>
        <v/>
      </c>
      <c r="G204" s="5">
        <f>IF('ORDENES'!$A182="","",IF('ORDENES'!$Z182="","-",'ORDENES'!$Z182))</f>
        <v/>
      </c>
      <c r="H204" s="5">
        <f>IF('ORDENES'!$A182="","",IF('ORDENES'!$AH182="","-",'ORDENES'!$AH182))</f>
        <v/>
      </c>
      <c r="I204" s="5">
        <f>IF('ORDENES'!$A182="","",IF('ORDENES'!$AU182="","-",'ORDENES'!$AU182))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3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IF('ORDENES'!$A182="","",'ORDENES'!$AG182)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IF('ORDENES'!$A183="","",IF('ORDENES'!$AI183="","-",'ORDENES'!$AI183))</f>
        <v/>
      </c>
      <c r="D205" s="5">
        <f>IF('ORDENES'!$A183="","",IF('ORDENES'!$AA183="","-",'ORDENES'!$AA183))</f>
        <v/>
      </c>
      <c r="E205" s="5">
        <f>IF('ORDENES'!$A183="","",IF('ORDENES'!$Y183="","-",'ORDENES'!$Y183))</f>
        <v/>
      </c>
      <c r="F205" s="5">
        <f>IF('ORDENES'!$A183="","",IF('ORDENES'!$AB183="","-",'ORDENES'!$AB183))</f>
        <v/>
      </c>
      <c r="G205" s="5">
        <f>IF('ORDENES'!$A183="","",IF('ORDENES'!$Z183="","-",'ORDENES'!$Z183))</f>
        <v/>
      </c>
      <c r="H205" s="5">
        <f>IF('ORDENES'!$A183="","",IF('ORDENES'!$AH183="","-",'ORDENES'!$AH183))</f>
        <v/>
      </c>
      <c r="I205" s="5">
        <f>IF('ORDENES'!$A183="","",IF('ORDENES'!$AU183="","-",'ORDENES'!$AU183))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3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IF('ORDENES'!$A183="","",'ORDENES'!$AG183)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IF('ORDENES'!$A184="","",IF('ORDENES'!$AI184="","-",'ORDENES'!$AI184))</f>
        <v/>
      </c>
      <c r="D206" s="5">
        <f>IF('ORDENES'!$A184="","",IF('ORDENES'!$AA184="","-",'ORDENES'!$AA184))</f>
        <v/>
      </c>
      <c r="E206" s="5">
        <f>IF('ORDENES'!$A184="","",IF('ORDENES'!$Y184="","-",'ORDENES'!$Y184))</f>
        <v/>
      </c>
      <c r="F206" s="5">
        <f>IF('ORDENES'!$A184="","",IF('ORDENES'!$AB184="","-",'ORDENES'!$AB184))</f>
        <v/>
      </c>
      <c r="G206" s="5">
        <f>IF('ORDENES'!$A184="","",IF('ORDENES'!$Z184="","-",'ORDENES'!$Z184))</f>
        <v/>
      </c>
      <c r="H206" s="5">
        <f>IF('ORDENES'!$A184="","",IF('ORDENES'!$AH184="","-",'ORDENES'!$AH184))</f>
        <v/>
      </c>
      <c r="I206" s="5">
        <f>IF('ORDENES'!$A184="","",IF('ORDENES'!$AU184="","-",'ORDENES'!$AU184))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3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IF('ORDENES'!$A184="","",'ORDENES'!$AG184)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IF('ORDENES'!$A185="","",IF('ORDENES'!$AI185="","-",'ORDENES'!$AI185))</f>
        <v/>
      </c>
      <c r="D207" s="5">
        <f>IF('ORDENES'!$A185="","",IF('ORDENES'!$AA185="","-",'ORDENES'!$AA185))</f>
        <v/>
      </c>
      <c r="E207" s="5">
        <f>IF('ORDENES'!$A185="","",IF('ORDENES'!$Y185="","-",'ORDENES'!$Y185))</f>
        <v/>
      </c>
      <c r="F207" s="5">
        <f>IF('ORDENES'!$A185="","",IF('ORDENES'!$AB185="","-",'ORDENES'!$AB185))</f>
        <v/>
      </c>
      <c r="G207" s="5">
        <f>IF('ORDENES'!$A185="","",IF('ORDENES'!$Z185="","-",'ORDENES'!$Z185))</f>
        <v/>
      </c>
      <c r="H207" s="5">
        <f>IF('ORDENES'!$A185="","",IF('ORDENES'!$AH185="","-",'ORDENES'!$AH185))</f>
        <v/>
      </c>
      <c r="I207" s="5">
        <f>IF('ORDENES'!$A185="","",IF('ORDENES'!$AU185="","-",'ORDENES'!$AU185))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3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IF('ORDENES'!$A185="","",'ORDENES'!$AG185)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IF('ORDENES'!$A186="","",IF('ORDENES'!$AI186="","-",'ORDENES'!$AI186))</f>
        <v/>
      </c>
      <c r="D208" s="5">
        <f>IF('ORDENES'!$A186="","",IF('ORDENES'!$AA186="","-",'ORDENES'!$AA186))</f>
        <v/>
      </c>
      <c r="E208" s="5">
        <f>IF('ORDENES'!$A186="","",IF('ORDENES'!$Y186="","-",'ORDENES'!$Y186))</f>
        <v/>
      </c>
      <c r="F208" s="5">
        <f>IF('ORDENES'!$A186="","",IF('ORDENES'!$AB186="","-",'ORDENES'!$AB186))</f>
        <v/>
      </c>
      <c r="G208" s="5">
        <f>IF('ORDENES'!$A186="","",IF('ORDENES'!$Z186="","-",'ORDENES'!$Z186))</f>
        <v/>
      </c>
      <c r="H208" s="5">
        <f>IF('ORDENES'!$A186="","",IF('ORDENES'!$AH186="","-",'ORDENES'!$AH186))</f>
        <v/>
      </c>
      <c r="I208" s="5">
        <f>IF('ORDENES'!$A186="","",IF('ORDENES'!$AU186="","-",'ORDENES'!$AU186))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3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IF('ORDENES'!$A186="","",'ORDENES'!$AG186)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IF('ORDENES'!$A187="","",IF('ORDENES'!$AI187="","-",'ORDENES'!$AI187))</f>
        <v/>
      </c>
      <c r="D209" s="5">
        <f>IF('ORDENES'!$A187="","",IF('ORDENES'!$AA187="","-",'ORDENES'!$AA187))</f>
        <v/>
      </c>
      <c r="E209" s="5">
        <f>IF('ORDENES'!$A187="","",IF('ORDENES'!$Y187="","-",'ORDENES'!$Y187))</f>
        <v/>
      </c>
      <c r="F209" s="5">
        <f>IF('ORDENES'!$A187="","",IF('ORDENES'!$AB187="","-",'ORDENES'!$AB187))</f>
        <v/>
      </c>
      <c r="G209" s="5">
        <f>IF('ORDENES'!$A187="","",IF('ORDENES'!$Z187="","-",'ORDENES'!$Z187))</f>
        <v/>
      </c>
      <c r="H209" s="5">
        <f>IF('ORDENES'!$A187="","",IF('ORDENES'!$AH187="","-",'ORDENES'!$AH187))</f>
        <v/>
      </c>
      <c r="I209" s="5">
        <f>IF('ORDENES'!$A187="","",IF('ORDENES'!$AU187="","-",'ORDENES'!$AU187))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3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IF('ORDENES'!$A187="","",'ORDENES'!$AG187)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IF('ORDENES'!$A188="","",IF('ORDENES'!$AI188="","-",'ORDENES'!$AI188))</f>
        <v/>
      </c>
      <c r="D210" s="5">
        <f>IF('ORDENES'!$A188="","",IF('ORDENES'!$AA188="","-",'ORDENES'!$AA188))</f>
        <v/>
      </c>
      <c r="E210" s="5">
        <f>IF('ORDENES'!$A188="","",IF('ORDENES'!$Y188="","-",'ORDENES'!$Y188))</f>
        <v/>
      </c>
      <c r="F210" s="5">
        <f>IF('ORDENES'!$A188="","",IF('ORDENES'!$AB188="","-",'ORDENES'!$AB188))</f>
        <v/>
      </c>
      <c r="G210" s="5">
        <f>IF('ORDENES'!$A188="","",IF('ORDENES'!$Z188="","-",'ORDENES'!$Z188))</f>
        <v/>
      </c>
      <c r="H210" s="5">
        <f>IF('ORDENES'!$A188="","",IF('ORDENES'!$AH188="","-",'ORDENES'!$AH188))</f>
        <v/>
      </c>
      <c r="I210" s="5">
        <f>IF('ORDENES'!$A188="","",IF('ORDENES'!$AU188="","-",'ORDENES'!$AU188))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3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IF('ORDENES'!$A188="","",'ORDENES'!$AG188)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IF('ORDENES'!$A189="","",IF('ORDENES'!$AI189="","-",'ORDENES'!$AI189))</f>
        <v/>
      </c>
      <c r="D211" s="5">
        <f>IF('ORDENES'!$A189="","",IF('ORDENES'!$AA189="","-",'ORDENES'!$AA189))</f>
        <v/>
      </c>
      <c r="E211" s="5">
        <f>IF('ORDENES'!$A189="","",IF('ORDENES'!$Y189="","-",'ORDENES'!$Y189))</f>
        <v/>
      </c>
      <c r="F211" s="5">
        <f>IF('ORDENES'!$A189="","",IF('ORDENES'!$AB189="","-",'ORDENES'!$AB189))</f>
        <v/>
      </c>
      <c r="G211" s="5">
        <f>IF('ORDENES'!$A189="","",IF('ORDENES'!$Z189="","-",'ORDENES'!$Z189))</f>
        <v/>
      </c>
      <c r="H211" s="5">
        <f>IF('ORDENES'!$A189="","",IF('ORDENES'!$AH189="","-",'ORDENES'!$AH189))</f>
        <v/>
      </c>
      <c r="I211" s="5">
        <f>IF('ORDENES'!$A189="","",IF('ORDENES'!$AU189="","-",'ORDENES'!$AU189))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3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IF('ORDENES'!$A189="","",'ORDENES'!$AG189)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IF('ORDENES'!$A190="","",IF('ORDENES'!$AI190="","-",'ORDENES'!$AI190))</f>
        <v/>
      </c>
      <c r="D212" s="5">
        <f>IF('ORDENES'!$A190="","",IF('ORDENES'!$AA190="","-",'ORDENES'!$AA190))</f>
        <v/>
      </c>
      <c r="E212" s="5">
        <f>IF('ORDENES'!$A190="","",IF('ORDENES'!$Y190="","-",'ORDENES'!$Y190))</f>
        <v/>
      </c>
      <c r="F212" s="5">
        <f>IF('ORDENES'!$A190="","",IF('ORDENES'!$AB190="","-",'ORDENES'!$AB190))</f>
        <v/>
      </c>
      <c r="G212" s="5">
        <f>IF('ORDENES'!$A190="","",IF('ORDENES'!$Z190="","-",'ORDENES'!$Z190))</f>
        <v/>
      </c>
      <c r="H212" s="5">
        <f>IF('ORDENES'!$A190="","",IF('ORDENES'!$AH190="","-",'ORDENES'!$AH190))</f>
        <v/>
      </c>
      <c r="I212" s="5">
        <f>IF('ORDENES'!$A190="","",IF('ORDENES'!$AU190="","-",'ORDENES'!$AU190))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3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IF('ORDENES'!$A190="","",'ORDENES'!$AG190)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IF('ORDENES'!$A191="","",IF('ORDENES'!$AI191="","-",'ORDENES'!$AI191))</f>
        <v/>
      </c>
      <c r="D213" s="5">
        <f>IF('ORDENES'!$A191="","",IF('ORDENES'!$AA191="","-",'ORDENES'!$AA191))</f>
        <v/>
      </c>
      <c r="E213" s="5">
        <f>IF('ORDENES'!$A191="","",IF('ORDENES'!$Y191="","-",'ORDENES'!$Y191))</f>
        <v/>
      </c>
      <c r="F213" s="5">
        <f>IF('ORDENES'!$A191="","",IF('ORDENES'!$AB191="","-",'ORDENES'!$AB191))</f>
        <v/>
      </c>
      <c r="G213" s="5">
        <f>IF('ORDENES'!$A191="","",IF('ORDENES'!$Z191="","-",'ORDENES'!$Z191))</f>
        <v/>
      </c>
      <c r="H213" s="5">
        <f>IF('ORDENES'!$A191="","",IF('ORDENES'!$AH191="","-",'ORDENES'!$AH191))</f>
        <v/>
      </c>
      <c r="I213" s="5">
        <f>IF('ORDENES'!$A191="","",IF('ORDENES'!$AU191="","-",'ORDENES'!$AU191))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3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IF('ORDENES'!$A191="","",'ORDENES'!$AG191)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IF('ORDENES'!$A192="","",IF('ORDENES'!$AI192="","-",'ORDENES'!$AI192))</f>
        <v/>
      </c>
      <c r="D214" s="5">
        <f>IF('ORDENES'!$A192="","",IF('ORDENES'!$AA192="","-",'ORDENES'!$AA192))</f>
        <v/>
      </c>
      <c r="E214" s="5">
        <f>IF('ORDENES'!$A192="","",IF('ORDENES'!$Y192="","-",'ORDENES'!$Y192))</f>
        <v/>
      </c>
      <c r="F214" s="5">
        <f>IF('ORDENES'!$A192="","",IF('ORDENES'!$AB192="","-",'ORDENES'!$AB192))</f>
        <v/>
      </c>
      <c r="G214" s="5">
        <f>IF('ORDENES'!$A192="","",IF('ORDENES'!$Z192="","-",'ORDENES'!$Z192))</f>
        <v/>
      </c>
      <c r="H214" s="5">
        <f>IF('ORDENES'!$A192="","",IF('ORDENES'!$AH192="","-",'ORDENES'!$AH192))</f>
        <v/>
      </c>
      <c r="I214" s="5">
        <f>IF('ORDENES'!$A192="","",IF('ORDENES'!$AU192="","-",'ORDENES'!$AU192))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3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IF('ORDENES'!$A192="","",'ORDENES'!$AG192)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IF('ORDENES'!$A193="","",IF('ORDENES'!$AI193="","-",'ORDENES'!$AI193))</f>
        <v/>
      </c>
      <c r="D215" s="5">
        <f>IF('ORDENES'!$A193="","",IF('ORDENES'!$AA193="","-",'ORDENES'!$AA193))</f>
        <v/>
      </c>
      <c r="E215" s="5">
        <f>IF('ORDENES'!$A193="","",IF('ORDENES'!$Y193="","-",'ORDENES'!$Y193))</f>
        <v/>
      </c>
      <c r="F215" s="5">
        <f>IF('ORDENES'!$A193="","",IF('ORDENES'!$AB193="","-",'ORDENES'!$AB193))</f>
        <v/>
      </c>
      <c r="G215" s="5">
        <f>IF('ORDENES'!$A193="","",IF('ORDENES'!$Z193="","-",'ORDENES'!$Z193))</f>
        <v/>
      </c>
      <c r="H215" s="5">
        <f>IF('ORDENES'!$A193="","",IF('ORDENES'!$AH193="","-",'ORDENES'!$AH193))</f>
        <v/>
      </c>
      <c r="I215" s="5">
        <f>IF('ORDENES'!$A193="","",IF('ORDENES'!$AU193="","-",'ORDENES'!$AU193))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3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IF('ORDENES'!$A193="","",'ORDENES'!$AG193)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IF('ORDENES'!$A194="","",IF('ORDENES'!$AI194="","-",'ORDENES'!$AI194))</f>
        <v/>
      </c>
      <c r="D216" s="5">
        <f>IF('ORDENES'!$A194="","",IF('ORDENES'!$AA194="","-",'ORDENES'!$AA194))</f>
        <v/>
      </c>
      <c r="E216" s="5">
        <f>IF('ORDENES'!$A194="","",IF('ORDENES'!$Y194="","-",'ORDENES'!$Y194))</f>
        <v/>
      </c>
      <c r="F216" s="5">
        <f>IF('ORDENES'!$A194="","",IF('ORDENES'!$AB194="","-",'ORDENES'!$AB194))</f>
        <v/>
      </c>
      <c r="G216" s="5">
        <f>IF('ORDENES'!$A194="","",IF('ORDENES'!$Z194="","-",'ORDENES'!$Z194))</f>
        <v/>
      </c>
      <c r="H216" s="5">
        <f>IF('ORDENES'!$A194="","",IF('ORDENES'!$AH194="","-",'ORDENES'!$AH194))</f>
        <v/>
      </c>
      <c r="I216" s="5">
        <f>IF('ORDENES'!$A194="","",IF('ORDENES'!$AU194="","-",'ORDENES'!$AU194))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3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IF('ORDENES'!$A194="","",'ORDENES'!$AG194)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IF('ORDENES'!$A195="","",IF('ORDENES'!$AI195="","-",'ORDENES'!$AI195))</f>
        <v/>
      </c>
      <c r="D217" s="5">
        <f>IF('ORDENES'!$A195="","",IF('ORDENES'!$AA195="","-",'ORDENES'!$AA195))</f>
        <v/>
      </c>
      <c r="E217" s="5">
        <f>IF('ORDENES'!$A195="","",IF('ORDENES'!$Y195="","-",'ORDENES'!$Y195))</f>
        <v/>
      </c>
      <c r="F217" s="5">
        <f>IF('ORDENES'!$A195="","",IF('ORDENES'!$AB195="","-",'ORDENES'!$AB195))</f>
        <v/>
      </c>
      <c r="G217" s="5">
        <f>IF('ORDENES'!$A195="","",IF('ORDENES'!$Z195="","-",'ORDENES'!$Z195))</f>
        <v/>
      </c>
      <c r="H217" s="5">
        <f>IF('ORDENES'!$A195="","",IF('ORDENES'!$AH195="","-",'ORDENES'!$AH195))</f>
        <v/>
      </c>
      <c r="I217" s="5">
        <f>IF('ORDENES'!$A195="","",IF('ORDENES'!$AU195="","-",'ORDENES'!$AU195))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3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IF('ORDENES'!$A195="","",'ORDENES'!$AG195)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IF('ORDENES'!$A196="","",IF('ORDENES'!$AI196="","-",'ORDENES'!$AI196))</f>
        <v/>
      </c>
      <c r="D218" s="5">
        <f>IF('ORDENES'!$A196="","",IF('ORDENES'!$AA196="","-",'ORDENES'!$AA196))</f>
        <v/>
      </c>
      <c r="E218" s="5">
        <f>IF('ORDENES'!$A196="","",IF('ORDENES'!$Y196="","-",'ORDENES'!$Y196))</f>
        <v/>
      </c>
      <c r="F218" s="5">
        <f>IF('ORDENES'!$A196="","",IF('ORDENES'!$AB196="","-",'ORDENES'!$AB196))</f>
        <v/>
      </c>
      <c r="G218" s="5">
        <f>IF('ORDENES'!$A196="","",IF('ORDENES'!$Z196="","-",'ORDENES'!$Z196))</f>
        <v/>
      </c>
      <c r="H218" s="5">
        <f>IF('ORDENES'!$A196="","",IF('ORDENES'!$AH196="","-",'ORDENES'!$AH196))</f>
        <v/>
      </c>
      <c r="I218" s="5">
        <f>IF('ORDENES'!$A196="","",IF('ORDENES'!$AU196="","-",'ORDENES'!$AU196))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3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IF('ORDENES'!$A196="","",'ORDENES'!$AG196)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IF('ORDENES'!$A197="","",IF('ORDENES'!$AI197="","-",'ORDENES'!$AI197))</f>
        <v/>
      </c>
      <c r="D219" s="5">
        <f>IF('ORDENES'!$A197="","",IF('ORDENES'!$AA197="","-",'ORDENES'!$AA197))</f>
        <v/>
      </c>
      <c r="E219" s="5">
        <f>IF('ORDENES'!$A197="","",IF('ORDENES'!$Y197="","-",'ORDENES'!$Y197))</f>
        <v/>
      </c>
      <c r="F219" s="5">
        <f>IF('ORDENES'!$A197="","",IF('ORDENES'!$AB197="","-",'ORDENES'!$AB197))</f>
        <v/>
      </c>
      <c r="G219" s="5">
        <f>IF('ORDENES'!$A197="","",IF('ORDENES'!$Z197="","-",'ORDENES'!$Z197))</f>
        <v/>
      </c>
      <c r="H219" s="5">
        <f>IF('ORDENES'!$A197="","",IF('ORDENES'!$AH197="","-",'ORDENES'!$AH197))</f>
        <v/>
      </c>
      <c r="I219" s="5">
        <f>IF('ORDENES'!$A197="","",IF('ORDENES'!$AU197="","-",'ORDENES'!$AU197))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3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IF('ORDENES'!$A197="","",'ORDENES'!$AG197)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IF('ORDENES'!$A198="","",IF('ORDENES'!$AI198="","-",'ORDENES'!$AI198))</f>
        <v/>
      </c>
      <c r="D220" s="5">
        <f>IF('ORDENES'!$A198="","",IF('ORDENES'!$AA198="","-",'ORDENES'!$AA198))</f>
        <v/>
      </c>
      <c r="E220" s="5">
        <f>IF('ORDENES'!$A198="","",IF('ORDENES'!$Y198="","-",'ORDENES'!$Y198))</f>
        <v/>
      </c>
      <c r="F220" s="5">
        <f>IF('ORDENES'!$A198="","",IF('ORDENES'!$AB198="","-",'ORDENES'!$AB198))</f>
        <v/>
      </c>
      <c r="G220" s="5">
        <f>IF('ORDENES'!$A198="","",IF('ORDENES'!$Z198="","-",'ORDENES'!$Z198))</f>
        <v/>
      </c>
      <c r="H220" s="5">
        <f>IF('ORDENES'!$A198="","",IF('ORDENES'!$AH198="","-",'ORDENES'!$AH198))</f>
        <v/>
      </c>
      <c r="I220" s="5">
        <f>IF('ORDENES'!$A198="","",IF('ORDENES'!$AU198="","-",'ORDENES'!$AU198))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3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IF('ORDENES'!$A198="","",'ORDENES'!$AG198)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IF('ORDENES'!$A199="","",IF('ORDENES'!$AI199="","-",'ORDENES'!$AI199))</f>
        <v/>
      </c>
      <c r="D221" s="5">
        <f>IF('ORDENES'!$A199="","",IF('ORDENES'!$AA199="","-",'ORDENES'!$AA199))</f>
        <v/>
      </c>
      <c r="E221" s="5">
        <f>IF('ORDENES'!$A199="","",IF('ORDENES'!$Y199="","-",'ORDENES'!$Y199))</f>
        <v/>
      </c>
      <c r="F221" s="5">
        <f>IF('ORDENES'!$A199="","",IF('ORDENES'!$AB199="","-",'ORDENES'!$AB199))</f>
        <v/>
      </c>
      <c r="G221" s="5">
        <f>IF('ORDENES'!$A199="","",IF('ORDENES'!$Z199="","-",'ORDENES'!$Z199))</f>
        <v/>
      </c>
      <c r="H221" s="5">
        <f>IF('ORDENES'!$A199="","",IF('ORDENES'!$AH199="","-",'ORDENES'!$AH199))</f>
        <v/>
      </c>
      <c r="I221" s="5">
        <f>IF('ORDENES'!$A199="","",IF('ORDENES'!$AU199="","-",'ORDENES'!$AU199))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3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IF('ORDENES'!$A199="","",'ORDENES'!$AG199)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IF('ORDENES'!$A200="","",IF('ORDENES'!$AI200="","-",'ORDENES'!$AI200))</f>
        <v/>
      </c>
      <c r="D222" s="5">
        <f>IF('ORDENES'!$A200="","",IF('ORDENES'!$AA200="","-",'ORDENES'!$AA200))</f>
        <v/>
      </c>
      <c r="E222" s="5">
        <f>IF('ORDENES'!$A200="","",IF('ORDENES'!$Y200="","-",'ORDENES'!$Y200))</f>
        <v/>
      </c>
      <c r="F222" s="5">
        <f>IF('ORDENES'!$A200="","",IF('ORDENES'!$AB200="","-",'ORDENES'!$AB200))</f>
        <v/>
      </c>
      <c r="G222" s="5">
        <f>IF('ORDENES'!$A200="","",IF('ORDENES'!$Z200="","-",'ORDENES'!$Z200))</f>
        <v/>
      </c>
      <c r="H222" s="5">
        <f>IF('ORDENES'!$A200="","",IF('ORDENES'!$AH200="","-",'ORDENES'!$AH200))</f>
        <v/>
      </c>
      <c r="I222" s="5">
        <f>IF('ORDENES'!$A200="","",IF('ORDENES'!$AU200="","-",'ORDENES'!$AU200))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3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IF('ORDENES'!$A200="","",'ORDENES'!$AG200)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IF('ORDENES'!$A201="","",IF('ORDENES'!$AI201="","-",'ORDENES'!$AI201))</f>
        <v/>
      </c>
      <c r="D223" s="5">
        <f>IF('ORDENES'!$A201="","",IF('ORDENES'!$AA201="","-",'ORDENES'!$AA201))</f>
        <v/>
      </c>
      <c r="E223" s="5">
        <f>IF('ORDENES'!$A201="","",IF('ORDENES'!$Y201="","-",'ORDENES'!$Y201))</f>
        <v/>
      </c>
      <c r="F223" s="5">
        <f>IF('ORDENES'!$A201="","",IF('ORDENES'!$AB201="","-",'ORDENES'!$AB201))</f>
        <v/>
      </c>
      <c r="G223" s="5">
        <f>IF('ORDENES'!$A201="","",IF('ORDENES'!$Z201="","-",'ORDENES'!$Z201))</f>
        <v/>
      </c>
      <c r="H223" s="5">
        <f>IF('ORDENES'!$A201="","",IF('ORDENES'!$AH201="","-",'ORDENES'!$AH201))</f>
        <v/>
      </c>
      <c r="I223" s="5">
        <f>IF('ORDENES'!$A201="","",IF('ORDENES'!$AU201="","-",'ORDENES'!$AU201))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3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IF('ORDENES'!$A201="","",'ORDENES'!$AG201)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IF('ORDENES'!$A202="","",IF('ORDENES'!$AI202="","-",'ORDENES'!$AI202))</f>
        <v/>
      </c>
      <c r="D224" s="5">
        <f>IF('ORDENES'!$A202="","",IF('ORDENES'!$AA202="","-",'ORDENES'!$AA202))</f>
        <v/>
      </c>
      <c r="E224" s="5">
        <f>IF('ORDENES'!$A202="","",IF('ORDENES'!$Y202="","-",'ORDENES'!$Y202))</f>
        <v/>
      </c>
      <c r="F224" s="5">
        <f>IF('ORDENES'!$A202="","",IF('ORDENES'!$AB202="","-",'ORDENES'!$AB202))</f>
        <v/>
      </c>
      <c r="G224" s="5">
        <f>IF('ORDENES'!$A202="","",IF('ORDENES'!$Z202="","-",'ORDENES'!$Z202))</f>
        <v/>
      </c>
      <c r="H224" s="5">
        <f>IF('ORDENES'!$A202="","",IF('ORDENES'!$AH202="","-",'ORDENES'!$AH202))</f>
        <v/>
      </c>
      <c r="I224" s="5">
        <f>IF('ORDENES'!$A202="","",IF('ORDENES'!$AU202="","-",'ORDENES'!$AU202))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3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IF('ORDENES'!$A202="","",'ORDENES'!$AG202)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IF('ORDENES'!$A203="","",IF('ORDENES'!$AI203="","-",'ORDENES'!$AI203))</f>
        <v/>
      </c>
      <c r="D225" s="5">
        <f>IF('ORDENES'!$A203="","",IF('ORDENES'!$AA203="","-",'ORDENES'!$AA203))</f>
        <v/>
      </c>
      <c r="E225" s="5">
        <f>IF('ORDENES'!$A203="","",IF('ORDENES'!$Y203="","-",'ORDENES'!$Y203))</f>
        <v/>
      </c>
      <c r="F225" s="5">
        <f>IF('ORDENES'!$A203="","",IF('ORDENES'!$AB203="","-",'ORDENES'!$AB203))</f>
        <v/>
      </c>
      <c r="G225" s="5">
        <f>IF('ORDENES'!$A203="","",IF('ORDENES'!$Z203="","-",'ORDENES'!$Z203))</f>
        <v/>
      </c>
      <c r="H225" s="5">
        <f>IF('ORDENES'!$A203="","",IF('ORDENES'!$AH203="","-",'ORDENES'!$AH203))</f>
        <v/>
      </c>
      <c r="I225" s="5">
        <f>IF('ORDENES'!$A203="","",IF('ORDENES'!$AU203="","-",'ORDENES'!$AU203))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3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IF('ORDENES'!$A203="","",'ORDENES'!$AG203)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IF('ORDENES'!$A204="","",IF('ORDENES'!$AI204="","-",'ORDENES'!$AI204))</f>
        <v/>
      </c>
      <c r="D226" s="5">
        <f>IF('ORDENES'!$A204="","",IF('ORDENES'!$AA204="","-",'ORDENES'!$AA204))</f>
        <v/>
      </c>
      <c r="E226" s="5">
        <f>IF('ORDENES'!$A204="","",IF('ORDENES'!$Y204="","-",'ORDENES'!$Y204))</f>
        <v/>
      </c>
      <c r="F226" s="5">
        <f>IF('ORDENES'!$A204="","",IF('ORDENES'!$AB204="","-",'ORDENES'!$AB204))</f>
        <v/>
      </c>
      <c r="G226" s="5">
        <f>IF('ORDENES'!$A204="","",IF('ORDENES'!$Z204="","-",'ORDENES'!$Z204))</f>
        <v/>
      </c>
      <c r="H226" s="5">
        <f>IF('ORDENES'!$A204="","",IF('ORDENES'!$AH204="","-",'ORDENES'!$AH204))</f>
        <v/>
      </c>
      <c r="I226" s="5">
        <f>IF('ORDENES'!$A204="","",IF('ORDENES'!$AU204="","-",'ORDENES'!$AU204))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3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IF('ORDENES'!$A204="","",'ORDENES'!$AG204)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IF('ORDENES'!$A205="","",IF('ORDENES'!$AI205="","-",'ORDENES'!$AI205))</f>
        <v/>
      </c>
      <c r="D227" s="5">
        <f>IF('ORDENES'!$A205="","",IF('ORDENES'!$AA205="","-",'ORDENES'!$AA205))</f>
        <v/>
      </c>
      <c r="E227" s="5">
        <f>IF('ORDENES'!$A205="","",IF('ORDENES'!$Y205="","-",'ORDENES'!$Y205))</f>
        <v/>
      </c>
      <c r="F227" s="5">
        <f>IF('ORDENES'!$A205="","",IF('ORDENES'!$AB205="","-",'ORDENES'!$AB205))</f>
        <v/>
      </c>
      <c r="G227" s="5">
        <f>IF('ORDENES'!$A205="","",IF('ORDENES'!$Z205="","-",'ORDENES'!$Z205))</f>
        <v/>
      </c>
      <c r="H227" s="5">
        <f>IF('ORDENES'!$A205="","",IF('ORDENES'!$AH205="","-",'ORDENES'!$AH205))</f>
        <v/>
      </c>
      <c r="I227" s="5">
        <f>IF('ORDENES'!$A205="","",IF('ORDENES'!$AU205="","-",'ORDENES'!$AU205))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3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IF('ORDENES'!$A205="","",'ORDENES'!$AG205)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IF('ORDENES'!$A206="","",IF('ORDENES'!$AI206="","-",'ORDENES'!$AI206))</f>
        <v/>
      </c>
      <c r="D228" s="5">
        <f>IF('ORDENES'!$A206="","",IF('ORDENES'!$AA206="","-",'ORDENES'!$AA206))</f>
        <v/>
      </c>
      <c r="E228" s="5">
        <f>IF('ORDENES'!$A206="","",IF('ORDENES'!$Y206="","-",'ORDENES'!$Y206))</f>
        <v/>
      </c>
      <c r="F228" s="5">
        <f>IF('ORDENES'!$A206="","",IF('ORDENES'!$AB206="","-",'ORDENES'!$AB206))</f>
        <v/>
      </c>
      <c r="G228" s="5">
        <f>IF('ORDENES'!$A206="","",IF('ORDENES'!$Z206="","-",'ORDENES'!$Z206))</f>
        <v/>
      </c>
      <c r="H228" s="5">
        <f>IF('ORDENES'!$A206="","",IF('ORDENES'!$AH206="","-",'ORDENES'!$AH206))</f>
        <v/>
      </c>
      <c r="I228" s="5">
        <f>IF('ORDENES'!$A206="","",IF('ORDENES'!$AU206="","-",'ORDENES'!$AU206))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3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IF('ORDENES'!$A206="","",'ORDENES'!$AG206)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IF('ORDENES'!$A207="","",IF('ORDENES'!$AI207="","-",'ORDENES'!$AI207))</f>
        <v/>
      </c>
      <c r="D229" s="5">
        <f>IF('ORDENES'!$A207="","",IF('ORDENES'!$AA207="","-",'ORDENES'!$AA207))</f>
        <v/>
      </c>
      <c r="E229" s="5">
        <f>IF('ORDENES'!$A207="","",IF('ORDENES'!$Y207="","-",'ORDENES'!$Y207))</f>
        <v/>
      </c>
      <c r="F229" s="5">
        <f>IF('ORDENES'!$A207="","",IF('ORDENES'!$AB207="","-",'ORDENES'!$AB207))</f>
        <v/>
      </c>
      <c r="G229" s="5">
        <f>IF('ORDENES'!$A207="","",IF('ORDENES'!$Z207="","-",'ORDENES'!$Z207))</f>
        <v/>
      </c>
      <c r="H229" s="5">
        <f>IF('ORDENES'!$A207="","",IF('ORDENES'!$AH207="","-",'ORDENES'!$AH207))</f>
        <v/>
      </c>
      <c r="I229" s="5">
        <f>IF('ORDENES'!$A207="","",IF('ORDENES'!$AU207="","-",'ORDENES'!$AU207))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3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IF('ORDENES'!$A207="","",'ORDENES'!$AG207)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IF('ORDENES'!$A208="","",IF('ORDENES'!$AI208="","-",'ORDENES'!$AI208))</f>
        <v/>
      </c>
      <c r="D230" s="5">
        <f>IF('ORDENES'!$A208="","",IF('ORDENES'!$AA208="","-",'ORDENES'!$AA208))</f>
        <v/>
      </c>
      <c r="E230" s="5">
        <f>IF('ORDENES'!$A208="","",IF('ORDENES'!$Y208="","-",'ORDENES'!$Y208))</f>
        <v/>
      </c>
      <c r="F230" s="5">
        <f>IF('ORDENES'!$A208="","",IF('ORDENES'!$AB208="","-",'ORDENES'!$AB208))</f>
        <v/>
      </c>
      <c r="G230" s="5">
        <f>IF('ORDENES'!$A208="","",IF('ORDENES'!$Z208="","-",'ORDENES'!$Z208))</f>
        <v/>
      </c>
      <c r="H230" s="5">
        <f>IF('ORDENES'!$A208="","",IF('ORDENES'!$AH208="","-",'ORDENES'!$AH208))</f>
        <v/>
      </c>
      <c r="I230" s="5">
        <f>IF('ORDENES'!$A208="","",IF('ORDENES'!$AU208="","-",'ORDENES'!$AU208))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3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IF('ORDENES'!$A208="","",'ORDENES'!$AG208)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IF('ORDENES'!$A209="","",IF('ORDENES'!$AI209="","-",'ORDENES'!$AI209))</f>
        <v/>
      </c>
      <c r="D231" s="5">
        <f>IF('ORDENES'!$A209="","",IF('ORDENES'!$AA209="","-",'ORDENES'!$AA209))</f>
        <v/>
      </c>
      <c r="E231" s="5">
        <f>IF('ORDENES'!$A209="","",IF('ORDENES'!$Y209="","-",'ORDENES'!$Y209))</f>
        <v/>
      </c>
      <c r="F231" s="5">
        <f>IF('ORDENES'!$A209="","",IF('ORDENES'!$AB209="","-",'ORDENES'!$AB209))</f>
        <v/>
      </c>
      <c r="G231" s="5">
        <f>IF('ORDENES'!$A209="","",IF('ORDENES'!$Z209="","-",'ORDENES'!$Z209))</f>
        <v/>
      </c>
      <c r="H231" s="5">
        <f>IF('ORDENES'!$A209="","",IF('ORDENES'!$AH209="","-",'ORDENES'!$AH209))</f>
        <v/>
      </c>
      <c r="I231" s="5">
        <f>IF('ORDENES'!$A209="","",IF('ORDENES'!$AU209="","-",'ORDENES'!$AU209))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3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IF('ORDENES'!$A209="","",'ORDENES'!$AG209)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IF('ORDENES'!$A210="","",IF('ORDENES'!$AI210="","-",'ORDENES'!$AI210))</f>
        <v/>
      </c>
      <c r="D232" s="5">
        <f>IF('ORDENES'!$A210="","",IF('ORDENES'!$AA210="","-",'ORDENES'!$AA210))</f>
        <v/>
      </c>
      <c r="E232" s="5">
        <f>IF('ORDENES'!$A210="","",IF('ORDENES'!$Y210="","-",'ORDENES'!$Y210))</f>
        <v/>
      </c>
      <c r="F232" s="5">
        <f>IF('ORDENES'!$A210="","",IF('ORDENES'!$AB210="","-",'ORDENES'!$AB210))</f>
        <v/>
      </c>
      <c r="G232" s="5">
        <f>IF('ORDENES'!$A210="","",IF('ORDENES'!$Z210="","-",'ORDENES'!$Z210))</f>
        <v/>
      </c>
      <c r="H232" s="5">
        <f>IF('ORDENES'!$A210="","",IF('ORDENES'!$AH210="","-",'ORDENES'!$AH210))</f>
        <v/>
      </c>
      <c r="I232" s="5">
        <f>IF('ORDENES'!$A210="","",IF('ORDENES'!$AU210="","-",'ORDENES'!$AU210))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3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IF('ORDENES'!$A210="","",'ORDENES'!$AG210)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IF('ORDENES'!$A211="","",IF('ORDENES'!$AI211="","-",'ORDENES'!$AI211))</f>
        <v/>
      </c>
      <c r="D233" s="5">
        <f>IF('ORDENES'!$A211="","",IF('ORDENES'!$AA211="","-",'ORDENES'!$AA211))</f>
        <v/>
      </c>
      <c r="E233" s="5">
        <f>IF('ORDENES'!$A211="","",IF('ORDENES'!$Y211="","-",'ORDENES'!$Y211))</f>
        <v/>
      </c>
      <c r="F233" s="5">
        <f>IF('ORDENES'!$A211="","",IF('ORDENES'!$AB211="","-",'ORDENES'!$AB211))</f>
        <v/>
      </c>
      <c r="G233" s="5">
        <f>IF('ORDENES'!$A211="","",IF('ORDENES'!$Z211="","-",'ORDENES'!$Z211))</f>
        <v/>
      </c>
      <c r="H233" s="5">
        <f>IF('ORDENES'!$A211="","",IF('ORDENES'!$AH211="","-",'ORDENES'!$AH211))</f>
        <v/>
      </c>
      <c r="I233" s="5">
        <f>IF('ORDENES'!$A211="","",IF('ORDENES'!$AU211="","-",'ORDENES'!$AU211))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3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IF('ORDENES'!$A211="","",'ORDENES'!$AG211)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IF('ORDENES'!$A212="","",IF('ORDENES'!$AI212="","-",'ORDENES'!$AI212))</f>
        <v/>
      </c>
      <c r="D234" s="5">
        <f>IF('ORDENES'!$A212="","",IF('ORDENES'!$AA212="","-",'ORDENES'!$AA212))</f>
        <v/>
      </c>
      <c r="E234" s="5">
        <f>IF('ORDENES'!$A212="","",IF('ORDENES'!$Y212="","-",'ORDENES'!$Y212))</f>
        <v/>
      </c>
      <c r="F234" s="5">
        <f>IF('ORDENES'!$A212="","",IF('ORDENES'!$AB212="","-",'ORDENES'!$AB212))</f>
        <v/>
      </c>
      <c r="G234" s="5">
        <f>IF('ORDENES'!$A212="","",IF('ORDENES'!$Z212="","-",'ORDENES'!$Z212))</f>
        <v/>
      </c>
      <c r="H234" s="5">
        <f>IF('ORDENES'!$A212="","",IF('ORDENES'!$AH212="","-",'ORDENES'!$AH212))</f>
        <v/>
      </c>
      <c r="I234" s="5">
        <f>IF('ORDENES'!$A212="","",IF('ORDENES'!$AU212="","-",'ORDENES'!$AU212))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3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IF('ORDENES'!$A212="","",'ORDENES'!$AG212)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IF('ORDENES'!$A213="","",IF('ORDENES'!$AI213="","-",'ORDENES'!$AI213))</f>
        <v/>
      </c>
      <c r="D235" s="5">
        <f>IF('ORDENES'!$A213="","",IF('ORDENES'!$AA213="","-",'ORDENES'!$AA213))</f>
        <v/>
      </c>
      <c r="E235" s="5">
        <f>IF('ORDENES'!$A213="","",IF('ORDENES'!$Y213="","-",'ORDENES'!$Y213))</f>
        <v/>
      </c>
      <c r="F235" s="5">
        <f>IF('ORDENES'!$A213="","",IF('ORDENES'!$AB213="","-",'ORDENES'!$AB213))</f>
        <v/>
      </c>
      <c r="G235" s="5">
        <f>IF('ORDENES'!$A213="","",IF('ORDENES'!$Z213="","-",'ORDENES'!$Z213))</f>
        <v/>
      </c>
      <c r="H235" s="5">
        <f>IF('ORDENES'!$A213="","",IF('ORDENES'!$AH213="","-",'ORDENES'!$AH213))</f>
        <v/>
      </c>
      <c r="I235" s="5">
        <f>IF('ORDENES'!$A213="","",IF('ORDENES'!$AU213="","-",'ORDENES'!$AU213))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3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IF('ORDENES'!$A213="","",'ORDENES'!$AG213)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IF('ORDENES'!$A214="","",IF('ORDENES'!$AI214="","-",'ORDENES'!$AI214))</f>
        <v/>
      </c>
      <c r="D236" s="5">
        <f>IF('ORDENES'!$A214="","",IF('ORDENES'!$AA214="","-",'ORDENES'!$AA214))</f>
        <v/>
      </c>
      <c r="E236" s="5">
        <f>IF('ORDENES'!$A214="","",IF('ORDENES'!$Y214="","-",'ORDENES'!$Y214))</f>
        <v/>
      </c>
      <c r="F236" s="5">
        <f>IF('ORDENES'!$A214="","",IF('ORDENES'!$AB214="","-",'ORDENES'!$AB214))</f>
        <v/>
      </c>
      <c r="G236" s="5">
        <f>IF('ORDENES'!$A214="","",IF('ORDENES'!$Z214="","-",'ORDENES'!$Z214))</f>
        <v/>
      </c>
      <c r="H236" s="5">
        <f>IF('ORDENES'!$A214="","",IF('ORDENES'!$AH214="","-",'ORDENES'!$AH214))</f>
        <v/>
      </c>
      <c r="I236" s="5">
        <f>IF('ORDENES'!$A214="","",IF('ORDENES'!$AU214="","-",'ORDENES'!$AU214))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3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IF('ORDENES'!$A214="","",'ORDENES'!$AG214)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IF('ORDENES'!$A215="","",IF('ORDENES'!$AI215="","-",'ORDENES'!$AI215))</f>
        <v/>
      </c>
      <c r="D237" s="5">
        <f>IF('ORDENES'!$A215="","",IF('ORDENES'!$AA215="","-",'ORDENES'!$AA215))</f>
        <v/>
      </c>
      <c r="E237" s="5">
        <f>IF('ORDENES'!$A215="","",IF('ORDENES'!$Y215="","-",'ORDENES'!$Y215))</f>
        <v/>
      </c>
      <c r="F237" s="5">
        <f>IF('ORDENES'!$A215="","",IF('ORDENES'!$AB215="","-",'ORDENES'!$AB215))</f>
        <v/>
      </c>
      <c r="G237" s="5">
        <f>IF('ORDENES'!$A215="","",IF('ORDENES'!$Z215="","-",'ORDENES'!$Z215))</f>
        <v/>
      </c>
      <c r="H237" s="5">
        <f>IF('ORDENES'!$A215="","",IF('ORDENES'!$AH215="","-",'ORDENES'!$AH215))</f>
        <v/>
      </c>
      <c r="I237" s="5">
        <f>IF('ORDENES'!$A215="","",IF('ORDENES'!$AU215="","-",'ORDENES'!$AU215))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3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IF('ORDENES'!$A215="","",'ORDENES'!$AG215)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IF('ORDENES'!$A216="","",IF('ORDENES'!$AI216="","-",'ORDENES'!$AI216))</f>
        <v/>
      </c>
      <c r="D238" s="5">
        <f>IF('ORDENES'!$A216="","",IF('ORDENES'!$AA216="","-",'ORDENES'!$AA216))</f>
        <v/>
      </c>
      <c r="E238" s="5">
        <f>IF('ORDENES'!$A216="","",IF('ORDENES'!$Y216="","-",'ORDENES'!$Y216))</f>
        <v/>
      </c>
      <c r="F238" s="5">
        <f>IF('ORDENES'!$A216="","",IF('ORDENES'!$AB216="","-",'ORDENES'!$AB216))</f>
        <v/>
      </c>
      <c r="G238" s="5">
        <f>IF('ORDENES'!$A216="","",IF('ORDENES'!$Z216="","-",'ORDENES'!$Z216))</f>
        <v/>
      </c>
      <c r="H238" s="5">
        <f>IF('ORDENES'!$A216="","",IF('ORDENES'!$AH216="","-",'ORDENES'!$AH216))</f>
        <v/>
      </c>
      <c r="I238" s="5">
        <f>IF('ORDENES'!$A216="","",IF('ORDENES'!$AU216="","-",'ORDENES'!$AU216))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3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IF('ORDENES'!$A216="","",'ORDENES'!$AG216)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IF('ORDENES'!$A217="","",IF('ORDENES'!$AI217="","-",'ORDENES'!$AI217))</f>
        <v/>
      </c>
      <c r="D239" s="5">
        <f>IF('ORDENES'!$A217="","",IF('ORDENES'!$AA217="","-",'ORDENES'!$AA217))</f>
        <v/>
      </c>
      <c r="E239" s="5">
        <f>IF('ORDENES'!$A217="","",IF('ORDENES'!$Y217="","-",'ORDENES'!$Y217))</f>
        <v/>
      </c>
      <c r="F239" s="5">
        <f>IF('ORDENES'!$A217="","",IF('ORDENES'!$AB217="","-",'ORDENES'!$AB217))</f>
        <v/>
      </c>
      <c r="G239" s="5">
        <f>IF('ORDENES'!$A217="","",IF('ORDENES'!$Z217="","-",'ORDENES'!$Z217))</f>
        <v/>
      </c>
      <c r="H239" s="5">
        <f>IF('ORDENES'!$A217="","",IF('ORDENES'!$AH217="","-",'ORDENES'!$AH217))</f>
        <v/>
      </c>
      <c r="I239" s="5">
        <f>IF('ORDENES'!$A217="","",IF('ORDENES'!$AU217="","-",'ORDENES'!$AU217))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3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IF('ORDENES'!$A217="","",'ORDENES'!$AG217)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IF('ORDENES'!$A218="","",IF('ORDENES'!$AI218="","-",'ORDENES'!$AI218))</f>
        <v/>
      </c>
      <c r="D240" s="5">
        <f>IF('ORDENES'!$A218="","",IF('ORDENES'!$AA218="","-",'ORDENES'!$AA218))</f>
        <v/>
      </c>
      <c r="E240" s="5">
        <f>IF('ORDENES'!$A218="","",IF('ORDENES'!$Y218="","-",'ORDENES'!$Y218))</f>
        <v/>
      </c>
      <c r="F240" s="5">
        <f>IF('ORDENES'!$A218="","",IF('ORDENES'!$AB218="","-",'ORDENES'!$AB218))</f>
        <v/>
      </c>
      <c r="G240" s="5">
        <f>IF('ORDENES'!$A218="","",IF('ORDENES'!$Z218="","-",'ORDENES'!$Z218))</f>
        <v/>
      </c>
      <c r="H240" s="5">
        <f>IF('ORDENES'!$A218="","",IF('ORDENES'!$AH218="","-",'ORDENES'!$AH218))</f>
        <v/>
      </c>
      <c r="I240" s="5">
        <f>IF('ORDENES'!$A218="","",IF('ORDENES'!$AU218="","-",'ORDENES'!$AU218))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3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IF('ORDENES'!$A218="","",'ORDENES'!$AG218)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IF('ORDENES'!$A219="","",IF('ORDENES'!$AI219="","-",'ORDENES'!$AI219))</f>
        <v/>
      </c>
      <c r="D241" s="5">
        <f>IF('ORDENES'!$A219="","",IF('ORDENES'!$AA219="","-",'ORDENES'!$AA219))</f>
        <v/>
      </c>
      <c r="E241" s="5">
        <f>IF('ORDENES'!$A219="","",IF('ORDENES'!$Y219="","-",'ORDENES'!$Y219))</f>
        <v/>
      </c>
      <c r="F241" s="5">
        <f>IF('ORDENES'!$A219="","",IF('ORDENES'!$AB219="","-",'ORDENES'!$AB219))</f>
        <v/>
      </c>
      <c r="G241" s="5">
        <f>IF('ORDENES'!$A219="","",IF('ORDENES'!$Z219="","-",'ORDENES'!$Z219))</f>
        <v/>
      </c>
      <c r="H241" s="5">
        <f>IF('ORDENES'!$A219="","",IF('ORDENES'!$AH219="","-",'ORDENES'!$AH219))</f>
        <v/>
      </c>
      <c r="I241" s="5">
        <f>IF('ORDENES'!$A219="","",IF('ORDENES'!$AU219="","-",'ORDENES'!$AU219))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3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IF('ORDENES'!$A219="","",'ORDENES'!$AG219)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IF('ORDENES'!$A220="","",IF('ORDENES'!$AI220="","-",'ORDENES'!$AI220))</f>
        <v/>
      </c>
      <c r="D242" s="5">
        <f>IF('ORDENES'!$A220="","",IF('ORDENES'!$AA220="","-",'ORDENES'!$AA220))</f>
        <v/>
      </c>
      <c r="E242" s="5">
        <f>IF('ORDENES'!$A220="","",IF('ORDENES'!$Y220="","-",'ORDENES'!$Y220))</f>
        <v/>
      </c>
      <c r="F242" s="5">
        <f>IF('ORDENES'!$A220="","",IF('ORDENES'!$AB220="","-",'ORDENES'!$AB220))</f>
        <v/>
      </c>
      <c r="G242" s="5">
        <f>IF('ORDENES'!$A220="","",IF('ORDENES'!$Z220="","-",'ORDENES'!$Z220))</f>
        <v/>
      </c>
      <c r="H242" s="5">
        <f>IF('ORDENES'!$A220="","",IF('ORDENES'!$AH220="","-",'ORDENES'!$AH220))</f>
        <v/>
      </c>
      <c r="I242" s="5">
        <f>IF('ORDENES'!$A220="","",IF('ORDENES'!$AU220="","-",'ORDENES'!$AU220))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3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IF('ORDENES'!$A220="","",'ORDENES'!$AG220)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IF('ORDENES'!$A221="","",IF('ORDENES'!$AI221="","-",'ORDENES'!$AI221))</f>
        <v/>
      </c>
      <c r="D243" s="5">
        <f>IF('ORDENES'!$A221="","",IF('ORDENES'!$AA221="","-",'ORDENES'!$AA221))</f>
        <v/>
      </c>
      <c r="E243" s="5">
        <f>IF('ORDENES'!$A221="","",IF('ORDENES'!$Y221="","-",'ORDENES'!$Y221))</f>
        <v/>
      </c>
      <c r="F243" s="5">
        <f>IF('ORDENES'!$A221="","",IF('ORDENES'!$AB221="","-",'ORDENES'!$AB221))</f>
        <v/>
      </c>
      <c r="G243" s="5">
        <f>IF('ORDENES'!$A221="","",IF('ORDENES'!$Z221="","-",'ORDENES'!$Z221))</f>
        <v/>
      </c>
      <c r="H243" s="5">
        <f>IF('ORDENES'!$A221="","",IF('ORDENES'!$AH221="","-",'ORDENES'!$AH221))</f>
        <v/>
      </c>
      <c r="I243" s="5">
        <f>IF('ORDENES'!$A221="","",IF('ORDENES'!$AU221="","-",'ORDENES'!$AU221))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3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IF('ORDENES'!$A221="","",'ORDENES'!$AG221)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IF('ORDENES'!$A222="","",IF('ORDENES'!$AI222="","-",'ORDENES'!$AI222))</f>
        <v/>
      </c>
      <c r="D244" s="5">
        <f>IF('ORDENES'!$A222="","",IF('ORDENES'!$AA222="","-",'ORDENES'!$AA222))</f>
        <v/>
      </c>
      <c r="E244" s="5">
        <f>IF('ORDENES'!$A222="","",IF('ORDENES'!$Y222="","-",'ORDENES'!$Y222))</f>
        <v/>
      </c>
      <c r="F244" s="5">
        <f>IF('ORDENES'!$A222="","",IF('ORDENES'!$AB222="","-",'ORDENES'!$AB222))</f>
        <v/>
      </c>
      <c r="G244" s="5">
        <f>IF('ORDENES'!$A222="","",IF('ORDENES'!$Z222="","-",'ORDENES'!$Z222))</f>
        <v/>
      </c>
      <c r="H244" s="5">
        <f>IF('ORDENES'!$A222="","",IF('ORDENES'!$AH222="","-",'ORDENES'!$AH222))</f>
        <v/>
      </c>
      <c r="I244" s="5">
        <f>IF('ORDENES'!$A222="","",IF('ORDENES'!$AU222="","-",'ORDENES'!$AU222))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3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IF('ORDENES'!$A222="","",'ORDENES'!$AG222)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IF('ORDENES'!$A223="","",IF('ORDENES'!$AI223="","-",'ORDENES'!$AI223))</f>
        <v/>
      </c>
      <c r="D245" s="5">
        <f>IF('ORDENES'!$A223="","",IF('ORDENES'!$AA223="","-",'ORDENES'!$AA223))</f>
        <v/>
      </c>
      <c r="E245" s="5">
        <f>IF('ORDENES'!$A223="","",IF('ORDENES'!$Y223="","-",'ORDENES'!$Y223))</f>
        <v/>
      </c>
      <c r="F245" s="5">
        <f>IF('ORDENES'!$A223="","",IF('ORDENES'!$AB223="","-",'ORDENES'!$AB223))</f>
        <v/>
      </c>
      <c r="G245" s="5">
        <f>IF('ORDENES'!$A223="","",IF('ORDENES'!$Z223="","-",'ORDENES'!$Z223))</f>
        <v/>
      </c>
      <c r="H245" s="5">
        <f>IF('ORDENES'!$A223="","",IF('ORDENES'!$AH223="","-",'ORDENES'!$AH223))</f>
        <v/>
      </c>
      <c r="I245" s="5">
        <f>IF('ORDENES'!$A223="","",IF('ORDENES'!$AU223="","-",'ORDENES'!$AU223))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3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IF('ORDENES'!$A223="","",'ORDENES'!$AG223)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IF('ORDENES'!$A224="","",IF('ORDENES'!$AI224="","-",'ORDENES'!$AI224))</f>
        <v/>
      </c>
      <c r="D246" s="5">
        <f>IF('ORDENES'!$A224="","",IF('ORDENES'!$AA224="","-",'ORDENES'!$AA224))</f>
        <v/>
      </c>
      <c r="E246" s="5">
        <f>IF('ORDENES'!$A224="","",IF('ORDENES'!$Y224="","-",'ORDENES'!$Y224))</f>
        <v/>
      </c>
      <c r="F246" s="5">
        <f>IF('ORDENES'!$A224="","",IF('ORDENES'!$AB224="","-",'ORDENES'!$AB224))</f>
        <v/>
      </c>
      <c r="G246" s="5">
        <f>IF('ORDENES'!$A224="","",IF('ORDENES'!$Z224="","-",'ORDENES'!$Z224))</f>
        <v/>
      </c>
      <c r="H246" s="5">
        <f>IF('ORDENES'!$A224="","",IF('ORDENES'!$AH224="","-",'ORDENES'!$AH224))</f>
        <v/>
      </c>
      <c r="I246" s="5">
        <f>IF('ORDENES'!$A224="","",IF('ORDENES'!$AU224="","-",'ORDENES'!$AU224))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3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IF('ORDENES'!$A224="","",'ORDENES'!$AG224)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IF('ORDENES'!$A225="","",IF('ORDENES'!$AI225="","-",'ORDENES'!$AI225))</f>
        <v/>
      </c>
      <c r="D247" s="5">
        <f>IF('ORDENES'!$A225="","",IF('ORDENES'!$AA225="","-",'ORDENES'!$AA225))</f>
        <v/>
      </c>
      <c r="E247" s="5">
        <f>IF('ORDENES'!$A225="","",IF('ORDENES'!$Y225="","-",'ORDENES'!$Y225))</f>
        <v/>
      </c>
      <c r="F247" s="5">
        <f>IF('ORDENES'!$A225="","",IF('ORDENES'!$AB225="","-",'ORDENES'!$AB225))</f>
        <v/>
      </c>
      <c r="G247" s="5">
        <f>IF('ORDENES'!$A225="","",IF('ORDENES'!$Z225="","-",'ORDENES'!$Z225))</f>
        <v/>
      </c>
      <c r="H247" s="5">
        <f>IF('ORDENES'!$A225="","",IF('ORDENES'!$AH225="","-",'ORDENES'!$AH225))</f>
        <v/>
      </c>
      <c r="I247" s="5">
        <f>IF('ORDENES'!$A225="","",IF('ORDENES'!$AU225="","-",'ORDENES'!$AU225))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3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IF('ORDENES'!$A225="","",'ORDENES'!$AG225)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IF('ORDENES'!$A226="","",IF('ORDENES'!$AI226="","-",'ORDENES'!$AI226))</f>
        <v/>
      </c>
      <c r="D248" s="5">
        <f>IF('ORDENES'!$A226="","",IF('ORDENES'!$AA226="","-",'ORDENES'!$AA226))</f>
        <v/>
      </c>
      <c r="E248" s="5">
        <f>IF('ORDENES'!$A226="","",IF('ORDENES'!$Y226="","-",'ORDENES'!$Y226))</f>
        <v/>
      </c>
      <c r="F248" s="5">
        <f>IF('ORDENES'!$A226="","",IF('ORDENES'!$AB226="","-",'ORDENES'!$AB226))</f>
        <v/>
      </c>
      <c r="G248" s="5">
        <f>IF('ORDENES'!$A226="","",IF('ORDENES'!$Z226="","-",'ORDENES'!$Z226))</f>
        <v/>
      </c>
      <c r="H248" s="5">
        <f>IF('ORDENES'!$A226="","",IF('ORDENES'!$AH226="","-",'ORDENES'!$AH226))</f>
        <v/>
      </c>
      <c r="I248" s="5">
        <f>IF('ORDENES'!$A226="","",IF('ORDENES'!$AU226="","-",'ORDENES'!$AU226))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3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IF('ORDENES'!$A226="","",'ORDENES'!$AG226)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IF('ORDENES'!$A227="","",IF('ORDENES'!$AI227="","-",'ORDENES'!$AI227))</f>
        <v/>
      </c>
      <c r="D249" s="5">
        <f>IF('ORDENES'!$A227="","",IF('ORDENES'!$AA227="","-",'ORDENES'!$AA227))</f>
        <v/>
      </c>
      <c r="E249" s="5">
        <f>IF('ORDENES'!$A227="","",IF('ORDENES'!$Y227="","-",'ORDENES'!$Y227))</f>
        <v/>
      </c>
      <c r="F249" s="5">
        <f>IF('ORDENES'!$A227="","",IF('ORDENES'!$AB227="","-",'ORDENES'!$AB227))</f>
        <v/>
      </c>
      <c r="G249" s="5">
        <f>IF('ORDENES'!$A227="","",IF('ORDENES'!$Z227="","-",'ORDENES'!$Z227))</f>
        <v/>
      </c>
      <c r="H249" s="5">
        <f>IF('ORDENES'!$A227="","",IF('ORDENES'!$AH227="","-",'ORDENES'!$AH227))</f>
        <v/>
      </c>
      <c r="I249" s="5">
        <f>IF('ORDENES'!$A227="","",IF('ORDENES'!$AU227="","-",'ORDENES'!$AU227))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3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IF('ORDENES'!$A227="","",'ORDENES'!$AG227)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IF('ORDENES'!$A228="","",IF('ORDENES'!$AI228="","-",'ORDENES'!$AI228))</f>
        <v/>
      </c>
      <c r="D250" s="5">
        <f>IF('ORDENES'!$A228="","",IF('ORDENES'!$AA228="","-",'ORDENES'!$AA228))</f>
        <v/>
      </c>
      <c r="E250" s="5">
        <f>IF('ORDENES'!$A228="","",IF('ORDENES'!$Y228="","-",'ORDENES'!$Y228))</f>
        <v/>
      </c>
      <c r="F250" s="5">
        <f>IF('ORDENES'!$A228="","",IF('ORDENES'!$AB228="","-",'ORDENES'!$AB228))</f>
        <v/>
      </c>
      <c r="G250" s="5">
        <f>IF('ORDENES'!$A228="","",IF('ORDENES'!$Z228="","-",'ORDENES'!$Z228))</f>
        <v/>
      </c>
      <c r="H250" s="5">
        <f>IF('ORDENES'!$A228="","",IF('ORDENES'!$AH228="","-",'ORDENES'!$AH228))</f>
        <v/>
      </c>
      <c r="I250" s="5">
        <f>IF('ORDENES'!$A228="","",IF('ORDENES'!$AU228="","-",'ORDENES'!$AU228))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3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IF('ORDENES'!$A228="","",'ORDENES'!$AG228)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IF('ORDENES'!$A229="","",IF('ORDENES'!$AI229="","-",'ORDENES'!$AI229))</f>
        <v/>
      </c>
      <c r="D251" s="5">
        <f>IF('ORDENES'!$A229="","",IF('ORDENES'!$AA229="","-",'ORDENES'!$AA229))</f>
        <v/>
      </c>
      <c r="E251" s="5">
        <f>IF('ORDENES'!$A229="","",IF('ORDENES'!$Y229="","-",'ORDENES'!$Y229))</f>
        <v/>
      </c>
      <c r="F251" s="5">
        <f>IF('ORDENES'!$A229="","",IF('ORDENES'!$AB229="","-",'ORDENES'!$AB229))</f>
        <v/>
      </c>
      <c r="G251" s="5">
        <f>IF('ORDENES'!$A229="","",IF('ORDENES'!$Z229="","-",'ORDENES'!$Z229))</f>
        <v/>
      </c>
      <c r="H251" s="5">
        <f>IF('ORDENES'!$A229="","",IF('ORDENES'!$AH229="","-",'ORDENES'!$AH229))</f>
        <v/>
      </c>
      <c r="I251" s="5">
        <f>IF('ORDENES'!$A229="","",IF('ORDENES'!$AU229="","-",'ORDENES'!$AU229))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3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IF('ORDENES'!$A229="","",'ORDENES'!$AG229)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IF('ORDENES'!$A230="","",IF('ORDENES'!$AI230="","-",'ORDENES'!$AI230))</f>
        <v/>
      </c>
      <c r="D252" s="5">
        <f>IF('ORDENES'!$A230="","",IF('ORDENES'!$AA230="","-",'ORDENES'!$AA230))</f>
        <v/>
      </c>
      <c r="E252" s="5">
        <f>IF('ORDENES'!$A230="","",IF('ORDENES'!$Y230="","-",'ORDENES'!$Y230))</f>
        <v/>
      </c>
      <c r="F252" s="5">
        <f>IF('ORDENES'!$A230="","",IF('ORDENES'!$AB230="","-",'ORDENES'!$AB230))</f>
        <v/>
      </c>
      <c r="G252" s="5">
        <f>IF('ORDENES'!$A230="","",IF('ORDENES'!$Z230="","-",'ORDENES'!$Z230))</f>
        <v/>
      </c>
      <c r="H252" s="5">
        <f>IF('ORDENES'!$A230="","",IF('ORDENES'!$AH230="","-",'ORDENES'!$AH230))</f>
        <v/>
      </c>
      <c r="I252" s="5">
        <f>IF('ORDENES'!$A230="","",IF('ORDENES'!$AU230="","-",'ORDENES'!$AU230))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3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IF('ORDENES'!$A230="","",'ORDENES'!$AG230)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IF('ORDENES'!$A231="","",IF('ORDENES'!$AI231="","-",'ORDENES'!$AI231))</f>
        <v/>
      </c>
      <c r="D253" s="5">
        <f>IF('ORDENES'!$A231="","",IF('ORDENES'!$AA231="","-",'ORDENES'!$AA231))</f>
        <v/>
      </c>
      <c r="E253" s="5">
        <f>IF('ORDENES'!$A231="","",IF('ORDENES'!$Y231="","-",'ORDENES'!$Y231))</f>
        <v/>
      </c>
      <c r="F253" s="5">
        <f>IF('ORDENES'!$A231="","",IF('ORDENES'!$AB231="","-",'ORDENES'!$AB231))</f>
        <v/>
      </c>
      <c r="G253" s="5">
        <f>IF('ORDENES'!$A231="","",IF('ORDENES'!$Z231="","-",'ORDENES'!$Z231))</f>
        <v/>
      </c>
      <c r="H253" s="5">
        <f>IF('ORDENES'!$A231="","",IF('ORDENES'!$AH231="","-",'ORDENES'!$AH231))</f>
        <v/>
      </c>
      <c r="I253" s="5">
        <f>IF('ORDENES'!$A231="","",IF('ORDENES'!$AU231="","-",'ORDENES'!$AU231))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3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IF('ORDENES'!$A231="","",'ORDENES'!$AG231)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IF('ORDENES'!$A232="","",IF('ORDENES'!$AI232="","-",'ORDENES'!$AI232))</f>
        <v/>
      </c>
      <c r="D254" s="5">
        <f>IF('ORDENES'!$A232="","",IF('ORDENES'!$AA232="","-",'ORDENES'!$AA232))</f>
        <v/>
      </c>
      <c r="E254" s="5">
        <f>IF('ORDENES'!$A232="","",IF('ORDENES'!$Y232="","-",'ORDENES'!$Y232))</f>
        <v/>
      </c>
      <c r="F254" s="5">
        <f>IF('ORDENES'!$A232="","",IF('ORDENES'!$AB232="","-",'ORDENES'!$AB232))</f>
        <v/>
      </c>
      <c r="G254" s="5">
        <f>IF('ORDENES'!$A232="","",IF('ORDENES'!$Z232="","-",'ORDENES'!$Z232))</f>
        <v/>
      </c>
      <c r="H254" s="5">
        <f>IF('ORDENES'!$A232="","",IF('ORDENES'!$AH232="","-",'ORDENES'!$AH232))</f>
        <v/>
      </c>
      <c r="I254" s="5">
        <f>IF('ORDENES'!$A232="","",IF('ORDENES'!$AU232="","-",'ORDENES'!$AU232))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3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IF('ORDENES'!$A232="","",'ORDENES'!$AG232)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IF('ORDENES'!$A233="","",IF('ORDENES'!$AI233="","-",'ORDENES'!$AI233))</f>
        <v/>
      </c>
      <c r="D255" s="5">
        <f>IF('ORDENES'!$A233="","",IF('ORDENES'!$AA233="","-",'ORDENES'!$AA233))</f>
        <v/>
      </c>
      <c r="E255" s="5">
        <f>IF('ORDENES'!$A233="","",IF('ORDENES'!$Y233="","-",'ORDENES'!$Y233))</f>
        <v/>
      </c>
      <c r="F255" s="5">
        <f>IF('ORDENES'!$A233="","",IF('ORDENES'!$AB233="","-",'ORDENES'!$AB233))</f>
        <v/>
      </c>
      <c r="G255" s="5">
        <f>IF('ORDENES'!$A233="","",IF('ORDENES'!$Z233="","-",'ORDENES'!$Z233))</f>
        <v/>
      </c>
      <c r="H255" s="5">
        <f>IF('ORDENES'!$A233="","",IF('ORDENES'!$AH233="","-",'ORDENES'!$AH233))</f>
        <v/>
      </c>
      <c r="I255" s="5">
        <f>IF('ORDENES'!$A233="","",IF('ORDENES'!$AU233="","-",'ORDENES'!$AU233))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3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IF('ORDENES'!$A233="","",'ORDENES'!$AG233)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IF('ORDENES'!$A234="","",IF('ORDENES'!$AI234="","-",'ORDENES'!$AI234))</f>
        <v/>
      </c>
      <c r="D256" s="5">
        <f>IF('ORDENES'!$A234="","",IF('ORDENES'!$AA234="","-",'ORDENES'!$AA234))</f>
        <v/>
      </c>
      <c r="E256" s="5">
        <f>IF('ORDENES'!$A234="","",IF('ORDENES'!$Y234="","-",'ORDENES'!$Y234))</f>
        <v/>
      </c>
      <c r="F256" s="5">
        <f>IF('ORDENES'!$A234="","",IF('ORDENES'!$AB234="","-",'ORDENES'!$AB234))</f>
        <v/>
      </c>
      <c r="G256" s="5">
        <f>IF('ORDENES'!$A234="","",IF('ORDENES'!$Z234="","-",'ORDENES'!$Z234))</f>
        <v/>
      </c>
      <c r="H256" s="5">
        <f>IF('ORDENES'!$A234="","",IF('ORDENES'!$AH234="","-",'ORDENES'!$AH234))</f>
        <v/>
      </c>
      <c r="I256" s="5">
        <f>IF('ORDENES'!$A234="","",IF('ORDENES'!$AU234="","-",'ORDENES'!$AU234))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3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IF('ORDENES'!$A234="","",'ORDENES'!$AG234)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IF('ORDENES'!$A235="","",IF('ORDENES'!$AI235="","-",'ORDENES'!$AI235))</f>
        <v/>
      </c>
      <c r="D257" s="5">
        <f>IF('ORDENES'!$A235="","",IF('ORDENES'!$AA235="","-",'ORDENES'!$AA235))</f>
        <v/>
      </c>
      <c r="E257" s="5">
        <f>IF('ORDENES'!$A235="","",IF('ORDENES'!$Y235="","-",'ORDENES'!$Y235))</f>
        <v/>
      </c>
      <c r="F257" s="5">
        <f>IF('ORDENES'!$A235="","",IF('ORDENES'!$AB235="","-",'ORDENES'!$AB235))</f>
        <v/>
      </c>
      <c r="G257" s="5">
        <f>IF('ORDENES'!$A235="","",IF('ORDENES'!$Z235="","-",'ORDENES'!$Z235))</f>
        <v/>
      </c>
      <c r="H257" s="5">
        <f>IF('ORDENES'!$A235="","",IF('ORDENES'!$AH235="","-",'ORDENES'!$AH235))</f>
        <v/>
      </c>
      <c r="I257" s="5">
        <f>IF('ORDENES'!$A235="","",IF('ORDENES'!$AU235="","-",'ORDENES'!$AU235))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3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IF('ORDENES'!$A235="","",'ORDENES'!$AG235)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IF('ORDENES'!$A236="","",IF('ORDENES'!$AI236="","-",'ORDENES'!$AI236))</f>
        <v/>
      </c>
      <c r="D258" s="5">
        <f>IF('ORDENES'!$A236="","",IF('ORDENES'!$AA236="","-",'ORDENES'!$AA236))</f>
        <v/>
      </c>
      <c r="E258" s="5">
        <f>IF('ORDENES'!$A236="","",IF('ORDENES'!$Y236="","-",'ORDENES'!$Y236))</f>
        <v/>
      </c>
      <c r="F258" s="5">
        <f>IF('ORDENES'!$A236="","",IF('ORDENES'!$AB236="","-",'ORDENES'!$AB236))</f>
        <v/>
      </c>
      <c r="G258" s="5">
        <f>IF('ORDENES'!$A236="","",IF('ORDENES'!$Z236="","-",'ORDENES'!$Z236))</f>
        <v/>
      </c>
      <c r="H258" s="5">
        <f>IF('ORDENES'!$A236="","",IF('ORDENES'!$AH236="","-",'ORDENES'!$AH236))</f>
        <v/>
      </c>
      <c r="I258" s="5">
        <f>IF('ORDENES'!$A236="","",IF('ORDENES'!$AU236="","-",'ORDENES'!$AU236))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3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IF('ORDENES'!$A236="","",'ORDENES'!$AG236)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IF('ORDENES'!$A237="","",IF('ORDENES'!$AI237="","-",'ORDENES'!$AI237))</f>
        <v/>
      </c>
      <c r="D259" s="5">
        <f>IF('ORDENES'!$A237="","",IF('ORDENES'!$AA237="","-",'ORDENES'!$AA237))</f>
        <v/>
      </c>
      <c r="E259" s="5">
        <f>IF('ORDENES'!$A237="","",IF('ORDENES'!$Y237="","-",'ORDENES'!$Y237))</f>
        <v/>
      </c>
      <c r="F259" s="5">
        <f>IF('ORDENES'!$A237="","",IF('ORDENES'!$AB237="","-",'ORDENES'!$AB237))</f>
        <v/>
      </c>
      <c r="G259" s="5">
        <f>IF('ORDENES'!$A237="","",IF('ORDENES'!$Z237="","-",'ORDENES'!$Z237))</f>
        <v/>
      </c>
      <c r="H259" s="5">
        <f>IF('ORDENES'!$A237="","",IF('ORDENES'!$AH237="","-",'ORDENES'!$AH237))</f>
        <v/>
      </c>
      <c r="I259" s="5">
        <f>IF('ORDENES'!$A237="","",IF('ORDENES'!$AU237="","-",'ORDENES'!$AU237))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3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IF('ORDENES'!$A237="","",'ORDENES'!$AG237)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IF('ORDENES'!$A238="","",IF('ORDENES'!$AI238="","-",'ORDENES'!$AI238))</f>
        <v/>
      </c>
      <c r="D260" s="5">
        <f>IF('ORDENES'!$A238="","",IF('ORDENES'!$AA238="","-",'ORDENES'!$AA238))</f>
        <v/>
      </c>
      <c r="E260" s="5">
        <f>IF('ORDENES'!$A238="","",IF('ORDENES'!$Y238="","-",'ORDENES'!$Y238))</f>
        <v/>
      </c>
      <c r="F260" s="5">
        <f>IF('ORDENES'!$A238="","",IF('ORDENES'!$AB238="","-",'ORDENES'!$AB238))</f>
        <v/>
      </c>
      <c r="G260" s="5">
        <f>IF('ORDENES'!$A238="","",IF('ORDENES'!$Z238="","-",'ORDENES'!$Z238))</f>
        <v/>
      </c>
      <c r="H260" s="5">
        <f>IF('ORDENES'!$A238="","",IF('ORDENES'!$AH238="","-",'ORDENES'!$AH238))</f>
        <v/>
      </c>
      <c r="I260" s="5">
        <f>IF('ORDENES'!$A238="","",IF('ORDENES'!$AU238="","-",'ORDENES'!$AU238))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3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IF('ORDENES'!$A238="","",'ORDENES'!$AG238)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IF('ORDENES'!$A239="","",IF('ORDENES'!$AI239="","-",'ORDENES'!$AI239))</f>
        <v/>
      </c>
      <c r="D261" s="5">
        <f>IF('ORDENES'!$A239="","",IF('ORDENES'!$AA239="","-",'ORDENES'!$AA239))</f>
        <v/>
      </c>
      <c r="E261" s="5">
        <f>IF('ORDENES'!$A239="","",IF('ORDENES'!$Y239="","-",'ORDENES'!$Y239))</f>
        <v/>
      </c>
      <c r="F261" s="5">
        <f>IF('ORDENES'!$A239="","",IF('ORDENES'!$AB239="","-",'ORDENES'!$AB239))</f>
        <v/>
      </c>
      <c r="G261" s="5">
        <f>IF('ORDENES'!$A239="","",IF('ORDENES'!$Z239="","-",'ORDENES'!$Z239))</f>
        <v/>
      </c>
      <c r="H261" s="5">
        <f>IF('ORDENES'!$A239="","",IF('ORDENES'!$AH239="","-",'ORDENES'!$AH239))</f>
        <v/>
      </c>
      <c r="I261" s="5">
        <f>IF('ORDENES'!$A239="","",IF('ORDENES'!$AU239="","-",'ORDENES'!$AU239))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3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IF('ORDENES'!$A239="","",'ORDENES'!$AG239)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IF('ORDENES'!$A240="","",IF('ORDENES'!$AI240="","-",'ORDENES'!$AI240))</f>
        <v/>
      </c>
      <c r="D262" s="5">
        <f>IF('ORDENES'!$A240="","",IF('ORDENES'!$AA240="","-",'ORDENES'!$AA240))</f>
        <v/>
      </c>
      <c r="E262" s="5">
        <f>IF('ORDENES'!$A240="","",IF('ORDENES'!$Y240="","-",'ORDENES'!$Y240))</f>
        <v/>
      </c>
      <c r="F262" s="5">
        <f>IF('ORDENES'!$A240="","",IF('ORDENES'!$AB240="","-",'ORDENES'!$AB240))</f>
        <v/>
      </c>
      <c r="G262" s="5">
        <f>IF('ORDENES'!$A240="","",IF('ORDENES'!$Z240="","-",'ORDENES'!$Z240))</f>
        <v/>
      </c>
      <c r="H262" s="5">
        <f>IF('ORDENES'!$A240="","",IF('ORDENES'!$AH240="","-",'ORDENES'!$AH240))</f>
        <v/>
      </c>
      <c r="I262" s="5">
        <f>IF('ORDENES'!$A240="","",IF('ORDENES'!$AU240="","-",'ORDENES'!$AU240))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3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IF('ORDENES'!$A240="","",'ORDENES'!$AG240)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IF('ORDENES'!$A241="","",IF('ORDENES'!$AI241="","-",'ORDENES'!$AI241))</f>
        <v/>
      </c>
      <c r="D263" s="5">
        <f>IF('ORDENES'!$A241="","",IF('ORDENES'!$AA241="","-",'ORDENES'!$AA241))</f>
        <v/>
      </c>
      <c r="E263" s="5">
        <f>IF('ORDENES'!$A241="","",IF('ORDENES'!$Y241="","-",'ORDENES'!$Y241))</f>
        <v/>
      </c>
      <c r="F263" s="5">
        <f>IF('ORDENES'!$A241="","",IF('ORDENES'!$AB241="","-",'ORDENES'!$AB241))</f>
        <v/>
      </c>
      <c r="G263" s="5">
        <f>IF('ORDENES'!$A241="","",IF('ORDENES'!$Z241="","-",'ORDENES'!$Z241))</f>
        <v/>
      </c>
      <c r="H263" s="5">
        <f>IF('ORDENES'!$A241="","",IF('ORDENES'!$AH241="","-",'ORDENES'!$AH241))</f>
        <v/>
      </c>
      <c r="I263" s="5">
        <f>IF('ORDENES'!$A241="","",IF('ORDENES'!$AU241="","-",'ORDENES'!$AU241))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3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IF('ORDENES'!$A241="","",'ORDENES'!$AG241)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IF('ORDENES'!$A242="","",IF('ORDENES'!$AI242="","-",'ORDENES'!$AI242))</f>
        <v/>
      </c>
      <c r="D264" s="5">
        <f>IF('ORDENES'!$A242="","",IF('ORDENES'!$AA242="","-",'ORDENES'!$AA242))</f>
        <v/>
      </c>
      <c r="E264" s="5">
        <f>IF('ORDENES'!$A242="","",IF('ORDENES'!$Y242="","-",'ORDENES'!$Y242))</f>
        <v/>
      </c>
      <c r="F264" s="5">
        <f>IF('ORDENES'!$A242="","",IF('ORDENES'!$AB242="","-",'ORDENES'!$AB242))</f>
        <v/>
      </c>
      <c r="G264" s="5">
        <f>IF('ORDENES'!$A242="","",IF('ORDENES'!$Z242="","-",'ORDENES'!$Z242))</f>
        <v/>
      </c>
      <c r="H264" s="5">
        <f>IF('ORDENES'!$A242="","",IF('ORDENES'!$AH242="","-",'ORDENES'!$AH242))</f>
        <v/>
      </c>
      <c r="I264" s="5">
        <f>IF('ORDENES'!$A242="","",IF('ORDENES'!$AU242="","-",'ORDENES'!$AU242))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3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IF('ORDENES'!$A242="","",'ORDENES'!$AG242)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IF('ORDENES'!$A243="","",IF('ORDENES'!$AI243="","-",'ORDENES'!$AI243))</f>
        <v/>
      </c>
      <c r="D265" s="5">
        <f>IF('ORDENES'!$A243="","",IF('ORDENES'!$AA243="","-",'ORDENES'!$AA243))</f>
        <v/>
      </c>
      <c r="E265" s="5">
        <f>IF('ORDENES'!$A243="","",IF('ORDENES'!$Y243="","-",'ORDENES'!$Y243))</f>
        <v/>
      </c>
      <c r="F265" s="5">
        <f>IF('ORDENES'!$A243="","",IF('ORDENES'!$AB243="","-",'ORDENES'!$AB243))</f>
        <v/>
      </c>
      <c r="G265" s="5">
        <f>IF('ORDENES'!$A243="","",IF('ORDENES'!$Z243="","-",'ORDENES'!$Z243))</f>
        <v/>
      </c>
      <c r="H265" s="5">
        <f>IF('ORDENES'!$A243="","",IF('ORDENES'!$AH243="","-",'ORDENES'!$AH243))</f>
        <v/>
      </c>
      <c r="I265" s="5">
        <f>IF('ORDENES'!$A243="","",IF('ORDENES'!$AU243="","-",'ORDENES'!$AU243))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3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IF('ORDENES'!$A243="","",'ORDENES'!$AG243)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IF('ORDENES'!$A244="","",IF('ORDENES'!$AI244="","-",'ORDENES'!$AI244))</f>
        <v/>
      </c>
      <c r="D266" s="5">
        <f>IF('ORDENES'!$A244="","",IF('ORDENES'!$AA244="","-",'ORDENES'!$AA244))</f>
        <v/>
      </c>
      <c r="E266" s="5">
        <f>IF('ORDENES'!$A244="","",IF('ORDENES'!$Y244="","-",'ORDENES'!$Y244))</f>
        <v/>
      </c>
      <c r="F266" s="5">
        <f>IF('ORDENES'!$A244="","",IF('ORDENES'!$AB244="","-",'ORDENES'!$AB244))</f>
        <v/>
      </c>
      <c r="G266" s="5">
        <f>IF('ORDENES'!$A244="","",IF('ORDENES'!$Z244="","-",'ORDENES'!$Z244))</f>
        <v/>
      </c>
      <c r="H266" s="5">
        <f>IF('ORDENES'!$A244="","",IF('ORDENES'!$AH244="","-",'ORDENES'!$AH244))</f>
        <v/>
      </c>
      <c r="I266" s="5">
        <f>IF('ORDENES'!$A244="","",IF('ORDENES'!$AU244="","-",'ORDENES'!$AU244))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3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IF('ORDENES'!$A244="","",'ORDENES'!$AG244)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IF('ORDENES'!$A245="","",IF('ORDENES'!$AI245="","-",'ORDENES'!$AI245))</f>
        <v/>
      </c>
      <c r="D267" s="5">
        <f>IF('ORDENES'!$A245="","",IF('ORDENES'!$AA245="","-",'ORDENES'!$AA245))</f>
        <v/>
      </c>
      <c r="E267" s="5">
        <f>IF('ORDENES'!$A245="","",IF('ORDENES'!$Y245="","-",'ORDENES'!$Y245))</f>
        <v/>
      </c>
      <c r="F267" s="5">
        <f>IF('ORDENES'!$A245="","",IF('ORDENES'!$AB245="","-",'ORDENES'!$AB245))</f>
        <v/>
      </c>
      <c r="G267" s="5">
        <f>IF('ORDENES'!$A245="","",IF('ORDENES'!$Z245="","-",'ORDENES'!$Z245))</f>
        <v/>
      </c>
      <c r="H267" s="5">
        <f>IF('ORDENES'!$A245="","",IF('ORDENES'!$AH245="","-",'ORDENES'!$AH245))</f>
        <v/>
      </c>
      <c r="I267" s="5">
        <f>IF('ORDENES'!$A245="","",IF('ORDENES'!$AU245="","-",'ORDENES'!$AU245))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3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IF('ORDENES'!$A245="","",'ORDENES'!$AG245)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IF('ORDENES'!$A246="","",IF('ORDENES'!$AI246="","-",'ORDENES'!$AI246))</f>
        <v/>
      </c>
      <c r="D268" s="5">
        <f>IF('ORDENES'!$A246="","",IF('ORDENES'!$AA246="","-",'ORDENES'!$AA246))</f>
        <v/>
      </c>
      <c r="E268" s="5">
        <f>IF('ORDENES'!$A246="","",IF('ORDENES'!$Y246="","-",'ORDENES'!$Y246))</f>
        <v/>
      </c>
      <c r="F268" s="5">
        <f>IF('ORDENES'!$A246="","",IF('ORDENES'!$AB246="","-",'ORDENES'!$AB246))</f>
        <v/>
      </c>
      <c r="G268" s="5">
        <f>IF('ORDENES'!$A246="","",IF('ORDENES'!$Z246="","-",'ORDENES'!$Z246))</f>
        <v/>
      </c>
      <c r="H268" s="5">
        <f>IF('ORDENES'!$A246="","",IF('ORDENES'!$AH246="","-",'ORDENES'!$AH246))</f>
        <v/>
      </c>
      <c r="I268" s="5">
        <f>IF('ORDENES'!$A246="","",IF('ORDENES'!$AU246="","-",'ORDENES'!$AU246))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3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IF('ORDENES'!$A246="","",'ORDENES'!$AG246)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IF('ORDENES'!$A247="","",IF('ORDENES'!$AI247="","-",'ORDENES'!$AI247))</f>
        <v/>
      </c>
      <c r="D269" s="5">
        <f>IF('ORDENES'!$A247="","",IF('ORDENES'!$AA247="","-",'ORDENES'!$AA247))</f>
        <v/>
      </c>
      <c r="E269" s="5">
        <f>IF('ORDENES'!$A247="","",IF('ORDENES'!$Y247="","-",'ORDENES'!$Y247))</f>
        <v/>
      </c>
      <c r="F269" s="5">
        <f>IF('ORDENES'!$A247="","",IF('ORDENES'!$AB247="","-",'ORDENES'!$AB247))</f>
        <v/>
      </c>
      <c r="G269" s="5">
        <f>IF('ORDENES'!$A247="","",IF('ORDENES'!$Z247="","-",'ORDENES'!$Z247))</f>
        <v/>
      </c>
      <c r="H269" s="5">
        <f>IF('ORDENES'!$A247="","",IF('ORDENES'!$AH247="","-",'ORDENES'!$AH247))</f>
        <v/>
      </c>
      <c r="I269" s="5">
        <f>IF('ORDENES'!$A247="","",IF('ORDENES'!$AU247="","-",'ORDENES'!$AU247))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3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IF('ORDENES'!$A247="","",'ORDENES'!$AG247)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IF('ORDENES'!$A248="","",IF('ORDENES'!$AI248="","-",'ORDENES'!$AI248))</f>
        <v/>
      </c>
      <c r="D270" s="5">
        <f>IF('ORDENES'!$A248="","",IF('ORDENES'!$AA248="","-",'ORDENES'!$AA248))</f>
        <v/>
      </c>
      <c r="E270" s="5">
        <f>IF('ORDENES'!$A248="","",IF('ORDENES'!$Y248="","-",'ORDENES'!$Y248))</f>
        <v/>
      </c>
      <c r="F270" s="5">
        <f>IF('ORDENES'!$A248="","",IF('ORDENES'!$AB248="","-",'ORDENES'!$AB248))</f>
        <v/>
      </c>
      <c r="G270" s="5">
        <f>IF('ORDENES'!$A248="","",IF('ORDENES'!$Z248="","-",'ORDENES'!$Z248))</f>
        <v/>
      </c>
      <c r="H270" s="5">
        <f>IF('ORDENES'!$A248="","",IF('ORDENES'!$AH248="","-",'ORDENES'!$AH248))</f>
        <v/>
      </c>
      <c r="I270" s="5">
        <f>IF('ORDENES'!$A248="","",IF('ORDENES'!$AU248="","-",'ORDENES'!$AU248))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3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IF('ORDENES'!$A248="","",'ORDENES'!$AG248)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IF('ORDENES'!$A249="","",IF('ORDENES'!$AI249="","-",'ORDENES'!$AI249))</f>
        <v/>
      </c>
      <c r="D271" s="5">
        <f>IF('ORDENES'!$A249="","",IF('ORDENES'!$AA249="","-",'ORDENES'!$AA249))</f>
        <v/>
      </c>
      <c r="E271" s="5">
        <f>IF('ORDENES'!$A249="","",IF('ORDENES'!$Y249="","-",'ORDENES'!$Y249))</f>
        <v/>
      </c>
      <c r="F271" s="5">
        <f>IF('ORDENES'!$A249="","",IF('ORDENES'!$AB249="","-",'ORDENES'!$AB249))</f>
        <v/>
      </c>
      <c r="G271" s="5">
        <f>IF('ORDENES'!$A249="","",IF('ORDENES'!$Z249="","-",'ORDENES'!$Z249))</f>
        <v/>
      </c>
      <c r="H271" s="5">
        <f>IF('ORDENES'!$A249="","",IF('ORDENES'!$AH249="","-",'ORDENES'!$AH249))</f>
        <v/>
      </c>
      <c r="I271" s="5">
        <f>IF('ORDENES'!$A249="","",IF('ORDENES'!$AU249="","-",'ORDENES'!$AU249))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3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IF('ORDENES'!$A249="","",'ORDENES'!$AG249)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IF('ORDENES'!$A250="","",IF('ORDENES'!$AI250="","-",'ORDENES'!$AI250))</f>
        <v/>
      </c>
      <c r="D272" s="5">
        <f>IF('ORDENES'!$A250="","",IF('ORDENES'!$AA250="","-",'ORDENES'!$AA250))</f>
        <v/>
      </c>
      <c r="E272" s="5">
        <f>IF('ORDENES'!$A250="","",IF('ORDENES'!$Y250="","-",'ORDENES'!$Y250))</f>
        <v/>
      </c>
      <c r="F272" s="5">
        <f>IF('ORDENES'!$A250="","",IF('ORDENES'!$AB250="","-",'ORDENES'!$AB250))</f>
        <v/>
      </c>
      <c r="G272" s="5">
        <f>IF('ORDENES'!$A250="","",IF('ORDENES'!$Z250="","-",'ORDENES'!$Z250))</f>
        <v/>
      </c>
      <c r="H272" s="5">
        <f>IF('ORDENES'!$A250="","",IF('ORDENES'!$AH250="","-",'ORDENES'!$AH250))</f>
        <v/>
      </c>
      <c r="I272" s="5">
        <f>IF('ORDENES'!$A250="","",IF('ORDENES'!$AU250="","-",'ORDENES'!$AU250))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3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IF('ORDENES'!$A250="","",'ORDENES'!$AG250)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IF('ORDENES'!$A251="","",IF('ORDENES'!$AI251="","-",'ORDENES'!$AI251))</f>
        <v/>
      </c>
      <c r="D273" s="5">
        <f>IF('ORDENES'!$A251="","",IF('ORDENES'!$AA251="","-",'ORDENES'!$AA251))</f>
        <v/>
      </c>
      <c r="E273" s="5">
        <f>IF('ORDENES'!$A251="","",IF('ORDENES'!$Y251="","-",'ORDENES'!$Y251))</f>
        <v/>
      </c>
      <c r="F273" s="5">
        <f>IF('ORDENES'!$A251="","",IF('ORDENES'!$AB251="","-",'ORDENES'!$AB251))</f>
        <v/>
      </c>
      <c r="G273" s="5">
        <f>IF('ORDENES'!$A251="","",IF('ORDENES'!$Z251="","-",'ORDENES'!$Z251))</f>
        <v/>
      </c>
      <c r="H273" s="5">
        <f>IF('ORDENES'!$A251="","",IF('ORDENES'!$AH251="","-",'ORDENES'!$AH251))</f>
        <v/>
      </c>
      <c r="I273" s="5">
        <f>IF('ORDENES'!$A251="","",IF('ORDENES'!$AU251="","-",'ORDENES'!$AU251))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3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IF('ORDENES'!$A251="","",'ORDENES'!$AG251)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IF('ORDENES'!$A252="","",IF('ORDENES'!$AI252="","-",'ORDENES'!$AI252))</f>
        <v/>
      </c>
      <c r="D274" s="5">
        <f>IF('ORDENES'!$A252="","",IF('ORDENES'!$AA252="","-",'ORDENES'!$AA252))</f>
        <v/>
      </c>
      <c r="E274" s="5">
        <f>IF('ORDENES'!$A252="","",IF('ORDENES'!$Y252="","-",'ORDENES'!$Y252))</f>
        <v/>
      </c>
      <c r="F274" s="5">
        <f>IF('ORDENES'!$A252="","",IF('ORDENES'!$AB252="","-",'ORDENES'!$AB252))</f>
        <v/>
      </c>
      <c r="G274" s="5">
        <f>IF('ORDENES'!$A252="","",IF('ORDENES'!$Z252="","-",'ORDENES'!$Z252))</f>
        <v/>
      </c>
      <c r="H274" s="5">
        <f>IF('ORDENES'!$A252="","",IF('ORDENES'!$AH252="","-",'ORDENES'!$AH252))</f>
        <v/>
      </c>
      <c r="I274" s="5">
        <f>IF('ORDENES'!$A252="","",IF('ORDENES'!$AU252="","-",'ORDENES'!$AU252))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3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IF('ORDENES'!$A252="","",'ORDENES'!$AG252)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IF('ORDENES'!$A253="","",IF('ORDENES'!$AI253="","-",'ORDENES'!$AI253))</f>
        <v/>
      </c>
      <c r="D275" s="5">
        <f>IF('ORDENES'!$A253="","",IF('ORDENES'!$AA253="","-",'ORDENES'!$AA253))</f>
        <v/>
      </c>
      <c r="E275" s="5">
        <f>IF('ORDENES'!$A253="","",IF('ORDENES'!$Y253="","-",'ORDENES'!$Y253))</f>
        <v/>
      </c>
      <c r="F275" s="5">
        <f>IF('ORDENES'!$A253="","",IF('ORDENES'!$AB253="","-",'ORDENES'!$AB253))</f>
        <v/>
      </c>
      <c r="G275" s="5">
        <f>IF('ORDENES'!$A253="","",IF('ORDENES'!$Z253="","-",'ORDENES'!$Z253))</f>
        <v/>
      </c>
      <c r="H275" s="5">
        <f>IF('ORDENES'!$A253="","",IF('ORDENES'!$AH253="","-",'ORDENES'!$AH253))</f>
        <v/>
      </c>
      <c r="I275" s="5">
        <f>IF('ORDENES'!$A253="","",IF('ORDENES'!$AU253="","-",'ORDENES'!$AU253))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3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IF('ORDENES'!$A253="","",'ORDENES'!$AG253)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IF('ORDENES'!$A254="","",IF('ORDENES'!$AI254="","-",'ORDENES'!$AI254))</f>
        <v/>
      </c>
      <c r="D276" s="5">
        <f>IF('ORDENES'!$A254="","",IF('ORDENES'!$AA254="","-",'ORDENES'!$AA254))</f>
        <v/>
      </c>
      <c r="E276" s="5">
        <f>IF('ORDENES'!$A254="","",IF('ORDENES'!$Y254="","-",'ORDENES'!$Y254))</f>
        <v/>
      </c>
      <c r="F276" s="5">
        <f>IF('ORDENES'!$A254="","",IF('ORDENES'!$AB254="","-",'ORDENES'!$AB254))</f>
        <v/>
      </c>
      <c r="G276" s="5">
        <f>IF('ORDENES'!$A254="","",IF('ORDENES'!$Z254="","-",'ORDENES'!$Z254))</f>
        <v/>
      </c>
      <c r="H276" s="5">
        <f>IF('ORDENES'!$A254="","",IF('ORDENES'!$AH254="","-",'ORDENES'!$AH254))</f>
        <v/>
      </c>
      <c r="I276" s="5">
        <f>IF('ORDENES'!$A254="","",IF('ORDENES'!$AU254="","-",'ORDENES'!$AU254))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3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IF('ORDENES'!$A254="","",'ORDENES'!$AG254)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IF('ORDENES'!$A255="","",IF('ORDENES'!$AI255="","-",'ORDENES'!$AI255))</f>
        <v/>
      </c>
      <c r="D277" s="5">
        <f>IF('ORDENES'!$A255="","",IF('ORDENES'!$AA255="","-",'ORDENES'!$AA255))</f>
        <v/>
      </c>
      <c r="E277" s="5">
        <f>IF('ORDENES'!$A255="","",IF('ORDENES'!$Y255="","-",'ORDENES'!$Y255))</f>
        <v/>
      </c>
      <c r="F277" s="5">
        <f>IF('ORDENES'!$A255="","",IF('ORDENES'!$AB255="","-",'ORDENES'!$AB255))</f>
        <v/>
      </c>
      <c r="G277" s="5">
        <f>IF('ORDENES'!$A255="","",IF('ORDENES'!$Z255="","-",'ORDENES'!$Z255))</f>
        <v/>
      </c>
      <c r="H277" s="5">
        <f>IF('ORDENES'!$A255="","",IF('ORDENES'!$AH255="","-",'ORDENES'!$AH255))</f>
        <v/>
      </c>
      <c r="I277" s="5">
        <f>IF('ORDENES'!$A255="","",IF('ORDENES'!$AU255="","-",'ORDENES'!$AU255))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3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IF('ORDENES'!$A255="","",'ORDENES'!$AG255)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IF('ORDENES'!$A256="","",IF('ORDENES'!$AI256="","-",'ORDENES'!$AI256))</f>
        <v/>
      </c>
      <c r="D278" s="5">
        <f>IF('ORDENES'!$A256="","",IF('ORDENES'!$AA256="","-",'ORDENES'!$AA256))</f>
        <v/>
      </c>
      <c r="E278" s="5">
        <f>IF('ORDENES'!$A256="","",IF('ORDENES'!$Y256="","-",'ORDENES'!$Y256))</f>
        <v/>
      </c>
      <c r="F278" s="5">
        <f>IF('ORDENES'!$A256="","",IF('ORDENES'!$AB256="","-",'ORDENES'!$AB256))</f>
        <v/>
      </c>
      <c r="G278" s="5">
        <f>IF('ORDENES'!$A256="","",IF('ORDENES'!$Z256="","-",'ORDENES'!$Z256))</f>
        <v/>
      </c>
      <c r="H278" s="5">
        <f>IF('ORDENES'!$A256="","",IF('ORDENES'!$AH256="","-",'ORDENES'!$AH256))</f>
        <v/>
      </c>
      <c r="I278" s="5">
        <f>IF('ORDENES'!$A256="","",IF('ORDENES'!$AU256="","-",'ORDENES'!$AU256))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3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IF('ORDENES'!$A256="","",'ORDENES'!$AG256)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IF('ORDENES'!$A257="","",IF('ORDENES'!$AI257="","-",'ORDENES'!$AI257))</f>
        <v/>
      </c>
      <c r="D279" s="5">
        <f>IF('ORDENES'!$A257="","",IF('ORDENES'!$AA257="","-",'ORDENES'!$AA257))</f>
        <v/>
      </c>
      <c r="E279" s="5">
        <f>IF('ORDENES'!$A257="","",IF('ORDENES'!$Y257="","-",'ORDENES'!$Y257))</f>
        <v/>
      </c>
      <c r="F279" s="5">
        <f>IF('ORDENES'!$A257="","",IF('ORDENES'!$AB257="","-",'ORDENES'!$AB257))</f>
        <v/>
      </c>
      <c r="G279" s="5">
        <f>IF('ORDENES'!$A257="","",IF('ORDENES'!$Z257="","-",'ORDENES'!$Z257))</f>
        <v/>
      </c>
      <c r="H279" s="5">
        <f>IF('ORDENES'!$A257="","",IF('ORDENES'!$AH257="","-",'ORDENES'!$AH257))</f>
        <v/>
      </c>
      <c r="I279" s="5">
        <f>IF('ORDENES'!$A257="","",IF('ORDENES'!$AU257="","-",'ORDENES'!$AU257))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3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IF('ORDENES'!$A257="","",'ORDENES'!$AG257)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IF('ORDENES'!$A258="","",IF('ORDENES'!$AI258="","-",'ORDENES'!$AI258))</f>
        <v/>
      </c>
      <c r="D280" s="5">
        <f>IF('ORDENES'!$A258="","",IF('ORDENES'!$AA258="","-",'ORDENES'!$AA258))</f>
        <v/>
      </c>
      <c r="E280" s="5">
        <f>IF('ORDENES'!$A258="","",IF('ORDENES'!$Y258="","-",'ORDENES'!$Y258))</f>
        <v/>
      </c>
      <c r="F280" s="5">
        <f>IF('ORDENES'!$A258="","",IF('ORDENES'!$AB258="","-",'ORDENES'!$AB258))</f>
        <v/>
      </c>
      <c r="G280" s="5">
        <f>IF('ORDENES'!$A258="","",IF('ORDENES'!$Z258="","-",'ORDENES'!$Z258))</f>
        <v/>
      </c>
      <c r="H280" s="5">
        <f>IF('ORDENES'!$A258="","",IF('ORDENES'!$AH258="","-",'ORDENES'!$AH258))</f>
        <v/>
      </c>
      <c r="I280" s="5">
        <f>IF('ORDENES'!$A258="","",IF('ORDENES'!$AU258="","-",'ORDENES'!$AU258))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3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IF('ORDENES'!$A258="","",'ORDENES'!$AG258)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IF('ORDENES'!$A259="","",IF('ORDENES'!$AI259="","-",'ORDENES'!$AI259))</f>
        <v/>
      </c>
      <c r="D281" s="5">
        <f>IF('ORDENES'!$A259="","",IF('ORDENES'!$AA259="","-",'ORDENES'!$AA259))</f>
        <v/>
      </c>
      <c r="E281" s="5">
        <f>IF('ORDENES'!$A259="","",IF('ORDENES'!$Y259="","-",'ORDENES'!$Y259))</f>
        <v/>
      </c>
      <c r="F281" s="5">
        <f>IF('ORDENES'!$A259="","",IF('ORDENES'!$AB259="","-",'ORDENES'!$AB259))</f>
        <v/>
      </c>
      <c r="G281" s="5">
        <f>IF('ORDENES'!$A259="","",IF('ORDENES'!$Z259="","-",'ORDENES'!$Z259))</f>
        <v/>
      </c>
      <c r="H281" s="5">
        <f>IF('ORDENES'!$A259="","",IF('ORDENES'!$AH259="","-",'ORDENES'!$AH259))</f>
        <v/>
      </c>
      <c r="I281" s="5">
        <f>IF('ORDENES'!$A259="","",IF('ORDENES'!$AU259="","-",'ORDENES'!$AU259))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3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IF('ORDENES'!$A259="","",'ORDENES'!$AG259)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IF('ORDENES'!$A260="","",IF('ORDENES'!$AI260="","-",'ORDENES'!$AI260))</f>
        <v/>
      </c>
      <c r="D282" s="5">
        <f>IF('ORDENES'!$A260="","",IF('ORDENES'!$AA260="","-",'ORDENES'!$AA260))</f>
        <v/>
      </c>
      <c r="E282" s="5">
        <f>IF('ORDENES'!$A260="","",IF('ORDENES'!$Y260="","-",'ORDENES'!$Y260))</f>
        <v/>
      </c>
      <c r="F282" s="5">
        <f>IF('ORDENES'!$A260="","",IF('ORDENES'!$AB260="","-",'ORDENES'!$AB260))</f>
        <v/>
      </c>
      <c r="G282" s="5">
        <f>IF('ORDENES'!$A260="","",IF('ORDENES'!$Z260="","-",'ORDENES'!$Z260))</f>
        <v/>
      </c>
      <c r="H282" s="5">
        <f>IF('ORDENES'!$A260="","",IF('ORDENES'!$AH260="","-",'ORDENES'!$AH260))</f>
        <v/>
      </c>
      <c r="I282" s="5">
        <f>IF('ORDENES'!$A260="","",IF('ORDENES'!$AU260="","-",'ORDENES'!$AU260))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3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IF('ORDENES'!$A260="","",'ORDENES'!$AG260)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IF('ORDENES'!$A261="","",IF('ORDENES'!$AI261="","-",'ORDENES'!$AI261))</f>
        <v/>
      </c>
      <c r="D283" s="5">
        <f>IF('ORDENES'!$A261="","",IF('ORDENES'!$AA261="","-",'ORDENES'!$AA261))</f>
        <v/>
      </c>
      <c r="E283" s="5">
        <f>IF('ORDENES'!$A261="","",IF('ORDENES'!$Y261="","-",'ORDENES'!$Y261))</f>
        <v/>
      </c>
      <c r="F283" s="5">
        <f>IF('ORDENES'!$A261="","",IF('ORDENES'!$AB261="","-",'ORDENES'!$AB261))</f>
        <v/>
      </c>
      <c r="G283" s="5">
        <f>IF('ORDENES'!$A261="","",IF('ORDENES'!$Z261="","-",'ORDENES'!$Z261))</f>
        <v/>
      </c>
      <c r="H283" s="5">
        <f>IF('ORDENES'!$A261="","",IF('ORDENES'!$AH261="","-",'ORDENES'!$AH261))</f>
        <v/>
      </c>
      <c r="I283" s="5">
        <f>IF('ORDENES'!$A261="","",IF('ORDENES'!$AU261="","-",'ORDENES'!$AU261))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3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IF('ORDENES'!$A261="","",'ORDENES'!$AG261)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IF('ORDENES'!$A262="","",IF('ORDENES'!$AI262="","-",'ORDENES'!$AI262))</f>
        <v/>
      </c>
      <c r="D284" s="5">
        <f>IF('ORDENES'!$A262="","",IF('ORDENES'!$AA262="","-",'ORDENES'!$AA262))</f>
        <v/>
      </c>
      <c r="E284" s="5">
        <f>IF('ORDENES'!$A262="","",IF('ORDENES'!$Y262="","-",'ORDENES'!$Y262))</f>
        <v/>
      </c>
      <c r="F284" s="5">
        <f>IF('ORDENES'!$A262="","",IF('ORDENES'!$AB262="","-",'ORDENES'!$AB262))</f>
        <v/>
      </c>
      <c r="G284" s="5">
        <f>IF('ORDENES'!$A262="","",IF('ORDENES'!$Z262="","-",'ORDENES'!$Z262))</f>
        <v/>
      </c>
      <c r="H284" s="5">
        <f>IF('ORDENES'!$A262="","",IF('ORDENES'!$AH262="","-",'ORDENES'!$AH262))</f>
        <v/>
      </c>
      <c r="I284" s="5">
        <f>IF('ORDENES'!$A262="","",IF('ORDENES'!$AU262="","-",'ORDENES'!$AU262))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3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IF('ORDENES'!$A262="","",'ORDENES'!$AG262)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IF('ORDENES'!$A263="","",IF('ORDENES'!$AI263="","-",'ORDENES'!$AI263))</f>
        <v/>
      </c>
      <c r="D285" s="5">
        <f>IF('ORDENES'!$A263="","",IF('ORDENES'!$AA263="","-",'ORDENES'!$AA263))</f>
        <v/>
      </c>
      <c r="E285" s="5">
        <f>IF('ORDENES'!$A263="","",IF('ORDENES'!$Y263="","-",'ORDENES'!$Y263))</f>
        <v/>
      </c>
      <c r="F285" s="5">
        <f>IF('ORDENES'!$A263="","",IF('ORDENES'!$AB263="","-",'ORDENES'!$AB263))</f>
        <v/>
      </c>
      <c r="G285" s="5">
        <f>IF('ORDENES'!$A263="","",IF('ORDENES'!$Z263="","-",'ORDENES'!$Z263))</f>
        <v/>
      </c>
      <c r="H285" s="5">
        <f>IF('ORDENES'!$A263="","",IF('ORDENES'!$AH263="","-",'ORDENES'!$AH263))</f>
        <v/>
      </c>
      <c r="I285" s="5">
        <f>IF('ORDENES'!$A263="","",IF('ORDENES'!$AU263="","-",'ORDENES'!$AU263))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3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IF('ORDENES'!$A263="","",'ORDENES'!$AG263)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IF('ORDENES'!$A264="","",IF('ORDENES'!$AI264="","-",'ORDENES'!$AI264))</f>
        <v/>
      </c>
      <c r="D286" s="5">
        <f>IF('ORDENES'!$A264="","",IF('ORDENES'!$AA264="","-",'ORDENES'!$AA264))</f>
        <v/>
      </c>
      <c r="E286" s="5">
        <f>IF('ORDENES'!$A264="","",IF('ORDENES'!$Y264="","-",'ORDENES'!$Y264))</f>
        <v/>
      </c>
      <c r="F286" s="5">
        <f>IF('ORDENES'!$A264="","",IF('ORDENES'!$AB264="","-",'ORDENES'!$AB264))</f>
        <v/>
      </c>
      <c r="G286" s="5">
        <f>IF('ORDENES'!$A264="","",IF('ORDENES'!$Z264="","-",'ORDENES'!$Z264))</f>
        <v/>
      </c>
      <c r="H286" s="5">
        <f>IF('ORDENES'!$A264="","",IF('ORDENES'!$AH264="","-",'ORDENES'!$AH264))</f>
        <v/>
      </c>
      <c r="I286" s="5">
        <f>IF('ORDENES'!$A264="","",IF('ORDENES'!$AU264="","-",'ORDENES'!$AU264))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3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IF('ORDENES'!$A264="","",'ORDENES'!$AG264)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IF('ORDENES'!$A265="","",IF('ORDENES'!$AI265="","-",'ORDENES'!$AI265))</f>
        <v/>
      </c>
      <c r="D287" s="5">
        <f>IF('ORDENES'!$A265="","",IF('ORDENES'!$AA265="","-",'ORDENES'!$AA265))</f>
        <v/>
      </c>
      <c r="E287" s="5">
        <f>IF('ORDENES'!$A265="","",IF('ORDENES'!$Y265="","-",'ORDENES'!$Y265))</f>
        <v/>
      </c>
      <c r="F287" s="5">
        <f>IF('ORDENES'!$A265="","",IF('ORDENES'!$AB265="","-",'ORDENES'!$AB265))</f>
        <v/>
      </c>
      <c r="G287" s="5">
        <f>IF('ORDENES'!$A265="","",IF('ORDENES'!$Z265="","-",'ORDENES'!$Z265))</f>
        <v/>
      </c>
      <c r="H287" s="5">
        <f>IF('ORDENES'!$A265="","",IF('ORDENES'!$AH265="","-",'ORDENES'!$AH265))</f>
        <v/>
      </c>
      <c r="I287" s="5">
        <f>IF('ORDENES'!$A265="","",IF('ORDENES'!$AU265="","-",'ORDENES'!$AU265))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3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IF('ORDENES'!$A265="","",'ORDENES'!$AG265)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IF('ORDENES'!$A266="","",IF('ORDENES'!$AI266="","-",'ORDENES'!$AI266))</f>
        <v/>
      </c>
      <c r="D288" s="5">
        <f>IF('ORDENES'!$A266="","",IF('ORDENES'!$AA266="","-",'ORDENES'!$AA266))</f>
        <v/>
      </c>
      <c r="E288" s="5">
        <f>IF('ORDENES'!$A266="","",IF('ORDENES'!$Y266="","-",'ORDENES'!$Y266))</f>
        <v/>
      </c>
      <c r="F288" s="5">
        <f>IF('ORDENES'!$A266="","",IF('ORDENES'!$AB266="","-",'ORDENES'!$AB266))</f>
        <v/>
      </c>
      <c r="G288" s="5">
        <f>IF('ORDENES'!$A266="","",IF('ORDENES'!$Z266="","-",'ORDENES'!$Z266))</f>
        <v/>
      </c>
      <c r="H288" s="5">
        <f>IF('ORDENES'!$A266="","",IF('ORDENES'!$AH266="","-",'ORDENES'!$AH266))</f>
        <v/>
      </c>
      <c r="I288" s="5">
        <f>IF('ORDENES'!$A266="","",IF('ORDENES'!$AU266="","-",'ORDENES'!$AU266))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3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IF('ORDENES'!$A266="","",'ORDENES'!$AG266)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IF('ORDENES'!$A267="","",IF('ORDENES'!$AI267="","-",'ORDENES'!$AI267))</f>
        <v/>
      </c>
      <c r="D289" s="5">
        <f>IF('ORDENES'!$A267="","",IF('ORDENES'!$AA267="","-",'ORDENES'!$AA267))</f>
        <v/>
      </c>
      <c r="E289" s="5">
        <f>IF('ORDENES'!$A267="","",IF('ORDENES'!$Y267="","-",'ORDENES'!$Y267))</f>
        <v/>
      </c>
      <c r="F289" s="5">
        <f>IF('ORDENES'!$A267="","",IF('ORDENES'!$AB267="","-",'ORDENES'!$AB267))</f>
        <v/>
      </c>
      <c r="G289" s="5">
        <f>IF('ORDENES'!$A267="","",IF('ORDENES'!$Z267="","-",'ORDENES'!$Z267))</f>
        <v/>
      </c>
      <c r="H289" s="5">
        <f>IF('ORDENES'!$A267="","",IF('ORDENES'!$AH267="","-",'ORDENES'!$AH267))</f>
        <v/>
      </c>
      <c r="I289" s="5">
        <f>IF('ORDENES'!$A267="","",IF('ORDENES'!$AU267="","-",'ORDENES'!$AU267))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3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IF('ORDENES'!$A267="","",'ORDENES'!$AG267)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IF('ORDENES'!$A268="","",IF('ORDENES'!$AI268="","-",'ORDENES'!$AI268))</f>
        <v/>
      </c>
      <c r="D290" s="5">
        <f>IF('ORDENES'!$A268="","",IF('ORDENES'!$AA268="","-",'ORDENES'!$AA268))</f>
        <v/>
      </c>
      <c r="E290" s="5">
        <f>IF('ORDENES'!$A268="","",IF('ORDENES'!$Y268="","-",'ORDENES'!$Y268))</f>
        <v/>
      </c>
      <c r="F290" s="5">
        <f>IF('ORDENES'!$A268="","",IF('ORDENES'!$AB268="","-",'ORDENES'!$AB268))</f>
        <v/>
      </c>
      <c r="G290" s="5">
        <f>IF('ORDENES'!$A268="","",IF('ORDENES'!$Z268="","-",'ORDENES'!$Z268))</f>
        <v/>
      </c>
      <c r="H290" s="5">
        <f>IF('ORDENES'!$A268="","",IF('ORDENES'!$AH268="","-",'ORDENES'!$AH268))</f>
        <v/>
      </c>
      <c r="I290" s="5">
        <f>IF('ORDENES'!$A268="","",IF('ORDENES'!$AU268="","-",'ORDENES'!$AU268))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3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IF('ORDENES'!$A268="","",'ORDENES'!$AG268)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IF('ORDENES'!$A269="","",IF('ORDENES'!$AI269="","-",'ORDENES'!$AI269))</f>
        <v/>
      </c>
      <c r="D291" s="5">
        <f>IF('ORDENES'!$A269="","",IF('ORDENES'!$AA269="","-",'ORDENES'!$AA269))</f>
        <v/>
      </c>
      <c r="E291" s="5">
        <f>IF('ORDENES'!$A269="","",IF('ORDENES'!$Y269="","-",'ORDENES'!$Y269))</f>
        <v/>
      </c>
      <c r="F291" s="5">
        <f>IF('ORDENES'!$A269="","",IF('ORDENES'!$AB269="","-",'ORDENES'!$AB269))</f>
        <v/>
      </c>
      <c r="G291" s="5">
        <f>IF('ORDENES'!$A269="","",IF('ORDENES'!$Z269="","-",'ORDENES'!$Z269))</f>
        <v/>
      </c>
      <c r="H291" s="5">
        <f>IF('ORDENES'!$A269="","",IF('ORDENES'!$AH269="","-",'ORDENES'!$AH269))</f>
        <v/>
      </c>
      <c r="I291" s="5">
        <f>IF('ORDENES'!$A269="","",IF('ORDENES'!$AU269="","-",'ORDENES'!$AU269))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3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IF('ORDENES'!$A269="","",'ORDENES'!$AG269)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IF('ORDENES'!$A270="","",IF('ORDENES'!$AI270="","-",'ORDENES'!$AI270))</f>
        <v/>
      </c>
      <c r="D292" s="5">
        <f>IF('ORDENES'!$A270="","",IF('ORDENES'!$AA270="","-",'ORDENES'!$AA270))</f>
        <v/>
      </c>
      <c r="E292" s="5">
        <f>IF('ORDENES'!$A270="","",IF('ORDENES'!$Y270="","-",'ORDENES'!$Y270))</f>
        <v/>
      </c>
      <c r="F292" s="5">
        <f>IF('ORDENES'!$A270="","",IF('ORDENES'!$AB270="","-",'ORDENES'!$AB270))</f>
        <v/>
      </c>
      <c r="G292" s="5">
        <f>IF('ORDENES'!$A270="","",IF('ORDENES'!$Z270="","-",'ORDENES'!$Z270))</f>
        <v/>
      </c>
      <c r="H292" s="5">
        <f>IF('ORDENES'!$A270="","",IF('ORDENES'!$AH270="","-",'ORDENES'!$AH270))</f>
        <v/>
      </c>
      <c r="I292" s="5">
        <f>IF('ORDENES'!$A270="","",IF('ORDENES'!$AU270="","-",'ORDENES'!$AU270))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3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IF('ORDENES'!$A270="","",'ORDENES'!$AG270)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IF('ORDENES'!$A271="","",IF('ORDENES'!$AI271="","-",'ORDENES'!$AI271))</f>
        <v/>
      </c>
      <c r="D293" s="5">
        <f>IF('ORDENES'!$A271="","",IF('ORDENES'!$AA271="","-",'ORDENES'!$AA271))</f>
        <v/>
      </c>
      <c r="E293" s="5">
        <f>IF('ORDENES'!$A271="","",IF('ORDENES'!$Y271="","-",'ORDENES'!$Y271))</f>
        <v/>
      </c>
      <c r="F293" s="5">
        <f>IF('ORDENES'!$A271="","",IF('ORDENES'!$AB271="","-",'ORDENES'!$AB271))</f>
        <v/>
      </c>
      <c r="G293" s="5">
        <f>IF('ORDENES'!$A271="","",IF('ORDENES'!$Z271="","-",'ORDENES'!$Z271))</f>
        <v/>
      </c>
      <c r="H293" s="5">
        <f>IF('ORDENES'!$A271="","",IF('ORDENES'!$AH271="","-",'ORDENES'!$AH271))</f>
        <v/>
      </c>
      <c r="I293" s="5">
        <f>IF('ORDENES'!$A271="","",IF('ORDENES'!$AU271="","-",'ORDENES'!$AU271))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3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IF('ORDENES'!$A271="","",'ORDENES'!$AG271)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IF('ORDENES'!$A272="","",IF('ORDENES'!$AI272="","-",'ORDENES'!$AI272))</f>
        <v/>
      </c>
      <c r="D294" s="5">
        <f>IF('ORDENES'!$A272="","",IF('ORDENES'!$AA272="","-",'ORDENES'!$AA272))</f>
        <v/>
      </c>
      <c r="E294" s="5">
        <f>IF('ORDENES'!$A272="","",IF('ORDENES'!$Y272="","-",'ORDENES'!$Y272))</f>
        <v/>
      </c>
      <c r="F294" s="5">
        <f>IF('ORDENES'!$A272="","",IF('ORDENES'!$AB272="","-",'ORDENES'!$AB272))</f>
        <v/>
      </c>
      <c r="G294" s="5">
        <f>IF('ORDENES'!$A272="","",IF('ORDENES'!$Z272="","-",'ORDENES'!$Z272))</f>
        <v/>
      </c>
      <c r="H294" s="5">
        <f>IF('ORDENES'!$A272="","",IF('ORDENES'!$AH272="","-",'ORDENES'!$AH272))</f>
        <v/>
      </c>
      <c r="I294" s="5">
        <f>IF('ORDENES'!$A272="","",IF('ORDENES'!$AU272="","-",'ORDENES'!$AU272))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3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IF('ORDENES'!$A272="","",'ORDENES'!$AG272)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IF('ORDENES'!$A273="","",IF('ORDENES'!$AI273="","-",'ORDENES'!$AI273))</f>
        <v/>
      </c>
      <c r="D295" s="5">
        <f>IF('ORDENES'!$A273="","",IF('ORDENES'!$AA273="","-",'ORDENES'!$AA273))</f>
        <v/>
      </c>
      <c r="E295" s="5">
        <f>IF('ORDENES'!$A273="","",IF('ORDENES'!$Y273="","-",'ORDENES'!$Y273))</f>
        <v/>
      </c>
      <c r="F295" s="5">
        <f>IF('ORDENES'!$A273="","",IF('ORDENES'!$AB273="","-",'ORDENES'!$AB273))</f>
        <v/>
      </c>
      <c r="G295" s="5">
        <f>IF('ORDENES'!$A273="","",IF('ORDENES'!$Z273="","-",'ORDENES'!$Z273))</f>
        <v/>
      </c>
      <c r="H295" s="5">
        <f>IF('ORDENES'!$A273="","",IF('ORDENES'!$AH273="","-",'ORDENES'!$AH273))</f>
        <v/>
      </c>
      <c r="I295" s="5">
        <f>IF('ORDENES'!$A273="","",IF('ORDENES'!$AU273="","-",'ORDENES'!$AU273))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3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IF('ORDENES'!$A273="","",'ORDENES'!$AG273)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IF('ORDENES'!$A274="","",IF('ORDENES'!$AI274="","-",'ORDENES'!$AI274))</f>
        <v/>
      </c>
      <c r="D296" s="5">
        <f>IF('ORDENES'!$A274="","",IF('ORDENES'!$AA274="","-",'ORDENES'!$AA274))</f>
        <v/>
      </c>
      <c r="E296" s="5">
        <f>IF('ORDENES'!$A274="","",IF('ORDENES'!$Y274="","-",'ORDENES'!$Y274))</f>
        <v/>
      </c>
      <c r="F296" s="5">
        <f>IF('ORDENES'!$A274="","",IF('ORDENES'!$AB274="","-",'ORDENES'!$AB274))</f>
        <v/>
      </c>
      <c r="G296" s="5">
        <f>IF('ORDENES'!$A274="","",IF('ORDENES'!$Z274="","-",'ORDENES'!$Z274))</f>
        <v/>
      </c>
      <c r="H296" s="5">
        <f>IF('ORDENES'!$A274="","",IF('ORDENES'!$AH274="","-",'ORDENES'!$AH274))</f>
        <v/>
      </c>
      <c r="I296" s="5">
        <f>IF('ORDENES'!$A274="","",IF('ORDENES'!$AU274="","-",'ORDENES'!$AU274))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3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IF('ORDENES'!$A274="","",'ORDENES'!$AG274)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IF('ORDENES'!$A275="","",IF('ORDENES'!$AI275="","-",'ORDENES'!$AI275))</f>
        <v/>
      </c>
      <c r="D297" s="5">
        <f>IF('ORDENES'!$A275="","",IF('ORDENES'!$AA275="","-",'ORDENES'!$AA275))</f>
        <v/>
      </c>
      <c r="E297" s="5">
        <f>IF('ORDENES'!$A275="","",IF('ORDENES'!$Y275="","-",'ORDENES'!$Y275))</f>
        <v/>
      </c>
      <c r="F297" s="5">
        <f>IF('ORDENES'!$A275="","",IF('ORDENES'!$AB275="","-",'ORDENES'!$AB275))</f>
        <v/>
      </c>
      <c r="G297" s="5">
        <f>IF('ORDENES'!$A275="","",IF('ORDENES'!$Z275="","-",'ORDENES'!$Z275))</f>
        <v/>
      </c>
      <c r="H297" s="5">
        <f>IF('ORDENES'!$A275="","",IF('ORDENES'!$AH275="","-",'ORDENES'!$AH275))</f>
        <v/>
      </c>
      <c r="I297" s="5">
        <f>IF('ORDENES'!$A275="","",IF('ORDENES'!$AU275="","-",'ORDENES'!$AU275))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3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IF('ORDENES'!$A275="","",'ORDENES'!$AG275)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IF('ORDENES'!$A276="","",IF('ORDENES'!$AI276="","-",'ORDENES'!$AI276))</f>
        <v/>
      </c>
      <c r="D298" s="5">
        <f>IF('ORDENES'!$A276="","",IF('ORDENES'!$AA276="","-",'ORDENES'!$AA276))</f>
        <v/>
      </c>
      <c r="E298" s="5">
        <f>IF('ORDENES'!$A276="","",IF('ORDENES'!$Y276="","-",'ORDENES'!$Y276))</f>
        <v/>
      </c>
      <c r="F298" s="5">
        <f>IF('ORDENES'!$A276="","",IF('ORDENES'!$AB276="","-",'ORDENES'!$AB276))</f>
        <v/>
      </c>
      <c r="G298" s="5">
        <f>IF('ORDENES'!$A276="","",IF('ORDENES'!$Z276="","-",'ORDENES'!$Z276))</f>
        <v/>
      </c>
      <c r="H298" s="5">
        <f>IF('ORDENES'!$A276="","",IF('ORDENES'!$AH276="","-",'ORDENES'!$AH276))</f>
        <v/>
      </c>
      <c r="I298" s="5">
        <f>IF('ORDENES'!$A276="","",IF('ORDENES'!$AU276="","-",'ORDENES'!$AU276))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3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IF('ORDENES'!$A276="","",'ORDENES'!$AG276)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IF('ORDENES'!$A277="","",IF('ORDENES'!$AI277="","-",'ORDENES'!$AI277))</f>
        <v/>
      </c>
      <c r="D299" s="5">
        <f>IF('ORDENES'!$A277="","",IF('ORDENES'!$AA277="","-",'ORDENES'!$AA277))</f>
        <v/>
      </c>
      <c r="E299" s="5">
        <f>IF('ORDENES'!$A277="","",IF('ORDENES'!$Y277="","-",'ORDENES'!$Y277))</f>
        <v/>
      </c>
      <c r="F299" s="5">
        <f>IF('ORDENES'!$A277="","",IF('ORDENES'!$AB277="","-",'ORDENES'!$AB277))</f>
        <v/>
      </c>
      <c r="G299" s="5">
        <f>IF('ORDENES'!$A277="","",IF('ORDENES'!$Z277="","-",'ORDENES'!$Z277))</f>
        <v/>
      </c>
      <c r="H299" s="5">
        <f>IF('ORDENES'!$A277="","",IF('ORDENES'!$AH277="","-",'ORDENES'!$AH277))</f>
        <v/>
      </c>
      <c r="I299" s="5">
        <f>IF('ORDENES'!$A277="","",IF('ORDENES'!$AU277="","-",'ORDENES'!$AU277))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3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IF('ORDENES'!$A277="","",'ORDENES'!$AG277)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IF('ORDENES'!$A278="","",IF('ORDENES'!$AI278="","-",'ORDENES'!$AI278))</f>
        <v/>
      </c>
      <c r="D300" s="5">
        <f>IF('ORDENES'!$A278="","",IF('ORDENES'!$AA278="","-",'ORDENES'!$AA278))</f>
        <v/>
      </c>
      <c r="E300" s="5">
        <f>IF('ORDENES'!$A278="","",IF('ORDENES'!$Y278="","-",'ORDENES'!$Y278))</f>
        <v/>
      </c>
      <c r="F300" s="5">
        <f>IF('ORDENES'!$A278="","",IF('ORDENES'!$AB278="","-",'ORDENES'!$AB278))</f>
        <v/>
      </c>
      <c r="G300" s="5">
        <f>IF('ORDENES'!$A278="","",IF('ORDENES'!$Z278="","-",'ORDENES'!$Z278))</f>
        <v/>
      </c>
      <c r="H300" s="5">
        <f>IF('ORDENES'!$A278="","",IF('ORDENES'!$AH278="","-",'ORDENES'!$AH278))</f>
        <v/>
      </c>
      <c r="I300" s="5">
        <f>IF('ORDENES'!$A278="","",IF('ORDENES'!$AU278="","-",'ORDENES'!$AU278))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3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IF('ORDENES'!$A278="","",'ORDENES'!$AG278)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IF('ORDENES'!$A279="","",IF('ORDENES'!$AI279="","-",'ORDENES'!$AI279))</f>
        <v/>
      </c>
      <c r="D301" s="5">
        <f>IF('ORDENES'!$A279="","",IF('ORDENES'!$AA279="","-",'ORDENES'!$AA279))</f>
        <v/>
      </c>
      <c r="E301" s="5">
        <f>IF('ORDENES'!$A279="","",IF('ORDENES'!$Y279="","-",'ORDENES'!$Y279))</f>
        <v/>
      </c>
      <c r="F301" s="5">
        <f>IF('ORDENES'!$A279="","",IF('ORDENES'!$AB279="","-",'ORDENES'!$AB279))</f>
        <v/>
      </c>
      <c r="G301" s="5">
        <f>IF('ORDENES'!$A279="","",IF('ORDENES'!$Z279="","-",'ORDENES'!$Z279))</f>
        <v/>
      </c>
      <c r="H301" s="5">
        <f>IF('ORDENES'!$A279="","",IF('ORDENES'!$AH279="","-",'ORDENES'!$AH279))</f>
        <v/>
      </c>
      <c r="I301" s="5">
        <f>IF('ORDENES'!$A279="","",IF('ORDENES'!$AU279="","-",'ORDENES'!$AU279))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3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IF('ORDENES'!$A279="","",'ORDENES'!$AG279)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IF('ORDENES'!$A280="","",IF('ORDENES'!$AI280="","-",'ORDENES'!$AI280))</f>
        <v/>
      </c>
      <c r="D302" s="5">
        <f>IF('ORDENES'!$A280="","",IF('ORDENES'!$AA280="","-",'ORDENES'!$AA280))</f>
        <v/>
      </c>
      <c r="E302" s="5">
        <f>IF('ORDENES'!$A280="","",IF('ORDENES'!$Y280="","-",'ORDENES'!$Y280))</f>
        <v/>
      </c>
      <c r="F302" s="5">
        <f>IF('ORDENES'!$A280="","",IF('ORDENES'!$AB280="","-",'ORDENES'!$AB280))</f>
        <v/>
      </c>
      <c r="G302" s="5">
        <f>IF('ORDENES'!$A280="","",IF('ORDENES'!$Z280="","-",'ORDENES'!$Z280))</f>
        <v/>
      </c>
      <c r="H302" s="5">
        <f>IF('ORDENES'!$A280="","",IF('ORDENES'!$AH280="","-",'ORDENES'!$AH280))</f>
        <v/>
      </c>
      <c r="I302" s="5">
        <f>IF('ORDENES'!$A280="","",IF('ORDENES'!$AU280="","-",'ORDENES'!$AU280))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3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IF('ORDENES'!$A280="","",'ORDENES'!$AG280)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IF('ORDENES'!$A281="","",IF('ORDENES'!$AI281="","-",'ORDENES'!$AI281))</f>
        <v/>
      </c>
      <c r="D303" s="5">
        <f>IF('ORDENES'!$A281="","",IF('ORDENES'!$AA281="","-",'ORDENES'!$AA281))</f>
        <v/>
      </c>
      <c r="E303" s="5">
        <f>IF('ORDENES'!$A281="","",IF('ORDENES'!$Y281="","-",'ORDENES'!$Y281))</f>
        <v/>
      </c>
      <c r="F303" s="5">
        <f>IF('ORDENES'!$A281="","",IF('ORDENES'!$AB281="","-",'ORDENES'!$AB281))</f>
        <v/>
      </c>
      <c r="G303" s="5">
        <f>IF('ORDENES'!$A281="","",IF('ORDENES'!$Z281="","-",'ORDENES'!$Z281))</f>
        <v/>
      </c>
      <c r="H303" s="5">
        <f>IF('ORDENES'!$A281="","",IF('ORDENES'!$AH281="","-",'ORDENES'!$AH281))</f>
        <v/>
      </c>
      <c r="I303" s="5">
        <f>IF('ORDENES'!$A281="","",IF('ORDENES'!$AU281="","-",'ORDENES'!$AU281))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3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IF('ORDENES'!$A281="","",'ORDENES'!$AG281)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IF('ORDENES'!$A282="","",IF('ORDENES'!$AI282="","-",'ORDENES'!$AI282))</f>
        <v/>
      </c>
      <c r="D304" s="5">
        <f>IF('ORDENES'!$A282="","",IF('ORDENES'!$AA282="","-",'ORDENES'!$AA282))</f>
        <v/>
      </c>
      <c r="E304" s="5">
        <f>IF('ORDENES'!$A282="","",IF('ORDENES'!$Y282="","-",'ORDENES'!$Y282))</f>
        <v/>
      </c>
      <c r="F304" s="5">
        <f>IF('ORDENES'!$A282="","",IF('ORDENES'!$AB282="","-",'ORDENES'!$AB282))</f>
        <v/>
      </c>
      <c r="G304" s="5">
        <f>IF('ORDENES'!$A282="","",IF('ORDENES'!$Z282="","-",'ORDENES'!$Z282))</f>
        <v/>
      </c>
      <c r="H304" s="5">
        <f>IF('ORDENES'!$A282="","",IF('ORDENES'!$AH282="","-",'ORDENES'!$AH282))</f>
        <v/>
      </c>
      <c r="I304" s="5">
        <f>IF('ORDENES'!$A282="","",IF('ORDENES'!$AU282="","-",'ORDENES'!$AU282))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3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IF('ORDENES'!$A282="","",'ORDENES'!$AG282)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IF('ORDENES'!$A283="","",IF('ORDENES'!$AI283="","-",'ORDENES'!$AI283))</f>
        <v/>
      </c>
      <c r="D305" s="5">
        <f>IF('ORDENES'!$A283="","",IF('ORDENES'!$AA283="","-",'ORDENES'!$AA283))</f>
        <v/>
      </c>
      <c r="E305" s="5">
        <f>IF('ORDENES'!$A283="","",IF('ORDENES'!$Y283="","-",'ORDENES'!$Y283))</f>
        <v/>
      </c>
      <c r="F305" s="5">
        <f>IF('ORDENES'!$A283="","",IF('ORDENES'!$AB283="","-",'ORDENES'!$AB283))</f>
        <v/>
      </c>
      <c r="G305" s="5">
        <f>IF('ORDENES'!$A283="","",IF('ORDENES'!$Z283="","-",'ORDENES'!$Z283))</f>
        <v/>
      </c>
      <c r="H305" s="5">
        <f>IF('ORDENES'!$A283="","",IF('ORDENES'!$AH283="","-",'ORDENES'!$AH283))</f>
        <v/>
      </c>
      <c r="I305" s="5">
        <f>IF('ORDENES'!$A283="","",IF('ORDENES'!$AU283="","-",'ORDENES'!$AU283))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3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IF('ORDENES'!$A283="","",'ORDENES'!$AG283)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IF('ORDENES'!$A284="","",IF('ORDENES'!$AI284="","-",'ORDENES'!$AI284))</f>
        <v/>
      </c>
      <c r="D306" s="5">
        <f>IF('ORDENES'!$A284="","",IF('ORDENES'!$AA284="","-",'ORDENES'!$AA284))</f>
        <v/>
      </c>
      <c r="E306" s="5">
        <f>IF('ORDENES'!$A284="","",IF('ORDENES'!$Y284="","-",'ORDENES'!$Y284))</f>
        <v/>
      </c>
      <c r="F306" s="5">
        <f>IF('ORDENES'!$A284="","",IF('ORDENES'!$AB284="","-",'ORDENES'!$AB284))</f>
        <v/>
      </c>
      <c r="G306" s="5">
        <f>IF('ORDENES'!$A284="","",IF('ORDENES'!$Z284="","-",'ORDENES'!$Z284))</f>
        <v/>
      </c>
      <c r="H306" s="5">
        <f>IF('ORDENES'!$A284="","",IF('ORDENES'!$AH284="","-",'ORDENES'!$AH284))</f>
        <v/>
      </c>
      <c r="I306" s="5">
        <f>IF('ORDENES'!$A284="","",IF('ORDENES'!$AU284="","-",'ORDENES'!$AU284))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3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IF('ORDENES'!$A284="","",'ORDENES'!$AG284)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IF('ORDENES'!$A285="","",IF('ORDENES'!$AI285="","-",'ORDENES'!$AI285))</f>
        <v/>
      </c>
      <c r="D307" s="5">
        <f>IF('ORDENES'!$A285="","",IF('ORDENES'!$AA285="","-",'ORDENES'!$AA285))</f>
        <v/>
      </c>
      <c r="E307" s="5">
        <f>IF('ORDENES'!$A285="","",IF('ORDENES'!$Y285="","-",'ORDENES'!$Y285))</f>
        <v/>
      </c>
      <c r="F307" s="5">
        <f>IF('ORDENES'!$A285="","",IF('ORDENES'!$AB285="","-",'ORDENES'!$AB285))</f>
        <v/>
      </c>
      <c r="G307" s="5">
        <f>IF('ORDENES'!$A285="","",IF('ORDENES'!$Z285="","-",'ORDENES'!$Z285))</f>
        <v/>
      </c>
      <c r="H307" s="5">
        <f>IF('ORDENES'!$A285="","",IF('ORDENES'!$AH285="","-",'ORDENES'!$AH285))</f>
        <v/>
      </c>
      <c r="I307" s="5">
        <f>IF('ORDENES'!$A285="","",IF('ORDENES'!$AU285="","-",'ORDENES'!$AU285))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3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IF('ORDENES'!$A285="","",'ORDENES'!$AG285)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IF('ORDENES'!$A286="","",IF('ORDENES'!$AI286="","-",'ORDENES'!$AI286))</f>
        <v/>
      </c>
      <c r="D308" s="5">
        <f>IF('ORDENES'!$A286="","",IF('ORDENES'!$AA286="","-",'ORDENES'!$AA286))</f>
        <v/>
      </c>
      <c r="E308" s="5">
        <f>IF('ORDENES'!$A286="","",IF('ORDENES'!$Y286="","-",'ORDENES'!$Y286))</f>
        <v/>
      </c>
      <c r="F308" s="5">
        <f>IF('ORDENES'!$A286="","",IF('ORDENES'!$AB286="","-",'ORDENES'!$AB286))</f>
        <v/>
      </c>
      <c r="G308" s="5">
        <f>IF('ORDENES'!$A286="","",IF('ORDENES'!$Z286="","-",'ORDENES'!$Z286))</f>
        <v/>
      </c>
      <c r="H308" s="5">
        <f>IF('ORDENES'!$A286="","",IF('ORDENES'!$AH286="","-",'ORDENES'!$AH286))</f>
        <v/>
      </c>
      <c r="I308" s="5">
        <f>IF('ORDENES'!$A286="","",IF('ORDENES'!$AU286="","-",'ORDENES'!$AU286))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3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IF('ORDENES'!$A286="","",'ORDENES'!$AG286)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IF('ORDENES'!$A287="","",IF('ORDENES'!$AI287="","-",'ORDENES'!$AI287))</f>
        <v/>
      </c>
      <c r="D309" s="5">
        <f>IF('ORDENES'!$A287="","",IF('ORDENES'!$AA287="","-",'ORDENES'!$AA287))</f>
        <v/>
      </c>
      <c r="E309" s="5">
        <f>IF('ORDENES'!$A287="","",IF('ORDENES'!$Y287="","-",'ORDENES'!$Y287))</f>
        <v/>
      </c>
      <c r="F309" s="5">
        <f>IF('ORDENES'!$A287="","",IF('ORDENES'!$AB287="","-",'ORDENES'!$AB287))</f>
        <v/>
      </c>
      <c r="G309" s="5">
        <f>IF('ORDENES'!$A287="","",IF('ORDENES'!$Z287="","-",'ORDENES'!$Z287))</f>
        <v/>
      </c>
      <c r="H309" s="5">
        <f>IF('ORDENES'!$A287="","",IF('ORDENES'!$AH287="","-",'ORDENES'!$AH287))</f>
        <v/>
      </c>
      <c r="I309" s="5">
        <f>IF('ORDENES'!$A287="","",IF('ORDENES'!$AU287="","-",'ORDENES'!$AU287))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3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IF('ORDENES'!$A287="","",'ORDENES'!$AG287)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IF('ORDENES'!$A288="","",IF('ORDENES'!$AI288="","-",'ORDENES'!$AI288))</f>
        <v/>
      </c>
      <c r="D310" s="5">
        <f>IF('ORDENES'!$A288="","",IF('ORDENES'!$AA288="","-",'ORDENES'!$AA288))</f>
        <v/>
      </c>
      <c r="E310" s="5">
        <f>IF('ORDENES'!$A288="","",IF('ORDENES'!$Y288="","-",'ORDENES'!$Y288))</f>
        <v/>
      </c>
      <c r="F310" s="5">
        <f>IF('ORDENES'!$A288="","",IF('ORDENES'!$AB288="","-",'ORDENES'!$AB288))</f>
        <v/>
      </c>
      <c r="G310" s="5">
        <f>IF('ORDENES'!$A288="","",IF('ORDENES'!$Z288="","-",'ORDENES'!$Z288))</f>
        <v/>
      </c>
      <c r="H310" s="5">
        <f>IF('ORDENES'!$A288="","",IF('ORDENES'!$AH288="","-",'ORDENES'!$AH288))</f>
        <v/>
      </c>
      <c r="I310" s="5">
        <f>IF('ORDENES'!$A288="","",IF('ORDENES'!$AU288="","-",'ORDENES'!$AU288))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3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IF('ORDENES'!$A288="","",'ORDENES'!$AG288)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IF('ORDENES'!$A289="","",IF('ORDENES'!$AI289="","-",'ORDENES'!$AI289))</f>
        <v/>
      </c>
      <c r="D311" s="5">
        <f>IF('ORDENES'!$A289="","",IF('ORDENES'!$AA289="","-",'ORDENES'!$AA289))</f>
        <v/>
      </c>
      <c r="E311" s="5">
        <f>IF('ORDENES'!$A289="","",IF('ORDENES'!$Y289="","-",'ORDENES'!$Y289))</f>
        <v/>
      </c>
      <c r="F311" s="5">
        <f>IF('ORDENES'!$A289="","",IF('ORDENES'!$AB289="","-",'ORDENES'!$AB289))</f>
        <v/>
      </c>
      <c r="G311" s="5">
        <f>IF('ORDENES'!$A289="","",IF('ORDENES'!$Z289="","-",'ORDENES'!$Z289))</f>
        <v/>
      </c>
      <c r="H311" s="5">
        <f>IF('ORDENES'!$A289="","",IF('ORDENES'!$AH289="","-",'ORDENES'!$AH289))</f>
        <v/>
      </c>
      <c r="I311" s="5">
        <f>IF('ORDENES'!$A289="","",IF('ORDENES'!$AU289="","-",'ORDENES'!$AU289))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3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IF('ORDENES'!$A289="","",'ORDENES'!$AG289)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IF('ORDENES'!$A290="","",IF('ORDENES'!$AI290="","-",'ORDENES'!$AI290))</f>
        <v/>
      </c>
      <c r="D312" s="5">
        <f>IF('ORDENES'!$A290="","",IF('ORDENES'!$AA290="","-",'ORDENES'!$AA290))</f>
        <v/>
      </c>
      <c r="E312" s="5">
        <f>IF('ORDENES'!$A290="","",IF('ORDENES'!$Y290="","-",'ORDENES'!$Y290))</f>
        <v/>
      </c>
      <c r="F312" s="5">
        <f>IF('ORDENES'!$A290="","",IF('ORDENES'!$AB290="","-",'ORDENES'!$AB290))</f>
        <v/>
      </c>
      <c r="G312" s="5">
        <f>IF('ORDENES'!$A290="","",IF('ORDENES'!$Z290="","-",'ORDENES'!$Z290))</f>
        <v/>
      </c>
      <c r="H312" s="5">
        <f>IF('ORDENES'!$A290="","",IF('ORDENES'!$AH290="","-",'ORDENES'!$AH290))</f>
        <v/>
      </c>
      <c r="I312" s="5">
        <f>IF('ORDENES'!$A290="","",IF('ORDENES'!$AU290="","-",'ORDENES'!$AU290))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3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IF('ORDENES'!$A290="","",'ORDENES'!$AG290)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IF('ORDENES'!$A291="","",IF('ORDENES'!$AI291="","-",'ORDENES'!$AI291))</f>
        <v/>
      </c>
      <c r="D313" s="5">
        <f>IF('ORDENES'!$A291="","",IF('ORDENES'!$AA291="","-",'ORDENES'!$AA291))</f>
        <v/>
      </c>
      <c r="E313" s="5">
        <f>IF('ORDENES'!$A291="","",IF('ORDENES'!$Y291="","-",'ORDENES'!$Y291))</f>
        <v/>
      </c>
      <c r="F313" s="5">
        <f>IF('ORDENES'!$A291="","",IF('ORDENES'!$AB291="","-",'ORDENES'!$AB291))</f>
        <v/>
      </c>
      <c r="G313" s="5">
        <f>IF('ORDENES'!$A291="","",IF('ORDENES'!$Z291="","-",'ORDENES'!$Z291))</f>
        <v/>
      </c>
      <c r="H313" s="5">
        <f>IF('ORDENES'!$A291="","",IF('ORDENES'!$AH291="","-",'ORDENES'!$AH291))</f>
        <v/>
      </c>
      <c r="I313" s="5">
        <f>IF('ORDENES'!$A291="","",IF('ORDENES'!$AU291="","-",'ORDENES'!$AU291))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3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IF('ORDENES'!$A291="","",'ORDENES'!$AG291)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IF('ORDENES'!$A292="","",IF('ORDENES'!$AI292="","-",'ORDENES'!$AI292))</f>
        <v/>
      </c>
      <c r="D314" s="5">
        <f>IF('ORDENES'!$A292="","",IF('ORDENES'!$AA292="","-",'ORDENES'!$AA292))</f>
        <v/>
      </c>
      <c r="E314" s="5">
        <f>IF('ORDENES'!$A292="","",IF('ORDENES'!$Y292="","-",'ORDENES'!$Y292))</f>
        <v/>
      </c>
      <c r="F314" s="5">
        <f>IF('ORDENES'!$A292="","",IF('ORDENES'!$AB292="","-",'ORDENES'!$AB292))</f>
        <v/>
      </c>
      <c r="G314" s="5">
        <f>IF('ORDENES'!$A292="","",IF('ORDENES'!$Z292="","-",'ORDENES'!$Z292))</f>
        <v/>
      </c>
      <c r="H314" s="5">
        <f>IF('ORDENES'!$A292="","",IF('ORDENES'!$AH292="","-",'ORDENES'!$AH292))</f>
        <v/>
      </c>
      <c r="I314" s="5">
        <f>IF('ORDENES'!$A292="","",IF('ORDENES'!$AU292="","-",'ORDENES'!$AU292))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3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IF('ORDENES'!$A292="","",'ORDENES'!$AG292)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IF('ORDENES'!$A293="","",IF('ORDENES'!$AI293="","-",'ORDENES'!$AI293))</f>
        <v/>
      </c>
      <c r="D315" s="5">
        <f>IF('ORDENES'!$A293="","",IF('ORDENES'!$AA293="","-",'ORDENES'!$AA293))</f>
        <v/>
      </c>
      <c r="E315" s="5">
        <f>IF('ORDENES'!$A293="","",IF('ORDENES'!$Y293="","-",'ORDENES'!$Y293))</f>
        <v/>
      </c>
      <c r="F315" s="5">
        <f>IF('ORDENES'!$A293="","",IF('ORDENES'!$AB293="","-",'ORDENES'!$AB293))</f>
        <v/>
      </c>
      <c r="G315" s="5">
        <f>IF('ORDENES'!$A293="","",IF('ORDENES'!$Z293="","-",'ORDENES'!$Z293))</f>
        <v/>
      </c>
      <c r="H315" s="5">
        <f>IF('ORDENES'!$A293="","",IF('ORDENES'!$AH293="","-",'ORDENES'!$AH293))</f>
        <v/>
      </c>
      <c r="I315" s="5">
        <f>IF('ORDENES'!$A293="","",IF('ORDENES'!$AU293="","-",'ORDENES'!$AU293))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3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IF('ORDENES'!$A293="","",'ORDENES'!$AG293)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IF('ORDENES'!$A294="","",IF('ORDENES'!$AI294="","-",'ORDENES'!$AI294))</f>
        <v/>
      </c>
      <c r="D316" s="5">
        <f>IF('ORDENES'!$A294="","",IF('ORDENES'!$AA294="","-",'ORDENES'!$AA294))</f>
        <v/>
      </c>
      <c r="E316" s="5">
        <f>IF('ORDENES'!$A294="","",IF('ORDENES'!$Y294="","-",'ORDENES'!$Y294))</f>
        <v/>
      </c>
      <c r="F316" s="5">
        <f>IF('ORDENES'!$A294="","",IF('ORDENES'!$AB294="","-",'ORDENES'!$AB294))</f>
        <v/>
      </c>
      <c r="G316" s="5">
        <f>IF('ORDENES'!$A294="","",IF('ORDENES'!$Z294="","-",'ORDENES'!$Z294))</f>
        <v/>
      </c>
      <c r="H316" s="5">
        <f>IF('ORDENES'!$A294="","",IF('ORDENES'!$AH294="","-",'ORDENES'!$AH294))</f>
        <v/>
      </c>
      <c r="I316" s="5">
        <f>IF('ORDENES'!$A294="","",IF('ORDENES'!$AU294="","-",'ORDENES'!$AU294))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3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IF('ORDENES'!$A294="","",'ORDENES'!$AG294)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IF('ORDENES'!$A295="","",IF('ORDENES'!$AI295="","-",'ORDENES'!$AI295))</f>
        <v/>
      </c>
      <c r="D317" s="5">
        <f>IF('ORDENES'!$A295="","",IF('ORDENES'!$AA295="","-",'ORDENES'!$AA295))</f>
        <v/>
      </c>
      <c r="E317" s="5">
        <f>IF('ORDENES'!$A295="","",IF('ORDENES'!$Y295="","-",'ORDENES'!$Y295))</f>
        <v/>
      </c>
      <c r="F317" s="5">
        <f>IF('ORDENES'!$A295="","",IF('ORDENES'!$AB295="","-",'ORDENES'!$AB295))</f>
        <v/>
      </c>
      <c r="G317" s="5">
        <f>IF('ORDENES'!$A295="","",IF('ORDENES'!$Z295="","-",'ORDENES'!$Z295))</f>
        <v/>
      </c>
      <c r="H317" s="5">
        <f>IF('ORDENES'!$A295="","",IF('ORDENES'!$AH295="","-",'ORDENES'!$AH295))</f>
        <v/>
      </c>
      <c r="I317" s="5">
        <f>IF('ORDENES'!$A295="","",IF('ORDENES'!$AU295="","-",'ORDENES'!$AU295))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3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IF('ORDENES'!$A295="","",'ORDENES'!$AG295)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IF('ORDENES'!$A296="","",IF('ORDENES'!$AI296="","-",'ORDENES'!$AI296))</f>
        <v/>
      </c>
      <c r="D318" s="5">
        <f>IF('ORDENES'!$A296="","",IF('ORDENES'!$AA296="","-",'ORDENES'!$AA296))</f>
        <v/>
      </c>
      <c r="E318" s="5">
        <f>IF('ORDENES'!$A296="","",IF('ORDENES'!$Y296="","-",'ORDENES'!$Y296))</f>
        <v/>
      </c>
      <c r="F318" s="5">
        <f>IF('ORDENES'!$A296="","",IF('ORDENES'!$AB296="","-",'ORDENES'!$AB296))</f>
        <v/>
      </c>
      <c r="G318" s="5">
        <f>IF('ORDENES'!$A296="","",IF('ORDENES'!$Z296="","-",'ORDENES'!$Z296))</f>
        <v/>
      </c>
      <c r="H318" s="5">
        <f>IF('ORDENES'!$A296="","",IF('ORDENES'!$AH296="","-",'ORDENES'!$AH296))</f>
        <v/>
      </c>
      <c r="I318" s="5">
        <f>IF('ORDENES'!$A296="","",IF('ORDENES'!$AU296="","-",'ORDENES'!$AU296))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3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IF('ORDENES'!$A296="","",'ORDENES'!$AG296)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IF('ORDENES'!$A297="","",IF('ORDENES'!$AI297="","-",'ORDENES'!$AI297))</f>
        <v/>
      </c>
      <c r="D319" s="5">
        <f>IF('ORDENES'!$A297="","",IF('ORDENES'!$AA297="","-",'ORDENES'!$AA297))</f>
        <v/>
      </c>
      <c r="E319" s="5">
        <f>IF('ORDENES'!$A297="","",IF('ORDENES'!$Y297="","-",'ORDENES'!$Y297))</f>
        <v/>
      </c>
      <c r="F319" s="5">
        <f>IF('ORDENES'!$A297="","",IF('ORDENES'!$AB297="","-",'ORDENES'!$AB297))</f>
        <v/>
      </c>
      <c r="G319" s="5">
        <f>IF('ORDENES'!$A297="","",IF('ORDENES'!$Z297="","-",'ORDENES'!$Z297))</f>
        <v/>
      </c>
      <c r="H319" s="5">
        <f>IF('ORDENES'!$A297="","",IF('ORDENES'!$AH297="","-",'ORDENES'!$AH297))</f>
        <v/>
      </c>
      <c r="I319" s="5">
        <f>IF('ORDENES'!$A297="","",IF('ORDENES'!$AU297="","-",'ORDENES'!$AU297))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3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IF('ORDENES'!$A297="","",'ORDENES'!$AG297)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IF('ORDENES'!$A298="","",IF('ORDENES'!$AI298="","-",'ORDENES'!$AI298))</f>
        <v/>
      </c>
      <c r="D320" s="5">
        <f>IF('ORDENES'!$A298="","",IF('ORDENES'!$AA298="","-",'ORDENES'!$AA298))</f>
        <v/>
      </c>
      <c r="E320" s="5">
        <f>IF('ORDENES'!$A298="","",IF('ORDENES'!$Y298="","-",'ORDENES'!$Y298))</f>
        <v/>
      </c>
      <c r="F320" s="5">
        <f>IF('ORDENES'!$A298="","",IF('ORDENES'!$AB298="","-",'ORDENES'!$AB298))</f>
        <v/>
      </c>
      <c r="G320" s="5">
        <f>IF('ORDENES'!$A298="","",IF('ORDENES'!$Z298="","-",'ORDENES'!$Z298))</f>
        <v/>
      </c>
      <c r="H320" s="5">
        <f>IF('ORDENES'!$A298="","",IF('ORDENES'!$AH298="","-",'ORDENES'!$AH298))</f>
        <v/>
      </c>
      <c r="I320" s="5">
        <f>IF('ORDENES'!$A298="","",IF('ORDENES'!$AU298="","-",'ORDENES'!$AU298))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3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IF('ORDENES'!$A298="","",'ORDENES'!$AG298)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IF('ORDENES'!$A299="","",IF('ORDENES'!$AI299="","-",'ORDENES'!$AI299))</f>
        <v/>
      </c>
      <c r="D321" s="5">
        <f>IF('ORDENES'!$A299="","",IF('ORDENES'!$AA299="","-",'ORDENES'!$AA299))</f>
        <v/>
      </c>
      <c r="E321" s="5">
        <f>IF('ORDENES'!$A299="","",IF('ORDENES'!$Y299="","-",'ORDENES'!$Y299))</f>
        <v/>
      </c>
      <c r="F321" s="5">
        <f>IF('ORDENES'!$A299="","",IF('ORDENES'!$AB299="","-",'ORDENES'!$AB299))</f>
        <v/>
      </c>
      <c r="G321" s="5">
        <f>IF('ORDENES'!$A299="","",IF('ORDENES'!$Z299="","-",'ORDENES'!$Z299))</f>
        <v/>
      </c>
      <c r="H321" s="5">
        <f>IF('ORDENES'!$A299="","",IF('ORDENES'!$AH299="","-",'ORDENES'!$AH299))</f>
        <v/>
      </c>
      <c r="I321" s="5">
        <f>IF('ORDENES'!$A299="","",IF('ORDENES'!$AU299="","-",'ORDENES'!$AU299))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3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IF('ORDENES'!$A299="","",'ORDENES'!$AG299)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IF('ORDENES'!$A300="","",IF('ORDENES'!$AI300="","-",'ORDENES'!$AI300))</f>
        <v/>
      </c>
      <c r="D322" s="5">
        <f>IF('ORDENES'!$A300="","",IF('ORDENES'!$AA300="","-",'ORDENES'!$AA300))</f>
        <v/>
      </c>
      <c r="E322" s="5">
        <f>IF('ORDENES'!$A300="","",IF('ORDENES'!$Y300="","-",'ORDENES'!$Y300))</f>
        <v/>
      </c>
      <c r="F322" s="5">
        <f>IF('ORDENES'!$A300="","",IF('ORDENES'!$AB300="","-",'ORDENES'!$AB300))</f>
        <v/>
      </c>
      <c r="G322" s="5">
        <f>IF('ORDENES'!$A300="","",IF('ORDENES'!$Z300="","-",'ORDENES'!$Z300))</f>
        <v/>
      </c>
      <c r="H322" s="5">
        <f>IF('ORDENES'!$A300="","",IF('ORDENES'!$AH300="","-",'ORDENES'!$AH300))</f>
        <v/>
      </c>
      <c r="I322" s="5">
        <f>IF('ORDENES'!$A300="","",IF('ORDENES'!$AU300="","-",'ORDENES'!$AU300))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3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IF('ORDENES'!$A300="","",'ORDENES'!$AG300)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IF('ORDENES'!$A301="","",IF('ORDENES'!$AI301="","-",'ORDENES'!$AI301))</f>
        <v/>
      </c>
      <c r="D323" s="5">
        <f>IF('ORDENES'!$A301="","",IF('ORDENES'!$AA301="","-",'ORDENES'!$AA301))</f>
        <v/>
      </c>
      <c r="E323" s="5">
        <f>IF('ORDENES'!$A301="","",IF('ORDENES'!$Y301="","-",'ORDENES'!$Y301))</f>
        <v/>
      </c>
      <c r="F323" s="5">
        <f>IF('ORDENES'!$A301="","",IF('ORDENES'!$AB301="","-",'ORDENES'!$AB301))</f>
        <v/>
      </c>
      <c r="G323" s="5">
        <f>IF('ORDENES'!$A301="","",IF('ORDENES'!$Z301="","-",'ORDENES'!$Z301))</f>
        <v/>
      </c>
      <c r="H323" s="5">
        <f>IF('ORDENES'!$A301="","",IF('ORDENES'!$AH301="","-",'ORDENES'!$AH301))</f>
        <v/>
      </c>
      <c r="I323" s="5">
        <f>IF('ORDENES'!$A301="","",IF('ORDENES'!$AU301="","-",'ORDENES'!$AU301))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3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IF('ORDENES'!$A301="","",'ORDENES'!$AG301)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IF('ORDENES'!$A302="","",IF('ORDENES'!$AI302="","-",'ORDENES'!$AI302))</f>
        <v/>
      </c>
      <c r="D324" s="5">
        <f>IF('ORDENES'!$A302="","",IF('ORDENES'!$AA302="","-",'ORDENES'!$AA302))</f>
        <v/>
      </c>
      <c r="E324" s="5">
        <f>IF('ORDENES'!$A302="","",IF('ORDENES'!$Y302="","-",'ORDENES'!$Y302))</f>
        <v/>
      </c>
      <c r="F324" s="5">
        <f>IF('ORDENES'!$A302="","",IF('ORDENES'!$AB302="","-",'ORDENES'!$AB302))</f>
        <v/>
      </c>
      <c r="G324" s="5">
        <f>IF('ORDENES'!$A302="","",IF('ORDENES'!$Z302="","-",'ORDENES'!$Z302))</f>
        <v/>
      </c>
      <c r="H324" s="5">
        <f>IF('ORDENES'!$A302="","",IF('ORDENES'!$AH302="","-",'ORDENES'!$AH302))</f>
        <v/>
      </c>
      <c r="I324" s="5">
        <f>IF('ORDENES'!$A302="","",IF('ORDENES'!$AU302="","-",'ORDENES'!$AU302))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3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IF('ORDENES'!$A302="","",'ORDENES'!$AG302)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IF('ORDENES'!$A303="","",IF('ORDENES'!$AI303="","-",'ORDENES'!$AI303))</f>
        <v/>
      </c>
      <c r="D325" s="5">
        <f>IF('ORDENES'!$A303="","",IF('ORDENES'!$AA303="","-",'ORDENES'!$AA303))</f>
        <v/>
      </c>
      <c r="E325" s="5">
        <f>IF('ORDENES'!$A303="","",IF('ORDENES'!$Y303="","-",'ORDENES'!$Y303))</f>
        <v/>
      </c>
      <c r="F325" s="5">
        <f>IF('ORDENES'!$A303="","",IF('ORDENES'!$AB303="","-",'ORDENES'!$AB303))</f>
        <v/>
      </c>
      <c r="G325" s="5">
        <f>IF('ORDENES'!$A303="","",IF('ORDENES'!$Z303="","-",'ORDENES'!$Z303))</f>
        <v/>
      </c>
      <c r="H325" s="5">
        <f>IF('ORDENES'!$A303="","",IF('ORDENES'!$AH303="","-",'ORDENES'!$AH303))</f>
        <v/>
      </c>
      <c r="I325" s="5">
        <f>IF('ORDENES'!$A303="","",IF('ORDENES'!$AU303="","-",'ORDENES'!$AU303))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3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IF('ORDENES'!$A303="","",'ORDENES'!$AG303)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IF('ORDENES'!$A304="","",IF('ORDENES'!$AI304="","-",'ORDENES'!$AI304))</f>
        <v/>
      </c>
      <c r="D326" s="5">
        <f>IF('ORDENES'!$A304="","",IF('ORDENES'!$AA304="","-",'ORDENES'!$AA304))</f>
        <v/>
      </c>
      <c r="E326" s="5">
        <f>IF('ORDENES'!$A304="","",IF('ORDENES'!$Y304="","-",'ORDENES'!$Y304))</f>
        <v/>
      </c>
      <c r="F326" s="5">
        <f>IF('ORDENES'!$A304="","",IF('ORDENES'!$AB304="","-",'ORDENES'!$AB304))</f>
        <v/>
      </c>
      <c r="G326" s="5">
        <f>IF('ORDENES'!$A304="","",IF('ORDENES'!$Z304="","-",'ORDENES'!$Z304))</f>
        <v/>
      </c>
      <c r="H326" s="5">
        <f>IF('ORDENES'!$A304="","",IF('ORDENES'!$AH304="","-",'ORDENES'!$AH304))</f>
        <v/>
      </c>
      <c r="I326" s="5">
        <f>IF('ORDENES'!$A304="","",IF('ORDENES'!$AU304="","-",'ORDENES'!$AU304))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3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IF('ORDENES'!$A304="","",'ORDENES'!$AG304)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IF('ORDENES'!$A305="","",IF('ORDENES'!$AI305="","-",'ORDENES'!$AI305))</f>
        <v/>
      </c>
      <c r="D327" s="5">
        <f>IF('ORDENES'!$A305="","",IF('ORDENES'!$AA305="","-",'ORDENES'!$AA305))</f>
        <v/>
      </c>
      <c r="E327" s="5">
        <f>IF('ORDENES'!$A305="","",IF('ORDENES'!$Y305="","-",'ORDENES'!$Y305))</f>
        <v/>
      </c>
      <c r="F327" s="5">
        <f>IF('ORDENES'!$A305="","",IF('ORDENES'!$AB305="","-",'ORDENES'!$AB305))</f>
        <v/>
      </c>
      <c r="G327" s="5">
        <f>IF('ORDENES'!$A305="","",IF('ORDENES'!$Z305="","-",'ORDENES'!$Z305))</f>
        <v/>
      </c>
      <c r="H327" s="5">
        <f>IF('ORDENES'!$A305="","",IF('ORDENES'!$AH305="","-",'ORDENES'!$AH305))</f>
        <v/>
      </c>
      <c r="I327" s="5">
        <f>IF('ORDENES'!$A305="","",IF('ORDENES'!$AU305="","-",'ORDENES'!$AU305))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3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IF('ORDENES'!$A305="","",'ORDENES'!$AG305)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IF('ORDENES'!$A306="","",IF('ORDENES'!$AI306="","-",'ORDENES'!$AI306))</f>
        <v/>
      </c>
      <c r="D328" s="5">
        <f>IF('ORDENES'!$A306="","",IF('ORDENES'!$AA306="","-",'ORDENES'!$AA306))</f>
        <v/>
      </c>
      <c r="E328" s="5">
        <f>IF('ORDENES'!$A306="","",IF('ORDENES'!$Y306="","-",'ORDENES'!$Y306))</f>
        <v/>
      </c>
      <c r="F328" s="5">
        <f>IF('ORDENES'!$A306="","",IF('ORDENES'!$AB306="","-",'ORDENES'!$AB306))</f>
        <v/>
      </c>
      <c r="G328" s="5">
        <f>IF('ORDENES'!$A306="","",IF('ORDENES'!$Z306="","-",'ORDENES'!$Z306))</f>
        <v/>
      </c>
      <c r="H328" s="5">
        <f>IF('ORDENES'!$A306="","",IF('ORDENES'!$AH306="","-",'ORDENES'!$AH306))</f>
        <v/>
      </c>
      <c r="I328" s="5">
        <f>IF('ORDENES'!$A306="","",IF('ORDENES'!$AU306="","-",'ORDENES'!$AU306))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3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IF('ORDENES'!$A306="","",'ORDENES'!$AG306)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IF('ORDENES'!$A307="","",IF('ORDENES'!$AI307="","-",'ORDENES'!$AI307))</f>
        <v/>
      </c>
      <c r="D329" s="5">
        <f>IF('ORDENES'!$A307="","",IF('ORDENES'!$AA307="","-",'ORDENES'!$AA307))</f>
        <v/>
      </c>
      <c r="E329" s="5">
        <f>IF('ORDENES'!$A307="","",IF('ORDENES'!$Y307="","-",'ORDENES'!$Y307))</f>
        <v/>
      </c>
      <c r="F329" s="5">
        <f>IF('ORDENES'!$A307="","",IF('ORDENES'!$AB307="","-",'ORDENES'!$AB307))</f>
        <v/>
      </c>
      <c r="G329" s="5">
        <f>IF('ORDENES'!$A307="","",IF('ORDENES'!$Z307="","-",'ORDENES'!$Z307))</f>
        <v/>
      </c>
      <c r="H329" s="5">
        <f>IF('ORDENES'!$A307="","",IF('ORDENES'!$AH307="","-",'ORDENES'!$AH307))</f>
        <v/>
      </c>
      <c r="I329" s="5">
        <f>IF('ORDENES'!$A307="","",IF('ORDENES'!$AU307="","-",'ORDENES'!$AU307))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3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IF('ORDENES'!$A307="","",'ORDENES'!$AG307)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IF('ORDENES'!$A308="","",IF('ORDENES'!$AI308="","-",'ORDENES'!$AI308))</f>
        <v/>
      </c>
      <c r="D330" s="5">
        <f>IF('ORDENES'!$A308="","",IF('ORDENES'!$AA308="","-",'ORDENES'!$AA308))</f>
        <v/>
      </c>
      <c r="E330" s="5">
        <f>IF('ORDENES'!$A308="","",IF('ORDENES'!$Y308="","-",'ORDENES'!$Y308))</f>
        <v/>
      </c>
      <c r="F330" s="5">
        <f>IF('ORDENES'!$A308="","",IF('ORDENES'!$AB308="","-",'ORDENES'!$AB308))</f>
        <v/>
      </c>
      <c r="G330" s="5">
        <f>IF('ORDENES'!$A308="","",IF('ORDENES'!$Z308="","-",'ORDENES'!$Z308))</f>
        <v/>
      </c>
      <c r="H330" s="5">
        <f>IF('ORDENES'!$A308="","",IF('ORDENES'!$AH308="","-",'ORDENES'!$AH308))</f>
        <v/>
      </c>
      <c r="I330" s="5">
        <f>IF('ORDENES'!$A308="","",IF('ORDENES'!$AU308="","-",'ORDENES'!$AU308))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3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IF('ORDENES'!$A308="","",'ORDENES'!$AG308)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IF('ORDENES'!$A309="","",IF('ORDENES'!$AI309="","-",'ORDENES'!$AI309))</f>
        <v/>
      </c>
      <c r="D331" s="5">
        <f>IF('ORDENES'!$A309="","",IF('ORDENES'!$AA309="","-",'ORDENES'!$AA309))</f>
        <v/>
      </c>
      <c r="E331" s="5">
        <f>IF('ORDENES'!$A309="","",IF('ORDENES'!$Y309="","-",'ORDENES'!$Y309))</f>
        <v/>
      </c>
      <c r="F331" s="5">
        <f>IF('ORDENES'!$A309="","",IF('ORDENES'!$AB309="","-",'ORDENES'!$AB309))</f>
        <v/>
      </c>
      <c r="G331" s="5">
        <f>IF('ORDENES'!$A309="","",IF('ORDENES'!$Z309="","-",'ORDENES'!$Z309))</f>
        <v/>
      </c>
      <c r="H331" s="5">
        <f>IF('ORDENES'!$A309="","",IF('ORDENES'!$AH309="","-",'ORDENES'!$AH309))</f>
        <v/>
      </c>
      <c r="I331" s="5">
        <f>IF('ORDENES'!$A309="","",IF('ORDENES'!$AU309="","-",'ORDENES'!$AU309))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3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IF('ORDENES'!$A309="","",'ORDENES'!$AG309)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IF('ORDENES'!$A310="","",IF('ORDENES'!$AI310="","-",'ORDENES'!$AI310))</f>
        <v/>
      </c>
      <c r="D332" s="5">
        <f>IF('ORDENES'!$A310="","",IF('ORDENES'!$AA310="","-",'ORDENES'!$AA310))</f>
        <v/>
      </c>
      <c r="E332" s="5">
        <f>IF('ORDENES'!$A310="","",IF('ORDENES'!$Y310="","-",'ORDENES'!$Y310))</f>
        <v/>
      </c>
      <c r="F332" s="5">
        <f>IF('ORDENES'!$A310="","",IF('ORDENES'!$AB310="","-",'ORDENES'!$AB310))</f>
        <v/>
      </c>
      <c r="G332" s="5">
        <f>IF('ORDENES'!$A310="","",IF('ORDENES'!$Z310="","-",'ORDENES'!$Z310))</f>
        <v/>
      </c>
      <c r="H332" s="5">
        <f>IF('ORDENES'!$A310="","",IF('ORDENES'!$AH310="","-",'ORDENES'!$AH310))</f>
        <v/>
      </c>
      <c r="I332" s="5">
        <f>IF('ORDENES'!$A310="","",IF('ORDENES'!$AU310="","-",'ORDENES'!$AU310))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3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IF('ORDENES'!$A310="","",'ORDENES'!$AG310)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IF('ORDENES'!$A311="","",IF('ORDENES'!$AI311="","-",'ORDENES'!$AI311))</f>
        <v/>
      </c>
      <c r="D333" s="5">
        <f>IF('ORDENES'!$A311="","",IF('ORDENES'!$AA311="","-",'ORDENES'!$AA311))</f>
        <v/>
      </c>
      <c r="E333" s="5">
        <f>IF('ORDENES'!$A311="","",IF('ORDENES'!$Y311="","-",'ORDENES'!$Y311))</f>
        <v/>
      </c>
      <c r="F333" s="5">
        <f>IF('ORDENES'!$A311="","",IF('ORDENES'!$AB311="","-",'ORDENES'!$AB311))</f>
        <v/>
      </c>
      <c r="G333" s="5">
        <f>IF('ORDENES'!$A311="","",IF('ORDENES'!$Z311="","-",'ORDENES'!$Z311))</f>
        <v/>
      </c>
      <c r="H333" s="5">
        <f>IF('ORDENES'!$A311="","",IF('ORDENES'!$AH311="","-",'ORDENES'!$AH311))</f>
        <v/>
      </c>
      <c r="I333" s="5">
        <f>IF('ORDENES'!$A311="","",IF('ORDENES'!$AU311="","-",'ORDENES'!$AU311))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3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IF('ORDENES'!$A311="","",'ORDENES'!$AG311)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IF('ORDENES'!$A312="","",IF('ORDENES'!$AI312="","-",'ORDENES'!$AI312))</f>
        <v/>
      </c>
      <c r="D334" s="5">
        <f>IF('ORDENES'!$A312="","",IF('ORDENES'!$AA312="","-",'ORDENES'!$AA312))</f>
        <v/>
      </c>
      <c r="E334" s="5">
        <f>IF('ORDENES'!$A312="","",IF('ORDENES'!$Y312="","-",'ORDENES'!$Y312))</f>
        <v/>
      </c>
      <c r="F334" s="5">
        <f>IF('ORDENES'!$A312="","",IF('ORDENES'!$AB312="","-",'ORDENES'!$AB312))</f>
        <v/>
      </c>
      <c r="G334" s="5">
        <f>IF('ORDENES'!$A312="","",IF('ORDENES'!$Z312="","-",'ORDENES'!$Z312))</f>
        <v/>
      </c>
      <c r="H334" s="5">
        <f>IF('ORDENES'!$A312="","",IF('ORDENES'!$AH312="","-",'ORDENES'!$AH312))</f>
        <v/>
      </c>
      <c r="I334" s="5">
        <f>IF('ORDENES'!$A312="","",IF('ORDENES'!$AU312="","-",'ORDENES'!$AU312))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3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IF('ORDENES'!$A312="","",'ORDENES'!$AG312)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IF('ORDENES'!$A313="","",IF('ORDENES'!$AI313="","-",'ORDENES'!$AI313))</f>
        <v/>
      </c>
      <c r="D335" s="5">
        <f>IF('ORDENES'!$A313="","",IF('ORDENES'!$AA313="","-",'ORDENES'!$AA313))</f>
        <v/>
      </c>
      <c r="E335" s="5">
        <f>IF('ORDENES'!$A313="","",IF('ORDENES'!$Y313="","-",'ORDENES'!$Y313))</f>
        <v/>
      </c>
      <c r="F335" s="5">
        <f>IF('ORDENES'!$A313="","",IF('ORDENES'!$AB313="","-",'ORDENES'!$AB313))</f>
        <v/>
      </c>
      <c r="G335" s="5">
        <f>IF('ORDENES'!$A313="","",IF('ORDENES'!$Z313="","-",'ORDENES'!$Z313))</f>
        <v/>
      </c>
      <c r="H335" s="5">
        <f>IF('ORDENES'!$A313="","",IF('ORDENES'!$AH313="","-",'ORDENES'!$AH313))</f>
        <v/>
      </c>
      <c r="I335" s="5">
        <f>IF('ORDENES'!$A313="","",IF('ORDENES'!$AU313="","-",'ORDENES'!$AU313))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3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IF('ORDENES'!$A313="","",'ORDENES'!$AG313)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IF('ORDENES'!$A314="","",IF('ORDENES'!$AI314="","-",'ORDENES'!$AI314))</f>
        <v/>
      </c>
      <c r="D336" s="5">
        <f>IF('ORDENES'!$A314="","",IF('ORDENES'!$AA314="","-",'ORDENES'!$AA314))</f>
        <v/>
      </c>
      <c r="E336" s="5">
        <f>IF('ORDENES'!$A314="","",IF('ORDENES'!$Y314="","-",'ORDENES'!$Y314))</f>
        <v/>
      </c>
      <c r="F336" s="5">
        <f>IF('ORDENES'!$A314="","",IF('ORDENES'!$AB314="","-",'ORDENES'!$AB314))</f>
        <v/>
      </c>
      <c r="G336" s="5">
        <f>IF('ORDENES'!$A314="","",IF('ORDENES'!$Z314="","-",'ORDENES'!$Z314))</f>
        <v/>
      </c>
      <c r="H336" s="5">
        <f>IF('ORDENES'!$A314="","",IF('ORDENES'!$AH314="","-",'ORDENES'!$AH314))</f>
        <v/>
      </c>
      <c r="I336" s="5">
        <f>IF('ORDENES'!$A314="","",IF('ORDENES'!$AU314="","-",'ORDENES'!$AU314))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3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IF('ORDENES'!$A314="","",'ORDENES'!$AG314)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IF('ORDENES'!$A315="","",IF('ORDENES'!$AI315="","-",'ORDENES'!$AI315))</f>
        <v/>
      </c>
      <c r="D337" s="5">
        <f>IF('ORDENES'!$A315="","",IF('ORDENES'!$AA315="","-",'ORDENES'!$AA315))</f>
        <v/>
      </c>
      <c r="E337" s="5">
        <f>IF('ORDENES'!$A315="","",IF('ORDENES'!$Y315="","-",'ORDENES'!$Y315))</f>
        <v/>
      </c>
      <c r="F337" s="5">
        <f>IF('ORDENES'!$A315="","",IF('ORDENES'!$AB315="","-",'ORDENES'!$AB315))</f>
        <v/>
      </c>
      <c r="G337" s="5">
        <f>IF('ORDENES'!$A315="","",IF('ORDENES'!$Z315="","-",'ORDENES'!$Z315))</f>
        <v/>
      </c>
      <c r="H337" s="5">
        <f>IF('ORDENES'!$A315="","",IF('ORDENES'!$AH315="","-",'ORDENES'!$AH315))</f>
        <v/>
      </c>
      <c r="I337" s="5">
        <f>IF('ORDENES'!$A315="","",IF('ORDENES'!$AU315="","-",'ORDENES'!$AU315))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3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IF('ORDENES'!$A315="","",'ORDENES'!$AG315)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IF('ORDENES'!$A316="","",IF('ORDENES'!$AI316="","-",'ORDENES'!$AI316))</f>
        <v/>
      </c>
      <c r="D338" s="5">
        <f>IF('ORDENES'!$A316="","",IF('ORDENES'!$AA316="","-",'ORDENES'!$AA316))</f>
        <v/>
      </c>
      <c r="E338" s="5">
        <f>IF('ORDENES'!$A316="","",IF('ORDENES'!$Y316="","-",'ORDENES'!$Y316))</f>
        <v/>
      </c>
      <c r="F338" s="5">
        <f>IF('ORDENES'!$A316="","",IF('ORDENES'!$AB316="","-",'ORDENES'!$AB316))</f>
        <v/>
      </c>
      <c r="G338" s="5">
        <f>IF('ORDENES'!$A316="","",IF('ORDENES'!$Z316="","-",'ORDENES'!$Z316))</f>
        <v/>
      </c>
      <c r="H338" s="5">
        <f>IF('ORDENES'!$A316="","",IF('ORDENES'!$AH316="","-",'ORDENES'!$AH316))</f>
        <v/>
      </c>
      <c r="I338" s="5">
        <f>IF('ORDENES'!$A316="","",IF('ORDENES'!$AU316="","-",'ORDENES'!$AU316))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3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IF('ORDENES'!$A316="","",'ORDENES'!$AG316)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IF('ORDENES'!$A317="","",IF('ORDENES'!$AI317="","-",'ORDENES'!$AI317))</f>
        <v/>
      </c>
      <c r="D339" s="5">
        <f>IF('ORDENES'!$A317="","",IF('ORDENES'!$AA317="","-",'ORDENES'!$AA317))</f>
        <v/>
      </c>
      <c r="E339" s="5">
        <f>IF('ORDENES'!$A317="","",IF('ORDENES'!$Y317="","-",'ORDENES'!$Y317))</f>
        <v/>
      </c>
      <c r="F339" s="5">
        <f>IF('ORDENES'!$A317="","",IF('ORDENES'!$AB317="","-",'ORDENES'!$AB317))</f>
        <v/>
      </c>
      <c r="G339" s="5">
        <f>IF('ORDENES'!$A317="","",IF('ORDENES'!$Z317="","-",'ORDENES'!$Z317))</f>
        <v/>
      </c>
      <c r="H339" s="5">
        <f>IF('ORDENES'!$A317="","",IF('ORDENES'!$AH317="","-",'ORDENES'!$AH317))</f>
        <v/>
      </c>
      <c r="I339" s="5">
        <f>IF('ORDENES'!$A317="","",IF('ORDENES'!$AU317="","-",'ORDENES'!$AU317))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3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IF('ORDENES'!$A317="","",'ORDENES'!$AG317)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IF('ORDENES'!$A318="","",IF('ORDENES'!$AI318="","-",'ORDENES'!$AI318))</f>
        <v/>
      </c>
      <c r="D340" s="5">
        <f>IF('ORDENES'!$A318="","",IF('ORDENES'!$AA318="","-",'ORDENES'!$AA318))</f>
        <v/>
      </c>
      <c r="E340" s="5">
        <f>IF('ORDENES'!$A318="","",IF('ORDENES'!$Y318="","-",'ORDENES'!$Y318))</f>
        <v/>
      </c>
      <c r="F340" s="5">
        <f>IF('ORDENES'!$A318="","",IF('ORDENES'!$AB318="","-",'ORDENES'!$AB318))</f>
        <v/>
      </c>
      <c r="G340" s="5">
        <f>IF('ORDENES'!$A318="","",IF('ORDENES'!$Z318="","-",'ORDENES'!$Z318))</f>
        <v/>
      </c>
      <c r="H340" s="5">
        <f>IF('ORDENES'!$A318="","",IF('ORDENES'!$AH318="","-",'ORDENES'!$AH318))</f>
        <v/>
      </c>
      <c r="I340" s="5">
        <f>IF('ORDENES'!$A318="","",IF('ORDENES'!$AU318="","-",'ORDENES'!$AU318))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3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IF('ORDENES'!$A318="","",'ORDENES'!$AG318)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IF('ORDENES'!$A319="","",IF('ORDENES'!$AI319="","-",'ORDENES'!$AI319))</f>
        <v/>
      </c>
      <c r="D341" s="5">
        <f>IF('ORDENES'!$A319="","",IF('ORDENES'!$AA319="","-",'ORDENES'!$AA319))</f>
        <v/>
      </c>
      <c r="E341" s="5">
        <f>IF('ORDENES'!$A319="","",IF('ORDENES'!$Y319="","-",'ORDENES'!$Y319))</f>
        <v/>
      </c>
      <c r="F341" s="5">
        <f>IF('ORDENES'!$A319="","",IF('ORDENES'!$AB319="","-",'ORDENES'!$AB319))</f>
        <v/>
      </c>
      <c r="G341" s="5">
        <f>IF('ORDENES'!$A319="","",IF('ORDENES'!$Z319="","-",'ORDENES'!$Z319))</f>
        <v/>
      </c>
      <c r="H341" s="5">
        <f>IF('ORDENES'!$A319="","",IF('ORDENES'!$AH319="","-",'ORDENES'!$AH319))</f>
        <v/>
      </c>
      <c r="I341" s="5">
        <f>IF('ORDENES'!$A319="","",IF('ORDENES'!$AU319="","-",'ORDENES'!$AU319))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3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IF('ORDENES'!$A319="","",'ORDENES'!$AG319)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IF('ORDENES'!$A320="","",IF('ORDENES'!$AI320="","-",'ORDENES'!$AI320))</f>
        <v/>
      </c>
      <c r="D342" s="5">
        <f>IF('ORDENES'!$A320="","",IF('ORDENES'!$AA320="","-",'ORDENES'!$AA320))</f>
        <v/>
      </c>
      <c r="E342" s="5">
        <f>IF('ORDENES'!$A320="","",IF('ORDENES'!$Y320="","-",'ORDENES'!$Y320))</f>
        <v/>
      </c>
      <c r="F342" s="5">
        <f>IF('ORDENES'!$A320="","",IF('ORDENES'!$AB320="","-",'ORDENES'!$AB320))</f>
        <v/>
      </c>
      <c r="G342" s="5">
        <f>IF('ORDENES'!$A320="","",IF('ORDENES'!$Z320="","-",'ORDENES'!$Z320))</f>
        <v/>
      </c>
      <c r="H342" s="5">
        <f>IF('ORDENES'!$A320="","",IF('ORDENES'!$AH320="","-",'ORDENES'!$AH320))</f>
        <v/>
      </c>
      <c r="I342" s="5">
        <f>IF('ORDENES'!$A320="","",IF('ORDENES'!$AU320="","-",'ORDENES'!$AU320))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3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IF('ORDENES'!$A320="","",'ORDENES'!$AG320)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IF('ORDENES'!$A321="","",IF('ORDENES'!$AI321="","-",'ORDENES'!$AI321))</f>
        <v/>
      </c>
      <c r="D343" s="5">
        <f>IF('ORDENES'!$A321="","",IF('ORDENES'!$AA321="","-",'ORDENES'!$AA321))</f>
        <v/>
      </c>
      <c r="E343" s="5">
        <f>IF('ORDENES'!$A321="","",IF('ORDENES'!$Y321="","-",'ORDENES'!$Y321))</f>
        <v/>
      </c>
      <c r="F343" s="5">
        <f>IF('ORDENES'!$A321="","",IF('ORDENES'!$AB321="","-",'ORDENES'!$AB321))</f>
        <v/>
      </c>
      <c r="G343" s="5">
        <f>IF('ORDENES'!$A321="","",IF('ORDENES'!$Z321="","-",'ORDENES'!$Z321))</f>
        <v/>
      </c>
      <c r="H343" s="5">
        <f>IF('ORDENES'!$A321="","",IF('ORDENES'!$AH321="","-",'ORDENES'!$AH321))</f>
        <v/>
      </c>
      <c r="I343" s="5">
        <f>IF('ORDENES'!$A321="","",IF('ORDENES'!$AU321="","-",'ORDENES'!$AU321))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3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IF('ORDENES'!$A321="","",'ORDENES'!$AG321)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IF('ORDENES'!$A322="","",IF('ORDENES'!$AI322="","-",'ORDENES'!$AI322))</f>
        <v/>
      </c>
      <c r="D344" s="5">
        <f>IF('ORDENES'!$A322="","",IF('ORDENES'!$AA322="","-",'ORDENES'!$AA322))</f>
        <v/>
      </c>
      <c r="E344" s="5">
        <f>IF('ORDENES'!$A322="","",IF('ORDENES'!$Y322="","-",'ORDENES'!$Y322))</f>
        <v/>
      </c>
      <c r="F344" s="5">
        <f>IF('ORDENES'!$A322="","",IF('ORDENES'!$AB322="","-",'ORDENES'!$AB322))</f>
        <v/>
      </c>
      <c r="G344" s="5">
        <f>IF('ORDENES'!$A322="","",IF('ORDENES'!$Z322="","-",'ORDENES'!$Z322))</f>
        <v/>
      </c>
      <c r="H344" s="5">
        <f>IF('ORDENES'!$A322="","",IF('ORDENES'!$AH322="","-",'ORDENES'!$AH322))</f>
        <v/>
      </c>
      <c r="I344" s="5">
        <f>IF('ORDENES'!$A322="","",IF('ORDENES'!$AU322="","-",'ORDENES'!$AU322))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3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IF('ORDENES'!$A322="","",'ORDENES'!$AG322)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IF('ORDENES'!$A323="","",IF('ORDENES'!$AI323="","-",'ORDENES'!$AI323))</f>
        <v/>
      </c>
      <c r="D345" s="5">
        <f>IF('ORDENES'!$A323="","",IF('ORDENES'!$AA323="","-",'ORDENES'!$AA323))</f>
        <v/>
      </c>
      <c r="E345" s="5">
        <f>IF('ORDENES'!$A323="","",IF('ORDENES'!$Y323="","-",'ORDENES'!$Y323))</f>
        <v/>
      </c>
      <c r="F345" s="5">
        <f>IF('ORDENES'!$A323="","",IF('ORDENES'!$AB323="","-",'ORDENES'!$AB323))</f>
        <v/>
      </c>
      <c r="G345" s="5">
        <f>IF('ORDENES'!$A323="","",IF('ORDENES'!$Z323="","-",'ORDENES'!$Z323))</f>
        <v/>
      </c>
      <c r="H345" s="5">
        <f>IF('ORDENES'!$A323="","",IF('ORDENES'!$AH323="","-",'ORDENES'!$AH323))</f>
        <v/>
      </c>
      <c r="I345" s="5">
        <f>IF('ORDENES'!$A323="","",IF('ORDENES'!$AU323="","-",'ORDENES'!$AU323))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3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IF('ORDENES'!$A323="","",'ORDENES'!$AG323)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IF('ORDENES'!$A324="","",IF('ORDENES'!$AI324="","-",'ORDENES'!$AI324))</f>
        <v/>
      </c>
      <c r="D346" s="5">
        <f>IF('ORDENES'!$A324="","",IF('ORDENES'!$AA324="","-",'ORDENES'!$AA324))</f>
        <v/>
      </c>
      <c r="E346" s="5">
        <f>IF('ORDENES'!$A324="","",IF('ORDENES'!$Y324="","-",'ORDENES'!$Y324))</f>
        <v/>
      </c>
      <c r="F346" s="5">
        <f>IF('ORDENES'!$A324="","",IF('ORDENES'!$AB324="","-",'ORDENES'!$AB324))</f>
        <v/>
      </c>
      <c r="G346" s="5">
        <f>IF('ORDENES'!$A324="","",IF('ORDENES'!$Z324="","-",'ORDENES'!$Z324))</f>
        <v/>
      </c>
      <c r="H346" s="5">
        <f>IF('ORDENES'!$A324="","",IF('ORDENES'!$AH324="","-",'ORDENES'!$AH324))</f>
        <v/>
      </c>
      <c r="I346" s="5">
        <f>IF('ORDENES'!$A324="","",IF('ORDENES'!$AU324="","-",'ORDENES'!$AU324))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3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IF('ORDENES'!$A324="","",'ORDENES'!$AG324)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IF('ORDENES'!$A325="","",IF('ORDENES'!$AI325="","-",'ORDENES'!$AI325))</f>
        <v/>
      </c>
      <c r="D347" s="5">
        <f>IF('ORDENES'!$A325="","",IF('ORDENES'!$AA325="","-",'ORDENES'!$AA325))</f>
        <v/>
      </c>
      <c r="E347" s="5">
        <f>IF('ORDENES'!$A325="","",IF('ORDENES'!$Y325="","-",'ORDENES'!$Y325))</f>
        <v/>
      </c>
      <c r="F347" s="5">
        <f>IF('ORDENES'!$A325="","",IF('ORDENES'!$AB325="","-",'ORDENES'!$AB325))</f>
        <v/>
      </c>
      <c r="G347" s="5">
        <f>IF('ORDENES'!$A325="","",IF('ORDENES'!$Z325="","-",'ORDENES'!$Z325))</f>
        <v/>
      </c>
      <c r="H347" s="5">
        <f>IF('ORDENES'!$A325="","",IF('ORDENES'!$AH325="","-",'ORDENES'!$AH325))</f>
        <v/>
      </c>
      <c r="I347" s="5">
        <f>IF('ORDENES'!$A325="","",IF('ORDENES'!$AU325="","-",'ORDENES'!$AU325))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3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IF('ORDENES'!$A325="","",'ORDENES'!$AG325)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IF('ORDENES'!$A326="","",IF('ORDENES'!$AI326="","-",'ORDENES'!$AI326))</f>
        <v/>
      </c>
      <c r="D348" s="5">
        <f>IF('ORDENES'!$A326="","",IF('ORDENES'!$AA326="","-",'ORDENES'!$AA326))</f>
        <v/>
      </c>
      <c r="E348" s="5">
        <f>IF('ORDENES'!$A326="","",IF('ORDENES'!$Y326="","-",'ORDENES'!$Y326))</f>
        <v/>
      </c>
      <c r="F348" s="5">
        <f>IF('ORDENES'!$A326="","",IF('ORDENES'!$AB326="","-",'ORDENES'!$AB326))</f>
        <v/>
      </c>
      <c r="G348" s="5">
        <f>IF('ORDENES'!$A326="","",IF('ORDENES'!$Z326="","-",'ORDENES'!$Z326))</f>
        <v/>
      </c>
      <c r="H348" s="5">
        <f>IF('ORDENES'!$A326="","",IF('ORDENES'!$AH326="","-",'ORDENES'!$AH326))</f>
        <v/>
      </c>
      <c r="I348" s="5">
        <f>IF('ORDENES'!$A326="","",IF('ORDENES'!$AU326="","-",'ORDENES'!$AU326))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3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IF('ORDENES'!$A326="","",'ORDENES'!$AG326)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IF('ORDENES'!$A327="","",IF('ORDENES'!$AI327="","-",'ORDENES'!$AI327))</f>
        <v/>
      </c>
      <c r="D349" s="5">
        <f>IF('ORDENES'!$A327="","",IF('ORDENES'!$AA327="","-",'ORDENES'!$AA327))</f>
        <v/>
      </c>
      <c r="E349" s="5">
        <f>IF('ORDENES'!$A327="","",IF('ORDENES'!$Y327="","-",'ORDENES'!$Y327))</f>
        <v/>
      </c>
      <c r="F349" s="5">
        <f>IF('ORDENES'!$A327="","",IF('ORDENES'!$AB327="","-",'ORDENES'!$AB327))</f>
        <v/>
      </c>
      <c r="G349" s="5">
        <f>IF('ORDENES'!$A327="","",IF('ORDENES'!$Z327="","-",'ORDENES'!$Z327))</f>
        <v/>
      </c>
      <c r="H349" s="5">
        <f>IF('ORDENES'!$A327="","",IF('ORDENES'!$AH327="","-",'ORDENES'!$AH327))</f>
        <v/>
      </c>
      <c r="I349" s="5">
        <f>IF('ORDENES'!$A327="","",IF('ORDENES'!$AU327="","-",'ORDENES'!$AU327))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3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IF('ORDENES'!$A327="","",'ORDENES'!$AG327)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IF('ORDENES'!$A328="","",IF('ORDENES'!$AI328="","-",'ORDENES'!$AI328))</f>
        <v/>
      </c>
      <c r="D350" s="5">
        <f>IF('ORDENES'!$A328="","",IF('ORDENES'!$AA328="","-",'ORDENES'!$AA328))</f>
        <v/>
      </c>
      <c r="E350" s="5">
        <f>IF('ORDENES'!$A328="","",IF('ORDENES'!$Y328="","-",'ORDENES'!$Y328))</f>
        <v/>
      </c>
      <c r="F350" s="5">
        <f>IF('ORDENES'!$A328="","",IF('ORDENES'!$AB328="","-",'ORDENES'!$AB328))</f>
        <v/>
      </c>
      <c r="G350" s="5">
        <f>IF('ORDENES'!$A328="","",IF('ORDENES'!$Z328="","-",'ORDENES'!$Z328))</f>
        <v/>
      </c>
      <c r="H350" s="5">
        <f>IF('ORDENES'!$A328="","",IF('ORDENES'!$AH328="","-",'ORDENES'!$AH328))</f>
        <v/>
      </c>
      <c r="I350" s="5">
        <f>IF('ORDENES'!$A328="","",IF('ORDENES'!$AU328="","-",'ORDENES'!$AU328))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3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IF('ORDENES'!$A328="","",'ORDENES'!$AG328)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IF('ORDENES'!$A329="","",IF('ORDENES'!$AI329="","-",'ORDENES'!$AI329))</f>
        <v/>
      </c>
      <c r="D351" s="5">
        <f>IF('ORDENES'!$A329="","",IF('ORDENES'!$AA329="","-",'ORDENES'!$AA329))</f>
        <v/>
      </c>
      <c r="E351" s="5">
        <f>IF('ORDENES'!$A329="","",IF('ORDENES'!$Y329="","-",'ORDENES'!$Y329))</f>
        <v/>
      </c>
      <c r="F351" s="5">
        <f>IF('ORDENES'!$A329="","",IF('ORDENES'!$AB329="","-",'ORDENES'!$AB329))</f>
        <v/>
      </c>
      <c r="G351" s="5">
        <f>IF('ORDENES'!$A329="","",IF('ORDENES'!$Z329="","-",'ORDENES'!$Z329))</f>
        <v/>
      </c>
      <c r="H351" s="5">
        <f>IF('ORDENES'!$A329="","",IF('ORDENES'!$AH329="","-",'ORDENES'!$AH329))</f>
        <v/>
      </c>
      <c r="I351" s="5">
        <f>IF('ORDENES'!$A329="","",IF('ORDENES'!$AU329="","-",'ORDENES'!$AU329))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3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IF('ORDENES'!$A329="","",'ORDENES'!$AG329)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IF('ORDENES'!$A330="","",IF('ORDENES'!$AI330="","-",'ORDENES'!$AI330))</f>
        <v/>
      </c>
      <c r="D352" s="5">
        <f>IF('ORDENES'!$A330="","",IF('ORDENES'!$AA330="","-",'ORDENES'!$AA330))</f>
        <v/>
      </c>
      <c r="E352" s="5">
        <f>IF('ORDENES'!$A330="","",IF('ORDENES'!$Y330="","-",'ORDENES'!$Y330))</f>
        <v/>
      </c>
      <c r="F352" s="5">
        <f>IF('ORDENES'!$A330="","",IF('ORDENES'!$AB330="","-",'ORDENES'!$AB330))</f>
        <v/>
      </c>
      <c r="G352" s="5">
        <f>IF('ORDENES'!$A330="","",IF('ORDENES'!$Z330="","-",'ORDENES'!$Z330))</f>
        <v/>
      </c>
      <c r="H352" s="5">
        <f>IF('ORDENES'!$A330="","",IF('ORDENES'!$AH330="","-",'ORDENES'!$AH330))</f>
        <v/>
      </c>
      <c r="I352" s="5">
        <f>IF('ORDENES'!$A330="","",IF('ORDENES'!$AU330="","-",'ORDENES'!$AU330))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3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IF('ORDENES'!$A330="","",'ORDENES'!$AG330)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IF('ORDENES'!$A331="","",IF('ORDENES'!$AI331="","-",'ORDENES'!$AI331))</f>
        <v/>
      </c>
      <c r="D353" s="5">
        <f>IF('ORDENES'!$A331="","",IF('ORDENES'!$AA331="","-",'ORDENES'!$AA331))</f>
        <v/>
      </c>
      <c r="E353" s="5">
        <f>IF('ORDENES'!$A331="","",IF('ORDENES'!$Y331="","-",'ORDENES'!$Y331))</f>
        <v/>
      </c>
      <c r="F353" s="5">
        <f>IF('ORDENES'!$A331="","",IF('ORDENES'!$AB331="","-",'ORDENES'!$AB331))</f>
        <v/>
      </c>
      <c r="G353" s="5">
        <f>IF('ORDENES'!$A331="","",IF('ORDENES'!$Z331="","-",'ORDENES'!$Z331))</f>
        <v/>
      </c>
      <c r="H353" s="5">
        <f>IF('ORDENES'!$A331="","",IF('ORDENES'!$AH331="","-",'ORDENES'!$AH331))</f>
        <v/>
      </c>
      <c r="I353" s="5">
        <f>IF('ORDENES'!$A331="","",IF('ORDENES'!$AU331="","-",'ORDENES'!$AU331))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3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IF('ORDENES'!$A331="","",'ORDENES'!$AG331)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IF('ORDENES'!$A332="","",IF('ORDENES'!$AI332="","-",'ORDENES'!$AI332))</f>
        <v/>
      </c>
      <c r="D354" s="5">
        <f>IF('ORDENES'!$A332="","",IF('ORDENES'!$AA332="","-",'ORDENES'!$AA332))</f>
        <v/>
      </c>
      <c r="E354" s="5">
        <f>IF('ORDENES'!$A332="","",IF('ORDENES'!$Y332="","-",'ORDENES'!$Y332))</f>
        <v/>
      </c>
      <c r="F354" s="5">
        <f>IF('ORDENES'!$A332="","",IF('ORDENES'!$AB332="","-",'ORDENES'!$AB332))</f>
        <v/>
      </c>
      <c r="G354" s="5">
        <f>IF('ORDENES'!$A332="","",IF('ORDENES'!$Z332="","-",'ORDENES'!$Z332))</f>
        <v/>
      </c>
      <c r="H354" s="5">
        <f>IF('ORDENES'!$A332="","",IF('ORDENES'!$AH332="","-",'ORDENES'!$AH332))</f>
        <v/>
      </c>
      <c r="I354" s="5">
        <f>IF('ORDENES'!$A332="","",IF('ORDENES'!$AU332="","-",'ORDENES'!$AU332))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3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IF('ORDENES'!$A332="","",'ORDENES'!$AG332)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IF('ORDENES'!$A333="","",IF('ORDENES'!$AI333="","-",'ORDENES'!$AI333))</f>
        <v/>
      </c>
      <c r="D355" s="5">
        <f>IF('ORDENES'!$A333="","",IF('ORDENES'!$AA333="","-",'ORDENES'!$AA333))</f>
        <v/>
      </c>
      <c r="E355" s="5">
        <f>IF('ORDENES'!$A333="","",IF('ORDENES'!$Y333="","-",'ORDENES'!$Y333))</f>
        <v/>
      </c>
      <c r="F355" s="5">
        <f>IF('ORDENES'!$A333="","",IF('ORDENES'!$AB333="","-",'ORDENES'!$AB333))</f>
        <v/>
      </c>
      <c r="G355" s="5">
        <f>IF('ORDENES'!$A333="","",IF('ORDENES'!$Z333="","-",'ORDENES'!$Z333))</f>
        <v/>
      </c>
      <c r="H355" s="5">
        <f>IF('ORDENES'!$A333="","",IF('ORDENES'!$AH333="","-",'ORDENES'!$AH333))</f>
        <v/>
      </c>
      <c r="I355" s="5">
        <f>IF('ORDENES'!$A333="","",IF('ORDENES'!$AU333="","-",'ORDENES'!$AU333))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3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IF('ORDENES'!$A333="","",'ORDENES'!$AG333)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IF('ORDENES'!$A334="","",IF('ORDENES'!$AI334="","-",'ORDENES'!$AI334))</f>
        <v/>
      </c>
      <c r="D356" s="5">
        <f>IF('ORDENES'!$A334="","",IF('ORDENES'!$AA334="","-",'ORDENES'!$AA334))</f>
        <v/>
      </c>
      <c r="E356" s="5">
        <f>IF('ORDENES'!$A334="","",IF('ORDENES'!$Y334="","-",'ORDENES'!$Y334))</f>
        <v/>
      </c>
      <c r="F356" s="5">
        <f>IF('ORDENES'!$A334="","",IF('ORDENES'!$AB334="","-",'ORDENES'!$AB334))</f>
        <v/>
      </c>
      <c r="G356" s="5">
        <f>IF('ORDENES'!$A334="","",IF('ORDENES'!$Z334="","-",'ORDENES'!$Z334))</f>
        <v/>
      </c>
      <c r="H356" s="5">
        <f>IF('ORDENES'!$A334="","",IF('ORDENES'!$AH334="","-",'ORDENES'!$AH334))</f>
        <v/>
      </c>
      <c r="I356" s="5">
        <f>IF('ORDENES'!$A334="","",IF('ORDENES'!$AU334="","-",'ORDENES'!$AU334))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3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IF('ORDENES'!$A334="","",'ORDENES'!$AG334)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IF('ORDENES'!$A335="","",IF('ORDENES'!$AI335="","-",'ORDENES'!$AI335))</f>
        <v/>
      </c>
      <c r="D357" s="5">
        <f>IF('ORDENES'!$A335="","",IF('ORDENES'!$AA335="","-",'ORDENES'!$AA335))</f>
        <v/>
      </c>
      <c r="E357" s="5">
        <f>IF('ORDENES'!$A335="","",IF('ORDENES'!$Y335="","-",'ORDENES'!$Y335))</f>
        <v/>
      </c>
      <c r="F357" s="5">
        <f>IF('ORDENES'!$A335="","",IF('ORDENES'!$AB335="","-",'ORDENES'!$AB335))</f>
        <v/>
      </c>
      <c r="G357" s="5">
        <f>IF('ORDENES'!$A335="","",IF('ORDENES'!$Z335="","-",'ORDENES'!$Z335))</f>
        <v/>
      </c>
      <c r="H357" s="5">
        <f>IF('ORDENES'!$A335="","",IF('ORDENES'!$AH335="","-",'ORDENES'!$AH335))</f>
        <v/>
      </c>
      <c r="I357" s="5">
        <f>IF('ORDENES'!$A335="","",IF('ORDENES'!$AU335="","-",'ORDENES'!$AU335))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3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IF('ORDENES'!$A335="","",'ORDENES'!$AG335)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IF('ORDENES'!$A336="","",IF('ORDENES'!$AI336="","-",'ORDENES'!$AI336))</f>
        <v/>
      </c>
      <c r="D358" s="5">
        <f>IF('ORDENES'!$A336="","",IF('ORDENES'!$AA336="","-",'ORDENES'!$AA336))</f>
        <v/>
      </c>
      <c r="E358" s="5">
        <f>IF('ORDENES'!$A336="","",IF('ORDENES'!$Y336="","-",'ORDENES'!$Y336))</f>
        <v/>
      </c>
      <c r="F358" s="5">
        <f>IF('ORDENES'!$A336="","",IF('ORDENES'!$AB336="","-",'ORDENES'!$AB336))</f>
        <v/>
      </c>
      <c r="G358" s="5">
        <f>IF('ORDENES'!$A336="","",IF('ORDENES'!$Z336="","-",'ORDENES'!$Z336))</f>
        <v/>
      </c>
      <c r="H358" s="5">
        <f>IF('ORDENES'!$A336="","",IF('ORDENES'!$AH336="","-",'ORDENES'!$AH336))</f>
        <v/>
      </c>
      <c r="I358" s="5">
        <f>IF('ORDENES'!$A336="","",IF('ORDENES'!$AU336="","-",'ORDENES'!$AU336))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3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IF('ORDENES'!$A336="","",'ORDENES'!$AG336)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IF('ORDENES'!$A337="","",IF('ORDENES'!$AI337="","-",'ORDENES'!$AI337))</f>
        <v/>
      </c>
      <c r="D359" s="5">
        <f>IF('ORDENES'!$A337="","",IF('ORDENES'!$AA337="","-",'ORDENES'!$AA337))</f>
        <v/>
      </c>
      <c r="E359" s="5">
        <f>IF('ORDENES'!$A337="","",IF('ORDENES'!$Y337="","-",'ORDENES'!$Y337))</f>
        <v/>
      </c>
      <c r="F359" s="5">
        <f>IF('ORDENES'!$A337="","",IF('ORDENES'!$AB337="","-",'ORDENES'!$AB337))</f>
        <v/>
      </c>
      <c r="G359" s="5">
        <f>IF('ORDENES'!$A337="","",IF('ORDENES'!$Z337="","-",'ORDENES'!$Z337))</f>
        <v/>
      </c>
      <c r="H359" s="5">
        <f>IF('ORDENES'!$A337="","",IF('ORDENES'!$AH337="","-",'ORDENES'!$AH337))</f>
        <v/>
      </c>
      <c r="I359" s="5">
        <f>IF('ORDENES'!$A337="","",IF('ORDENES'!$AU337="","-",'ORDENES'!$AU337))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3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IF('ORDENES'!$A337="","",'ORDENES'!$AG337)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IF('ORDENES'!$A338="","",IF('ORDENES'!$AI338="","-",'ORDENES'!$AI338))</f>
        <v/>
      </c>
      <c r="D360" s="5">
        <f>IF('ORDENES'!$A338="","",IF('ORDENES'!$AA338="","-",'ORDENES'!$AA338))</f>
        <v/>
      </c>
      <c r="E360" s="5">
        <f>IF('ORDENES'!$A338="","",IF('ORDENES'!$Y338="","-",'ORDENES'!$Y338))</f>
        <v/>
      </c>
      <c r="F360" s="5">
        <f>IF('ORDENES'!$A338="","",IF('ORDENES'!$AB338="","-",'ORDENES'!$AB338))</f>
        <v/>
      </c>
      <c r="G360" s="5">
        <f>IF('ORDENES'!$A338="","",IF('ORDENES'!$Z338="","-",'ORDENES'!$Z338))</f>
        <v/>
      </c>
      <c r="H360" s="5">
        <f>IF('ORDENES'!$A338="","",IF('ORDENES'!$AH338="","-",'ORDENES'!$AH338))</f>
        <v/>
      </c>
      <c r="I360" s="5">
        <f>IF('ORDENES'!$A338="","",IF('ORDENES'!$AU338="","-",'ORDENES'!$AU338))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3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IF('ORDENES'!$A338="","",'ORDENES'!$AG338)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IF('ORDENES'!$A339="","",IF('ORDENES'!$AI339="","-",'ORDENES'!$AI339))</f>
        <v/>
      </c>
      <c r="D361" s="5">
        <f>IF('ORDENES'!$A339="","",IF('ORDENES'!$AA339="","-",'ORDENES'!$AA339))</f>
        <v/>
      </c>
      <c r="E361" s="5">
        <f>IF('ORDENES'!$A339="","",IF('ORDENES'!$Y339="","-",'ORDENES'!$Y339))</f>
        <v/>
      </c>
      <c r="F361" s="5">
        <f>IF('ORDENES'!$A339="","",IF('ORDENES'!$AB339="","-",'ORDENES'!$AB339))</f>
        <v/>
      </c>
      <c r="G361" s="5">
        <f>IF('ORDENES'!$A339="","",IF('ORDENES'!$Z339="","-",'ORDENES'!$Z339))</f>
        <v/>
      </c>
      <c r="H361" s="5">
        <f>IF('ORDENES'!$A339="","",IF('ORDENES'!$AH339="","-",'ORDENES'!$AH339))</f>
        <v/>
      </c>
      <c r="I361" s="5">
        <f>IF('ORDENES'!$A339="","",IF('ORDENES'!$AU339="","-",'ORDENES'!$AU339))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3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IF('ORDENES'!$A339="","",'ORDENES'!$AG339)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IF('ORDENES'!$A340="","",IF('ORDENES'!$AI340="","-",'ORDENES'!$AI340))</f>
        <v/>
      </c>
      <c r="D362" s="5">
        <f>IF('ORDENES'!$A340="","",IF('ORDENES'!$AA340="","-",'ORDENES'!$AA340))</f>
        <v/>
      </c>
      <c r="E362" s="5">
        <f>IF('ORDENES'!$A340="","",IF('ORDENES'!$Y340="","-",'ORDENES'!$Y340))</f>
        <v/>
      </c>
      <c r="F362" s="5">
        <f>IF('ORDENES'!$A340="","",IF('ORDENES'!$AB340="","-",'ORDENES'!$AB340))</f>
        <v/>
      </c>
      <c r="G362" s="5">
        <f>IF('ORDENES'!$A340="","",IF('ORDENES'!$Z340="","-",'ORDENES'!$Z340))</f>
        <v/>
      </c>
      <c r="H362" s="5">
        <f>IF('ORDENES'!$A340="","",IF('ORDENES'!$AH340="","-",'ORDENES'!$AH340))</f>
        <v/>
      </c>
      <c r="I362" s="5">
        <f>IF('ORDENES'!$A340="","",IF('ORDENES'!$AU340="","-",'ORDENES'!$AU340))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3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IF('ORDENES'!$A340="","",'ORDENES'!$AG340)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IF('ORDENES'!$A341="","",IF('ORDENES'!$AI341="","-",'ORDENES'!$AI341))</f>
        <v/>
      </c>
      <c r="D363" s="5">
        <f>IF('ORDENES'!$A341="","",IF('ORDENES'!$AA341="","-",'ORDENES'!$AA341))</f>
        <v/>
      </c>
      <c r="E363" s="5">
        <f>IF('ORDENES'!$A341="","",IF('ORDENES'!$Y341="","-",'ORDENES'!$Y341))</f>
        <v/>
      </c>
      <c r="F363" s="5">
        <f>IF('ORDENES'!$A341="","",IF('ORDENES'!$AB341="","-",'ORDENES'!$AB341))</f>
        <v/>
      </c>
      <c r="G363" s="5">
        <f>IF('ORDENES'!$A341="","",IF('ORDENES'!$Z341="","-",'ORDENES'!$Z341))</f>
        <v/>
      </c>
      <c r="H363" s="5">
        <f>IF('ORDENES'!$A341="","",IF('ORDENES'!$AH341="","-",'ORDENES'!$AH341))</f>
        <v/>
      </c>
      <c r="I363" s="5">
        <f>IF('ORDENES'!$A341="","",IF('ORDENES'!$AU341="","-",'ORDENES'!$AU341))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3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IF('ORDENES'!$A341="","",'ORDENES'!$AG341)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IF('ORDENES'!$A342="","",IF('ORDENES'!$AI342="","-",'ORDENES'!$AI342))</f>
        <v/>
      </c>
      <c r="D364" s="5">
        <f>IF('ORDENES'!$A342="","",IF('ORDENES'!$AA342="","-",'ORDENES'!$AA342))</f>
        <v/>
      </c>
      <c r="E364" s="5">
        <f>IF('ORDENES'!$A342="","",IF('ORDENES'!$Y342="","-",'ORDENES'!$Y342))</f>
        <v/>
      </c>
      <c r="F364" s="5">
        <f>IF('ORDENES'!$A342="","",IF('ORDENES'!$AB342="","-",'ORDENES'!$AB342))</f>
        <v/>
      </c>
      <c r="G364" s="5">
        <f>IF('ORDENES'!$A342="","",IF('ORDENES'!$Z342="","-",'ORDENES'!$Z342))</f>
        <v/>
      </c>
      <c r="H364" s="5">
        <f>IF('ORDENES'!$A342="","",IF('ORDENES'!$AH342="","-",'ORDENES'!$AH342))</f>
        <v/>
      </c>
      <c r="I364" s="5">
        <f>IF('ORDENES'!$A342="","",IF('ORDENES'!$AU342="","-",'ORDENES'!$AU342))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3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IF('ORDENES'!$A342="","",'ORDENES'!$AG342)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IF('ORDENES'!$A343="","",IF('ORDENES'!$AI343="","-",'ORDENES'!$AI343))</f>
        <v/>
      </c>
      <c r="D365" s="5">
        <f>IF('ORDENES'!$A343="","",IF('ORDENES'!$AA343="","-",'ORDENES'!$AA343))</f>
        <v/>
      </c>
      <c r="E365" s="5">
        <f>IF('ORDENES'!$A343="","",IF('ORDENES'!$Y343="","-",'ORDENES'!$Y343))</f>
        <v/>
      </c>
      <c r="F365" s="5">
        <f>IF('ORDENES'!$A343="","",IF('ORDENES'!$AB343="","-",'ORDENES'!$AB343))</f>
        <v/>
      </c>
      <c r="G365" s="5">
        <f>IF('ORDENES'!$A343="","",IF('ORDENES'!$Z343="","-",'ORDENES'!$Z343))</f>
        <v/>
      </c>
      <c r="H365" s="5">
        <f>IF('ORDENES'!$A343="","",IF('ORDENES'!$AH343="","-",'ORDENES'!$AH343))</f>
        <v/>
      </c>
      <c r="I365" s="5">
        <f>IF('ORDENES'!$A343="","",IF('ORDENES'!$AU343="","-",'ORDENES'!$AU343))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3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IF('ORDENES'!$A343="","",'ORDENES'!$AG343)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IF('ORDENES'!$A344="","",IF('ORDENES'!$AI344="","-",'ORDENES'!$AI344))</f>
        <v/>
      </c>
      <c r="D366" s="5">
        <f>IF('ORDENES'!$A344="","",IF('ORDENES'!$AA344="","-",'ORDENES'!$AA344))</f>
        <v/>
      </c>
      <c r="E366" s="5">
        <f>IF('ORDENES'!$A344="","",IF('ORDENES'!$Y344="","-",'ORDENES'!$Y344))</f>
        <v/>
      </c>
      <c r="F366" s="5">
        <f>IF('ORDENES'!$A344="","",IF('ORDENES'!$AB344="","-",'ORDENES'!$AB344))</f>
        <v/>
      </c>
      <c r="G366" s="5">
        <f>IF('ORDENES'!$A344="","",IF('ORDENES'!$Z344="","-",'ORDENES'!$Z344))</f>
        <v/>
      </c>
      <c r="H366" s="5">
        <f>IF('ORDENES'!$A344="","",IF('ORDENES'!$AH344="","-",'ORDENES'!$AH344))</f>
        <v/>
      </c>
      <c r="I366" s="5">
        <f>IF('ORDENES'!$A344="","",IF('ORDENES'!$AU344="","-",'ORDENES'!$AU344))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3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IF('ORDENES'!$A344="","",'ORDENES'!$AG344)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IF('ORDENES'!$A345="","",IF('ORDENES'!$AI345="","-",'ORDENES'!$AI345))</f>
        <v/>
      </c>
      <c r="D367" s="5">
        <f>IF('ORDENES'!$A345="","",IF('ORDENES'!$AA345="","-",'ORDENES'!$AA345))</f>
        <v/>
      </c>
      <c r="E367" s="5">
        <f>IF('ORDENES'!$A345="","",IF('ORDENES'!$Y345="","-",'ORDENES'!$Y345))</f>
        <v/>
      </c>
      <c r="F367" s="5">
        <f>IF('ORDENES'!$A345="","",IF('ORDENES'!$AB345="","-",'ORDENES'!$AB345))</f>
        <v/>
      </c>
      <c r="G367" s="5">
        <f>IF('ORDENES'!$A345="","",IF('ORDENES'!$Z345="","-",'ORDENES'!$Z345))</f>
        <v/>
      </c>
      <c r="H367" s="5">
        <f>IF('ORDENES'!$A345="","",IF('ORDENES'!$AH345="","-",'ORDENES'!$AH345))</f>
        <v/>
      </c>
      <c r="I367" s="5">
        <f>IF('ORDENES'!$A345="","",IF('ORDENES'!$AU345="","-",'ORDENES'!$AU345))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3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IF('ORDENES'!$A345="","",'ORDENES'!$AG345)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IF('ORDENES'!$A346="","",IF('ORDENES'!$AI346="","-",'ORDENES'!$AI346))</f>
        <v/>
      </c>
      <c r="D368" s="5">
        <f>IF('ORDENES'!$A346="","",IF('ORDENES'!$AA346="","-",'ORDENES'!$AA346))</f>
        <v/>
      </c>
      <c r="E368" s="5">
        <f>IF('ORDENES'!$A346="","",IF('ORDENES'!$Y346="","-",'ORDENES'!$Y346))</f>
        <v/>
      </c>
      <c r="F368" s="5">
        <f>IF('ORDENES'!$A346="","",IF('ORDENES'!$AB346="","-",'ORDENES'!$AB346))</f>
        <v/>
      </c>
      <c r="G368" s="5">
        <f>IF('ORDENES'!$A346="","",IF('ORDENES'!$Z346="","-",'ORDENES'!$Z346))</f>
        <v/>
      </c>
      <c r="H368" s="5">
        <f>IF('ORDENES'!$A346="","",IF('ORDENES'!$AH346="","-",'ORDENES'!$AH346))</f>
        <v/>
      </c>
      <c r="I368" s="5">
        <f>IF('ORDENES'!$A346="","",IF('ORDENES'!$AU346="","-",'ORDENES'!$AU346))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3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IF('ORDENES'!$A346="","",'ORDENES'!$AG346)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IF('ORDENES'!$A347="","",IF('ORDENES'!$AI347="","-",'ORDENES'!$AI347))</f>
        <v/>
      </c>
      <c r="D369" s="5">
        <f>IF('ORDENES'!$A347="","",IF('ORDENES'!$AA347="","-",'ORDENES'!$AA347))</f>
        <v/>
      </c>
      <c r="E369" s="5">
        <f>IF('ORDENES'!$A347="","",IF('ORDENES'!$Y347="","-",'ORDENES'!$Y347))</f>
        <v/>
      </c>
      <c r="F369" s="5">
        <f>IF('ORDENES'!$A347="","",IF('ORDENES'!$AB347="","-",'ORDENES'!$AB347))</f>
        <v/>
      </c>
      <c r="G369" s="5">
        <f>IF('ORDENES'!$A347="","",IF('ORDENES'!$Z347="","-",'ORDENES'!$Z347))</f>
        <v/>
      </c>
      <c r="H369" s="5">
        <f>IF('ORDENES'!$A347="","",IF('ORDENES'!$AH347="","-",'ORDENES'!$AH347))</f>
        <v/>
      </c>
      <c r="I369" s="5">
        <f>IF('ORDENES'!$A347="","",IF('ORDENES'!$AU347="","-",'ORDENES'!$AU347))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3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IF('ORDENES'!$A347="","",'ORDENES'!$AG347)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IF('ORDENES'!$A348="","",IF('ORDENES'!$AI348="","-",'ORDENES'!$AI348))</f>
        <v/>
      </c>
      <c r="D370" s="5">
        <f>IF('ORDENES'!$A348="","",IF('ORDENES'!$AA348="","-",'ORDENES'!$AA348))</f>
        <v/>
      </c>
      <c r="E370" s="5">
        <f>IF('ORDENES'!$A348="","",IF('ORDENES'!$Y348="","-",'ORDENES'!$Y348))</f>
        <v/>
      </c>
      <c r="F370" s="5">
        <f>IF('ORDENES'!$A348="","",IF('ORDENES'!$AB348="","-",'ORDENES'!$AB348))</f>
        <v/>
      </c>
      <c r="G370" s="5">
        <f>IF('ORDENES'!$A348="","",IF('ORDENES'!$Z348="","-",'ORDENES'!$Z348))</f>
        <v/>
      </c>
      <c r="H370" s="5">
        <f>IF('ORDENES'!$A348="","",IF('ORDENES'!$AH348="","-",'ORDENES'!$AH348))</f>
        <v/>
      </c>
      <c r="I370" s="5">
        <f>IF('ORDENES'!$A348="","",IF('ORDENES'!$AU348="","-",'ORDENES'!$AU348))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3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IF('ORDENES'!$A348="","",'ORDENES'!$AG348)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IF('ORDENES'!$A349="","",IF('ORDENES'!$AI349="","-",'ORDENES'!$AI349))</f>
        <v/>
      </c>
      <c r="D371" s="5">
        <f>IF('ORDENES'!$A349="","",IF('ORDENES'!$AA349="","-",'ORDENES'!$AA349))</f>
        <v/>
      </c>
      <c r="E371" s="5">
        <f>IF('ORDENES'!$A349="","",IF('ORDENES'!$Y349="","-",'ORDENES'!$Y349))</f>
        <v/>
      </c>
      <c r="F371" s="5">
        <f>IF('ORDENES'!$A349="","",IF('ORDENES'!$AB349="","-",'ORDENES'!$AB349))</f>
        <v/>
      </c>
      <c r="G371" s="5">
        <f>IF('ORDENES'!$A349="","",IF('ORDENES'!$Z349="","-",'ORDENES'!$Z349))</f>
        <v/>
      </c>
      <c r="H371" s="5">
        <f>IF('ORDENES'!$A349="","",IF('ORDENES'!$AH349="","-",'ORDENES'!$AH349))</f>
        <v/>
      </c>
      <c r="I371" s="5">
        <f>IF('ORDENES'!$A349="","",IF('ORDENES'!$AU349="","-",'ORDENES'!$AU349))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3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IF('ORDENES'!$A349="","",'ORDENES'!$AG349)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IF('ORDENES'!$A350="","",IF('ORDENES'!$AI350="","-",'ORDENES'!$AI350))</f>
        <v/>
      </c>
      <c r="D372" s="5">
        <f>IF('ORDENES'!$A350="","",IF('ORDENES'!$AA350="","-",'ORDENES'!$AA350))</f>
        <v/>
      </c>
      <c r="E372" s="5">
        <f>IF('ORDENES'!$A350="","",IF('ORDENES'!$Y350="","-",'ORDENES'!$Y350))</f>
        <v/>
      </c>
      <c r="F372" s="5">
        <f>IF('ORDENES'!$A350="","",IF('ORDENES'!$AB350="","-",'ORDENES'!$AB350))</f>
        <v/>
      </c>
      <c r="G372" s="5">
        <f>IF('ORDENES'!$A350="","",IF('ORDENES'!$Z350="","-",'ORDENES'!$Z350))</f>
        <v/>
      </c>
      <c r="H372" s="5">
        <f>IF('ORDENES'!$A350="","",IF('ORDENES'!$AH350="","-",'ORDENES'!$AH350))</f>
        <v/>
      </c>
      <c r="I372" s="5">
        <f>IF('ORDENES'!$A350="","",IF('ORDENES'!$AU350="","-",'ORDENES'!$AU350))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3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IF('ORDENES'!$A350="","",'ORDENES'!$AG350)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IF('ORDENES'!$A351="","",IF('ORDENES'!$AI351="","-",'ORDENES'!$AI351))</f>
        <v/>
      </c>
      <c r="D373" s="5">
        <f>IF('ORDENES'!$A351="","",IF('ORDENES'!$AA351="","-",'ORDENES'!$AA351))</f>
        <v/>
      </c>
      <c r="E373" s="5">
        <f>IF('ORDENES'!$A351="","",IF('ORDENES'!$Y351="","-",'ORDENES'!$Y351))</f>
        <v/>
      </c>
      <c r="F373" s="5">
        <f>IF('ORDENES'!$A351="","",IF('ORDENES'!$AB351="","-",'ORDENES'!$AB351))</f>
        <v/>
      </c>
      <c r="G373" s="5">
        <f>IF('ORDENES'!$A351="","",IF('ORDENES'!$Z351="","-",'ORDENES'!$Z351))</f>
        <v/>
      </c>
      <c r="H373" s="5">
        <f>IF('ORDENES'!$A351="","",IF('ORDENES'!$AH351="","-",'ORDENES'!$AH351))</f>
        <v/>
      </c>
      <c r="I373" s="5">
        <f>IF('ORDENES'!$A351="","",IF('ORDENES'!$AU351="","-",'ORDENES'!$AU351))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3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IF('ORDENES'!$A351="","",'ORDENES'!$AG351)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IF('ORDENES'!$A352="","",IF('ORDENES'!$AI352="","-",'ORDENES'!$AI352))</f>
        <v/>
      </c>
      <c r="D374" s="5">
        <f>IF('ORDENES'!$A352="","",IF('ORDENES'!$AA352="","-",'ORDENES'!$AA352))</f>
        <v/>
      </c>
      <c r="E374" s="5">
        <f>IF('ORDENES'!$A352="","",IF('ORDENES'!$Y352="","-",'ORDENES'!$Y352))</f>
        <v/>
      </c>
      <c r="F374" s="5">
        <f>IF('ORDENES'!$A352="","",IF('ORDENES'!$AB352="","-",'ORDENES'!$AB352))</f>
        <v/>
      </c>
      <c r="G374" s="5">
        <f>IF('ORDENES'!$A352="","",IF('ORDENES'!$Z352="","-",'ORDENES'!$Z352))</f>
        <v/>
      </c>
      <c r="H374" s="5">
        <f>IF('ORDENES'!$A352="","",IF('ORDENES'!$AH352="","-",'ORDENES'!$AH352))</f>
        <v/>
      </c>
      <c r="I374" s="5">
        <f>IF('ORDENES'!$A352="","",IF('ORDENES'!$AU352="","-",'ORDENES'!$AU352))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3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IF('ORDENES'!$A352="","",'ORDENES'!$AG352)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IF('ORDENES'!$A353="","",IF('ORDENES'!$AI353="","-",'ORDENES'!$AI353))</f>
        <v/>
      </c>
      <c r="D375" s="5">
        <f>IF('ORDENES'!$A353="","",IF('ORDENES'!$AA353="","-",'ORDENES'!$AA353))</f>
        <v/>
      </c>
      <c r="E375" s="5">
        <f>IF('ORDENES'!$A353="","",IF('ORDENES'!$Y353="","-",'ORDENES'!$Y353))</f>
        <v/>
      </c>
      <c r="F375" s="5">
        <f>IF('ORDENES'!$A353="","",IF('ORDENES'!$AB353="","-",'ORDENES'!$AB353))</f>
        <v/>
      </c>
      <c r="G375" s="5">
        <f>IF('ORDENES'!$A353="","",IF('ORDENES'!$Z353="","-",'ORDENES'!$Z353))</f>
        <v/>
      </c>
      <c r="H375" s="5">
        <f>IF('ORDENES'!$A353="","",IF('ORDENES'!$AH353="","-",'ORDENES'!$AH353))</f>
        <v/>
      </c>
      <c r="I375" s="5">
        <f>IF('ORDENES'!$A353="","",IF('ORDENES'!$AU353="","-",'ORDENES'!$AU353))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3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IF('ORDENES'!$A353="","",'ORDENES'!$AG353)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IF('ORDENES'!$A354="","",IF('ORDENES'!$AI354="","-",'ORDENES'!$AI354))</f>
        <v/>
      </c>
      <c r="D376" s="5">
        <f>IF('ORDENES'!$A354="","",IF('ORDENES'!$AA354="","-",'ORDENES'!$AA354))</f>
        <v/>
      </c>
      <c r="E376" s="5">
        <f>IF('ORDENES'!$A354="","",IF('ORDENES'!$Y354="","-",'ORDENES'!$Y354))</f>
        <v/>
      </c>
      <c r="F376" s="5">
        <f>IF('ORDENES'!$A354="","",IF('ORDENES'!$AB354="","-",'ORDENES'!$AB354))</f>
        <v/>
      </c>
      <c r="G376" s="5">
        <f>IF('ORDENES'!$A354="","",IF('ORDENES'!$Z354="","-",'ORDENES'!$Z354))</f>
        <v/>
      </c>
      <c r="H376" s="5">
        <f>IF('ORDENES'!$A354="","",IF('ORDENES'!$AH354="","-",'ORDENES'!$AH354))</f>
        <v/>
      </c>
      <c r="I376" s="5">
        <f>IF('ORDENES'!$A354="","",IF('ORDENES'!$AU354="","-",'ORDENES'!$AU354))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3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IF('ORDENES'!$A354="","",'ORDENES'!$AG354)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IF('ORDENES'!$A355="","",IF('ORDENES'!$AI355="","-",'ORDENES'!$AI355))</f>
        <v/>
      </c>
      <c r="D377" s="5">
        <f>IF('ORDENES'!$A355="","",IF('ORDENES'!$AA355="","-",'ORDENES'!$AA355))</f>
        <v/>
      </c>
      <c r="E377" s="5">
        <f>IF('ORDENES'!$A355="","",IF('ORDENES'!$Y355="","-",'ORDENES'!$Y355))</f>
        <v/>
      </c>
      <c r="F377" s="5">
        <f>IF('ORDENES'!$A355="","",IF('ORDENES'!$AB355="","-",'ORDENES'!$AB355))</f>
        <v/>
      </c>
      <c r="G377" s="5">
        <f>IF('ORDENES'!$A355="","",IF('ORDENES'!$Z355="","-",'ORDENES'!$Z355))</f>
        <v/>
      </c>
      <c r="H377" s="5">
        <f>IF('ORDENES'!$A355="","",IF('ORDENES'!$AH355="","-",'ORDENES'!$AH355))</f>
        <v/>
      </c>
      <c r="I377" s="5">
        <f>IF('ORDENES'!$A355="","",IF('ORDENES'!$AU355="","-",'ORDENES'!$AU355))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3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IF('ORDENES'!$A355="","",'ORDENES'!$AG355)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IF('ORDENES'!$A356="","",IF('ORDENES'!$AI356="","-",'ORDENES'!$AI356))</f>
        <v/>
      </c>
      <c r="D378" s="5">
        <f>IF('ORDENES'!$A356="","",IF('ORDENES'!$AA356="","-",'ORDENES'!$AA356))</f>
        <v/>
      </c>
      <c r="E378" s="5">
        <f>IF('ORDENES'!$A356="","",IF('ORDENES'!$Y356="","-",'ORDENES'!$Y356))</f>
        <v/>
      </c>
      <c r="F378" s="5">
        <f>IF('ORDENES'!$A356="","",IF('ORDENES'!$AB356="","-",'ORDENES'!$AB356))</f>
        <v/>
      </c>
      <c r="G378" s="5">
        <f>IF('ORDENES'!$A356="","",IF('ORDENES'!$Z356="","-",'ORDENES'!$Z356))</f>
        <v/>
      </c>
      <c r="H378" s="5">
        <f>IF('ORDENES'!$A356="","",IF('ORDENES'!$AH356="","-",'ORDENES'!$AH356))</f>
        <v/>
      </c>
      <c r="I378" s="5">
        <f>IF('ORDENES'!$A356="","",IF('ORDENES'!$AU356="","-",'ORDENES'!$AU356))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3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IF('ORDENES'!$A356="","",'ORDENES'!$AG356)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IF('ORDENES'!$A357="","",IF('ORDENES'!$AI357="","-",'ORDENES'!$AI357))</f>
        <v/>
      </c>
      <c r="D379" s="5">
        <f>IF('ORDENES'!$A357="","",IF('ORDENES'!$AA357="","-",'ORDENES'!$AA357))</f>
        <v/>
      </c>
      <c r="E379" s="5">
        <f>IF('ORDENES'!$A357="","",IF('ORDENES'!$Y357="","-",'ORDENES'!$Y357))</f>
        <v/>
      </c>
      <c r="F379" s="5">
        <f>IF('ORDENES'!$A357="","",IF('ORDENES'!$AB357="","-",'ORDENES'!$AB357))</f>
        <v/>
      </c>
      <c r="G379" s="5">
        <f>IF('ORDENES'!$A357="","",IF('ORDENES'!$Z357="","-",'ORDENES'!$Z357))</f>
        <v/>
      </c>
      <c r="H379" s="5">
        <f>IF('ORDENES'!$A357="","",IF('ORDENES'!$AH357="","-",'ORDENES'!$AH357))</f>
        <v/>
      </c>
      <c r="I379" s="5">
        <f>IF('ORDENES'!$A357="","",IF('ORDENES'!$AU357="","-",'ORDENES'!$AU357))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3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IF('ORDENES'!$A357="","",'ORDENES'!$AG357)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IF('ORDENES'!$A358="","",IF('ORDENES'!$AI358="","-",'ORDENES'!$AI358))</f>
        <v/>
      </c>
      <c r="D380" s="5">
        <f>IF('ORDENES'!$A358="","",IF('ORDENES'!$AA358="","-",'ORDENES'!$AA358))</f>
        <v/>
      </c>
      <c r="E380" s="5">
        <f>IF('ORDENES'!$A358="","",IF('ORDENES'!$Y358="","-",'ORDENES'!$Y358))</f>
        <v/>
      </c>
      <c r="F380" s="5">
        <f>IF('ORDENES'!$A358="","",IF('ORDENES'!$AB358="","-",'ORDENES'!$AB358))</f>
        <v/>
      </c>
      <c r="G380" s="5">
        <f>IF('ORDENES'!$A358="","",IF('ORDENES'!$Z358="","-",'ORDENES'!$Z358))</f>
        <v/>
      </c>
      <c r="H380" s="5">
        <f>IF('ORDENES'!$A358="","",IF('ORDENES'!$AH358="","-",'ORDENES'!$AH358))</f>
        <v/>
      </c>
      <c r="I380" s="5">
        <f>IF('ORDENES'!$A358="","",IF('ORDENES'!$AU358="","-",'ORDENES'!$AU358))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3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IF('ORDENES'!$A358="","",'ORDENES'!$AG358)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IF('ORDENES'!$A359="","",IF('ORDENES'!$AI359="","-",'ORDENES'!$AI359))</f>
        <v/>
      </c>
      <c r="D381" s="5">
        <f>IF('ORDENES'!$A359="","",IF('ORDENES'!$AA359="","-",'ORDENES'!$AA359))</f>
        <v/>
      </c>
      <c r="E381" s="5">
        <f>IF('ORDENES'!$A359="","",IF('ORDENES'!$Y359="","-",'ORDENES'!$Y359))</f>
        <v/>
      </c>
      <c r="F381" s="5">
        <f>IF('ORDENES'!$A359="","",IF('ORDENES'!$AB359="","-",'ORDENES'!$AB359))</f>
        <v/>
      </c>
      <c r="G381" s="5">
        <f>IF('ORDENES'!$A359="","",IF('ORDENES'!$Z359="","-",'ORDENES'!$Z359))</f>
        <v/>
      </c>
      <c r="H381" s="5">
        <f>IF('ORDENES'!$A359="","",IF('ORDENES'!$AH359="","-",'ORDENES'!$AH359))</f>
        <v/>
      </c>
      <c r="I381" s="5">
        <f>IF('ORDENES'!$A359="","",IF('ORDENES'!$AU359="","-",'ORDENES'!$AU359))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3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IF('ORDENES'!$A359="","",'ORDENES'!$AG359)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IF('ORDENES'!$A360="","",IF('ORDENES'!$AI360="","-",'ORDENES'!$AI360))</f>
        <v/>
      </c>
      <c r="D382" s="5">
        <f>IF('ORDENES'!$A360="","",IF('ORDENES'!$AA360="","-",'ORDENES'!$AA360))</f>
        <v/>
      </c>
      <c r="E382" s="5">
        <f>IF('ORDENES'!$A360="","",IF('ORDENES'!$Y360="","-",'ORDENES'!$Y360))</f>
        <v/>
      </c>
      <c r="F382" s="5">
        <f>IF('ORDENES'!$A360="","",IF('ORDENES'!$AB360="","-",'ORDENES'!$AB360))</f>
        <v/>
      </c>
      <c r="G382" s="5">
        <f>IF('ORDENES'!$A360="","",IF('ORDENES'!$Z360="","-",'ORDENES'!$Z360))</f>
        <v/>
      </c>
      <c r="H382" s="5">
        <f>IF('ORDENES'!$A360="","",IF('ORDENES'!$AH360="","-",'ORDENES'!$AH360))</f>
        <v/>
      </c>
      <c r="I382" s="5">
        <f>IF('ORDENES'!$A360="","",IF('ORDENES'!$AU360="","-",'ORDENES'!$AU360))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3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IF('ORDENES'!$A360="","",'ORDENES'!$AG360)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IF('ORDENES'!$A361="","",IF('ORDENES'!$AI361="","-",'ORDENES'!$AI361))</f>
        <v/>
      </c>
      <c r="D383" s="5">
        <f>IF('ORDENES'!$A361="","",IF('ORDENES'!$AA361="","-",'ORDENES'!$AA361))</f>
        <v/>
      </c>
      <c r="E383" s="5">
        <f>IF('ORDENES'!$A361="","",IF('ORDENES'!$Y361="","-",'ORDENES'!$Y361))</f>
        <v/>
      </c>
      <c r="F383" s="5">
        <f>IF('ORDENES'!$A361="","",IF('ORDENES'!$AB361="","-",'ORDENES'!$AB361))</f>
        <v/>
      </c>
      <c r="G383" s="5">
        <f>IF('ORDENES'!$A361="","",IF('ORDENES'!$Z361="","-",'ORDENES'!$Z361))</f>
        <v/>
      </c>
      <c r="H383" s="5">
        <f>IF('ORDENES'!$A361="","",IF('ORDENES'!$AH361="","-",'ORDENES'!$AH361))</f>
        <v/>
      </c>
      <c r="I383" s="5">
        <f>IF('ORDENES'!$A361="","",IF('ORDENES'!$AU361="","-",'ORDENES'!$AU361))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3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IF('ORDENES'!$A361="","",'ORDENES'!$AG361)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IF('ORDENES'!$A362="","",IF('ORDENES'!$AI362="","-",'ORDENES'!$AI362))</f>
        <v/>
      </c>
      <c r="D384" s="5">
        <f>IF('ORDENES'!$A362="","",IF('ORDENES'!$AA362="","-",'ORDENES'!$AA362))</f>
        <v/>
      </c>
      <c r="E384" s="5">
        <f>IF('ORDENES'!$A362="","",IF('ORDENES'!$Y362="","-",'ORDENES'!$Y362))</f>
        <v/>
      </c>
      <c r="F384" s="5">
        <f>IF('ORDENES'!$A362="","",IF('ORDENES'!$AB362="","-",'ORDENES'!$AB362))</f>
        <v/>
      </c>
      <c r="G384" s="5">
        <f>IF('ORDENES'!$A362="","",IF('ORDENES'!$Z362="","-",'ORDENES'!$Z362))</f>
        <v/>
      </c>
      <c r="H384" s="5">
        <f>IF('ORDENES'!$A362="","",IF('ORDENES'!$AH362="","-",'ORDENES'!$AH362))</f>
        <v/>
      </c>
      <c r="I384" s="5">
        <f>IF('ORDENES'!$A362="","",IF('ORDENES'!$AU362="","-",'ORDENES'!$AU362))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3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IF('ORDENES'!$A362="","",'ORDENES'!$AG362)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IF('ORDENES'!$A363="","",IF('ORDENES'!$AI363="","-",'ORDENES'!$AI363))</f>
        <v/>
      </c>
      <c r="D385" s="5">
        <f>IF('ORDENES'!$A363="","",IF('ORDENES'!$AA363="","-",'ORDENES'!$AA363))</f>
        <v/>
      </c>
      <c r="E385" s="5">
        <f>IF('ORDENES'!$A363="","",IF('ORDENES'!$Y363="","-",'ORDENES'!$Y363))</f>
        <v/>
      </c>
      <c r="F385" s="5">
        <f>IF('ORDENES'!$A363="","",IF('ORDENES'!$AB363="","-",'ORDENES'!$AB363))</f>
        <v/>
      </c>
      <c r="G385" s="5">
        <f>IF('ORDENES'!$A363="","",IF('ORDENES'!$Z363="","-",'ORDENES'!$Z363))</f>
        <v/>
      </c>
      <c r="H385" s="5">
        <f>IF('ORDENES'!$A363="","",IF('ORDENES'!$AH363="","-",'ORDENES'!$AH363))</f>
        <v/>
      </c>
      <c r="I385" s="5">
        <f>IF('ORDENES'!$A363="","",IF('ORDENES'!$AU363="","-",'ORDENES'!$AU363))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3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IF('ORDENES'!$A363="","",'ORDENES'!$AG363)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IF('ORDENES'!$A364="","",IF('ORDENES'!$AI364="","-",'ORDENES'!$AI364))</f>
        <v/>
      </c>
      <c r="D386" s="5">
        <f>IF('ORDENES'!$A364="","",IF('ORDENES'!$AA364="","-",'ORDENES'!$AA364))</f>
        <v/>
      </c>
      <c r="E386" s="5">
        <f>IF('ORDENES'!$A364="","",IF('ORDENES'!$Y364="","-",'ORDENES'!$Y364))</f>
        <v/>
      </c>
      <c r="F386" s="5">
        <f>IF('ORDENES'!$A364="","",IF('ORDENES'!$AB364="","-",'ORDENES'!$AB364))</f>
        <v/>
      </c>
      <c r="G386" s="5">
        <f>IF('ORDENES'!$A364="","",IF('ORDENES'!$Z364="","-",'ORDENES'!$Z364))</f>
        <v/>
      </c>
      <c r="H386" s="5">
        <f>IF('ORDENES'!$A364="","",IF('ORDENES'!$AH364="","-",'ORDENES'!$AH364))</f>
        <v/>
      </c>
      <c r="I386" s="5">
        <f>IF('ORDENES'!$A364="","",IF('ORDENES'!$AU364="","-",'ORDENES'!$AU364))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3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IF('ORDENES'!$A364="","",'ORDENES'!$AG364)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IF('ORDENES'!$A365="","",IF('ORDENES'!$AI365="","-",'ORDENES'!$AI365))</f>
        <v/>
      </c>
      <c r="D387" s="5">
        <f>IF('ORDENES'!$A365="","",IF('ORDENES'!$AA365="","-",'ORDENES'!$AA365))</f>
        <v/>
      </c>
      <c r="E387" s="5">
        <f>IF('ORDENES'!$A365="","",IF('ORDENES'!$Y365="","-",'ORDENES'!$Y365))</f>
        <v/>
      </c>
      <c r="F387" s="5">
        <f>IF('ORDENES'!$A365="","",IF('ORDENES'!$AB365="","-",'ORDENES'!$AB365))</f>
        <v/>
      </c>
      <c r="G387" s="5">
        <f>IF('ORDENES'!$A365="","",IF('ORDENES'!$Z365="","-",'ORDENES'!$Z365))</f>
        <v/>
      </c>
      <c r="H387" s="5">
        <f>IF('ORDENES'!$A365="","",IF('ORDENES'!$AH365="","-",'ORDENES'!$AH365))</f>
        <v/>
      </c>
      <c r="I387" s="5">
        <f>IF('ORDENES'!$A365="","",IF('ORDENES'!$AU365="","-",'ORDENES'!$AU365))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3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IF('ORDENES'!$A365="","",'ORDENES'!$AG365)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IF('ORDENES'!$A366="","",IF('ORDENES'!$AI366="","-",'ORDENES'!$AI366))</f>
        <v/>
      </c>
      <c r="D388" s="5">
        <f>IF('ORDENES'!$A366="","",IF('ORDENES'!$AA366="","-",'ORDENES'!$AA366))</f>
        <v/>
      </c>
      <c r="E388" s="5">
        <f>IF('ORDENES'!$A366="","",IF('ORDENES'!$Y366="","-",'ORDENES'!$Y366))</f>
        <v/>
      </c>
      <c r="F388" s="5">
        <f>IF('ORDENES'!$A366="","",IF('ORDENES'!$AB366="","-",'ORDENES'!$AB366))</f>
        <v/>
      </c>
      <c r="G388" s="5">
        <f>IF('ORDENES'!$A366="","",IF('ORDENES'!$Z366="","-",'ORDENES'!$Z366))</f>
        <v/>
      </c>
      <c r="H388" s="5">
        <f>IF('ORDENES'!$A366="","",IF('ORDENES'!$AH366="","-",'ORDENES'!$AH366))</f>
        <v/>
      </c>
      <c r="I388" s="5">
        <f>IF('ORDENES'!$A366="","",IF('ORDENES'!$AU366="","-",'ORDENES'!$AU366))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3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IF('ORDENES'!$A366="","",'ORDENES'!$AG366)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IF('ORDENES'!$A367="","",IF('ORDENES'!$AI367="","-",'ORDENES'!$AI367))</f>
        <v/>
      </c>
      <c r="D389" s="5">
        <f>IF('ORDENES'!$A367="","",IF('ORDENES'!$AA367="","-",'ORDENES'!$AA367))</f>
        <v/>
      </c>
      <c r="E389" s="5">
        <f>IF('ORDENES'!$A367="","",IF('ORDENES'!$Y367="","-",'ORDENES'!$Y367))</f>
        <v/>
      </c>
      <c r="F389" s="5">
        <f>IF('ORDENES'!$A367="","",IF('ORDENES'!$AB367="","-",'ORDENES'!$AB367))</f>
        <v/>
      </c>
      <c r="G389" s="5">
        <f>IF('ORDENES'!$A367="","",IF('ORDENES'!$Z367="","-",'ORDENES'!$Z367))</f>
        <v/>
      </c>
      <c r="H389" s="5">
        <f>IF('ORDENES'!$A367="","",IF('ORDENES'!$AH367="","-",'ORDENES'!$AH367))</f>
        <v/>
      </c>
      <c r="I389" s="5">
        <f>IF('ORDENES'!$A367="","",IF('ORDENES'!$AU367="","-",'ORDENES'!$AU367))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3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IF('ORDENES'!$A367="","",'ORDENES'!$AG367)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IF('ORDENES'!$A368="","",IF('ORDENES'!$AI368="","-",'ORDENES'!$AI368))</f>
        <v/>
      </c>
      <c r="D390" s="5">
        <f>IF('ORDENES'!$A368="","",IF('ORDENES'!$AA368="","-",'ORDENES'!$AA368))</f>
        <v/>
      </c>
      <c r="E390" s="5">
        <f>IF('ORDENES'!$A368="","",IF('ORDENES'!$Y368="","-",'ORDENES'!$Y368))</f>
        <v/>
      </c>
      <c r="F390" s="5">
        <f>IF('ORDENES'!$A368="","",IF('ORDENES'!$AB368="","-",'ORDENES'!$AB368))</f>
        <v/>
      </c>
      <c r="G390" s="5">
        <f>IF('ORDENES'!$A368="","",IF('ORDENES'!$Z368="","-",'ORDENES'!$Z368))</f>
        <v/>
      </c>
      <c r="H390" s="5">
        <f>IF('ORDENES'!$A368="","",IF('ORDENES'!$AH368="","-",'ORDENES'!$AH368))</f>
        <v/>
      </c>
      <c r="I390" s="5">
        <f>IF('ORDENES'!$A368="","",IF('ORDENES'!$AU368="","-",'ORDENES'!$AU368))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3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IF('ORDENES'!$A368="","",'ORDENES'!$AG368)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IF('ORDENES'!$A369="","",IF('ORDENES'!$AI369="","-",'ORDENES'!$AI369))</f>
        <v/>
      </c>
      <c r="D391" s="5">
        <f>IF('ORDENES'!$A369="","",IF('ORDENES'!$AA369="","-",'ORDENES'!$AA369))</f>
        <v/>
      </c>
      <c r="E391" s="5">
        <f>IF('ORDENES'!$A369="","",IF('ORDENES'!$Y369="","-",'ORDENES'!$Y369))</f>
        <v/>
      </c>
      <c r="F391" s="5">
        <f>IF('ORDENES'!$A369="","",IF('ORDENES'!$AB369="","-",'ORDENES'!$AB369))</f>
        <v/>
      </c>
      <c r="G391" s="5">
        <f>IF('ORDENES'!$A369="","",IF('ORDENES'!$Z369="","-",'ORDENES'!$Z369))</f>
        <v/>
      </c>
      <c r="H391" s="5">
        <f>IF('ORDENES'!$A369="","",IF('ORDENES'!$AH369="","-",'ORDENES'!$AH369))</f>
        <v/>
      </c>
      <c r="I391" s="5">
        <f>IF('ORDENES'!$A369="","",IF('ORDENES'!$AU369="","-",'ORDENES'!$AU369))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3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IF('ORDENES'!$A369="","",'ORDENES'!$AG369)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IF('ORDENES'!$A370="","",IF('ORDENES'!$AI370="","-",'ORDENES'!$AI370))</f>
        <v/>
      </c>
      <c r="D392" s="5">
        <f>IF('ORDENES'!$A370="","",IF('ORDENES'!$AA370="","-",'ORDENES'!$AA370))</f>
        <v/>
      </c>
      <c r="E392" s="5">
        <f>IF('ORDENES'!$A370="","",IF('ORDENES'!$Y370="","-",'ORDENES'!$Y370))</f>
        <v/>
      </c>
      <c r="F392" s="5">
        <f>IF('ORDENES'!$A370="","",IF('ORDENES'!$AB370="","-",'ORDENES'!$AB370))</f>
        <v/>
      </c>
      <c r="G392" s="5">
        <f>IF('ORDENES'!$A370="","",IF('ORDENES'!$Z370="","-",'ORDENES'!$Z370))</f>
        <v/>
      </c>
      <c r="H392" s="5">
        <f>IF('ORDENES'!$A370="","",IF('ORDENES'!$AH370="","-",'ORDENES'!$AH370))</f>
        <v/>
      </c>
      <c r="I392" s="5">
        <f>IF('ORDENES'!$A370="","",IF('ORDENES'!$AU370="","-",'ORDENES'!$AU370))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3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IF('ORDENES'!$A370="","",'ORDENES'!$AG370)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IF('ORDENES'!$A371="","",IF('ORDENES'!$AI371="","-",'ORDENES'!$AI371))</f>
        <v/>
      </c>
      <c r="D393" s="5">
        <f>IF('ORDENES'!$A371="","",IF('ORDENES'!$AA371="","-",'ORDENES'!$AA371))</f>
        <v/>
      </c>
      <c r="E393" s="5">
        <f>IF('ORDENES'!$A371="","",IF('ORDENES'!$Y371="","-",'ORDENES'!$Y371))</f>
        <v/>
      </c>
      <c r="F393" s="5">
        <f>IF('ORDENES'!$A371="","",IF('ORDENES'!$AB371="","-",'ORDENES'!$AB371))</f>
        <v/>
      </c>
      <c r="G393" s="5">
        <f>IF('ORDENES'!$A371="","",IF('ORDENES'!$Z371="","-",'ORDENES'!$Z371))</f>
        <v/>
      </c>
      <c r="H393" s="5">
        <f>IF('ORDENES'!$A371="","",IF('ORDENES'!$AH371="","-",'ORDENES'!$AH371))</f>
        <v/>
      </c>
      <c r="I393" s="5">
        <f>IF('ORDENES'!$A371="","",IF('ORDENES'!$AU371="","-",'ORDENES'!$AU371))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3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IF('ORDENES'!$A371="","",'ORDENES'!$AG371)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IF('ORDENES'!$A372="","",IF('ORDENES'!$AI372="","-",'ORDENES'!$AI372))</f>
        <v/>
      </c>
      <c r="D394" s="5">
        <f>IF('ORDENES'!$A372="","",IF('ORDENES'!$AA372="","-",'ORDENES'!$AA372))</f>
        <v/>
      </c>
      <c r="E394" s="5">
        <f>IF('ORDENES'!$A372="","",IF('ORDENES'!$Y372="","-",'ORDENES'!$Y372))</f>
        <v/>
      </c>
      <c r="F394" s="5">
        <f>IF('ORDENES'!$A372="","",IF('ORDENES'!$AB372="","-",'ORDENES'!$AB372))</f>
        <v/>
      </c>
      <c r="G394" s="5">
        <f>IF('ORDENES'!$A372="","",IF('ORDENES'!$Z372="","-",'ORDENES'!$Z372))</f>
        <v/>
      </c>
      <c r="H394" s="5">
        <f>IF('ORDENES'!$A372="","",IF('ORDENES'!$AH372="","-",'ORDENES'!$AH372))</f>
        <v/>
      </c>
      <c r="I394" s="5">
        <f>IF('ORDENES'!$A372="","",IF('ORDENES'!$AU372="","-",'ORDENES'!$AU372))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3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IF('ORDENES'!$A372="","",'ORDENES'!$AG372)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IF('ORDENES'!$A373="","",IF('ORDENES'!$AI373="","-",'ORDENES'!$AI373))</f>
        <v/>
      </c>
      <c r="D395" s="5">
        <f>IF('ORDENES'!$A373="","",IF('ORDENES'!$AA373="","-",'ORDENES'!$AA373))</f>
        <v/>
      </c>
      <c r="E395" s="5">
        <f>IF('ORDENES'!$A373="","",IF('ORDENES'!$Y373="","-",'ORDENES'!$Y373))</f>
        <v/>
      </c>
      <c r="F395" s="5">
        <f>IF('ORDENES'!$A373="","",IF('ORDENES'!$AB373="","-",'ORDENES'!$AB373))</f>
        <v/>
      </c>
      <c r="G395" s="5">
        <f>IF('ORDENES'!$A373="","",IF('ORDENES'!$Z373="","-",'ORDENES'!$Z373))</f>
        <v/>
      </c>
      <c r="H395" s="5">
        <f>IF('ORDENES'!$A373="","",IF('ORDENES'!$AH373="","-",'ORDENES'!$AH373))</f>
        <v/>
      </c>
      <c r="I395" s="5">
        <f>IF('ORDENES'!$A373="","",IF('ORDENES'!$AU373="","-",'ORDENES'!$AU373))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3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IF('ORDENES'!$A373="","",'ORDENES'!$AG373)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IF('ORDENES'!$A374="","",IF('ORDENES'!$AI374="","-",'ORDENES'!$AI374))</f>
        <v/>
      </c>
      <c r="D396" s="5">
        <f>IF('ORDENES'!$A374="","",IF('ORDENES'!$AA374="","-",'ORDENES'!$AA374))</f>
        <v/>
      </c>
      <c r="E396" s="5">
        <f>IF('ORDENES'!$A374="","",IF('ORDENES'!$Y374="","-",'ORDENES'!$Y374))</f>
        <v/>
      </c>
      <c r="F396" s="5">
        <f>IF('ORDENES'!$A374="","",IF('ORDENES'!$AB374="","-",'ORDENES'!$AB374))</f>
        <v/>
      </c>
      <c r="G396" s="5">
        <f>IF('ORDENES'!$A374="","",IF('ORDENES'!$Z374="","-",'ORDENES'!$Z374))</f>
        <v/>
      </c>
      <c r="H396" s="5">
        <f>IF('ORDENES'!$A374="","",IF('ORDENES'!$AH374="","-",'ORDENES'!$AH374))</f>
        <v/>
      </c>
      <c r="I396" s="5">
        <f>IF('ORDENES'!$A374="","",IF('ORDENES'!$AU374="","-",'ORDENES'!$AU374))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3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IF('ORDENES'!$A374="","",'ORDENES'!$AG374)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IF('ORDENES'!$A375="","",IF('ORDENES'!$AI375="","-",'ORDENES'!$AI375))</f>
        <v/>
      </c>
      <c r="D397" s="5">
        <f>IF('ORDENES'!$A375="","",IF('ORDENES'!$AA375="","-",'ORDENES'!$AA375))</f>
        <v/>
      </c>
      <c r="E397" s="5">
        <f>IF('ORDENES'!$A375="","",IF('ORDENES'!$Y375="","-",'ORDENES'!$Y375))</f>
        <v/>
      </c>
      <c r="F397" s="5">
        <f>IF('ORDENES'!$A375="","",IF('ORDENES'!$AB375="","-",'ORDENES'!$AB375))</f>
        <v/>
      </c>
      <c r="G397" s="5">
        <f>IF('ORDENES'!$A375="","",IF('ORDENES'!$Z375="","-",'ORDENES'!$Z375))</f>
        <v/>
      </c>
      <c r="H397" s="5">
        <f>IF('ORDENES'!$A375="","",IF('ORDENES'!$AH375="","-",'ORDENES'!$AH375))</f>
        <v/>
      </c>
      <c r="I397" s="5">
        <f>IF('ORDENES'!$A375="","",IF('ORDENES'!$AU375="","-",'ORDENES'!$AU375))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3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IF('ORDENES'!$A375="","",'ORDENES'!$AG375)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IF('ORDENES'!$A376="","",IF('ORDENES'!$AI376="","-",'ORDENES'!$AI376))</f>
        <v/>
      </c>
      <c r="D398" s="5">
        <f>IF('ORDENES'!$A376="","",IF('ORDENES'!$AA376="","-",'ORDENES'!$AA376))</f>
        <v/>
      </c>
      <c r="E398" s="5">
        <f>IF('ORDENES'!$A376="","",IF('ORDENES'!$Y376="","-",'ORDENES'!$Y376))</f>
        <v/>
      </c>
      <c r="F398" s="5">
        <f>IF('ORDENES'!$A376="","",IF('ORDENES'!$AB376="","-",'ORDENES'!$AB376))</f>
        <v/>
      </c>
      <c r="G398" s="5">
        <f>IF('ORDENES'!$A376="","",IF('ORDENES'!$Z376="","-",'ORDENES'!$Z376))</f>
        <v/>
      </c>
      <c r="H398" s="5">
        <f>IF('ORDENES'!$A376="","",IF('ORDENES'!$AH376="","-",'ORDENES'!$AH376))</f>
        <v/>
      </c>
      <c r="I398" s="5">
        <f>IF('ORDENES'!$A376="","",IF('ORDENES'!$AU376="","-",'ORDENES'!$AU376))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3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IF('ORDENES'!$A376="","",'ORDENES'!$AG376)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IF('ORDENES'!$A377="","",IF('ORDENES'!$AI377="","-",'ORDENES'!$AI377))</f>
        <v/>
      </c>
      <c r="D399" s="5">
        <f>IF('ORDENES'!$A377="","",IF('ORDENES'!$AA377="","-",'ORDENES'!$AA377))</f>
        <v/>
      </c>
      <c r="E399" s="5">
        <f>IF('ORDENES'!$A377="","",IF('ORDENES'!$Y377="","-",'ORDENES'!$Y377))</f>
        <v/>
      </c>
      <c r="F399" s="5">
        <f>IF('ORDENES'!$A377="","",IF('ORDENES'!$AB377="","-",'ORDENES'!$AB377))</f>
        <v/>
      </c>
      <c r="G399" s="5">
        <f>IF('ORDENES'!$A377="","",IF('ORDENES'!$Z377="","-",'ORDENES'!$Z377))</f>
        <v/>
      </c>
      <c r="H399" s="5">
        <f>IF('ORDENES'!$A377="","",IF('ORDENES'!$AH377="","-",'ORDENES'!$AH377))</f>
        <v/>
      </c>
      <c r="I399" s="5">
        <f>IF('ORDENES'!$A377="","",IF('ORDENES'!$AU377="","-",'ORDENES'!$AU377))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3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IF('ORDENES'!$A377="","",'ORDENES'!$AG377)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IF('ORDENES'!$A378="","",IF('ORDENES'!$AI378="","-",'ORDENES'!$AI378))</f>
        <v/>
      </c>
      <c r="D400" s="5">
        <f>IF('ORDENES'!$A378="","",IF('ORDENES'!$AA378="","-",'ORDENES'!$AA378))</f>
        <v/>
      </c>
      <c r="E400" s="5">
        <f>IF('ORDENES'!$A378="","",IF('ORDENES'!$Y378="","-",'ORDENES'!$Y378))</f>
        <v/>
      </c>
      <c r="F400" s="5">
        <f>IF('ORDENES'!$A378="","",IF('ORDENES'!$AB378="","-",'ORDENES'!$AB378))</f>
        <v/>
      </c>
      <c r="G400" s="5">
        <f>IF('ORDENES'!$A378="","",IF('ORDENES'!$Z378="","-",'ORDENES'!$Z378))</f>
        <v/>
      </c>
      <c r="H400" s="5">
        <f>IF('ORDENES'!$A378="","",IF('ORDENES'!$AH378="","-",'ORDENES'!$AH378))</f>
        <v/>
      </c>
      <c r="I400" s="5">
        <f>IF('ORDENES'!$A378="","",IF('ORDENES'!$AU378="","-",'ORDENES'!$AU378))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3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IF('ORDENES'!$A378="","",'ORDENES'!$AG378)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IF('ORDENES'!$A379="","",IF('ORDENES'!$AI379="","-",'ORDENES'!$AI379))</f>
        <v/>
      </c>
      <c r="D401" s="5">
        <f>IF('ORDENES'!$A379="","",IF('ORDENES'!$AA379="","-",'ORDENES'!$AA379))</f>
        <v/>
      </c>
      <c r="E401" s="5">
        <f>IF('ORDENES'!$A379="","",IF('ORDENES'!$Y379="","-",'ORDENES'!$Y379))</f>
        <v/>
      </c>
      <c r="F401" s="5">
        <f>IF('ORDENES'!$A379="","",IF('ORDENES'!$AB379="","-",'ORDENES'!$AB379))</f>
        <v/>
      </c>
      <c r="G401" s="5">
        <f>IF('ORDENES'!$A379="","",IF('ORDENES'!$Z379="","-",'ORDENES'!$Z379))</f>
        <v/>
      </c>
      <c r="H401" s="5">
        <f>IF('ORDENES'!$A379="","",IF('ORDENES'!$AH379="","-",'ORDENES'!$AH379))</f>
        <v/>
      </c>
      <c r="I401" s="5">
        <f>IF('ORDENES'!$A379="","",IF('ORDENES'!$AU379="","-",'ORDENES'!$AU379))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3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IF('ORDENES'!$A379="","",'ORDENES'!$AG379)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IF('ORDENES'!$A380="","",IF('ORDENES'!$AI380="","-",'ORDENES'!$AI380))</f>
        <v/>
      </c>
      <c r="D402" s="5">
        <f>IF('ORDENES'!$A380="","",IF('ORDENES'!$AA380="","-",'ORDENES'!$AA380))</f>
        <v/>
      </c>
      <c r="E402" s="5">
        <f>IF('ORDENES'!$A380="","",IF('ORDENES'!$Y380="","-",'ORDENES'!$Y380))</f>
        <v/>
      </c>
      <c r="F402" s="5">
        <f>IF('ORDENES'!$A380="","",IF('ORDENES'!$AB380="","-",'ORDENES'!$AB380))</f>
        <v/>
      </c>
      <c r="G402" s="5">
        <f>IF('ORDENES'!$A380="","",IF('ORDENES'!$Z380="","-",'ORDENES'!$Z380))</f>
        <v/>
      </c>
      <c r="H402" s="5">
        <f>IF('ORDENES'!$A380="","",IF('ORDENES'!$AH380="","-",'ORDENES'!$AH380))</f>
        <v/>
      </c>
      <c r="I402" s="5">
        <f>IF('ORDENES'!$A380="","",IF('ORDENES'!$AU380="","-",'ORDENES'!$AU380))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3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IF('ORDENES'!$A380="","",'ORDENES'!$AG380)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IF('ORDENES'!$A381="","",IF('ORDENES'!$AI381="","-",'ORDENES'!$AI381))</f>
        <v/>
      </c>
      <c r="D403" s="5">
        <f>IF('ORDENES'!$A381="","",IF('ORDENES'!$AA381="","-",'ORDENES'!$AA381))</f>
        <v/>
      </c>
      <c r="E403" s="5">
        <f>IF('ORDENES'!$A381="","",IF('ORDENES'!$Y381="","-",'ORDENES'!$Y381))</f>
        <v/>
      </c>
      <c r="F403" s="5">
        <f>IF('ORDENES'!$A381="","",IF('ORDENES'!$AB381="","-",'ORDENES'!$AB381))</f>
        <v/>
      </c>
      <c r="G403" s="5">
        <f>IF('ORDENES'!$A381="","",IF('ORDENES'!$Z381="","-",'ORDENES'!$Z381))</f>
        <v/>
      </c>
      <c r="H403" s="5">
        <f>IF('ORDENES'!$A381="","",IF('ORDENES'!$AH381="","-",'ORDENES'!$AH381))</f>
        <v/>
      </c>
      <c r="I403" s="5">
        <f>IF('ORDENES'!$A381="","",IF('ORDENES'!$AU381="","-",'ORDENES'!$AU381))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3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IF('ORDENES'!$A381="","",'ORDENES'!$AG381)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IF('ORDENES'!$A382="","",IF('ORDENES'!$AI382="","-",'ORDENES'!$AI382))</f>
        <v/>
      </c>
      <c r="D404" s="5">
        <f>IF('ORDENES'!$A382="","",IF('ORDENES'!$AA382="","-",'ORDENES'!$AA382))</f>
        <v/>
      </c>
      <c r="E404" s="5">
        <f>IF('ORDENES'!$A382="","",IF('ORDENES'!$Y382="","-",'ORDENES'!$Y382))</f>
        <v/>
      </c>
      <c r="F404" s="5">
        <f>IF('ORDENES'!$A382="","",IF('ORDENES'!$AB382="","-",'ORDENES'!$AB382))</f>
        <v/>
      </c>
      <c r="G404" s="5">
        <f>IF('ORDENES'!$A382="","",IF('ORDENES'!$Z382="","-",'ORDENES'!$Z382))</f>
        <v/>
      </c>
      <c r="H404" s="5">
        <f>IF('ORDENES'!$A382="","",IF('ORDENES'!$AH382="","-",'ORDENES'!$AH382))</f>
        <v/>
      </c>
      <c r="I404" s="5">
        <f>IF('ORDENES'!$A382="","",IF('ORDENES'!$AU382="","-",'ORDENES'!$AU382))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3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IF('ORDENES'!$A382="","",'ORDENES'!$AG382)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IF('ORDENES'!$A383="","",IF('ORDENES'!$AI383="","-",'ORDENES'!$AI383))</f>
        <v/>
      </c>
      <c r="D405" s="5">
        <f>IF('ORDENES'!$A383="","",IF('ORDENES'!$AA383="","-",'ORDENES'!$AA383))</f>
        <v/>
      </c>
      <c r="E405" s="5">
        <f>IF('ORDENES'!$A383="","",IF('ORDENES'!$Y383="","-",'ORDENES'!$Y383))</f>
        <v/>
      </c>
      <c r="F405" s="5">
        <f>IF('ORDENES'!$A383="","",IF('ORDENES'!$AB383="","-",'ORDENES'!$AB383))</f>
        <v/>
      </c>
      <c r="G405" s="5">
        <f>IF('ORDENES'!$A383="","",IF('ORDENES'!$Z383="","-",'ORDENES'!$Z383))</f>
        <v/>
      </c>
      <c r="H405" s="5">
        <f>IF('ORDENES'!$A383="","",IF('ORDENES'!$AH383="","-",'ORDENES'!$AH383))</f>
        <v/>
      </c>
      <c r="I405" s="5">
        <f>IF('ORDENES'!$A383="","",IF('ORDENES'!$AU383="","-",'ORDENES'!$AU383))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3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IF('ORDENES'!$A383="","",'ORDENES'!$AG383)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IF('ORDENES'!$A384="","",IF('ORDENES'!$AI384="","-",'ORDENES'!$AI384))</f>
        <v/>
      </c>
      <c r="D406" s="5">
        <f>IF('ORDENES'!$A384="","",IF('ORDENES'!$AA384="","-",'ORDENES'!$AA384))</f>
        <v/>
      </c>
      <c r="E406" s="5">
        <f>IF('ORDENES'!$A384="","",IF('ORDENES'!$Y384="","-",'ORDENES'!$Y384))</f>
        <v/>
      </c>
      <c r="F406" s="5">
        <f>IF('ORDENES'!$A384="","",IF('ORDENES'!$AB384="","-",'ORDENES'!$AB384))</f>
        <v/>
      </c>
      <c r="G406" s="5">
        <f>IF('ORDENES'!$A384="","",IF('ORDENES'!$Z384="","-",'ORDENES'!$Z384))</f>
        <v/>
      </c>
      <c r="H406" s="5">
        <f>IF('ORDENES'!$A384="","",IF('ORDENES'!$AH384="","-",'ORDENES'!$AH384))</f>
        <v/>
      </c>
      <c r="I406" s="5">
        <f>IF('ORDENES'!$A384="","",IF('ORDENES'!$AU384="","-",'ORDENES'!$AU384))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3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IF('ORDENES'!$A384="","",'ORDENES'!$AG384)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IF('ORDENES'!$A385="","",IF('ORDENES'!$AI385="","-",'ORDENES'!$AI385))</f>
        <v/>
      </c>
      <c r="D407" s="5">
        <f>IF('ORDENES'!$A385="","",IF('ORDENES'!$AA385="","-",'ORDENES'!$AA385))</f>
        <v/>
      </c>
      <c r="E407" s="5">
        <f>IF('ORDENES'!$A385="","",IF('ORDENES'!$Y385="","-",'ORDENES'!$Y385))</f>
        <v/>
      </c>
      <c r="F407" s="5">
        <f>IF('ORDENES'!$A385="","",IF('ORDENES'!$AB385="","-",'ORDENES'!$AB385))</f>
        <v/>
      </c>
      <c r="G407" s="5">
        <f>IF('ORDENES'!$A385="","",IF('ORDENES'!$Z385="","-",'ORDENES'!$Z385))</f>
        <v/>
      </c>
      <c r="H407" s="5">
        <f>IF('ORDENES'!$A385="","",IF('ORDENES'!$AH385="","-",'ORDENES'!$AH385))</f>
        <v/>
      </c>
      <c r="I407" s="5">
        <f>IF('ORDENES'!$A385="","",IF('ORDENES'!$AU385="","-",'ORDENES'!$AU385))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3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IF('ORDENES'!$A385="","",'ORDENES'!$AG385)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IF('ORDENES'!$A386="","",IF('ORDENES'!$AI386="","-",'ORDENES'!$AI386))</f>
        <v/>
      </c>
      <c r="D408" s="5">
        <f>IF('ORDENES'!$A386="","",IF('ORDENES'!$AA386="","-",'ORDENES'!$AA386))</f>
        <v/>
      </c>
      <c r="E408" s="5">
        <f>IF('ORDENES'!$A386="","",IF('ORDENES'!$Y386="","-",'ORDENES'!$Y386))</f>
        <v/>
      </c>
      <c r="F408" s="5">
        <f>IF('ORDENES'!$A386="","",IF('ORDENES'!$AB386="","-",'ORDENES'!$AB386))</f>
        <v/>
      </c>
      <c r="G408" s="5">
        <f>IF('ORDENES'!$A386="","",IF('ORDENES'!$Z386="","-",'ORDENES'!$Z386))</f>
        <v/>
      </c>
      <c r="H408" s="5">
        <f>IF('ORDENES'!$A386="","",IF('ORDENES'!$AH386="","-",'ORDENES'!$AH386))</f>
        <v/>
      </c>
      <c r="I408" s="5">
        <f>IF('ORDENES'!$A386="","",IF('ORDENES'!$AU386="","-",'ORDENES'!$AU386))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3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IF('ORDENES'!$A386="","",'ORDENES'!$AG386)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IF('ORDENES'!$A387="","",IF('ORDENES'!$AI387="","-",'ORDENES'!$AI387))</f>
        <v/>
      </c>
      <c r="D409" s="5">
        <f>IF('ORDENES'!$A387="","",IF('ORDENES'!$AA387="","-",'ORDENES'!$AA387))</f>
        <v/>
      </c>
      <c r="E409" s="5">
        <f>IF('ORDENES'!$A387="","",IF('ORDENES'!$Y387="","-",'ORDENES'!$Y387))</f>
        <v/>
      </c>
      <c r="F409" s="5">
        <f>IF('ORDENES'!$A387="","",IF('ORDENES'!$AB387="","-",'ORDENES'!$AB387))</f>
        <v/>
      </c>
      <c r="G409" s="5">
        <f>IF('ORDENES'!$A387="","",IF('ORDENES'!$Z387="","-",'ORDENES'!$Z387))</f>
        <v/>
      </c>
      <c r="H409" s="5">
        <f>IF('ORDENES'!$A387="","",IF('ORDENES'!$AH387="","-",'ORDENES'!$AH387))</f>
        <v/>
      </c>
      <c r="I409" s="5">
        <f>IF('ORDENES'!$A387="","",IF('ORDENES'!$AU387="","-",'ORDENES'!$AU387))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3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IF('ORDENES'!$A387="","",'ORDENES'!$AG387)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IF('ORDENES'!$A388="","",IF('ORDENES'!$AI388="","-",'ORDENES'!$AI388))</f>
        <v/>
      </c>
      <c r="D410" s="5">
        <f>IF('ORDENES'!$A388="","",IF('ORDENES'!$AA388="","-",'ORDENES'!$AA388))</f>
        <v/>
      </c>
      <c r="E410" s="5">
        <f>IF('ORDENES'!$A388="","",IF('ORDENES'!$Y388="","-",'ORDENES'!$Y388))</f>
        <v/>
      </c>
      <c r="F410" s="5">
        <f>IF('ORDENES'!$A388="","",IF('ORDENES'!$AB388="","-",'ORDENES'!$AB388))</f>
        <v/>
      </c>
      <c r="G410" s="5">
        <f>IF('ORDENES'!$A388="","",IF('ORDENES'!$Z388="","-",'ORDENES'!$Z388))</f>
        <v/>
      </c>
      <c r="H410" s="5">
        <f>IF('ORDENES'!$A388="","",IF('ORDENES'!$AH388="","-",'ORDENES'!$AH388))</f>
        <v/>
      </c>
      <c r="I410" s="5">
        <f>IF('ORDENES'!$A388="","",IF('ORDENES'!$AU388="","-",'ORDENES'!$AU388))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3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IF('ORDENES'!$A388="","",'ORDENES'!$AG388)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IF('ORDENES'!$A389="","",IF('ORDENES'!$AI389="","-",'ORDENES'!$AI389))</f>
        <v/>
      </c>
      <c r="D411" s="5">
        <f>IF('ORDENES'!$A389="","",IF('ORDENES'!$AA389="","-",'ORDENES'!$AA389))</f>
        <v/>
      </c>
      <c r="E411" s="5">
        <f>IF('ORDENES'!$A389="","",IF('ORDENES'!$Y389="","-",'ORDENES'!$Y389))</f>
        <v/>
      </c>
      <c r="F411" s="5">
        <f>IF('ORDENES'!$A389="","",IF('ORDENES'!$AB389="","-",'ORDENES'!$AB389))</f>
        <v/>
      </c>
      <c r="G411" s="5">
        <f>IF('ORDENES'!$A389="","",IF('ORDENES'!$Z389="","-",'ORDENES'!$Z389))</f>
        <v/>
      </c>
      <c r="H411" s="5">
        <f>IF('ORDENES'!$A389="","",IF('ORDENES'!$AH389="","-",'ORDENES'!$AH389))</f>
        <v/>
      </c>
      <c r="I411" s="5">
        <f>IF('ORDENES'!$A389="","",IF('ORDENES'!$AU389="","-",'ORDENES'!$AU389))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3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IF('ORDENES'!$A389="","",'ORDENES'!$AG389)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IF('ORDENES'!$A390="","",IF('ORDENES'!$AI390="","-",'ORDENES'!$AI390))</f>
        <v/>
      </c>
      <c r="D412" s="5">
        <f>IF('ORDENES'!$A390="","",IF('ORDENES'!$AA390="","-",'ORDENES'!$AA390))</f>
        <v/>
      </c>
      <c r="E412" s="5">
        <f>IF('ORDENES'!$A390="","",IF('ORDENES'!$Y390="","-",'ORDENES'!$Y390))</f>
        <v/>
      </c>
      <c r="F412" s="5">
        <f>IF('ORDENES'!$A390="","",IF('ORDENES'!$AB390="","-",'ORDENES'!$AB390))</f>
        <v/>
      </c>
      <c r="G412" s="5">
        <f>IF('ORDENES'!$A390="","",IF('ORDENES'!$Z390="","-",'ORDENES'!$Z390))</f>
        <v/>
      </c>
      <c r="H412" s="5">
        <f>IF('ORDENES'!$A390="","",IF('ORDENES'!$AH390="","-",'ORDENES'!$AH390))</f>
        <v/>
      </c>
      <c r="I412" s="5">
        <f>IF('ORDENES'!$A390="","",IF('ORDENES'!$AU390="","-",'ORDENES'!$AU390))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3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IF('ORDENES'!$A390="","",'ORDENES'!$AG390)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IF('ORDENES'!$A391="","",IF('ORDENES'!$AI391="","-",'ORDENES'!$AI391))</f>
        <v/>
      </c>
      <c r="D413" s="5">
        <f>IF('ORDENES'!$A391="","",IF('ORDENES'!$AA391="","-",'ORDENES'!$AA391))</f>
        <v/>
      </c>
      <c r="E413" s="5">
        <f>IF('ORDENES'!$A391="","",IF('ORDENES'!$Y391="","-",'ORDENES'!$Y391))</f>
        <v/>
      </c>
      <c r="F413" s="5">
        <f>IF('ORDENES'!$A391="","",IF('ORDENES'!$AB391="","-",'ORDENES'!$AB391))</f>
        <v/>
      </c>
      <c r="G413" s="5">
        <f>IF('ORDENES'!$A391="","",IF('ORDENES'!$Z391="","-",'ORDENES'!$Z391))</f>
        <v/>
      </c>
      <c r="H413" s="5">
        <f>IF('ORDENES'!$A391="","",IF('ORDENES'!$AH391="","-",'ORDENES'!$AH391))</f>
        <v/>
      </c>
      <c r="I413" s="5">
        <f>IF('ORDENES'!$A391="","",IF('ORDENES'!$AU391="","-",'ORDENES'!$AU391))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3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IF('ORDENES'!$A391="","",'ORDENES'!$AG391)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IF('ORDENES'!$A392="","",IF('ORDENES'!$AI392="","-",'ORDENES'!$AI392))</f>
        <v/>
      </c>
      <c r="D414" s="5">
        <f>IF('ORDENES'!$A392="","",IF('ORDENES'!$AA392="","-",'ORDENES'!$AA392))</f>
        <v/>
      </c>
      <c r="E414" s="5">
        <f>IF('ORDENES'!$A392="","",IF('ORDENES'!$Y392="","-",'ORDENES'!$Y392))</f>
        <v/>
      </c>
      <c r="F414" s="5">
        <f>IF('ORDENES'!$A392="","",IF('ORDENES'!$AB392="","-",'ORDENES'!$AB392))</f>
        <v/>
      </c>
      <c r="G414" s="5">
        <f>IF('ORDENES'!$A392="","",IF('ORDENES'!$Z392="","-",'ORDENES'!$Z392))</f>
        <v/>
      </c>
      <c r="H414" s="5">
        <f>IF('ORDENES'!$A392="","",IF('ORDENES'!$AH392="","-",'ORDENES'!$AH392))</f>
        <v/>
      </c>
      <c r="I414" s="5">
        <f>IF('ORDENES'!$A392="","",IF('ORDENES'!$AU392="","-",'ORDENES'!$AU392))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3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IF('ORDENES'!$A392="","",'ORDENES'!$AG392)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IF('ORDENES'!$A393="","",IF('ORDENES'!$AI393="","-",'ORDENES'!$AI393))</f>
        <v/>
      </c>
      <c r="D415" s="5">
        <f>IF('ORDENES'!$A393="","",IF('ORDENES'!$AA393="","-",'ORDENES'!$AA393))</f>
        <v/>
      </c>
      <c r="E415" s="5">
        <f>IF('ORDENES'!$A393="","",IF('ORDENES'!$Y393="","-",'ORDENES'!$Y393))</f>
        <v/>
      </c>
      <c r="F415" s="5">
        <f>IF('ORDENES'!$A393="","",IF('ORDENES'!$AB393="","-",'ORDENES'!$AB393))</f>
        <v/>
      </c>
      <c r="G415" s="5">
        <f>IF('ORDENES'!$A393="","",IF('ORDENES'!$Z393="","-",'ORDENES'!$Z393))</f>
        <v/>
      </c>
      <c r="H415" s="5">
        <f>IF('ORDENES'!$A393="","",IF('ORDENES'!$AH393="","-",'ORDENES'!$AH393))</f>
        <v/>
      </c>
      <c r="I415" s="5">
        <f>IF('ORDENES'!$A393="","",IF('ORDENES'!$AU393="","-",'ORDENES'!$AU393))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3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IF('ORDENES'!$A393="","",'ORDENES'!$AG393)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IF('ORDENES'!$A394="","",IF('ORDENES'!$AI394="","-",'ORDENES'!$AI394))</f>
        <v/>
      </c>
      <c r="D416" s="5">
        <f>IF('ORDENES'!$A394="","",IF('ORDENES'!$AA394="","-",'ORDENES'!$AA394))</f>
        <v/>
      </c>
      <c r="E416" s="5">
        <f>IF('ORDENES'!$A394="","",IF('ORDENES'!$Y394="","-",'ORDENES'!$Y394))</f>
        <v/>
      </c>
      <c r="F416" s="5">
        <f>IF('ORDENES'!$A394="","",IF('ORDENES'!$AB394="","-",'ORDENES'!$AB394))</f>
        <v/>
      </c>
      <c r="G416" s="5">
        <f>IF('ORDENES'!$A394="","",IF('ORDENES'!$Z394="","-",'ORDENES'!$Z394))</f>
        <v/>
      </c>
      <c r="H416" s="5">
        <f>IF('ORDENES'!$A394="","",IF('ORDENES'!$AH394="","-",'ORDENES'!$AH394))</f>
        <v/>
      </c>
      <c r="I416" s="5">
        <f>IF('ORDENES'!$A394="","",IF('ORDENES'!$AU394="","-",'ORDENES'!$AU394))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3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IF('ORDENES'!$A394="","",'ORDENES'!$AG394)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IF('ORDENES'!$A395="","",IF('ORDENES'!$AI395="","-",'ORDENES'!$AI395))</f>
        <v/>
      </c>
      <c r="D417" s="5">
        <f>IF('ORDENES'!$A395="","",IF('ORDENES'!$AA395="","-",'ORDENES'!$AA395))</f>
        <v/>
      </c>
      <c r="E417" s="5">
        <f>IF('ORDENES'!$A395="","",IF('ORDENES'!$Y395="","-",'ORDENES'!$Y395))</f>
        <v/>
      </c>
      <c r="F417" s="5">
        <f>IF('ORDENES'!$A395="","",IF('ORDENES'!$AB395="","-",'ORDENES'!$AB395))</f>
        <v/>
      </c>
      <c r="G417" s="5">
        <f>IF('ORDENES'!$A395="","",IF('ORDENES'!$Z395="","-",'ORDENES'!$Z395))</f>
        <v/>
      </c>
      <c r="H417" s="5">
        <f>IF('ORDENES'!$A395="","",IF('ORDENES'!$AH395="","-",'ORDENES'!$AH395))</f>
        <v/>
      </c>
      <c r="I417" s="5">
        <f>IF('ORDENES'!$A395="","",IF('ORDENES'!$AU395="","-",'ORDENES'!$AU395))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3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IF('ORDENES'!$A395="","",'ORDENES'!$AG395)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IF('ORDENES'!$A396="","",IF('ORDENES'!$AI396="","-",'ORDENES'!$AI396))</f>
        <v/>
      </c>
      <c r="D418" s="5">
        <f>IF('ORDENES'!$A396="","",IF('ORDENES'!$AA396="","-",'ORDENES'!$AA396))</f>
        <v/>
      </c>
      <c r="E418" s="5">
        <f>IF('ORDENES'!$A396="","",IF('ORDENES'!$Y396="","-",'ORDENES'!$Y396))</f>
        <v/>
      </c>
      <c r="F418" s="5">
        <f>IF('ORDENES'!$A396="","",IF('ORDENES'!$AB396="","-",'ORDENES'!$AB396))</f>
        <v/>
      </c>
      <c r="G418" s="5">
        <f>IF('ORDENES'!$A396="","",IF('ORDENES'!$Z396="","-",'ORDENES'!$Z396))</f>
        <v/>
      </c>
      <c r="H418" s="5">
        <f>IF('ORDENES'!$A396="","",IF('ORDENES'!$AH396="","-",'ORDENES'!$AH396))</f>
        <v/>
      </c>
      <c r="I418" s="5">
        <f>IF('ORDENES'!$A396="","",IF('ORDENES'!$AU396="","-",'ORDENES'!$AU396))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3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IF('ORDENES'!$A396="","",'ORDENES'!$AG396)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IF('ORDENES'!$A397="","",IF('ORDENES'!$AI397="","-",'ORDENES'!$AI397))</f>
        <v/>
      </c>
      <c r="D419" s="5">
        <f>IF('ORDENES'!$A397="","",IF('ORDENES'!$AA397="","-",'ORDENES'!$AA397))</f>
        <v/>
      </c>
      <c r="E419" s="5">
        <f>IF('ORDENES'!$A397="","",IF('ORDENES'!$Y397="","-",'ORDENES'!$Y397))</f>
        <v/>
      </c>
      <c r="F419" s="5">
        <f>IF('ORDENES'!$A397="","",IF('ORDENES'!$AB397="","-",'ORDENES'!$AB397))</f>
        <v/>
      </c>
      <c r="G419" s="5">
        <f>IF('ORDENES'!$A397="","",IF('ORDENES'!$Z397="","-",'ORDENES'!$Z397))</f>
        <v/>
      </c>
      <c r="H419" s="5">
        <f>IF('ORDENES'!$A397="","",IF('ORDENES'!$AH397="","-",'ORDENES'!$AH397))</f>
        <v/>
      </c>
      <c r="I419" s="5">
        <f>IF('ORDENES'!$A397="","",IF('ORDENES'!$AU397="","-",'ORDENES'!$AU397))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3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IF('ORDENES'!$A397="","",'ORDENES'!$AG397)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IF('ORDENES'!$A398="","",IF('ORDENES'!$AI398="","-",'ORDENES'!$AI398))</f>
        <v/>
      </c>
      <c r="D420" s="5">
        <f>IF('ORDENES'!$A398="","",IF('ORDENES'!$AA398="","-",'ORDENES'!$AA398))</f>
        <v/>
      </c>
      <c r="E420" s="5">
        <f>IF('ORDENES'!$A398="","",IF('ORDENES'!$Y398="","-",'ORDENES'!$Y398))</f>
        <v/>
      </c>
      <c r="F420" s="5">
        <f>IF('ORDENES'!$A398="","",IF('ORDENES'!$AB398="","-",'ORDENES'!$AB398))</f>
        <v/>
      </c>
      <c r="G420" s="5">
        <f>IF('ORDENES'!$A398="","",IF('ORDENES'!$Z398="","-",'ORDENES'!$Z398))</f>
        <v/>
      </c>
      <c r="H420" s="5">
        <f>IF('ORDENES'!$A398="","",IF('ORDENES'!$AH398="","-",'ORDENES'!$AH398))</f>
        <v/>
      </c>
      <c r="I420" s="5">
        <f>IF('ORDENES'!$A398="","",IF('ORDENES'!$AU398="","-",'ORDENES'!$AU398))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3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IF('ORDENES'!$A398="","",'ORDENES'!$AG398)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IF('ORDENES'!$A399="","",IF('ORDENES'!$AI399="","-",'ORDENES'!$AI399))</f>
        <v/>
      </c>
      <c r="D421" s="5">
        <f>IF('ORDENES'!$A399="","",IF('ORDENES'!$AA399="","-",'ORDENES'!$AA399))</f>
        <v/>
      </c>
      <c r="E421" s="5">
        <f>IF('ORDENES'!$A399="","",IF('ORDENES'!$Y399="","-",'ORDENES'!$Y399))</f>
        <v/>
      </c>
      <c r="F421" s="5">
        <f>IF('ORDENES'!$A399="","",IF('ORDENES'!$AB399="","-",'ORDENES'!$AB399))</f>
        <v/>
      </c>
      <c r="G421" s="5">
        <f>IF('ORDENES'!$A399="","",IF('ORDENES'!$Z399="","-",'ORDENES'!$Z399))</f>
        <v/>
      </c>
      <c r="H421" s="5">
        <f>IF('ORDENES'!$A399="","",IF('ORDENES'!$AH399="","-",'ORDENES'!$AH399))</f>
        <v/>
      </c>
      <c r="I421" s="5">
        <f>IF('ORDENES'!$A399="","",IF('ORDENES'!$AU399="","-",'ORDENES'!$AU399))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3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IF('ORDENES'!$A399="","",'ORDENES'!$AG399)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IF('ORDENES'!$A400="","",IF('ORDENES'!$AI400="","-",'ORDENES'!$AI400))</f>
        <v/>
      </c>
      <c r="D422" s="5">
        <f>IF('ORDENES'!$A400="","",IF('ORDENES'!$AA400="","-",'ORDENES'!$AA400))</f>
        <v/>
      </c>
      <c r="E422" s="5">
        <f>IF('ORDENES'!$A400="","",IF('ORDENES'!$Y400="","-",'ORDENES'!$Y400))</f>
        <v/>
      </c>
      <c r="F422" s="5">
        <f>IF('ORDENES'!$A400="","",IF('ORDENES'!$AB400="","-",'ORDENES'!$AB400))</f>
        <v/>
      </c>
      <c r="G422" s="5">
        <f>IF('ORDENES'!$A400="","",IF('ORDENES'!$Z400="","-",'ORDENES'!$Z400))</f>
        <v/>
      </c>
      <c r="H422" s="5">
        <f>IF('ORDENES'!$A400="","",IF('ORDENES'!$AH400="","-",'ORDENES'!$AH400))</f>
        <v/>
      </c>
      <c r="I422" s="5">
        <f>IF('ORDENES'!$A400="","",IF('ORDENES'!$AU400="","-",'ORDENES'!$AU400))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3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IF('ORDENES'!$A400="","",'ORDENES'!$AG400)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IF('ORDENES'!$A401="","",IF('ORDENES'!$AI401="","-",'ORDENES'!$AI401))</f>
        <v/>
      </c>
      <c r="D423" s="5">
        <f>IF('ORDENES'!$A401="","",IF('ORDENES'!$AA401="","-",'ORDENES'!$AA401))</f>
        <v/>
      </c>
      <c r="E423" s="5">
        <f>IF('ORDENES'!$A401="","",IF('ORDENES'!$Y401="","-",'ORDENES'!$Y401))</f>
        <v/>
      </c>
      <c r="F423" s="5">
        <f>IF('ORDENES'!$A401="","",IF('ORDENES'!$AB401="","-",'ORDENES'!$AB401))</f>
        <v/>
      </c>
      <c r="G423" s="5">
        <f>IF('ORDENES'!$A401="","",IF('ORDENES'!$Z401="","-",'ORDENES'!$Z401))</f>
        <v/>
      </c>
      <c r="H423" s="5">
        <f>IF('ORDENES'!$A401="","",IF('ORDENES'!$AH401="","-",'ORDENES'!$AH401))</f>
        <v/>
      </c>
      <c r="I423" s="5">
        <f>IF('ORDENES'!$A401="","",IF('ORDENES'!$AU401="","-",'ORDENES'!$AU401))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3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IF('ORDENES'!$A401="","",'ORDENES'!$AG401)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IF('ORDENES'!$A402="","",IF('ORDENES'!$AI402="","-",'ORDENES'!$AI402))</f>
        <v/>
      </c>
      <c r="D424" s="5">
        <f>IF('ORDENES'!$A402="","",IF('ORDENES'!$AA402="","-",'ORDENES'!$AA402))</f>
        <v/>
      </c>
      <c r="E424" s="5">
        <f>IF('ORDENES'!$A402="","",IF('ORDENES'!$Y402="","-",'ORDENES'!$Y402))</f>
        <v/>
      </c>
      <c r="F424" s="5">
        <f>IF('ORDENES'!$A402="","",IF('ORDENES'!$AB402="","-",'ORDENES'!$AB402))</f>
        <v/>
      </c>
      <c r="G424" s="5">
        <f>IF('ORDENES'!$A402="","",IF('ORDENES'!$Z402="","-",'ORDENES'!$Z402))</f>
        <v/>
      </c>
      <c r="H424" s="5">
        <f>IF('ORDENES'!$A402="","",IF('ORDENES'!$AH402="","-",'ORDENES'!$AH402))</f>
        <v/>
      </c>
      <c r="I424" s="5">
        <f>IF('ORDENES'!$A402="","",IF('ORDENES'!$AU402="","-",'ORDENES'!$AU402))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3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IF('ORDENES'!$A402="","",'ORDENES'!$AG402)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IF('ORDENES'!$A403="","",IF('ORDENES'!$AI403="","-",'ORDENES'!$AI403))</f>
        <v/>
      </c>
      <c r="D425" s="5">
        <f>IF('ORDENES'!$A403="","",IF('ORDENES'!$AA403="","-",'ORDENES'!$AA403))</f>
        <v/>
      </c>
      <c r="E425" s="5">
        <f>IF('ORDENES'!$A403="","",IF('ORDENES'!$Y403="","-",'ORDENES'!$Y403))</f>
        <v/>
      </c>
      <c r="F425" s="5">
        <f>IF('ORDENES'!$A403="","",IF('ORDENES'!$AB403="","-",'ORDENES'!$AB403))</f>
        <v/>
      </c>
      <c r="G425" s="5">
        <f>IF('ORDENES'!$A403="","",IF('ORDENES'!$Z403="","-",'ORDENES'!$Z403))</f>
        <v/>
      </c>
      <c r="H425" s="5">
        <f>IF('ORDENES'!$A403="","",IF('ORDENES'!$AH403="","-",'ORDENES'!$AH403))</f>
        <v/>
      </c>
      <c r="I425" s="5">
        <f>IF('ORDENES'!$A403="","",IF('ORDENES'!$AU403="","-",'ORDENES'!$AU403))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3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IF('ORDENES'!$A403="","",'ORDENES'!$AG403)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IF('ORDENES'!$A404="","",IF('ORDENES'!$AI404="","-",'ORDENES'!$AI404))</f>
        <v/>
      </c>
      <c r="D426" s="5">
        <f>IF('ORDENES'!$A404="","",IF('ORDENES'!$AA404="","-",'ORDENES'!$AA404))</f>
        <v/>
      </c>
      <c r="E426" s="5">
        <f>IF('ORDENES'!$A404="","",IF('ORDENES'!$Y404="","-",'ORDENES'!$Y404))</f>
        <v/>
      </c>
      <c r="F426" s="5">
        <f>IF('ORDENES'!$A404="","",IF('ORDENES'!$AB404="","-",'ORDENES'!$AB404))</f>
        <v/>
      </c>
      <c r="G426" s="5">
        <f>IF('ORDENES'!$A404="","",IF('ORDENES'!$Z404="","-",'ORDENES'!$Z404))</f>
        <v/>
      </c>
      <c r="H426" s="5">
        <f>IF('ORDENES'!$A404="","",IF('ORDENES'!$AH404="","-",'ORDENES'!$AH404))</f>
        <v/>
      </c>
      <c r="I426" s="5">
        <f>IF('ORDENES'!$A404="","",IF('ORDENES'!$AU404="","-",'ORDENES'!$AU404))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3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IF('ORDENES'!$A404="","",'ORDENES'!$AG404)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IF('ORDENES'!$A405="","",IF('ORDENES'!$AI405="","-",'ORDENES'!$AI405))</f>
        <v/>
      </c>
      <c r="D427" s="5">
        <f>IF('ORDENES'!$A405="","",IF('ORDENES'!$AA405="","-",'ORDENES'!$AA405))</f>
        <v/>
      </c>
      <c r="E427" s="5">
        <f>IF('ORDENES'!$A405="","",IF('ORDENES'!$Y405="","-",'ORDENES'!$Y405))</f>
        <v/>
      </c>
      <c r="F427" s="5">
        <f>IF('ORDENES'!$A405="","",IF('ORDENES'!$AB405="","-",'ORDENES'!$AB405))</f>
        <v/>
      </c>
      <c r="G427" s="5">
        <f>IF('ORDENES'!$A405="","",IF('ORDENES'!$Z405="","-",'ORDENES'!$Z405))</f>
        <v/>
      </c>
      <c r="H427" s="5">
        <f>IF('ORDENES'!$A405="","",IF('ORDENES'!$AH405="","-",'ORDENES'!$AH405))</f>
        <v/>
      </c>
      <c r="I427" s="5">
        <f>IF('ORDENES'!$A405="","",IF('ORDENES'!$AU405="","-",'ORDENES'!$AU405))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3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IF('ORDENES'!$A405="","",'ORDENES'!$AG405)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IF('ORDENES'!$A406="","",IF('ORDENES'!$AI406="","-",'ORDENES'!$AI406))</f>
        <v/>
      </c>
      <c r="D428" s="5">
        <f>IF('ORDENES'!$A406="","",IF('ORDENES'!$AA406="","-",'ORDENES'!$AA406))</f>
        <v/>
      </c>
      <c r="E428" s="5">
        <f>IF('ORDENES'!$A406="","",IF('ORDENES'!$Y406="","-",'ORDENES'!$Y406))</f>
        <v/>
      </c>
      <c r="F428" s="5">
        <f>IF('ORDENES'!$A406="","",IF('ORDENES'!$AB406="","-",'ORDENES'!$AB406))</f>
        <v/>
      </c>
      <c r="G428" s="5">
        <f>IF('ORDENES'!$A406="","",IF('ORDENES'!$Z406="","-",'ORDENES'!$Z406))</f>
        <v/>
      </c>
      <c r="H428" s="5">
        <f>IF('ORDENES'!$A406="","",IF('ORDENES'!$AH406="","-",'ORDENES'!$AH406))</f>
        <v/>
      </c>
      <c r="I428" s="5">
        <f>IF('ORDENES'!$A406="","",IF('ORDENES'!$AU406="","-",'ORDENES'!$AU406))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3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IF('ORDENES'!$A406="","",'ORDENES'!$AG406)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IF('ORDENES'!$A407="","",IF('ORDENES'!$AI407="","-",'ORDENES'!$AI407))</f>
        <v/>
      </c>
      <c r="D429" s="5">
        <f>IF('ORDENES'!$A407="","",IF('ORDENES'!$AA407="","-",'ORDENES'!$AA407))</f>
        <v/>
      </c>
      <c r="E429" s="5">
        <f>IF('ORDENES'!$A407="","",IF('ORDENES'!$Y407="","-",'ORDENES'!$Y407))</f>
        <v/>
      </c>
      <c r="F429" s="5">
        <f>IF('ORDENES'!$A407="","",IF('ORDENES'!$AB407="","-",'ORDENES'!$AB407))</f>
        <v/>
      </c>
      <c r="G429" s="5">
        <f>IF('ORDENES'!$A407="","",IF('ORDENES'!$Z407="","-",'ORDENES'!$Z407))</f>
        <v/>
      </c>
      <c r="H429" s="5">
        <f>IF('ORDENES'!$A407="","",IF('ORDENES'!$AH407="","-",'ORDENES'!$AH407))</f>
        <v/>
      </c>
      <c r="I429" s="5">
        <f>IF('ORDENES'!$A407="","",IF('ORDENES'!$AU407="","-",'ORDENES'!$AU407))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3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IF('ORDENES'!$A407="","",'ORDENES'!$AG407)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IF('ORDENES'!$A408="","",IF('ORDENES'!$AI408="","-",'ORDENES'!$AI408))</f>
        <v/>
      </c>
      <c r="D430" s="5">
        <f>IF('ORDENES'!$A408="","",IF('ORDENES'!$AA408="","-",'ORDENES'!$AA408))</f>
        <v/>
      </c>
      <c r="E430" s="5">
        <f>IF('ORDENES'!$A408="","",IF('ORDENES'!$Y408="","-",'ORDENES'!$Y408))</f>
        <v/>
      </c>
      <c r="F430" s="5">
        <f>IF('ORDENES'!$A408="","",IF('ORDENES'!$AB408="","-",'ORDENES'!$AB408))</f>
        <v/>
      </c>
      <c r="G430" s="5">
        <f>IF('ORDENES'!$A408="","",IF('ORDENES'!$Z408="","-",'ORDENES'!$Z408))</f>
        <v/>
      </c>
      <c r="H430" s="5">
        <f>IF('ORDENES'!$A408="","",IF('ORDENES'!$AH408="","-",'ORDENES'!$AH408))</f>
        <v/>
      </c>
      <c r="I430" s="5">
        <f>IF('ORDENES'!$A408="","",IF('ORDENES'!$AU408="","-",'ORDENES'!$AU408))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3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IF('ORDENES'!$A408="","",'ORDENES'!$AG408)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IF('ORDENES'!$A409="","",IF('ORDENES'!$AI409="","-",'ORDENES'!$AI409))</f>
        <v/>
      </c>
      <c r="D431" s="5">
        <f>IF('ORDENES'!$A409="","",IF('ORDENES'!$AA409="","-",'ORDENES'!$AA409))</f>
        <v/>
      </c>
      <c r="E431" s="5">
        <f>IF('ORDENES'!$A409="","",IF('ORDENES'!$Y409="","-",'ORDENES'!$Y409))</f>
        <v/>
      </c>
      <c r="F431" s="5">
        <f>IF('ORDENES'!$A409="","",IF('ORDENES'!$AB409="","-",'ORDENES'!$AB409))</f>
        <v/>
      </c>
      <c r="G431" s="5">
        <f>IF('ORDENES'!$A409="","",IF('ORDENES'!$Z409="","-",'ORDENES'!$Z409))</f>
        <v/>
      </c>
      <c r="H431" s="5">
        <f>IF('ORDENES'!$A409="","",IF('ORDENES'!$AH409="","-",'ORDENES'!$AH409))</f>
        <v/>
      </c>
      <c r="I431" s="5">
        <f>IF('ORDENES'!$A409="","",IF('ORDENES'!$AU409="","-",'ORDENES'!$AU409))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3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IF('ORDENES'!$A409="","",'ORDENES'!$AG409)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IF('ORDENES'!$A410="","",IF('ORDENES'!$AI410="","-",'ORDENES'!$AI410))</f>
        <v/>
      </c>
      <c r="D432" s="5">
        <f>IF('ORDENES'!$A410="","",IF('ORDENES'!$AA410="","-",'ORDENES'!$AA410))</f>
        <v/>
      </c>
      <c r="E432" s="5">
        <f>IF('ORDENES'!$A410="","",IF('ORDENES'!$Y410="","-",'ORDENES'!$Y410))</f>
        <v/>
      </c>
      <c r="F432" s="5">
        <f>IF('ORDENES'!$A410="","",IF('ORDENES'!$AB410="","-",'ORDENES'!$AB410))</f>
        <v/>
      </c>
      <c r="G432" s="5">
        <f>IF('ORDENES'!$A410="","",IF('ORDENES'!$Z410="","-",'ORDENES'!$Z410))</f>
        <v/>
      </c>
      <c r="H432" s="5">
        <f>IF('ORDENES'!$A410="","",IF('ORDENES'!$AH410="","-",'ORDENES'!$AH410))</f>
        <v/>
      </c>
      <c r="I432" s="5">
        <f>IF('ORDENES'!$A410="","",IF('ORDENES'!$AU410="","-",'ORDENES'!$AU410))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3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IF('ORDENES'!$A410="","",'ORDENES'!$AG410)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IF('ORDENES'!$A411="","",IF('ORDENES'!$AI411="","-",'ORDENES'!$AI411))</f>
        <v/>
      </c>
      <c r="D433" s="5">
        <f>IF('ORDENES'!$A411="","",IF('ORDENES'!$AA411="","-",'ORDENES'!$AA411))</f>
        <v/>
      </c>
      <c r="E433" s="5">
        <f>IF('ORDENES'!$A411="","",IF('ORDENES'!$Y411="","-",'ORDENES'!$Y411))</f>
        <v/>
      </c>
      <c r="F433" s="5">
        <f>IF('ORDENES'!$A411="","",IF('ORDENES'!$AB411="","-",'ORDENES'!$AB411))</f>
        <v/>
      </c>
      <c r="G433" s="5">
        <f>IF('ORDENES'!$A411="","",IF('ORDENES'!$Z411="","-",'ORDENES'!$Z411))</f>
        <v/>
      </c>
      <c r="H433" s="5">
        <f>IF('ORDENES'!$A411="","",IF('ORDENES'!$AH411="","-",'ORDENES'!$AH411))</f>
        <v/>
      </c>
      <c r="I433" s="5">
        <f>IF('ORDENES'!$A411="","",IF('ORDENES'!$AU411="","-",'ORDENES'!$AU411))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3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IF('ORDENES'!$A411="","",'ORDENES'!$AG411)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IF('ORDENES'!$A412="","",IF('ORDENES'!$AI412="","-",'ORDENES'!$AI412))</f>
        <v/>
      </c>
      <c r="D434" s="5">
        <f>IF('ORDENES'!$A412="","",IF('ORDENES'!$AA412="","-",'ORDENES'!$AA412))</f>
        <v/>
      </c>
      <c r="E434" s="5">
        <f>IF('ORDENES'!$A412="","",IF('ORDENES'!$Y412="","-",'ORDENES'!$Y412))</f>
        <v/>
      </c>
      <c r="F434" s="5">
        <f>IF('ORDENES'!$A412="","",IF('ORDENES'!$AB412="","-",'ORDENES'!$AB412))</f>
        <v/>
      </c>
      <c r="G434" s="5">
        <f>IF('ORDENES'!$A412="","",IF('ORDENES'!$Z412="","-",'ORDENES'!$Z412))</f>
        <v/>
      </c>
      <c r="H434" s="5">
        <f>IF('ORDENES'!$A412="","",IF('ORDENES'!$AH412="","-",'ORDENES'!$AH412))</f>
        <v/>
      </c>
      <c r="I434" s="5">
        <f>IF('ORDENES'!$A412="","",IF('ORDENES'!$AU412="","-",'ORDENES'!$AU412))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3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IF('ORDENES'!$A412="","",'ORDENES'!$AG412)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IF('ORDENES'!$A413="","",IF('ORDENES'!$AI413="","-",'ORDENES'!$AI413))</f>
        <v/>
      </c>
      <c r="D435" s="5">
        <f>IF('ORDENES'!$A413="","",IF('ORDENES'!$AA413="","-",'ORDENES'!$AA413))</f>
        <v/>
      </c>
      <c r="E435" s="5">
        <f>IF('ORDENES'!$A413="","",IF('ORDENES'!$Y413="","-",'ORDENES'!$Y413))</f>
        <v/>
      </c>
      <c r="F435" s="5">
        <f>IF('ORDENES'!$A413="","",IF('ORDENES'!$AB413="","-",'ORDENES'!$AB413))</f>
        <v/>
      </c>
      <c r="G435" s="5">
        <f>IF('ORDENES'!$A413="","",IF('ORDENES'!$Z413="","-",'ORDENES'!$Z413))</f>
        <v/>
      </c>
      <c r="H435" s="5">
        <f>IF('ORDENES'!$A413="","",IF('ORDENES'!$AH413="","-",'ORDENES'!$AH413))</f>
        <v/>
      </c>
      <c r="I435" s="5">
        <f>IF('ORDENES'!$A413="","",IF('ORDENES'!$AU413="","-",'ORDENES'!$AU413))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3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IF('ORDENES'!$A413="","",'ORDENES'!$AG413)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IF('ORDENES'!$A414="","",IF('ORDENES'!$AI414="","-",'ORDENES'!$AI414))</f>
        <v/>
      </c>
      <c r="D436" s="5">
        <f>IF('ORDENES'!$A414="","",IF('ORDENES'!$AA414="","-",'ORDENES'!$AA414))</f>
        <v/>
      </c>
      <c r="E436" s="5">
        <f>IF('ORDENES'!$A414="","",IF('ORDENES'!$Y414="","-",'ORDENES'!$Y414))</f>
        <v/>
      </c>
      <c r="F436" s="5">
        <f>IF('ORDENES'!$A414="","",IF('ORDENES'!$AB414="","-",'ORDENES'!$AB414))</f>
        <v/>
      </c>
      <c r="G436" s="5">
        <f>IF('ORDENES'!$A414="","",IF('ORDENES'!$Z414="","-",'ORDENES'!$Z414))</f>
        <v/>
      </c>
      <c r="H436" s="5">
        <f>IF('ORDENES'!$A414="","",IF('ORDENES'!$AH414="","-",'ORDENES'!$AH414))</f>
        <v/>
      </c>
      <c r="I436" s="5">
        <f>IF('ORDENES'!$A414="","",IF('ORDENES'!$AU414="","-",'ORDENES'!$AU414))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3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IF('ORDENES'!$A414="","",'ORDENES'!$AG414)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IF('ORDENES'!$A415="","",IF('ORDENES'!$AI415="","-",'ORDENES'!$AI415))</f>
        <v/>
      </c>
      <c r="D437" s="5">
        <f>IF('ORDENES'!$A415="","",IF('ORDENES'!$AA415="","-",'ORDENES'!$AA415))</f>
        <v/>
      </c>
      <c r="E437" s="5">
        <f>IF('ORDENES'!$A415="","",IF('ORDENES'!$Y415="","-",'ORDENES'!$Y415))</f>
        <v/>
      </c>
      <c r="F437" s="5">
        <f>IF('ORDENES'!$A415="","",IF('ORDENES'!$AB415="","-",'ORDENES'!$AB415))</f>
        <v/>
      </c>
      <c r="G437" s="5">
        <f>IF('ORDENES'!$A415="","",IF('ORDENES'!$Z415="","-",'ORDENES'!$Z415))</f>
        <v/>
      </c>
      <c r="H437" s="5">
        <f>IF('ORDENES'!$A415="","",IF('ORDENES'!$AH415="","-",'ORDENES'!$AH415))</f>
        <v/>
      </c>
      <c r="I437" s="5">
        <f>IF('ORDENES'!$A415="","",IF('ORDENES'!$AU415="","-",'ORDENES'!$AU415))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3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IF('ORDENES'!$A415="","",'ORDENES'!$AG415)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IF('ORDENES'!$A416="","",IF('ORDENES'!$AI416="","-",'ORDENES'!$AI416))</f>
        <v/>
      </c>
      <c r="D438" s="5">
        <f>IF('ORDENES'!$A416="","",IF('ORDENES'!$AA416="","-",'ORDENES'!$AA416))</f>
        <v/>
      </c>
      <c r="E438" s="5">
        <f>IF('ORDENES'!$A416="","",IF('ORDENES'!$Y416="","-",'ORDENES'!$Y416))</f>
        <v/>
      </c>
      <c r="F438" s="5">
        <f>IF('ORDENES'!$A416="","",IF('ORDENES'!$AB416="","-",'ORDENES'!$AB416))</f>
        <v/>
      </c>
      <c r="G438" s="5">
        <f>IF('ORDENES'!$A416="","",IF('ORDENES'!$Z416="","-",'ORDENES'!$Z416))</f>
        <v/>
      </c>
      <c r="H438" s="5">
        <f>IF('ORDENES'!$A416="","",IF('ORDENES'!$AH416="","-",'ORDENES'!$AH416))</f>
        <v/>
      </c>
      <c r="I438" s="5">
        <f>IF('ORDENES'!$A416="","",IF('ORDENES'!$AU416="","-",'ORDENES'!$AU416))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3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IF('ORDENES'!$A416="","",'ORDENES'!$AG416)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IF('ORDENES'!$A417="","",IF('ORDENES'!$AI417="","-",'ORDENES'!$AI417))</f>
        <v/>
      </c>
      <c r="D439" s="5">
        <f>IF('ORDENES'!$A417="","",IF('ORDENES'!$AA417="","-",'ORDENES'!$AA417))</f>
        <v/>
      </c>
      <c r="E439" s="5">
        <f>IF('ORDENES'!$A417="","",IF('ORDENES'!$Y417="","-",'ORDENES'!$Y417))</f>
        <v/>
      </c>
      <c r="F439" s="5">
        <f>IF('ORDENES'!$A417="","",IF('ORDENES'!$AB417="","-",'ORDENES'!$AB417))</f>
        <v/>
      </c>
      <c r="G439" s="5">
        <f>IF('ORDENES'!$A417="","",IF('ORDENES'!$Z417="","-",'ORDENES'!$Z417))</f>
        <v/>
      </c>
      <c r="H439" s="5">
        <f>IF('ORDENES'!$A417="","",IF('ORDENES'!$AH417="","-",'ORDENES'!$AH417))</f>
        <v/>
      </c>
      <c r="I439" s="5">
        <f>IF('ORDENES'!$A417="","",IF('ORDENES'!$AU417="","-",'ORDENES'!$AU417))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3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IF('ORDENES'!$A417="","",'ORDENES'!$AG417)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IF('ORDENES'!$A418="","",IF('ORDENES'!$AI418="","-",'ORDENES'!$AI418))</f>
        <v/>
      </c>
      <c r="D440" s="5">
        <f>IF('ORDENES'!$A418="","",IF('ORDENES'!$AA418="","-",'ORDENES'!$AA418))</f>
        <v/>
      </c>
      <c r="E440" s="5">
        <f>IF('ORDENES'!$A418="","",IF('ORDENES'!$Y418="","-",'ORDENES'!$Y418))</f>
        <v/>
      </c>
      <c r="F440" s="5">
        <f>IF('ORDENES'!$A418="","",IF('ORDENES'!$AB418="","-",'ORDENES'!$AB418))</f>
        <v/>
      </c>
      <c r="G440" s="5">
        <f>IF('ORDENES'!$A418="","",IF('ORDENES'!$Z418="","-",'ORDENES'!$Z418))</f>
        <v/>
      </c>
      <c r="H440" s="5">
        <f>IF('ORDENES'!$A418="","",IF('ORDENES'!$AH418="","-",'ORDENES'!$AH418))</f>
        <v/>
      </c>
      <c r="I440" s="5">
        <f>IF('ORDENES'!$A418="","",IF('ORDENES'!$AU418="","-",'ORDENES'!$AU418))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3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IF('ORDENES'!$A418="","",'ORDENES'!$AG418)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IF('ORDENES'!$A419="","",IF('ORDENES'!$AI419="","-",'ORDENES'!$AI419))</f>
        <v/>
      </c>
      <c r="D441" s="5">
        <f>IF('ORDENES'!$A419="","",IF('ORDENES'!$AA419="","-",'ORDENES'!$AA419))</f>
        <v/>
      </c>
      <c r="E441" s="5">
        <f>IF('ORDENES'!$A419="","",IF('ORDENES'!$Y419="","-",'ORDENES'!$Y419))</f>
        <v/>
      </c>
      <c r="F441" s="5">
        <f>IF('ORDENES'!$A419="","",IF('ORDENES'!$AB419="","-",'ORDENES'!$AB419))</f>
        <v/>
      </c>
      <c r="G441" s="5">
        <f>IF('ORDENES'!$A419="","",IF('ORDENES'!$Z419="","-",'ORDENES'!$Z419))</f>
        <v/>
      </c>
      <c r="H441" s="5">
        <f>IF('ORDENES'!$A419="","",IF('ORDENES'!$AH419="","-",'ORDENES'!$AH419))</f>
        <v/>
      </c>
      <c r="I441" s="5">
        <f>IF('ORDENES'!$A419="","",IF('ORDENES'!$AU419="","-",'ORDENES'!$AU419))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3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IF('ORDENES'!$A419="","",'ORDENES'!$AG419)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IF('ORDENES'!$A420="","",IF('ORDENES'!$AI420="","-",'ORDENES'!$AI420))</f>
        <v/>
      </c>
      <c r="D442" s="5">
        <f>IF('ORDENES'!$A420="","",IF('ORDENES'!$AA420="","-",'ORDENES'!$AA420))</f>
        <v/>
      </c>
      <c r="E442" s="5">
        <f>IF('ORDENES'!$A420="","",IF('ORDENES'!$Y420="","-",'ORDENES'!$Y420))</f>
        <v/>
      </c>
      <c r="F442" s="5">
        <f>IF('ORDENES'!$A420="","",IF('ORDENES'!$AB420="","-",'ORDENES'!$AB420))</f>
        <v/>
      </c>
      <c r="G442" s="5">
        <f>IF('ORDENES'!$A420="","",IF('ORDENES'!$Z420="","-",'ORDENES'!$Z420))</f>
        <v/>
      </c>
      <c r="H442" s="5">
        <f>IF('ORDENES'!$A420="","",IF('ORDENES'!$AH420="","-",'ORDENES'!$AH420))</f>
        <v/>
      </c>
      <c r="I442" s="5">
        <f>IF('ORDENES'!$A420="","",IF('ORDENES'!$AU420="","-",'ORDENES'!$AU420))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3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IF('ORDENES'!$A420="","",'ORDENES'!$AG420)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IF('ORDENES'!$A421="","",IF('ORDENES'!$AI421="","-",'ORDENES'!$AI421))</f>
        <v/>
      </c>
      <c r="D443" s="5">
        <f>IF('ORDENES'!$A421="","",IF('ORDENES'!$AA421="","-",'ORDENES'!$AA421))</f>
        <v/>
      </c>
      <c r="E443" s="5">
        <f>IF('ORDENES'!$A421="","",IF('ORDENES'!$Y421="","-",'ORDENES'!$Y421))</f>
        <v/>
      </c>
      <c r="F443" s="5">
        <f>IF('ORDENES'!$A421="","",IF('ORDENES'!$AB421="","-",'ORDENES'!$AB421))</f>
        <v/>
      </c>
      <c r="G443" s="5">
        <f>IF('ORDENES'!$A421="","",IF('ORDENES'!$Z421="","-",'ORDENES'!$Z421))</f>
        <v/>
      </c>
      <c r="H443" s="5">
        <f>IF('ORDENES'!$A421="","",IF('ORDENES'!$AH421="","-",'ORDENES'!$AH421))</f>
        <v/>
      </c>
      <c r="I443" s="5">
        <f>IF('ORDENES'!$A421="","",IF('ORDENES'!$AU421="","-",'ORDENES'!$AU421))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3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IF('ORDENES'!$A421="","",'ORDENES'!$AG421)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IF('ORDENES'!$A422="","",IF('ORDENES'!$AI422="","-",'ORDENES'!$AI422))</f>
        <v/>
      </c>
      <c r="D444" s="5">
        <f>IF('ORDENES'!$A422="","",IF('ORDENES'!$AA422="","-",'ORDENES'!$AA422))</f>
        <v/>
      </c>
      <c r="E444" s="5">
        <f>IF('ORDENES'!$A422="","",IF('ORDENES'!$Y422="","-",'ORDENES'!$Y422))</f>
        <v/>
      </c>
      <c r="F444" s="5">
        <f>IF('ORDENES'!$A422="","",IF('ORDENES'!$AB422="","-",'ORDENES'!$AB422))</f>
        <v/>
      </c>
      <c r="G444" s="5">
        <f>IF('ORDENES'!$A422="","",IF('ORDENES'!$Z422="","-",'ORDENES'!$Z422))</f>
        <v/>
      </c>
      <c r="H444" s="5">
        <f>IF('ORDENES'!$A422="","",IF('ORDENES'!$AH422="","-",'ORDENES'!$AH422))</f>
        <v/>
      </c>
      <c r="I444" s="5">
        <f>IF('ORDENES'!$A422="","",IF('ORDENES'!$AU422="","-",'ORDENES'!$AU422))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3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IF('ORDENES'!$A422="","",'ORDENES'!$AG422)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IF('ORDENES'!$A423="","",IF('ORDENES'!$AI423="","-",'ORDENES'!$AI423))</f>
        <v/>
      </c>
      <c r="D445" s="5">
        <f>IF('ORDENES'!$A423="","",IF('ORDENES'!$AA423="","-",'ORDENES'!$AA423))</f>
        <v/>
      </c>
      <c r="E445" s="5">
        <f>IF('ORDENES'!$A423="","",IF('ORDENES'!$Y423="","-",'ORDENES'!$Y423))</f>
        <v/>
      </c>
      <c r="F445" s="5">
        <f>IF('ORDENES'!$A423="","",IF('ORDENES'!$AB423="","-",'ORDENES'!$AB423))</f>
        <v/>
      </c>
      <c r="G445" s="5">
        <f>IF('ORDENES'!$A423="","",IF('ORDENES'!$Z423="","-",'ORDENES'!$Z423))</f>
        <v/>
      </c>
      <c r="H445" s="5">
        <f>IF('ORDENES'!$A423="","",IF('ORDENES'!$AH423="","-",'ORDENES'!$AH423))</f>
        <v/>
      </c>
      <c r="I445" s="5">
        <f>IF('ORDENES'!$A423="","",IF('ORDENES'!$AU423="","-",'ORDENES'!$AU423))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3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IF('ORDENES'!$A423="","",'ORDENES'!$AG423)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IF('ORDENES'!$A424="","",IF('ORDENES'!$AI424="","-",'ORDENES'!$AI424))</f>
        <v/>
      </c>
      <c r="D446" s="5">
        <f>IF('ORDENES'!$A424="","",IF('ORDENES'!$AA424="","-",'ORDENES'!$AA424))</f>
        <v/>
      </c>
      <c r="E446" s="5">
        <f>IF('ORDENES'!$A424="","",IF('ORDENES'!$Y424="","-",'ORDENES'!$Y424))</f>
        <v/>
      </c>
      <c r="F446" s="5">
        <f>IF('ORDENES'!$A424="","",IF('ORDENES'!$AB424="","-",'ORDENES'!$AB424))</f>
        <v/>
      </c>
      <c r="G446" s="5">
        <f>IF('ORDENES'!$A424="","",IF('ORDENES'!$Z424="","-",'ORDENES'!$Z424))</f>
        <v/>
      </c>
      <c r="H446" s="5">
        <f>IF('ORDENES'!$A424="","",IF('ORDENES'!$AH424="","-",'ORDENES'!$AH424))</f>
        <v/>
      </c>
      <c r="I446" s="5">
        <f>IF('ORDENES'!$A424="","",IF('ORDENES'!$AU424="","-",'ORDENES'!$AU424))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3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IF('ORDENES'!$A424="","",'ORDENES'!$AG424)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IF('ORDENES'!$A425="","",IF('ORDENES'!$AI425="","-",'ORDENES'!$AI425))</f>
        <v/>
      </c>
      <c r="D447" s="5">
        <f>IF('ORDENES'!$A425="","",IF('ORDENES'!$AA425="","-",'ORDENES'!$AA425))</f>
        <v/>
      </c>
      <c r="E447" s="5">
        <f>IF('ORDENES'!$A425="","",IF('ORDENES'!$Y425="","-",'ORDENES'!$Y425))</f>
        <v/>
      </c>
      <c r="F447" s="5">
        <f>IF('ORDENES'!$A425="","",IF('ORDENES'!$AB425="","-",'ORDENES'!$AB425))</f>
        <v/>
      </c>
      <c r="G447" s="5">
        <f>IF('ORDENES'!$A425="","",IF('ORDENES'!$Z425="","-",'ORDENES'!$Z425))</f>
        <v/>
      </c>
      <c r="H447" s="5">
        <f>IF('ORDENES'!$A425="","",IF('ORDENES'!$AH425="","-",'ORDENES'!$AH425))</f>
        <v/>
      </c>
      <c r="I447" s="5">
        <f>IF('ORDENES'!$A425="","",IF('ORDENES'!$AU425="","-",'ORDENES'!$AU425))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3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IF('ORDENES'!$A425="","",'ORDENES'!$AG425)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IF('ORDENES'!$A426="","",IF('ORDENES'!$AI426="","-",'ORDENES'!$AI426))</f>
        <v/>
      </c>
      <c r="D448" s="5">
        <f>IF('ORDENES'!$A426="","",IF('ORDENES'!$AA426="","-",'ORDENES'!$AA426))</f>
        <v/>
      </c>
      <c r="E448" s="5">
        <f>IF('ORDENES'!$A426="","",IF('ORDENES'!$Y426="","-",'ORDENES'!$Y426))</f>
        <v/>
      </c>
      <c r="F448" s="5">
        <f>IF('ORDENES'!$A426="","",IF('ORDENES'!$AB426="","-",'ORDENES'!$AB426))</f>
        <v/>
      </c>
      <c r="G448" s="5">
        <f>IF('ORDENES'!$A426="","",IF('ORDENES'!$Z426="","-",'ORDENES'!$Z426))</f>
        <v/>
      </c>
      <c r="H448" s="5">
        <f>IF('ORDENES'!$A426="","",IF('ORDENES'!$AH426="","-",'ORDENES'!$AH426))</f>
        <v/>
      </c>
      <c r="I448" s="5">
        <f>IF('ORDENES'!$A426="","",IF('ORDENES'!$AU426="","-",'ORDENES'!$AU426))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3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IF('ORDENES'!$A426="","",'ORDENES'!$AG426)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IF('ORDENES'!$A427="","",IF('ORDENES'!$AI427="","-",'ORDENES'!$AI427))</f>
        <v/>
      </c>
      <c r="D449" s="5">
        <f>IF('ORDENES'!$A427="","",IF('ORDENES'!$AA427="","-",'ORDENES'!$AA427))</f>
        <v/>
      </c>
      <c r="E449" s="5">
        <f>IF('ORDENES'!$A427="","",IF('ORDENES'!$Y427="","-",'ORDENES'!$Y427))</f>
        <v/>
      </c>
      <c r="F449" s="5">
        <f>IF('ORDENES'!$A427="","",IF('ORDENES'!$AB427="","-",'ORDENES'!$AB427))</f>
        <v/>
      </c>
      <c r="G449" s="5">
        <f>IF('ORDENES'!$A427="","",IF('ORDENES'!$Z427="","-",'ORDENES'!$Z427))</f>
        <v/>
      </c>
      <c r="H449" s="5">
        <f>IF('ORDENES'!$A427="","",IF('ORDENES'!$AH427="","-",'ORDENES'!$AH427))</f>
        <v/>
      </c>
      <c r="I449" s="5">
        <f>IF('ORDENES'!$A427="","",IF('ORDENES'!$AU427="","-",'ORDENES'!$AU427))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3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IF('ORDENES'!$A427="","",'ORDENES'!$AG427)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IF('ORDENES'!$A428="","",IF('ORDENES'!$AI428="","-",'ORDENES'!$AI428))</f>
        <v/>
      </c>
      <c r="D450" s="5">
        <f>IF('ORDENES'!$A428="","",IF('ORDENES'!$AA428="","-",'ORDENES'!$AA428))</f>
        <v/>
      </c>
      <c r="E450" s="5">
        <f>IF('ORDENES'!$A428="","",IF('ORDENES'!$Y428="","-",'ORDENES'!$Y428))</f>
        <v/>
      </c>
      <c r="F450" s="5">
        <f>IF('ORDENES'!$A428="","",IF('ORDENES'!$AB428="","-",'ORDENES'!$AB428))</f>
        <v/>
      </c>
      <c r="G450" s="5">
        <f>IF('ORDENES'!$A428="","",IF('ORDENES'!$Z428="","-",'ORDENES'!$Z428))</f>
        <v/>
      </c>
      <c r="H450" s="5">
        <f>IF('ORDENES'!$A428="","",IF('ORDENES'!$AH428="","-",'ORDENES'!$AH428))</f>
        <v/>
      </c>
      <c r="I450" s="5">
        <f>IF('ORDENES'!$A428="","",IF('ORDENES'!$AU428="","-",'ORDENES'!$AU428))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3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IF('ORDENES'!$A428="","",'ORDENES'!$AG428)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IF('ORDENES'!$A429="","",IF('ORDENES'!$AI429="","-",'ORDENES'!$AI429))</f>
        <v/>
      </c>
      <c r="D451" s="5">
        <f>IF('ORDENES'!$A429="","",IF('ORDENES'!$AA429="","-",'ORDENES'!$AA429))</f>
        <v/>
      </c>
      <c r="E451" s="5">
        <f>IF('ORDENES'!$A429="","",IF('ORDENES'!$Y429="","-",'ORDENES'!$Y429))</f>
        <v/>
      </c>
      <c r="F451" s="5">
        <f>IF('ORDENES'!$A429="","",IF('ORDENES'!$AB429="","-",'ORDENES'!$AB429))</f>
        <v/>
      </c>
      <c r="G451" s="5">
        <f>IF('ORDENES'!$A429="","",IF('ORDENES'!$Z429="","-",'ORDENES'!$Z429))</f>
        <v/>
      </c>
      <c r="H451" s="5">
        <f>IF('ORDENES'!$A429="","",IF('ORDENES'!$AH429="","-",'ORDENES'!$AH429))</f>
        <v/>
      </c>
      <c r="I451" s="5">
        <f>IF('ORDENES'!$A429="","",IF('ORDENES'!$AU429="","-",'ORDENES'!$AU429))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3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IF('ORDENES'!$A429="","",'ORDENES'!$AG429)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IF('ORDENES'!$A430="","",IF('ORDENES'!$AI430="","-",'ORDENES'!$AI430))</f>
        <v/>
      </c>
      <c r="D452" s="5">
        <f>IF('ORDENES'!$A430="","",IF('ORDENES'!$AA430="","-",'ORDENES'!$AA430))</f>
        <v/>
      </c>
      <c r="E452" s="5">
        <f>IF('ORDENES'!$A430="","",IF('ORDENES'!$Y430="","-",'ORDENES'!$Y430))</f>
        <v/>
      </c>
      <c r="F452" s="5">
        <f>IF('ORDENES'!$A430="","",IF('ORDENES'!$AB430="","-",'ORDENES'!$AB430))</f>
        <v/>
      </c>
      <c r="G452" s="5">
        <f>IF('ORDENES'!$A430="","",IF('ORDENES'!$Z430="","-",'ORDENES'!$Z430))</f>
        <v/>
      </c>
      <c r="H452" s="5">
        <f>IF('ORDENES'!$A430="","",IF('ORDENES'!$AH430="","-",'ORDENES'!$AH430))</f>
        <v/>
      </c>
      <c r="I452" s="5">
        <f>IF('ORDENES'!$A430="","",IF('ORDENES'!$AU430="","-",'ORDENES'!$AU430))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3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IF('ORDENES'!$A430="","",'ORDENES'!$AG430)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IF('ORDENES'!$A431="","",IF('ORDENES'!$AI431="","-",'ORDENES'!$AI431))</f>
        <v/>
      </c>
      <c r="D453" s="5">
        <f>IF('ORDENES'!$A431="","",IF('ORDENES'!$AA431="","-",'ORDENES'!$AA431))</f>
        <v/>
      </c>
      <c r="E453" s="5">
        <f>IF('ORDENES'!$A431="","",IF('ORDENES'!$Y431="","-",'ORDENES'!$Y431))</f>
        <v/>
      </c>
      <c r="F453" s="5">
        <f>IF('ORDENES'!$A431="","",IF('ORDENES'!$AB431="","-",'ORDENES'!$AB431))</f>
        <v/>
      </c>
      <c r="G453" s="5">
        <f>IF('ORDENES'!$A431="","",IF('ORDENES'!$Z431="","-",'ORDENES'!$Z431))</f>
        <v/>
      </c>
      <c r="H453" s="5">
        <f>IF('ORDENES'!$A431="","",IF('ORDENES'!$AH431="","-",'ORDENES'!$AH431))</f>
        <v/>
      </c>
      <c r="I453" s="5">
        <f>IF('ORDENES'!$A431="","",IF('ORDENES'!$AU431="","-",'ORDENES'!$AU431))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3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IF('ORDENES'!$A431="","",'ORDENES'!$AG431)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IF('ORDENES'!$A432="","",IF('ORDENES'!$AI432="","-",'ORDENES'!$AI432))</f>
        <v/>
      </c>
      <c r="D454" s="5">
        <f>IF('ORDENES'!$A432="","",IF('ORDENES'!$AA432="","-",'ORDENES'!$AA432))</f>
        <v/>
      </c>
      <c r="E454" s="5">
        <f>IF('ORDENES'!$A432="","",IF('ORDENES'!$Y432="","-",'ORDENES'!$Y432))</f>
        <v/>
      </c>
      <c r="F454" s="5">
        <f>IF('ORDENES'!$A432="","",IF('ORDENES'!$AB432="","-",'ORDENES'!$AB432))</f>
        <v/>
      </c>
      <c r="G454" s="5">
        <f>IF('ORDENES'!$A432="","",IF('ORDENES'!$Z432="","-",'ORDENES'!$Z432))</f>
        <v/>
      </c>
      <c r="H454" s="5">
        <f>IF('ORDENES'!$A432="","",IF('ORDENES'!$AH432="","-",'ORDENES'!$AH432))</f>
        <v/>
      </c>
      <c r="I454" s="5">
        <f>IF('ORDENES'!$A432="","",IF('ORDENES'!$AU432="","-",'ORDENES'!$AU432))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3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IF('ORDENES'!$A432="","",'ORDENES'!$AG432)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IF('ORDENES'!$A433="","",IF('ORDENES'!$AI433="","-",'ORDENES'!$AI433))</f>
        <v/>
      </c>
      <c r="D455" s="5">
        <f>IF('ORDENES'!$A433="","",IF('ORDENES'!$AA433="","-",'ORDENES'!$AA433))</f>
        <v/>
      </c>
      <c r="E455" s="5">
        <f>IF('ORDENES'!$A433="","",IF('ORDENES'!$Y433="","-",'ORDENES'!$Y433))</f>
        <v/>
      </c>
      <c r="F455" s="5">
        <f>IF('ORDENES'!$A433="","",IF('ORDENES'!$AB433="","-",'ORDENES'!$AB433))</f>
        <v/>
      </c>
      <c r="G455" s="5">
        <f>IF('ORDENES'!$A433="","",IF('ORDENES'!$Z433="","-",'ORDENES'!$Z433))</f>
        <v/>
      </c>
      <c r="H455" s="5">
        <f>IF('ORDENES'!$A433="","",IF('ORDENES'!$AH433="","-",'ORDENES'!$AH433))</f>
        <v/>
      </c>
      <c r="I455" s="5">
        <f>IF('ORDENES'!$A433="","",IF('ORDENES'!$AU433="","-",'ORDENES'!$AU433))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3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IF('ORDENES'!$A433="","",'ORDENES'!$AG433)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IF('ORDENES'!$A434="","",IF('ORDENES'!$AI434="","-",'ORDENES'!$AI434))</f>
        <v/>
      </c>
      <c r="D456" s="5">
        <f>IF('ORDENES'!$A434="","",IF('ORDENES'!$AA434="","-",'ORDENES'!$AA434))</f>
        <v/>
      </c>
      <c r="E456" s="5">
        <f>IF('ORDENES'!$A434="","",IF('ORDENES'!$Y434="","-",'ORDENES'!$Y434))</f>
        <v/>
      </c>
      <c r="F456" s="5">
        <f>IF('ORDENES'!$A434="","",IF('ORDENES'!$AB434="","-",'ORDENES'!$AB434))</f>
        <v/>
      </c>
      <c r="G456" s="5">
        <f>IF('ORDENES'!$A434="","",IF('ORDENES'!$Z434="","-",'ORDENES'!$Z434))</f>
        <v/>
      </c>
      <c r="H456" s="5">
        <f>IF('ORDENES'!$A434="","",IF('ORDENES'!$AH434="","-",'ORDENES'!$AH434))</f>
        <v/>
      </c>
      <c r="I456" s="5">
        <f>IF('ORDENES'!$A434="","",IF('ORDENES'!$AU434="","-",'ORDENES'!$AU434))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3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IF('ORDENES'!$A434="","",'ORDENES'!$AG434)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IF('ORDENES'!$A435="","",IF('ORDENES'!$AI435="","-",'ORDENES'!$AI435))</f>
        <v/>
      </c>
      <c r="D457" s="5">
        <f>IF('ORDENES'!$A435="","",IF('ORDENES'!$AA435="","-",'ORDENES'!$AA435))</f>
        <v/>
      </c>
      <c r="E457" s="5">
        <f>IF('ORDENES'!$A435="","",IF('ORDENES'!$Y435="","-",'ORDENES'!$Y435))</f>
        <v/>
      </c>
      <c r="F457" s="5">
        <f>IF('ORDENES'!$A435="","",IF('ORDENES'!$AB435="","-",'ORDENES'!$AB435))</f>
        <v/>
      </c>
      <c r="G457" s="5">
        <f>IF('ORDENES'!$A435="","",IF('ORDENES'!$Z435="","-",'ORDENES'!$Z435))</f>
        <v/>
      </c>
      <c r="H457" s="5">
        <f>IF('ORDENES'!$A435="","",IF('ORDENES'!$AH435="","-",'ORDENES'!$AH435))</f>
        <v/>
      </c>
      <c r="I457" s="5">
        <f>IF('ORDENES'!$A435="","",IF('ORDENES'!$AU435="","-",'ORDENES'!$AU435))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3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IF('ORDENES'!$A435="","",'ORDENES'!$AG435)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IF('ORDENES'!$A436="","",IF('ORDENES'!$AI436="","-",'ORDENES'!$AI436))</f>
        <v/>
      </c>
      <c r="D458" s="5">
        <f>IF('ORDENES'!$A436="","",IF('ORDENES'!$AA436="","-",'ORDENES'!$AA436))</f>
        <v/>
      </c>
      <c r="E458" s="5">
        <f>IF('ORDENES'!$A436="","",IF('ORDENES'!$Y436="","-",'ORDENES'!$Y436))</f>
        <v/>
      </c>
      <c r="F458" s="5">
        <f>IF('ORDENES'!$A436="","",IF('ORDENES'!$AB436="","-",'ORDENES'!$AB436))</f>
        <v/>
      </c>
      <c r="G458" s="5">
        <f>IF('ORDENES'!$A436="","",IF('ORDENES'!$Z436="","-",'ORDENES'!$Z436))</f>
        <v/>
      </c>
      <c r="H458" s="5">
        <f>IF('ORDENES'!$A436="","",IF('ORDENES'!$AH436="","-",'ORDENES'!$AH436))</f>
        <v/>
      </c>
      <c r="I458" s="5">
        <f>IF('ORDENES'!$A436="","",IF('ORDENES'!$AU436="","-",'ORDENES'!$AU436))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3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IF('ORDENES'!$A436="","",'ORDENES'!$AG436)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IF('ORDENES'!$A437="","",IF('ORDENES'!$AI437="","-",'ORDENES'!$AI437))</f>
        <v/>
      </c>
      <c r="D459" s="5">
        <f>IF('ORDENES'!$A437="","",IF('ORDENES'!$AA437="","-",'ORDENES'!$AA437))</f>
        <v/>
      </c>
      <c r="E459" s="5">
        <f>IF('ORDENES'!$A437="","",IF('ORDENES'!$Y437="","-",'ORDENES'!$Y437))</f>
        <v/>
      </c>
      <c r="F459" s="5">
        <f>IF('ORDENES'!$A437="","",IF('ORDENES'!$AB437="","-",'ORDENES'!$AB437))</f>
        <v/>
      </c>
      <c r="G459" s="5">
        <f>IF('ORDENES'!$A437="","",IF('ORDENES'!$Z437="","-",'ORDENES'!$Z437))</f>
        <v/>
      </c>
      <c r="H459" s="5">
        <f>IF('ORDENES'!$A437="","",IF('ORDENES'!$AH437="","-",'ORDENES'!$AH437))</f>
        <v/>
      </c>
      <c r="I459" s="5">
        <f>IF('ORDENES'!$A437="","",IF('ORDENES'!$AU437="","-",'ORDENES'!$AU437))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3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IF('ORDENES'!$A437="","",'ORDENES'!$AG437)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IF('ORDENES'!$A438="","",IF('ORDENES'!$AI438="","-",'ORDENES'!$AI438))</f>
        <v/>
      </c>
      <c r="D460" s="5">
        <f>IF('ORDENES'!$A438="","",IF('ORDENES'!$AA438="","-",'ORDENES'!$AA438))</f>
        <v/>
      </c>
      <c r="E460" s="5">
        <f>IF('ORDENES'!$A438="","",IF('ORDENES'!$Y438="","-",'ORDENES'!$Y438))</f>
        <v/>
      </c>
      <c r="F460" s="5">
        <f>IF('ORDENES'!$A438="","",IF('ORDENES'!$AB438="","-",'ORDENES'!$AB438))</f>
        <v/>
      </c>
      <c r="G460" s="5">
        <f>IF('ORDENES'!$A438="","",IF('ORDENES'!$Z438="","-",'ORDENES'!$Z438))</f>
        <v/>
      </c>
      <c r="H460" s="5">
        <f>IF('ORDENES'!$A438="","",IF('ORDENES'!$AH438="","-",'ORDENES'!$AH438))</f>
        <v/>
      </c>
      <c r="I460" s="5">
        <f>IF('ORDENES'!$A438="","",IF('ORDENES'!$AU438="","-",'ORDENES'!$AU438))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3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IF('ORDENES'!$A438="","",'ORDENES'!$AG438)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IF('ORDENES'!$A439="","",IF('ORDENES'!$AI439="","-",'ORDENES'!$AI439))</f>
        <v/>
      </c>
      <c r="D461" s="5">
        <f>IF('ORDENES'!$A439="","",IF('ORDENES'!$AA439="","-",'ORDENES'!$AA439))</f>
        <v/>
      </c>
      <c r="E461" s="5">
        <f>IF('ORDENES'!$A439="","",IF('ORDENES'!$Y439="","-",'ORDENES'!$Y439))</f>
        <v/>
      </c>
      <c r="F461" s="5">
        <f>IF('ORDENES'!$A439="","",IF('ORDENES'!$AB439="","-",'ORDENES'!$AB439))</f>
        <v/>
      </c>
      <c r="G461" s="5">
        <f>IF('ORDENES'!$A439="","",IF('ORDENES'!$Z439="","-",'ORDENES'!$Z439))</f>
        <v/>
      </c>
      <c r="H461" s="5">
        <f>IF('ORDENES'!$A439="","",IF('ORDENES'!$AH439="","-",'ORDENES'!$AH439))</f>
        <v/>
      </c>
      <c r="I461" s="5">
        <f>IF('ORDENES'!$A439="","",IF('ORDENES'!$AU439="","-",'ORDENES'!$AU439))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3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IF('ORDENES'!$A439="","",'ORDENES'!$AG439)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IF('ORDENES'!$A440="","",IF('ORDENES'!$AI440="","-",'ORDENES'!$AI440))</f>
        <v/>
      </c>
      <c r="D462" s="5">
        <f>IF('ORDENES'!$A440="","",IF('ORDENES'!$AA440="","-",'ORDENES'!$AA440))</f>
        <v/>
      </c>
      <c r="E462" s="5">
        <f>IF('ORDENES'!$A440="","",IF('ORDENES'!$Y440="","-",'ORDENES'!$Y440))</f>
        <v/>
      </c>
      <c r="F462" s="5">
        <f>IF('ORDENES'!$A440="","",IF('ORDENES'!$AB440="","-",'ORDENES'!$AB440))</f>
        <v/>
      </c>
      <c r="G462" s="5">
        <f>IF('ORDENES'!$A440="","",IF('ORDENES'!$Z440="","-",'ORDENES'!$Z440))</f>
        <v/>
      </c>
      <c r="H462" s="5">
        <f>IF('ORDENES'!$A440="","",IF('ORDENES'!$AH440="","-",'ORDENES'!$AH440))</f>
        <v/>
      </c>
      <c r="I462" s="5">
        <f>IF('ORDENES'!$A440="","",IF('ORDENES'!$AU440="","-",'ORDENES'!$AU440))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3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IF('ORDENES'!$A440="","",'ORDENES'!$AG440)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IF('ORDENES'!$A441="","",IF('ORDENES'!$AI441="","-",'ORDENES'!$AI441))</f>
        <v/>
      </c>
      <c r="D463" s="5">
        <f>IF('ORDENES'!$A441="","",IF('ORDENES'!$AA441="","-",'ORDENES'!$AA441))</f>
        <v/>
      </c>
      <c r="E463" s="5">
        <f>IF('ORDENES'!$A441="","",IF('ORDENES'!$Y441="","-",'ORDENES'!$Y441))</f>
        <v/>
      </c>
      <c r="F463" s="5">
        <f>IF('ORDENES'!$A441="","",IF('ORDENES'!$AB441="","-",'ORDENES'!$AB441))</f>
        <v/>
      </c>
      <c r="G463" s="5">
        <f>IF('ORDENES'!$A441="","",IF('ORDENES'!$Z441="","-",'ORDENES'!$Z441))</f>
        <v/>
      </c>
      <c r="H463" s="5">
        <f>IF('ORDENES'!$A441="","",IF('ORDENES'!$AH441="","-",'ORDENES'!$AH441))</f>
        <v/>
      </c>
      <c r="I463" s="5">
        <f>IF('ORDENES'!$A441="","",IF('ORDENES'!$AU441="","-",'ORDENES'!$AU441))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3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IF('ORDENES'!$A441="","",'ORDENES'!$AG441)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IF('ORDENES'!$A442="","",IF('ORDENES'!$AI442="","-",'ORDENES'!$AI442))</f>
        <v/>
      </c>
      <c r="D464" s="5">
        <f>IF('ORDENES'!$A442="","",IF('ORDENES'!$AA442="","-",'ORDENES'!$AA442))</f>
        <v/>
      </c>
      <c r="E464" s="5">
        <f>IF('ORDENES'!$A442="","",IF('ORDENES'!$Y442="","-",'ORDENES'!$Y442))</f>
        <v/>
      </c>
      <c r="F464" s="5">
        <f>IF('ORDENES'!$A442="","",IF('ORDENES'!$AB442="","-",'ORDENES'!$AB442))</f>
        <v/>
      </c>
      <c r="G464" s="5">
        <f>IF('ORDENES'!$A442="","",IF('ORDENES'!$Z442="","-",'ORDENES'!$Z442))</f>
        <v/>
      </c>
      <c r="H464" s="5">
        <f>IF('ORDENES'!$A442="","",IF('ORDENES'!$AH442="","-",'ORDENES'!$AH442))</f>
        <v/>
      </c>
      <c r="I464" s="5">
        <f>IF('ORDENES'!$A442="","",IF('ORDENES'!$AU442="","-",'ORDENES'!$AU442))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3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IF('ORDENES'!$A442="","",'ORDENES'!$AG442)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IF('ORDENES'!$A443="","",IF('ORDENES'!$AI443="","-",'ORDENES'!$AI443))</f>
        <v/>
      </c>
      <c r="D465" s="5">
        <f>IF('ORDENES'!$A443="","",IF('ORDENES'!$AA443="","-",'ORDENES'!$AA443))</f>
        <v/>
      </c>
      <c r="E465" s="5">
        <f>IF('ORDENES'!$A443="","",IF('ORDENES'!$Y443="","-",'ORDENES'!$Y443))</f>
        <v/>
      </c>
      <c r="F465" s="5">
        <f>IF('ORDENES'!$A443="","",IF('ORDENES'!$AB443="","-",'ORDENES'!$AB443))</f>
        <v/>
      </c>
      <c r="G465" s="5">
        <f>IF('ORDENES'!$A443="","",IF('ORDENES'!$Z443="","-",'ORDENES'!$Z443))</f>
        <v/>
      </c>
      <c r="H465" s="5">
        <f>IF('ORDENES'!$A443="","",IF('ORDENES'!$AH443="","-",'ORDENES'!$AH443))</f>
        <v/>
      </c>
      <c r="I465" s="5">
        <f>IF('ORDENES'!$A443="","",IF('ORDENES'!$AU443="","-",'ORDENES'!$AU443))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3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IF('ORDENES'!$A443="","",'ORDENES'!$AG443)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IF('ORDENES'!$A444="","",IF('ORDENES'!$AI444="","-",'ORDENES'!$AI444))</f>
        <v/>
      </c>
      <c r="D466" s="5">
        <f>IF('ORDENES'!$A444="","",IF('ORDENES'!$AA444="","-",'ORDENES'!$AA444))</f>
        <v/>
      </c>
      <c r="E466" s="5">
        <f>IF('ORDENES'!$A444="","",IF('ORDENES'!$Y444="","-",'ORDENES'!$Y444))</f>
        <v/>
      </c>
      <c r="F466" s="5">
        <f>IF('ORDENES'!$A444="","",IF('ORDENES'!$AB444="","-",'ORDENES'!$AB444))</f>
        <v/>
      </c>
      <c r="G466" s="5">
        <f>IF('ORDENES'!$A444="","",IF('ORDENES'!$Z444="","-",'ORDENES'!$Z444))</f>
        <v/>
      </c>
      <c r="H466" s="5">
        <f>IF('ORDENES'!$A444="","",IF('ORDENES'!$AH444="","-",'ORDENES'!$AH444))</f>
        <v/>
      </c>
      <c r="I466" s="5">
        <f>IF('ORDENES'!$A444="","",IF('ORDENES'!$AU444="","-",'ORDENES'!$AU444))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3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IF('ORDENES'!$A444="","",'ORDENES'!$AG444)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IF('ORDENES'!$A445="","",IF('ORDENES'!$AI445="","-",'ORDENES'!$AI445))</f>
        <v/>
      </c>
      <c r="D467" s="5">
        <f>IF('ORDENES'!$A445="","",IF('ORDENES'!$AA445="","-",'ORDENES'!$AA445))</f>
        <v/>
      </c>
      <c r="E467" s="5">
        <f>IF('ORDENES'!$A445="","",IF('ORDENES'!$Y445="","-",'ORDENES'!$Y445))</f>
        <v/>
      </c>
      <c r="F467" s="5">
        <f>IF('ORDENES'!$A445="","",IF('ORDENES'!$AB445="","-",'ORDENES'!$AB445))</f>
        <v/>
      </c>
      <c r="G467" s="5">
        <f>IF('ORDENES'!$A445="","",IF('ORDENES'!$Z445="","-",'ORDENES'!$Z445))</f>
        <v/>
      </c>
      <c r="H467" s="5">
        <f>IF('ORDENES'!$A445="","",IF('ORDENES'!$AH445="","-",'ORDENES'!$AH445))</f>
        <v/>
      </c>
      <c r="I467" s="5">
        <f>IF('ORDENES'!$A445="","",IF('ORDENES'!$AU445="","-",'ORDENES'!$AU445))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3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IF('ORDENES'!$A445="","",'ORDENES'!$AG445)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IF('ORDENES'!$A446="","",IF('ORDENES'!$AI446="","-",'ORDENES'!$AI446))</f>
        <v/>
      </c>
      <c r="D468" s="5">
        <f>IF('ORDENES'!$A446="","",IF('ORDENES'!$AA446="","-",'ORDENES'!$AA446))</f>
        <v/>
      </c>
      <c r="E468" s="5">
        <f>IF('ORDENES'!$A446="","",IF('ORDENES'!$Y446="","-",'ORDENES'!$Y446))</f>
        <v/>
      </c>
      <c r="F468" s="5">
        <f>IF('ORDENES'!$A446="","",IF('ORDENES'!$AB446="","-",'ORDENES'!$AB446))</f>
        <v/>
      </c>
      <c r="G468" s="5">
        <f>IF('ORDENES'!$A446="","",IF('ORDENES'!$Z446="","-",'ORDENES'!$Z446))</f>
        <v/>
      </c>
      <c r="H468" s="5">
        <f>IF('ORDENES'!$A446="","",IF('ORDENES'!$AH446="","-",'ORDENES'!$AH446))</f>
        <v/>
      </c>
      <c r="I468" s="5">
        <f>IF('ORDENES'!$A446="","",IF('ORDENES'!$AU446="","-",'ORDENES'!$AU446))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3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IF('ORDENES'!$A446="","",'ORDENES'!$AG446)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IF('ORDENES'!$A447="","",IF('ORDENES'!$AI447="","-",'ORDENES'!$AI447))</f>
        <v/>
      </c>
      <c r="D469" s="5">
        <f>IF('ORDENES'!$A447="","",IF('ORDENES'!$AA447="","-",'ORDENES'!$AA447))</f>
        <v/>
      </c>
      <c r="E469" s="5">
        <f>IF('ORDENES'!$A447="","",IF('ORDENES'!$Y447="","-",'ORDENES'!$Y447))</f>
        <v/>
      </c>
      <c r="F469" s="5">
        <f>IF('ORDENES'!$A447="","",IF('ORDENES'!$AB447="","-",'ORDENES'!$AB447))</f>
        <v/>
      </c>
      <c r="G469" s="5">
        <f>IF('ORDENES'!$A447="","",IF('ORDENES'!$Z447="","-",'ORDENES'!$Z447))</f>
        <v/>
      </c>
      <c r="H469" s="5">
        <f>IF('ORDENES'!$A447="","",IF('ORDENES'!$AH447="","-",'ORDENES'!$AH447))</f>
        <v/>
      </c>
      <c r="I469" s="5">
        <f>IF('ORDENES'!$A447="","",IF('ORDENES'!$AU447="","-",'ORDENES'!$AU447))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3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IF('ORDENES'!$A447="","",'ORDENES'!$AG447)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IF('ORDENES'!$A448="","",IF('ORDENES'!$AI448="","-",'ORDENES'!$AI448))</f>
        <v/>
      </c>
      <c r="D470" s="5">
        <f>IF('ORDENES'!$A448="","",IF('ORDENES'!$AA448="","-",'ORDENES'!$AA448))</f>
        <v/>
      </c>
      <c r="E470" s="5">
        <f>IF('ORDENES'!$A448="","",IF('ORDENES'!$Y448="","-",'ORDENES'!$Y448))</f>
        <v/>
      </c>
      <c r="F470" s="5">
        <f>IF('ORDENES'!$A448="","",IF('ORDENES'!$AB448="","-",'ORDENES'!$AB448))</f>
        <v/>
      </c>
      <c r="G470" s="5">
        <f>IF('ORDENES'!$A448="","",IF('ORDENES'!$Z448="","-",'ORDENES'!$Z448))</f>
        <v/>
      </c>
      <c r="H470" s="5">
        <f>IF('ORDENES'!$A448="","",IF('ORDENES'!$AH448="","-",'ORDENES'!$AH448))</f>
        <v/>
      </c>
      <c r="I470" s="5">
        <f>IF('ORDENES'!$A448="","",IF('ORDENES'!$AU448="","-",'ORDENES'!$AU448))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3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IF('ORDENES'!$A448="","",'ORDENES'!$AG448)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IF('ORDENES'!$A449="","",IF('ORDENES'!$AI449="","-",'ORDENES'!$AI449))</f>
        <v/>
      </c>
      <c r="D471" s="5">
        <f>IF('ORDENES'!$A449="","",IF('ORDENES'!$AA449="","-",'ORDENES'!$AA449))</f>
        <v/>
      </c>
      <c r="E471" s="5">
        <f>IF('ORDENES'!$A449="","",IF('ORDENES'!$Y449="","-",'ORDENES'!$Y449))</f>
        <v/>
      </c>
      <c r="F471" s="5">
        <f>IF('ORDENES'!$A449="","",IF('ORDENES'!$AB449="","-",'ORDENES'!$AB449))</f>
        <v/>
      </c>
      <c r="G471" s="5">
        <f>IF('ORDENES'!$A449="","",IF('ORDENES'!$Z449="","-",'ORDENES'!$Z449))</f>
        <v/>
      </c>
      <c r="H471" s="5">
        <f>IF('ORDENES'!$A449="","",IF('ORDENES'!$AH449="","-",'ORDENES'!$AH449))</f>
        <v/>
      </c>
      <c r="I471" s="5">
        <f>IF('ORDENES'!$A449="","",IF('ORDENES'!$AU449="","-",'ORDENES'!$AU449))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3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IF('ORDENES'!$A449="","",'ORDENES'!$AG449)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IF('ORDENES'!$A450="","",IF('ORDENES'!$AI450="","-",'ORDENES'!$AI450))</f>
        <v/>
      </c>
      <c r="D472" s="5">
        <f>IF('ORDENES'!$A450="","",IF('ORDENES'!$AA450="","-",'ORDENES'!$AA450))</f>
        <v/>
      </c>
      <c r="E472" s="5">
        <f>IF('ORDENES'!$A450="","",IF('ORDENES'!$Y450="","-",'ORDENES'!$Y450))</f>
        <v/>
      </c>
      <c r="F472" s="5">
        <f>IF('ORDENES'!$A450="","",IF('ORDENES'!$AB450="","-",'ORDENES'!$AB450))</f>
        <v/>
      </c>
      <c r="G472" s="5">
        <f>IF('ORDENES'!$A450="","",IF('ORDENES'!$Z450="","-",'ORDENES'!$Z450))</f>
        <v/>
      </c>
      <c r="H472" s="5">
        <f>IF('ORDENES'!$A450="","",IF('ORDENES'!$AH450="","-",'ORDENES'!$AH450))</f>
        <v/>
      </c>
      <c r="I472" s="5">
        <f>IF('ORDENES'!$A450="","",IF('ORDENES'!$AU450="","-",'ORDENES'!$AU450))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3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IF('ORDENES'!$A450="","",'ORDENES'!$AG450)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IF('ORDENES'!$A451="","",IF('ORDENES'!$AI451="","-",'ORDENES'!$AI451))</f>
        <v/>
      </c>
      <c r="D473" s="5">
        <f>IF('ORDENES'!$A451="","",IF('ORDENES'!$AA451="","-",'ORDENES'!$AA451))</f>
        <v/>
      </c>
      <c r="E473" s="5">
        <f>IF('ORDENES'!$A451="","",IF('ORDENES'!$Y451="","-",'ORDENES'!$Y451))</f>
        <v/>
      </c>
      <c r="F473" s="5">
        <f>IF('ORDENES'!$A451="","",IF('ORDENES'!$AB451="","-",'ORDENES'!$AB451))</f>
        <v/>
      </c>
      <c r="G473" s="5">
        <f>IF('ORDENES'!$A451="","",IF('ORDENES'!$Z451="","-",'ORDENES'!$Z451))</f>
        <v/>
      </c>
      <c r="H473" s="5">
        <f>IF('ORDENES'!$A451="","",IF('ORDENES'!$AH451="","-",'ORDENES'!$AH451))</f>
        <v/>
      </c>
      <c r="I473" s="5">
        <f>IF('ORDENES'!$A451="","",IF('ORDENES'!$AU451="","-",'ORDENES'!$AU451))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3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IF('ORDENES'!$A451="","",'ORDENES'!$AG451)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IF('ORDENES'!$A452="","",IF('ORDENES'!$AI452="","-",'ORDENES'!$AI452))</f>
        <v/>
      </c>
      <c r="D474" s="5">
        <f>IF('ORDENES'!$A452="","",IF('ORDENES'!$AA452="","-",'ORDENES'!$AA452))</f>
        <v/>
      </c>
      <c r="E474" s="5">
        <f>IF('ORDENES'!$A452="","",IF('ORDENES'!$Y452="","-",'ORDENES'!$Y452))</f>
        <v/>
      </c>
      <c r="F474" s="5">
        <f>IF('ORDENES'!$A452="","",IF('ORDENES'!$AB452="","-",'ORDENES'!$AB452))</f>
        <v/>
      </c>
      <c r="G474" s="5">
        <f>IF('ORDENES'!$A452="","",IF('ORDENES'!$Z452="","-",'ORDENES'!$Z452))</f>
        <v/>
      </c>
      <c r="H474" s="5">
        <f>IF('ORDENES'!$A452="","",IF('ORDENES'!$AH452="","-",'ORDENES'!$AH452))</f>
        <v/>
      </c>
      <c r="I474" s="5">
        <f>IF('ORDENES'!$A452="","",IF('ORDENES'!$AU452="","-",'ORDENES'!$AU452))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3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IF('ORDENES'!$A452="","",'ORDENES'!$AG452)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IF('ORDENES'!$A453="","",IF('ORDENES'!$AI453="","-",'ORDENES'!$AI453))</f>
        <v/>
      </c>
      <c r="D475" s="5">
        <f>IF('ORDENES'!$A453="","",IF('ORDENES'!$AA453="","-",'ORDENES'!$AA453))</f>
        <v/>
      </c>
      <c r="E475" s="5">
        <f>IF('ORDENES'!$A453="","",IF('ORDENES'!$Y453="","-",'ORDENES'!$Y453))</f>
        <v/>
      </c>
      <c r="F475" s="5">
        <f>IF('ORDENES'!$A453="","",IF('ORDENES'!$AB453="","-",'ORDENES'!$AB453))</f>
        <v/>
      </c>
      <c r="G475" s="5">
        <f>IF('ORDENES'!$A453="","",IF('ORDENES'!$Z453="","-",'ORDENES'!$Z453))</f>
        <v/>
      </c>
      <c r="H475" s="5">
        <f>IF('ORDENES'!$A453="","",IF('ORDENES'!$AH453="","-",'ORDENES'!$AH453))</f>
        <v/>
      </c>
      <c r="I475" s="5">
        <f>IF('ORDENES'!$A453="","",IF('ORDENES'!$AU453="","-",'ORDENES'!$AU453))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3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IF('ORDENES'!$A453="","",'ORDENES'!$AG453)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IF('ORDENES'!$A454="","",IF('ORDENES'!$AI454="","-",'ORDENES'!$AI454))</f>
        <v/>
      </c>
      <c r="D476" s="5">
        <f>IF('ORDENES'!$A454="","",IF('ORDENES'!$AA454="","-",'ORDENES'!$AA454))</f>
        <v/>
      </c>
      <c r="E476" s="5">
        <f>IF('ORDENES'!$A454="","",IF('ORDENES'!$Y454="","-",'ORDENES'!$Y454))</f>
        <v/>
      </c>
      <c r="F476" s="5">
        <f>IF('ORDENES'!$A454="","",IF('ORDENES'!$AB454="","-",'ORDENES'!$AB454))</f>
        <v/>
      </c>
      <c r="G476" s="5">
        <f>IF('ORDENES'!$A454="","",IF('ORDENES'!$Z454="","-",'ORDENES'!$Z454))</f>
        <v/>
      </c>
      <c r="H476" s="5">
        <f>IF('ORDENES'!$A454="","",IF('ORDENES'!$AH454="","-",'ORDENES'!$AH454))</f>
        <v/>
      </c>
      <c r="I476" s="5">
        <f>IF('ORDENES'!$A454="","",IF('ORDENES'!$AU454="","-",'ORDENES'!$AU454))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3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IF('ORDENES'!$A454="","",'ORDENES'!$AG454)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IF('ORDENES'!$A455="","",IF('ORDENES'!$AI455="","-",'ORDENES'!$AI455))</f>
        <v/>
      </c>
      <c r="D477" s="5">
        <f>IF('ORDENES'!$A455="","",IF('ORDENES'!$AA455="","-",'ORDENES'!$AA455))</f>
        <v/>
      </c>
      <c r="E477" s="5">
        <f>IF('ORDENES'!$A455="","",IF('ORDENES'!$Y455="","-",'ORDENES'!$Y455))</f>
        <v/>
      </c>
      <c r="F477" s="5">
        <f>IF('ORDENES'!$A455="","",IF('ORDENES'!$AB455="","-",'ORDENES'!$AB455))</f>
        <v/>
      </c>
      <c r="G477" s="5">
        <f>IF('ORDENES'!$A455="","",IF('ORDENES'!$Z455="","-",'ORDENES'!$Z455))</f>
        <v/>
      </c>
      <c r="H477" s="5">
        <f>IF('ORDENES'!$A455="","",IF('ORDENES'!$AH455="","-",'ORDENES'!$AH455))</f>
        <v/>
      </c>
      <c r="I477" s="5">
        <f>IF('ORDENES'!$A455="","",IF('ORDENES'!$AU455="","-",'ORDENES'!$AU455))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3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IF('ORDENES'!$A455="","",'ORDENES'!$AG455)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IF('ORDENES'!$A456="","",IF('ORDENES'!$AI456="","-",'ORDENES'!$AI456))</f>
        <v/>
      </c>
      <c r="D478" s="5">
        <f>IF('ORDENES'!$A456="","",IF('ORDENES'!$AA456="","-",'ORDENES'!$AA456))</f>
        <v/>
      </c>
      <c r="E478" s="5">
        <f>IF('ORDENES'!$A456="","",IF('ORDENES'!$Y456="","-",'ORDENES'!$Y456))</f>
        <v/>
      </c>
      <c r="F478" s="5">
        <f>IF('ORDENES'!$A456="","",IF('ORDENES'!$AB456="","-",'ORDENES'!$AB456))</f>
        <v/>
      </c>
      <c r="G478" s="5">
        <f>IF('ORDENES'!$A456="","",IF('ORDENES'!$Z456="","-",'ORDENES'!$Z456))</f>
        <v/>
      </c>
      <c r="H478" s="5">
        <f>IF('ORDENES'!$A456="","",IF('ORDENES'!$AH456="","-",'ORDENES'!$AH456))</f>
        <v/>
      </c>
      <c r="I478" s="5">
        <f>IF('ORDENES'!$A456="","",IF('ORDENES'!$AU456="","-",'ORDENES'!$AU456))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3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IF('ORDENES'!$A456="","",'ORDENES'!$AG456)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IF('ORDENES'!$A457="","",IF('ORDENES'!$AI457="","-",'ORDENES'!$AI457))</f>
        <v/>
      </c>
      <c r="D479" s="5">
        <f>IF('ORDENES'!$A457="","",IF('ORDENES'!$AA457="","-",'ORDENES'!$AA457))</f>
        <v/>
      </c>
      <c r="E479" s="5">
        <f>IF('ORDENES'!$A457="","",IF('ORDENES'!$Y457="","-",'ORDENES'!$Y457))</f>
        <v/>
      </c>
      <c r="F479" s="5">
        <f>IF('ORDENES'!$A457="","",IF('ORDENES'!$AB457="","-",'ORDENES'!$AB457))</f>
        <v/>
      </c>
      <c r="G479" s="5">
        <f>IF('ORDENES'!$A457="","",IF('ORDENES'!$Z457="","-",'ORDENES'!$Z457))</f>
        <v/>
      </c>
      <c r="H479" s="5">
        <f>IF('ORDENES'!$A457="","",IF('ORDENES'!$AH457="","-",'ORDENES'!$AH457))</f>
        <v/>
      </c>
      <c r="I479" s="5">
        <f>IF('ORDENES'!$A457="","",IF('ORDENES'!$AU457="","-",'ORDENES'!$AU457))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3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IF('ORDENES'!$A457="","",'ORDENES'!$AG457)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IF('ORDENES'!$A458="","",IF('ORDENES'!$AI458="","-",'ORDENES'!$AI458))</f>
        <v/>
      </c>
      <c r="D480" s="5">
        <f>IF('ORDENES'!$A458="","",IF('ORDENES'!$AA458="","-",'ORDENES'!$AA458))</f>
        <v/>
      </c>
      <c r="E480" s="5">
        <f>IF('ORDENES'!$A458="","",IF('ORDENES'!$Y458="","-",'ORDENES'!$Y458))</f>
        <v/>
      </c>
      <c r="F480" s="5">
        <f>IF('ORDENES'!$A458="","",IF('ORDENES'!$AB458="","-",'ORDENES'!$AB458))</f>
        <v/>
      </c>
      <c r="G480" s="5">
        <f>IF('ORDENES'!$A458="","",IF('ORDENES'!$Z458="","-",'ORDENES'!$Z458))</f>
        <v/>
      </c>
      <c r="H480" s="5">
        <f>IF('ORDENES'!$A458="","",IF('ORDENES'!$AH458="","-",'ORDENES'!$AH458))</f>
        <v/>
      </c>
      <c r="I480" s="5">
        <f>IF('ORDENES'!$A458="","",IF('ORDENES'!$AU458="","-",'ORDENES'!$AU458))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3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IF('ORDENES'!$A458="","",'ORDENES'!$AG458)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IF('ORDENES'!$A459="","",IF('ORDENES'!$AI459="","-",'ORDENES'!$AI459))</f>
        <v/>
      </c>
      <c r="D481" s="5">
        <f>IF('ORDENES'!$A459="","",IF('ORDENES'!$AA459="","-",'ORDENES'!$AA459))</f>
        <v/>
      </c>
      <c r="E481" s="5">
        <f>IF('ORDENES'!$A459="","",IF('ORDENES'!$Y459="","-",'ORDENES'!$Y459))</f>
        <v/>
      </c>
      <c r="F481" s="5">
        <f>IF('ORDENES'!$A459="","",IF('ORDENES'!$AB459="","-",'ORDENES'!$AB459))</f>
        <v/>
      </c>
      <c r="G481" s="5">
        <f>IF('ORDENES'!$A459="","",IF('ORDENES'!$Z459="","-",'ORDENES'!$Z459))</f>
        <v/>
      </c>
      <c r="H481" s="5">
        <f>IF('ORDENES'!$A459="","",IF('ORDENES'!$AH459="","-",'ORDENES'!$AH459))</f>
        <v/>
      </c>
      <c r="I481" s="5">
        <f>IF('ORDENES'!$A459="","",IF('ORDENES'!$AU459="","-",'ORDENES'!$AU459))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3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IF('ORDENES'!$A459="","",'ORDENES'!$AG459)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IF('ORDENES'!$A460="","",IF('ORDENES'!$AI460="","-",'ORDENES'!$AI460))</f>
        <v/>
      </c>
      <c r="D482" s="5">
        <f>IF('ORDENES'!$A460="","",IF('ORDENES'!$AA460="","-",'ORDENES'!$AA460))</f>
        <v/>
      </c>
      <c r="E482" s="5">
        <f>IF('ORDENES'!$A460="","",IF('ORDENES'!$Y460="","-",'ORDENES'!$Y460))</f>
        <v/>
      </c>
      <c r="F482" s="5">
        <f>IF('ORDENES'!$A460="","",IF('ORDENES'!$AB460="","-",'ORDENES'!$AB460))</f>
        <v/>
      </c>
      <c r="G482" s="5">
        <f>IF('ORDENES'!$A460="","",IF('ORDENES'!$Z460="","-",'ORDENES'!$Z460))</f>
        <v/>
      </c>
      <c r="H482" s="5">
        <f>IF('ORDENES'!$A460="","",IF('ORDENES'!$AH460="","-",'ORDENES'!$AH460))</f>
        <v/>
      </c>
      <c r="I482" s="5">
        <f>IF('ORDENES'!$A460="","",IF('ORDENES'!$AU460="","-",'ORDENES'!$AU460))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3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IF('ORDENES'!$A460="","",'ORDENES'!$AG460)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IF('ORDENES'!$A461="","",IF('ORDENES'!$AI461="","-",'ORDENES'!$AI461))</f>
        <v/>
      </c>
      <c r="D483" s="5">
        <f>IF('ORDENES'!$A461="","",IF('ORDENES'!$AA461="","-",'ORDENES'!$AA461))</f>
        <v/>
      </c>
      <c r="E483" s="5">
        <f>IF('ORDENES'!$A461="","",IF('ORDENES'!$Y461="","-",'ORDENES'!$Y461))</f>
        <v/>
      </c>
      <c r="F483" s="5">
        <f>IF('ORDENES'!$A461="","",IF('ORDENES'!$AB461="","-",'ORDENES'!$AB461))</f>
        <v/>
      </c>
      <c r="G483" s="5">
        <f>IF('ORDENES'!$A461="","",IF('ORDENES'!$Z461="","-",'ORDENES'!$Z461))</f>
        <v/>
      </c>
      <c r="H483" s="5">
        <f>IF('ORDENES'!$A461="","",IF('ORDENES'!$AH461="","-",'ORDENES'!$AH461))</f>
        <v/>
      </c>
      <c r="I483" s="5">
        <f>IF('ORDENES'!$A461="","",IF('ORDENES'!$AU461="","-",'ORDENES'!$AU461))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3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IF('ORDENES'!$A461="","",'ORDENES'!$AG461)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IF('ORDENES'!$A462="","",IF('ORDENES'!$AI462="","-",'ORDENES'!$AI462))</f>
        <v/>
      </c>
      <c r="D484" s="5">
        <f>IF('ORDENES'!$A462="","",IF('ORDENES'!$AA462="","-",'ORDENES'!$AA462))</f>
        <v/>
      </c>
      <c r="E484" s="5">
        <f>IF('ORDENES'!$A462="","",IF('ORDENES'!$Y462="","-",'ORDENES'!$Y462))</f>
        <v/>
      </c>
      <c r="F484" s="5">
        <f>IF('ORDENES'!$A462="","",IF('ORDENES'!$AB462="","-",'ORDENES'!$AB462))</f>
        <v/>
      </c>
      <c r="G484" s="5">
        <f>IF('ORDENES'!$A462="","",IF('ORDENES'!$Z462="","-",'ORDENES'!$Z462))</f>
        <v/>
      </c>
      <c r="H484" s="5">
        <f>IF('ORDENES'!$A462="","",IF('ORDENES'!$AH462="","-",'ORDENES'!$AH462))</f>
        <v/>
      </c>
      <c r="I484" s="5">
        <f>IF('ORDENES'!$A462="","",IF('ORDENES'!$AU462="","-",'ORDENES'!$AU462))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3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IF('ORDENES'!$A462="","",'ORDENES'!$AG462)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IF('ORDENES'!$A463="","",IF('ORDENES'!$AI463="","-",'ORDENES'!$AI463))</f>
        <v/>
      </c>
      <c r="D485" s="5">
        <f>IF('ORDENES'!$A463="","",IF('ORDENES'!$AA463="","-",'ORDENES'!$AA463))</f>
        <v/>
      </c>
      <c r="E485" s="5">
        <f>IF('ORDENES'!$A463="","",IF('ORDENES'!$Y463="","-",'ORDENES'!$Y463))</f>
        <v/>
      </c>
      <c r="F485" s="5">
        <f>IF('ORDENES'!$A463="","",IF('ORDENES'!$AB463="","-",'ORDENES'!$AB463))</f>
        <v/>
      </c>
      <c r="G485" s="5">
        <f>IF('ORDENES'!$A463="","",IF('ORDENES'!$Z463="","-",'ORDENES'!$Z463))</f>
        <v/>
      </c>
      <c r="H485" s="5">
        <f>IF('ORDENES'!$A463="","",IF('ORDENES'!$AH463="","-",'ORDENES'!$AH463))</f>
        <v/>
      </c>
      <c r="I485" s="5">
        <f>IF('ORDENES'!$A463="","",IF('ORDENES'!$AU463="","-",'ORDENES'!$AU463))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3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IF('ORDENES'!$A463="","",'ORDENES'!$AG463)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IF('ORDENES'!$A464="","",IF('ORDENES'!$AI464="","-",'ORDENES'!$AI464))</f>
        <v/>
      </c>
      <c r="D486" s="5">
        <f>IF('ORDENES'!$A464="","",IF('ORDENES'!$AA464="","-",'ORDENES'!$AA464))</f>
        <v/>
      </c>
      <c r="E486" s="5">
        <f>IF('ORDENES'!$A464="","",IF('ORDENES'!$Y464="","-",'ORDENES'!$Y464))</f>
        <v/>
      </c>
      <c r="F486" s="5">
        <f>IF('ORDENES'!$A464="","",IF('ORDENES'!$AB464="","-",'ORDENES'!$AB464))</f>
        <v/>
      </c>
      <c r="G486" s="5">
        <f>IF('ORDENES'!$A464="","",IF('ORDENES'!$Z464="","-",'ORDENES'!$Z464))</f>
        <v/>
      </c>
      <c r="H486" s="5">
        <f>IF('ORDENES'!$A464="","",IF('ORDENES'!$AH464="","-",'ORDENES'!$AH464))</f>
        <v/>
      </c>
      <c r="I486" s="5">
        <f>IF('ORDENES'!$A464="","",IF('ORDENES'!$AU464="","-",'ORDENES'!$AU464))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3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IF('ORDENES'!$A464="","",'ORDENES'!$AG464)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IF('ORDENES'!$A465="","",IF('ORDENES'!$AI465="","-",'ORDENES'!$AI465))</f>
        <v/>
      </c>
      <c r="D487" s="5">
        <f>IF('ORDENES'!$A465="","",IF('ORDENES'!$AA465="","-",'ORDENES'!$AA465))</f>
        <v/>
      </c>
      <c r="E487" s="5">
        <f>IF('ORDENES'!$A465="","",IF('ORDENES'!$Y465="","-",'ORDENES'!$Y465))</f>
        <v/>
      </c>
      <c r="F487" s="5">
        <f>IF('ORDENES'!$A465="","",IF('ORDENES'!$AB465="","-",'ORDENES'!$AB465))</f>
        <v/>
      </c>
      <c r="G487" s="5">
        <f>IF('ORDENES'!$A465="","",IF('ORDENES'!$Z465="","-",'ORDENES'!$Z465))</f>
        <v/>
      </c>
      <c r="H487" s="5">
        <f>IF('ORDENES'!$A465="","",IF('ORDENES'!$AH465="","-",'ORDENES'!$AH465))</f>
        <v/>
      </c>
      <c r="I487" s="5">
        <f>IF('ORDENES'!$A465="","",IF('ORDENES'!$AU465="","-",'ORDENES'!$AU465))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3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IF('ORDENES'!$A465="","",'ORDENES'!$AG465)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IF('ORDENES'!$A466="","",IF('ORDENES'!$AI466="","-",'ORDENES'!$AI466))</f>
        <v/>
      </c>
      <c r="D488" s="5">
        <f>IF('ORDENES'!$A466="","",IF('ORDENES'!$AA466="","-",'ORDENES'!$AA466))</f>
        <v/>
      </c>
      <c r="E488" s="5">
        <f>IF('ORDENES'!$A466="","",IF('ORDENES'!$Y466="","-",'ORDENES'!$Y466))</f>
        <v/>
      </c>
      <c r="F488" s="5">
        <f>IF('ORDENES'!$A466="","",IF('ORDENES'!$AB466="","-",'ORDENES'!$AB466))</f>
        <v/>
      </c>
      <c r="G488" s="5">
        <f>IF('ORDENES'!$A466="","",IF('ORDENES'!$Z466="","-",'ORDENES'!$Z466))</f>
        <v/>
      </c>
      <c r="H488" s="5">
        <f>IF('ORDENES'!$A466="","",IF('ORDENES'!$AH466="","-",'ORDENES'!$AH466))</f>
        <v/>
      </c>
      <c r="I488" s="5">
        <f>IF('ORDENES'!$A466="","",IF('ORDENES'!$AU466="","-",'ORDENES'!$AU466))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3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IF('ORDENES'!$A466="","",'ORDENES'!$AG466)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IF('ORDENES'!$A467="","",IF('ORDENES'!$AI467="","-",'ORDENES'!$AI467))</f>
        <v/>
      </c>
      <c r="D489" s="5">
        <f>IF('ORDENES'!$A467="","",IF('ORDENES'!$AA467="","-",'ORDENES'!$AA467))</f>
        <v/>
      </c>
      <c r="E489" s="5">
        <f>IF('ORDENES'!$A467="","",IF('ORDENES'!$Y467="","-",'ORDENES'!$Y467))</f>
        <v/>
      </c>
      <c r="F489" s="5">
        <f>IF('ORDENES'!$A467="","",IF('ORDENES'!$AB467="","-",'ORDENES'!$AB467))</f>
        <v/>
      </c>
      <c r="G489" s="5">
        <f>IF('ORDENES'!$A467="","",IF('ORDENES'!$Z467="","-",'ORDENES'!$Z467))</f>
        <v/>
      </c>
      <c r="H489" s="5">
        <f>IF('ORDENES'!$A467="","",IF('ORDENES'!$AH467="","-",'ORDENES'!$AH467))</f>
        <v/>
      </c>
      <c r="I489" s="5">
        <f>IF('ORDENES'!$A467="","",IF('ORDENES'!$AU467="","-",'ORDENES'!$AU467))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3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IF('ORDENES'!$A467="","",'ORDENES'!$AG467)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IF('ORDENES'!$A468="","",IF('ORDENES'!$AI468="","-",'ORDENES'!$AI468))</f>
        <v/>
      </c>
      <c r="D490" s="5">
        <f>IF('ORDENES'!$A468="","",IF('ORDENES'!$AA468="","-",'ORDENES'!$AA468))</f>
        <v/>
      </c>
      <c r="E490" s="5">
        <f>IF('ORDENES'!$A468="","",IF('ORDENES'!$Y468="","-",'ORDENES'!$Y468))</f>
        <v/>
      </c>
      <c r="F490" s="5">
        <f>IF('ORDENES'!$A468="","",IF('ORDENES'!$AB468="","-",'ORDENES'!$AB468))</f>
        <v/>
      </c>
      <c r="G490" s="5">
        <f>IF('ORDENES'!$A468="","",IF('ORDENES'!$Z468="","-",'ORDENES'!$Z468))</f>
        <v/>
      </c>
      <c r="H490" s="5">
        <f>IF('ORDENES'!$A468="","",IF('ORDENES'!$AH468="","-",'ORDENES'!$AH468))</f>
        <v/>
      </c>
      <c r="I490" s="5">
        <f>IF('ORDENES'!$A468="","",IF('ORDENES'!$AU468="","-",'ORDENES'!$AU468))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3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IF('ORDENES'!$A468="","",'ORDENES'!$AG468)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IF('ORDENES'!$A469="","",IF('ORDENES'!$AI469="","-",'ORDENES'!$AI469))</f>
        <v/>
      </c>
      <c r="D491" s="5">
        <f>IF('ORDENES'!$A469="","",IF('ORDENES'!$AA469="","-",'ORDENES'!$AA469))</f>
        <v/>
      </c>
      <c r="E491" s="5">
        <f>IF('ORDENES'!$A469="","",IF('ORDENES'!$Y469="","-",'ORDENES'!$Y469))</f>
        <v/>
      </c>
      <c r="F491" s="5">
        <f>IF('ORDENES'!$A469="","",IF('ORDENES'!$AB469="","-",'ORDENES'!$AB469))</f>
        <v/>
      </c>
      <c r="G491" s="5">
        <f>IF('ORDENES'!$A469="","",IF('ORDENES'!$Z469="","-",'ORDENES'!$Z469))</f>
        <v/>
      </c>
      <c r="H491" s="5">
        <f>IF('ORDENES'!$A469="","",IF('ORDENES'!$AH469="","-",'ORDENES'!$AH469))</f>
        <v/>
      </c>
      <c r="I491" s="5">
        <f>IF('ORDENES'!$A469="","",IF('ORDENES'!$AU469="","-",'ORDENES'!$AU469))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3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IF('ORDENES'!$A469="","",'ORDENES'!$AG469)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IF('ORDENES'!$A470="","",IF('ORDENES'!$AI470="","-",'ORDENES'!$AI470))</f>
        <v/>
      </c>
      <c r="D492" s="5">
        <f>IF('ORDENES'!$A470="","",IF('ORDENES'!$AA470="","-",'ORDENES'!$AA470))</f>
        <v/>
      </c>
      <c r="E492" s="5">
        <f>IF('ORDENES'!$A470="","",IF('ORDENES'!$Y470="","-",'ORDENES'!$Y470))</f>
        <v/>
      </c>
      <c r="F492" s="5">
        <f>IF('ORDENES'!$A470="","",IF('ORDENES'!$AB470="","-",'ORDENES'!$AB470))</f>
        <v/>
      </c>
      <c r="G492" s="5">
        <f>IF('ORDENES'!$A470="","",IF('ORDENES'!$Z470="","-",'ORDENES'!$Z470))</f>
        <v/>
      </c>
      <c r="H492" s="5">
        <f>IF('ORDENES'!$A470="","",IF('ORDENES'!$AH470="","-",'ORDENES'!$AH470))</f>
        <v/>
      </c>
      <c r="I492" s="5">
        <f>IF('ORDENES'!$A470="","",IF('ORDENES'!$AU470="","-",'ORDENES'!$AU470))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3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IF('ORDENES'!$A470="","",'ORDENES'!$AG470)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IF('ORDENES'!$A471="","",IF('ORDENES'!$AI471="","-",'ORDENES'!$AI471))</f>
        <v/>
      </c>
      <c r="D493" s="5">
        <f>IF('ORDENES'!$A471="","",IF('ORDENES'!$AA471="","-",'ORDENES'!$AA471))</f>
        <v/>
      </c>
      <c r="E493" s="5">
        <f>IF('ORDENES'!$A471="","",IF('ORDENES'!$Y471="","-",'ORDENES'!$Y471))</f>
        <v/>
      </c>
      <c r="F493" s="5">
        <f>IF('ORDENES'!$A471="","",IF('ORDENES'!$AB471="","-",'ORDENES'!$AB471))</f>
        <v/>
      </c>
      <c r="G493" s="5">
        <f>IF('ORDENES'!$A471="","",IF('ORDENES'!$Z471="","-",'ORDENES'!$Z471))</f>
        <v/>
      </c>
      <c r="H493" s="5">
        <f>IF('ORDENES'!$A471="","",IF('ORDENES'!$AH471="","-",'ORDENES'!$AH471))</f>
        <v/>
      </c>
      <c r="I493" s="5">
        <f>IF('ORDENES'!$A471="","",IF('ORDENES'!$AU471="","-",'ORDENES'!$AU471))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3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IF('ORDENES'!$A471="","",'ORDENES'!$AG471)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IF('ORDENES'!$A472="","",IF('ORDENES'!$AI472="","-",'ORDENES'!$AI472))</f>
        <v/>
      </c>
      <c r="D494" s="5">
        <f>IF('ORDENES'!$A472="","",IF('ORDENES'!$AA472="","-",'ORDENES'!$AA472))</f>
        <v/>
      </c>
      <c r="E494" s="5">
        <f>IF('ORDENES'!$A472="","",IF('ORDENES'!$Y472="","-",'ORDENES'!$Y472))</f>
        <v/>
      </c>
      <c r="F494" s="5">
        <f>IF('ORDENES'!$A472="","",IF('ORDENES'!$AB472="","-",'ORDENES'!$AB472))</f>
        <v/>
      </c>
      <c r="G494" s="5">
        <f>IF('ORDENES'!$A472="","",IF('ORDENES'!$Z472="","-",'ORDENES'!$Z472))</f>
        <v/>
      </c>
      <c r="H494" s="5">
        <f>IF('ORDENES'!$A472="","",IF('ORDENES'!$AH472="","-",'ORDENES'!$AH472))</f>
        <v/>
      </c>
      <c r="I494" s="5">
        <f>IF('ORDENES'!$A472="","",IF('ORDENES'!$AU472="","-",'ORDENES'!$AU472))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3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IF('ORDENES'!$A472="","",'ORDENES'!$AG472)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IF('ORDENES'!$A473="","",IF('ORDENES'!$AI473="","-",'ORDENES'!$AI473))</f>
        <v/>
      </c>
      <c r="D495" s="5">
        <f>IF('ORDENES'!$A473="","",IF('ORDENES'!$AA473="","-",'ORDENES'!$AA473))</f>
        <v/>
      </c>
      <c r="E495" s="5">
        <f>IF('ORDENES'!$A473="","",IF('ORDENES'!$Y473="","-",'ORDENES'!$Y473))</f>
        <v/>
      </c>
      <c r="F495" s="5">
        <f>IF('ORDENES'!$A473="","",IF('ORDENES'!$AB473="","-",'ORDENES'!$AB473))</f>
        <v/>
      </c>
      <c r="G495" s="5">
        <f>IF('ORDENES'!$A473="","",IF('ORDENES'!$Z473="","-",'ORDENES'!$Z473))</f>
        <v/>
      </c>
      <c r="H495" s="5">
        <f>IF('ORDENES'!$A473="","",IF('ORDENES'!$AH473="","-",'ORDENES'!$AH473))</f>
        <v/>
      </c>
      <c r="I495" s="5">
        <f>IF('ORDENES'!$A473="","",IF('ORDENES'!$AU473="","-",'ORDENES'!$AU473))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3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IF('ORDENES'!$A473="","",'ORDENES'!$AG473)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IF('ORDENES'!$A474="","",IF('ORDENES'!$AI474="","-",'ORDENES'!$AI474))</f>
        <v/>
      </c>
      <c r="D496" s="5">
        <f>IF('ORDENES'!$A474="","",IF('ORDENES'!$AA474="","-",'ORDENES'!$AA474))</f>
        <v/>
      </c>
      <c r="E496" s="5">
        <f>IF('ORDENES'!$A474="","",IF('ORDENES'!$Y474="","-",'ORDENES'!$Y474))</f>
        <v/>
      </c>
      <c r="F496" s="5">
        <f>IF('ORDENES'!$A474="","",IF('ORDENES'!$AB474="","-",'ORDENES'!$AB474))</f>
        <v/>
      </c>
      <c r="G496" s="5">
        <f>IF('ORDENES'!$A474="","",IF('ORDENES'!$Z474="","-",'ORDENES'!$Z474))</f>
        <v/>
      </c>
      <c r="H496" s="5">
        <f>IF('ORDENES'!$A474="","",IF('ORDENES'!$AH474="","-",'ORDENES'!$AH474))</f>
        <v/>
      </c>
      <c r="I496" s="5">
        <f>IF('ORDENES'!$A474="","",IF('ORDENES'!$AU474="","-",'ORDENES'!$AU474))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3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IF('ORDENES'!$A474="","",'ORDENES'!$AG474)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IF('ORDENES'!$A475="","",IF('ORDENES'!$AI475="","-",'ORDENES'!$AI475))</f>
        <v/>
      </c>
      <c r="D497" s="5">
        <f>IF('ORDENES'!$A475="","",IF('ORDENES'!$AA475="","-",'ORDENES'!$AA475))</f>
        <v/>
      </c>
      <c r="E497" s="5">
        <f>IF('ORDENES'!$A475="","",IF('ORDENES'!$Y475="","-",'ORDENES'!$Y475))</f>
        <v/>
      </c>
      <c r="F497" s="5">
        <f>IF('ORDENES'!$A475="","",IF('ORDENES'!$AB475="","-",'ORDENES'!$AB475))</f>
        <v/>
      </c>
      <c r="G497" s="5">
        <f>IF('ORDENES'!$A475="","",IF('ORDENES'!$Z475="","-",'ORDENES'!$Z475))</f>
        <v/>
      </c>
      <c r="H497" s="5">
        <f>IF('ORDENES'!$A475="","",IF('ORDENES'!$AH475="","-",'ORDENES'!$AH475))</f>
        <v/>
      </c>
      <c r="I497" s="5">
        <f>IF('ORDENES'!$A475="","",IF('ORDENES'!$AU475="","-",'ORDENES'!$AU475))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3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IF('ORDENES'!$A475="","",'ORDENES'!$AG475)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IF('ORDENES'!$A476="","",IF('ORDENES'!$AI476="","-",'ORDENES'!$AI476))</f>
        <v/>
      </c>
      <c r="D498" s="5">
        <f>IF('ORDENES'!$A476="","",IF('ORDENES'!$AA476="","-",'ORDENES'!$AA476))</f>
        <v/>
      </c>
      <c r="E498" s="5">
        <f>IF('ORDENES'!$A476="","",IF('ORDENES'!$Y476="","-",'ORDENES'!$Y476))</f>
        <v/>
      </c>
      <c r="F498" s="5">
        <f>IF('ORDENES'!$A476="","",IF('ORDENES'!$AB476="","-",'ORDENES'!$AB476))</f>
        <v/>
      </c>
      <c r="G498" s="5">
        <f>IF('ORDENES'!$A476="","",IF('ORDENES'!$Z476="","-",'ORDENES'!$Z476))</f>
        <v/>
      </c>
      <c r="H498" s="5">
        <f>IF('ORDENES'!$A476="","",IF('ORDENES'!$AH476="","-",'ORDENES'!$AH476))</f>
        <v/>
      </c>
      <c r="I498" s="5">
        <f>IF('ORDENES'!$A476="","",IF('ORDENES'!$AU476="","-",'ORDENES'!$AU476))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3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IF('ORDENES'!$A476="","",'ORDENES'!$AG476)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IF('ORDENES'!$A477="","",IF('ORDENES'!$AI477="","-",'ORDENES'!$AI477))</f>
        <v/>
      </c>
      <c r="D499" s="5">
        <f>IF('ORDENES'!$A477="","",IF('ORDENES'!$AA477="","-",'ORDENES'!$AA477))</f>
        <v/>
      </c>
      <c r="E499" s="5">
        <f>IF('ORDENES'!$A477="","",IF('ORDENES'!$Y477="","-",'ORDENES'!$Y477))</f>
        <v/>
      </c>
      <c r="F499" s="5">
        <f>IF('ORDENES'!$A477="","",IF('ORDENES'!$AB477="","-",'ORDENES'!$AB477))</f>
        <v/>
      </c>
      <c r="G499" s="5">
        <f>IF('ORDENES'!$A477="","",IF('ORDENES'!$Z477="","-",'ORDENES'!$Z477))</f>
        <v/>
      </c>
      <c r="H499" s="5">
        <f>IF('ORDENES'!$A477="","",IF('ORDENES'!$AH477="","-",'ORDENES'!$AH477))</f>
        <v/>
      </c>
      <c r="I499" s="5">
        <f>IF('ORDENES'!$A477="","",IF('ORDENES'!$AU477="","-",'ORDENES'!$AU477))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3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IF('ORDENES'!$A477="","",'ORDENES'!$AG477)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IF('ORDENES'!$A478="","",IF('ORDENES'!$AI478="","-",'ORDENES'!$AI478))</f>
        <v/>
      </c>
      <c r="D500" s="5">
        <f>IF('ORDENES'!$A478="","",IF('ORDENES'!$AA478="","-",'ORDENES'!$AA478))</f>
        <v/>
      </c>
      <c r="E500" s="5">
        <f>IF('ORDENES'!$A478="","",IF('ORDENES'!$Y478="","-",'ORDENES'!$Y478))</f>
        <v/>
      </c>
      <c r="F500" s="5">
        <f>IF('ORDENES'!$A478="","",IF('ORDENES'!$AB478="","-",'ORDENES'!$AB478))</f>
        <v/>
      </c>
      <c r="G500" s="5">
        <f>IF('ORDENES'!$A478="","",IF('ORDENES'!$Z478="","-",'ORDENES'!$Z478))</f>
        <v/>
      </c>
      <c r="H500" s="5">
        <f>IF('ORDENES'!$A478="","",IF('ORDENES'!$AH478="","-",'ORDENES'!$AH478))</f>
        <v/>
      </c>
      <c r="I500" s="5">
        <f>IF('ORDENES'!$A478="","",IF('ORDENES'!$AU478="","-",'ORDENES'!$AU478))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3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IF('ORDENES'!$A478="","",'ORDENES'!$AG478)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IF('ORDENES'!$A479="","",IF('ORDENES'!$AI479="","-",'ORDENES'!$AI479))</f>
        <v/>
      </c>
      <c r="D501" s="5">
        <f>IF('ORDENES'!$A479="","",IF('ORDENES'!$AA479="","-",'ORDENES'!$AA479))</f>
        <v/>
      </c>
      <c r="E501" s="5">
        <f>IF('ORDENES'!$A479="","",IF('ORDENES'!$Y479="","-",'ORDENES'!$Y479))</f>
        <v/>
      </c>
      <c r="F501" s="5">
        <f>IF('ORDENES'!$A479="","",IF('ORDENES'!$AB479="","-",'ORDENES'!$AB479))</f>
        <v/>
      </c>
      <c r="G501" s="5">
        <f>IF('ORDENES'!$A479="","",IF('ORDENES'!$Z479="","-",'ORDENES'!$Z479))</f>
        <v/>
      </c>
      <c r="H501" s="5">
        <f>IF('ORDENES'!$A479="","",IF('ORDENES'!$AH479="","-",'ORDENES'!$AH479))</f>
        <v/>
      </c>
      <c r="I501" s="5">
        <f>IF('ORDENES'!$A479="","",IF('ORDENES'!$AU479="","-",'ORDENES'!$AU479))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3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IF('ORDENES'!$A479="","",'ORDENES'!$AG479)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IF('ORDENES'!$A480="","",IF('ORDENES'!$AI480="","-",'ORDENES'!$AI480))</f>
        <v/>
      </c>
      <c r="D502" s="5">
        <f>IF('ORDENES'!$A480="","",IF('ORDENES'!$AA480="","-",'ORDENES'!$AA480))</f>
        <v/>
      </c>
      <c r="E502" s="5">
        <f>IF('ORDENES'!$A480="","",IF('ORDENES'!$Y480="","-",'ORDENES'!$Y480))</f>
        <v/>
      </c>
      <c r="F502" s="5">
        <f>IF('ORDENES'!$A480="","",IF('ORDENES'!$AB480="","-",'ORDENES'!$AB480))</f>
        <v/>
      </c>
      <c r="G502" s="5">
        <f>IF('ORDENES'!$A480="","",IF('ORDENES'!$Z480="","-",'ORDENES'!$Z480))</f>
        <v/>
      </c>
      <c r="H502" s="5">
        <f>IF('ORDENES'!$A480="","",IF('ORDENES'!$AH480="","-",'ORDENES'!$AH480))</f>
        <v/>
      </c>
      <c r="I502" s="5">
        <f>IF('ORDENES'!$A480="","",IF('ORDENES'!$AU480="","-",'ORDENES'!$AU480))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3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IF('ORDENES'!$A480="","",'ORDENES'!$AG480)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IF('ORDENES'!$A481="","",IF('ORDENES'!$AI481="","-",'ORDENES'!$AI481))</f>
        <v/>
      </c>
      <c r="D503" s="5">
        <f>IF('ORDENES'!$A481="","",IF('ORDENES'!$AA481="","-",'ORDENES'!$AA481))</f>
        <v/>
      </c>
      <c r="E503" s="5">
        <f>IF('ORDENES'!$A481="","",IF('ORDENES'!$Y481="","-",'ORDENES'!$Y481))</f>
        <v/>
      </c>
      <c r="F503" s="5">
        <f>IF('ORDENES'!$A481="","",IF('ORDENES'!$AB481="","-",'ORDENES'!$AB481))</f>
        <v/>
      </c>
      <c r="G503" s="5">
        <f>IF('ORDENES'!$A481="","",IF('ORDENES'!$Z481="","-",'ORDENES'!$Z481))</f>
        <v/>
      </c>
      <c r="H503" s="5">
        <f>IF('ORDENES'!$A481="","",IF('ORDENES'!$AH481="","-",'ORDENES'!$AH481))</f>
        <v/>
      </c>
      <c r="I503" s="5">
        <f>IF('ORDENES'!$A481="","",IF('ORDENES'!$AU481="","-",'ORDENES'!$AU481))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3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IF('ORDENES'!$A481="","",'ORDENES'!$AG481)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IF('ORDENES'!$A482="","",IF('ORDENES'!$AI482="","-",'ORDENES'!$AI482))</f>
        <v/>
      </c>
      <c r="D504" s="5">
        <f>IF('ORDENES'!$A482="","",IF('ORDENES'!$AA482="","-",'ORDENES'!$AA482))</f>
        <v/>
      </c>
      <c r="E504" s="5">
        <f>IF('ORDENES'!$A482="","",IF('ORDENES'!$Y482="","-",'ORDENES'!$Y482))</f>
        <v/>
      </c>
      <c r="F504" s="5">
        <f>IF('ORDENES'!$A482="","",IF('ORDENES'!$AB482="","-",'ORDENES'!$AB482))</f>
        <v/>
      </c>
      <c r="G504" s="5">
        <f>IF('ORDENES'!$A482="","",IF('ORDENES'!$Z482="","-",'ORDENES'!$Z482))</f>
        <v/>
      </c>
      <c r="H504" s="5">
        <f>IF('ORDENES'!$A482="","",IF('ORDENES'!$AH482="","-",'ORDENES'!$AH482))</f>
        <v/>
      </c>
      <c r="I504" s="5">
        <f>IF('ORDENES'!$A482="","",IF('ORDENES'!$AU482="","-",'ORDENES'!$AU482))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3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IF('ORDENES'!$A482="","",'ORDENES'!$AG482)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IF('ORDENES'!$A483="","",IF('ORDENES'!$AI483="","-",'ORDENES'!$AI483))</f>
        <v/>
      </c>
      <c r="D505" s="5">
        <f>IF('ORDENES'!$A483="","",IF('ORDENES'!$AA483="","-",'ORDENES'!$AA483))</f>
        <v/>
      </c>
      <c r="E505" s="5">
        <f>IF('ORDENES'!$A483="","",IF('ORDENES'!$Y483="","-",'ORDENES'!$Y483))</f>
        <v/>
      </c>
      <c r="F505" s="5">
        <f>IF('ORDENES'!$A483="","",IF('ORDENES'!$AB483="","-",'ORDENES'!$AB483))</f>
        <v/>
      </c>
      <c r="G505" s="5">
        <f>IF('ORDENES'!$A483="","",IF('ORDENES'!$Z483="","-",'ORDENES'!$Z483))</f>
        <v/>
      </c>
      <c r="H505" s="5">
        <f>IF('ORDENES'!$A483="","",IF('ORDENES'!$AH483="","-",'ORDENES'!$AH483))</f>
        <v/>
      </c>
      <c r="I505" s="5">
        <f>IF('ORDENES'!$A483="","",IF('ORDENES'!$AU483="","-",'ORDENES'!$AU483))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3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IF('ORDENES'!$A483="","",'ORDENES'!$AG483)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IF('ORDENES'!$A484="","",IF('ORDENES'!$AI484="","-",'ORDENES'!$AI484))</f>
        <v/>
      </c>
      <c r="D506" s="5">
        <f>IF('ORDENES'!$A484="","",IF('ORDENES'!$AA484="","-",'ORDENES'!$AA484))</f>
        <v/>
      </c>
      <c r="E506" s="5">
        <f>IF('ORDENES'!$A484="","",IF('ORDENES'!$Y484="","-",'ORDENES'!$Y484))</f>
        <v/>
      </c>
      <c r="F506" s="5">
        <f>IF('ORDENES'!$A484="","",IF('ORDENES'!$AB484="","-",'ORDENES'!$AB484))</f>
        <v/>
      </c>
      <c r="G506" s="5">
        <f>IF('ORDENES'!$A484="","",IF('ORDENES'!$Z484="","-",'ORDENES'!$Z484))</f>
        <v/>
      </c>
      <c r="H506" s="5">
        <f>IF('ORDENES'!$A484="","",IF('ORDENES'!$AH484="","-",'ORDENES'!$AH484))</f>
        <v/>
      </c>
      <c r="I506" s="5">
        <f>IF('ORDENES'!$A484="","",IF('ORDENES'!$AU484="","-",'ORDENES'!$AU484))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3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IF('ORDENES'!$A484="","",'ORDENES'!$AG484)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IF('ORDENES'!$A485="","",IF('ORDENES'!$AI485="","-",'ORDENES'!$AI485))</f>
        <v/>
      </c>
      <c r="D507" s="5">
        <f>IF('ORDENES'!$A485="","",IF('ORDENES'!$AA485="","-",'ORDENES'!$AA485))</f>
        <v/>
      </c>
      <c r="E507" s="5">
        <f>IF('ORDENES'!$A485="","",IF('ORDENES'!$Y485="","-",'ORDENES'!$Y485))</f>
        <v/>
      </c>
      <c r="F507" s="5">
        <f>IF('ORDENES'!$A485="","",IF('ORDENES'!$AB485="","-",'ORDENES'!$AB485))</f>
        <v/>
      </c>
      <c r="G507" s="5">
        <f>IF('ORDENES'!$A485="","",IF('ORDENES'!$Z485="","-",'ORDENES'!$Z485))</f>
        <v/>
      </c>
      <c r="H507" s="5">
        <f>IF('ORDENES'!$A485="","",IF('ORDENES'!$AH485="","-",'ORDENES'!$AH485))</f>
        <v/>
      </c>
      <c r="I507" s="5">
        <f>IF('ORDENES'!$A485="","",IF('ORDENES'!$AU485="","-",'ORDENES'!$AU485))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3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IF('ORDENES'!$A485="","",'ORDENES'!$AG485)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IF('ORDENES'!$A486="","",IF('ORDENES'!$AI486="","-",'ORDENES'!$AI486))</f>
        <v/>
      </c>
      <c r="D508" s="5">
        <f>IF('ORDENES'!$A486="","",IF('ORDENES'!$AA486="","-",'ORDENES'!$AA486))</f>
        <v/>
      </c>
      <c r="E508" s="5">
        <f>IF('ORDENES'!$A486="","",IF('ORDENES'!$Y486="","-",'ORDENES'!$Y486))</f>
        <v/>
      </c>
      <c r="F508" s="5">
        <f>IF('ORDENES'!$A486="","",IF('ORDENES'!$AB486="","-",'ORDENES'!$AB486))</f>
        <v/>
      </c>
      <c r="G508" s="5">
        <f>IF('ORDENES'!$A486="","",IF('ORDENES'!$Z486="","-",'ORDENES'!$Z486))</f>
        <v/>
      </c>
      <c r="H508" s="5">
        <f>IF('ORDENES'!$A486="","",IF('ORDENES'!$AH486="","-",'ORDENES'!$AH486))</f>
        <v/>
      </c>
      <c r="I508" s="5">
        <f>IF('ORDENES'!$A486="","",IF('ORDENES'!$AU486="","-",'ORDENES'!$AU486))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3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IF('ORDENES'!$A486="","",'ORDENES'!$AG486)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IF('ORDENES'!$A487="","",IF('ORDENES'!$AI487="","-",'ORDENES'!$AI487))</f>
        <v/>
      </c>
      <c r="D509" s="5">
        <f>IF('ORDENES'!$A487="","",IF('ORDENES'!$AA487="","-",'ORDENES'!$AA487))</f>
        <v/>
      </c>
      <c r="E509" s="5">
        <f>IF('ORDENES'!$A487="","",IF('ORDENES'!$Y487="","-",'ORDENES'!$Y487))</f>
        <v/>
      </c>
      <c r="F509" s="5">
        <f>IF('ORDENES'!$A487="","",IF('ORDENES'!$AB487="","-",'ORDENES'!$AB487))</f>
        <v/>
      </c>
      <c r="G509" s="5">
        <f>IF('ORDENES'!$A487="","",IF('ORDENES'!$Z487="","-",'ORDENES'!$Z487))</f>
        <v/>
      </c>
      <c r="H509" s="5">
        <f>IF('ORDENES'!$A487="","",IF('ORDENES'!$AH487="","-",'ORDENES'!$AH487))</f>
        <v/>
      </c>
      <c r="I509" s="5">
        <f>IF('ORDENES'!$A487="","",IF('ORDENES'!$AU487="","-",'ORDENES'!$AU487))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3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IF('ORDENES'!$A487="","",'ORDENES'!$AG487)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IF('ORDENES'!$A488="","",IF('ORDENES'!$AI488="","-",'ORDENES'!$AI488))</f>
        <v/>
      </c>
      <c r="D510" s="5">
        <f>IF('ORDENES'!$A488="","",IF('ORDENES'!$AA488="","-",'ORDENES'!$AA488))</f>
        <v/>
      </c>
      <c r="E510" s="5">
        <f>IF('ORDENES'!$A488="","",IF('ORDENES'!$Y488="","-",'ORDENES'!$Y488))</f>
        <v/>
      </c>
      <c r="F510" s="5">
        <f>IF('ORDENES'!$A488="","",IF('ORDENES'!$AB488="","-",'ORDENES'!$AB488))</f>
        <v/>
      </c>
      <c r="G510" s="5">
        <f>IF('ORDENES'!$A488="","",IF('ORDENES'!$Z488="","-",'ORDENES'!$Z488))</f>
        <v/>
      </c>
      <c r="H510" s="5">
        <f>IF('ORDENES'!$A488="","",IF('ORDENES'!$AH488="","-",'ORDENES'!$AH488))</f>
        <v/>
      </c>
      <c r="I510" s="5">
        <f>IF('ORDENES'!$A488="","",IF('ORDENES'!$AU488="","-",'ORDENES'!$AU488))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3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IF('ORDENES'!$A488="","",'ORDENES'!$AG488)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IF('ORDENES'!$A489="","",IF('ORDENES'!$AI489="","-",'ORDENES'!$AI489))</f>
        <v/>
      </c>
      <c r="D511" s="5">
        <f>IF('ORDENES'!$A489="","",IF('ORDENES'!$AA489="","-",'ORDENES'!$AA489))</f>
        <v/>
      </c>
      <c r="E511" s="5">
        <f>IF('ORDENES'!$A489="","",IF('ORDENES'!$Y489="","-",'ORDENES'!$Y489))</f>
        <v/>
      </c>
      <c r="F511" s="5">
        <f>IF('ORDENES'!$A489="","",IF('ORDENES'!$AB489="","-",'ORDENES'!$AB489))</f>
        <v/>
      </c>
      <c r="G511" s="5">
        <f>IF('ORDENES'!$A489="","",IF('ORDENES'!$Z489="","-",'ORDENES'!$Z489))</f>
        <v/>
      </c>
      <c r="H511" s="5">
        <f>IF('ORDENES'!$A489="","",IF('ORDENES'!$AH489="","-",'ORDENES'!$AH489))</f>
        <v/>
      </c>
      <c r="I511" s="5">
        <f>IF('ORDENES'!$A489="","",IF('ORDENES'!$AU489="","-",'ORDENES'!$AU489))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3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IF('ORDENES'!$A489="","",'ORDENES'!$AG489)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IF('ORDENES'!$A490="","",IF('ORDENES'!$AI490="","-",'ORDENES'!$AI490))</f>
        <v/>
      </c>
      <c r="D512" s="5">
        <f>IF('ORDENES'!$A490="","",IF('ORDENES'!$AA490="","-",'ORDENES'!$AA490))</f>
        <v/>
      </c>
      <c r="E512" s="5">
        <f>IF('ORDENES'!$A490="","",IF('ORDENES'!$Y490="","-",'ORDENES'!$Y490))</f>
        <v/>
      </c>
      <c r="F512" s="5">
        <f>IF('ORDENES'!$A490="","",IF('ORDENES'!$AB490="","-",'ORDENES'!$AB490))</f>
        <v/>
      </c>
      <c r="G512" s="5">
        <f>IF('ORDENES'!$A490="","",IF('ORDENES'!$Z490="","-",'ORDENES'!$Z490))</f>
        <v/>
      </c>
      <c r="H512" s="5">
        <f>IF('ORDENES'!$A490="","",IF('ORDENES'!$AH490="","-",'ORDENES'!$AH490))</f>
        <v/>
      </c>
      <c r="I512" s="5">
        <f>IF('ORDENES'!$A490="","",IF('ORDENES'!$AU490="","-",'ORDENES'!$AU490))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3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IF('ORDENES'!$A490="","",'ORDENES'!$AG490)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IF('ORDENES'!$A491="","",IF('ORDENES'!$AI491="","-",'ORDENES'!$AI491))</f>
        <v/>
      </c>
      <c r="D513" s="5">
        <f>IF('ORDENES'!$A491="","",IF('ORDENES'!$AA491="","-",'ORDENES'!$AA491))</f>
        <v/>
      </c>
      <c r="E513" s="5">
        <f>IF('ORDENES'!$A491="","",IF('ORDENES'!$Y491="","-",'ORDENES'!$Y491))</f>
        <v/>
      </c>
      <c r="F513" s="5">
        <f>IF('ORDENES'!$A491="","",IF('ORDENES'!$AB491="","-",'ORDENES'!$AB491))</f>
        <v/>
      </c>
      <c r="G513" s="5">
        <f>IF('ORDENES'!$A491="","",IF('ORDENES'!$Z491="","-",'ORDENES'!$Z491))</f>
        <v/>
      </c>
      <c r="H513" s="5">
        <f>IF('ORDENES'!$A491="","",IF('ORDENES'!$AH491="","-",'ORDENES'!$AH491))</f>
        <v/>
      </c>
      <c r="I513" s="5">
        <f>IF('ORDENES'!$A491="","",IF('ORDENES'!$AU491="","-",'ORDENES'!$AU491))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3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IF('ORDENES'!$A491="","",'ORDENES'!$AG491)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IF('ORDENES'!$A492="","",IF('ORDENES'!$AI492="","-",'ORDENES'!$AI492))</f>
        <v/>
      </c>
      <c r="D514" s="5">
        <f>IF('ORDENES'!$A492="","",IF('ORDENES'!$AA492="","-",'ORDENES'!$AA492))</f>
        <v/>
      </c>
      <c r="E514" s="5">
        <f>IF('ORDENES'!$A492="","",IF('ORDENES'!$Y492="","-",'ORDENES'!$Y492))</f>
        <v/>
      </c>
      <c r="F514" s="5">
        <f>IF('ORDENES'!$A492="","",IF('ORDENES'!$AB492="","-",'ORDENES'!$AB492))</f>
        <v/>
      </c>
      <c r="G514" s="5">
        <f>IF('ORDENES'!$A492="","",IF('ORDENES'!$Z492="","-",'ORDENES'!$Z492))</f>
        <v/>
      </c>
      <c r="H514" s="5">
        <f>IF('ORDENES'!$A492="","",IF('ORDENES'!$AH492="","-",'ORDENES'!$AH492))</f>
        <v/>
      </c>
      <c r="I514" s="5">
        <f>IF('ORDENES'!$A492="","",IF('ORDENES'!$AU492="","-",'ORDENES'!$AU492))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3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IF('ORDENES'!$A492="","",'ORDENES'!$AG492)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IF('ORDENES'!$A493="","",IF('ORDENES'!$AI493="","-",'ORDENES'!$AI493))</f>
        <v/>
      </c>
      <c r="D515" s="5">
        <f>IF('ORDENES'!$A493="","",IF('ORDENES'!$AA493="","-",'ORDENES'!$AA493))</f>
        <v/>
      </c>
      <c r="E515" s="5">
        <f>IF('ORDENES'!$A493="","",IF('ORDENES'!$Y493="","-",'ORDENES'!$Y493))</f>
        <v/>
      </c>
      <c r="F515" s="5">
        <f>IF('ORDENES'!$A493="","",IF('ORDENES'!$AB493="","-",'ORDENES'!$AB493))</f>
        <v/>
      </c>
      <c r="G515" s="5">
        <f>IF('ORDENES'!$A493="","",IF('ORDENES'!$Z493="","-",'ORDENES'!$Z493))</f>
        <v/>
      </c>
      <c r="H515" s="5">
        <f>IF('ORDENES'!$A493="","",IF('ORDENES'!$AH493="","-",'ORDENES'!$AH493))</f>
        <v/>
      </c>
      <c r="I515" s="5">
        <f>IF('ORDENES'!$A493="","",IF('ORDENES'!$AU493="","-",'ORDENES'!$AU493))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3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IF('ORDENES'!$A493="","",'ORDENES'!$AG493)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IF('ORDENES'!$A494="","",IF('ORDENES'!$AI494="","-",'ORDENES'!$AI494))</f>
        <v/>
      </c>
      <c r="D516" s="5">
        <f>IF('ORDENES'!$A494="","",IF('ORDENES'!$AA494="","-",'ORDENES'!$AA494))</f>
        <v/>
      </c>
      <c r="E516" s="5">
        <f>IF('ORDENES'!$A494="","",IF('ORDENES'!$Y494="","-",'ORDENES'!$Y494))</f>
        <v/>
      </c>
      <c r="F516" s="5">
        <f>IF('ORDENES'!$A494="","",IF('ORDENES'!$AB494="","-",'ORDENES'!$AB494))</f>
        <v/>
      </c>
      <c r="G516" s="5">
        <f>IF('ORDENES'!$A494="","",IF('ORDENES'!$Z494="","-",'ORDENES'!$Z494))</f>
        <v/>
      </c>
      <c r="H516" s="5">
        <f>IF('ORDENES'!$A494="","",IF('ORDENES'!$AH494="","-",'ORDENES'!$AH494))</f>
        <v/>
      </c>
      <c r="I516" s="5">
        <f>IF('ORDENES'!$A494="","",IF('ORDENES'!$AU494="","-",'ORDENES'!$AU494))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3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IF('ORDENES'!$A494="","",'ORDENES'!$AG494)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IF('ORDENES'!$A495="","",IF('ORDENES'!$AI495="","-",'ORDENES'!$AI495))</f>
        <v/>
      </c>
      <c r="D517" s="5">
        <f>IF('ORDENES'!$A495="","",IF('ORDENES'!$AA495="","-",'ORDENES'!$AA495))</f>
        <v/>
      </c>
      <c r="E517" s="5">
        <f>IF('ORDENES'!$A495="","",IF('ORDENES'!$Y495="","-",'ORDENES'!$Y495))</f>
        <v/>
      </c>
      <c r="F517" s="5">
        <f>IF('ORDENES'!$A495="","",IF('ORDENES'!$AB495="","-",'ORDENES'!$AB495))</f>
        <v/>
      </c>
      <c r="G517" s="5">
        <f>IF('ORDENES'!$A495="","",IF('ORDENES'!$Z495="","-",'ORDENES'!$Z495))</f>
        <v/>
      </c>
      <c r="H517" s="5">
        <f>IF('ORDENES'!$A495="","",IF('ORDENES'!$AH495="","-",'ORDENES'!$AH495))</f>
        <v/>
      </c>
      <c r="I517" s="5">
        <f>IF('ORDENES'!$A495="","",IF('ORDENES'!$AU495="","-",'ORDENES'!$AU495))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3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IF('ORDENES'!$A495="","",'ORDENES'!$AG495)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IF('ORDENES'!$A496="","",IF('ORDENES'!$AI496="","-",'ORDENES'!$AI496))</f>
        <v/>
      </c>
      <c r="D518" s="5">
        <f>IF('ORDENES'!$A496="","",IF('ORDENES'!$AA496="","-",'ORDENES'!$AA496))</f>
        <v/>
      </c>
      <c r="E518" s="5">
        <f>IF('ORDENES'!$A496="","",IF('ORDENES'!$Y496="","-",'ORDENES'!$Y496))</f>
        <v/>
      </c>
      <c r="F518" s="5">
        <f>IF('ORDENES'!$A496="","",IF('ORDENES'!$AB496="","-",'ORDENES'!$AB496))</f>
        <v/>
      </c>
      <c r="G518" s="5">
        <f>IF('ORDENES'!$A496="","",IF('ORDENES'!$Z496="","-",'ORDENES'!$Z496))</f>
        <v/>
      </c>
      <c r="H518" s="5">
        <f>IF('ORDENES'!$A496="","",IF('ORDENES'!$AH496="","-",'ORDENES'!$AH496))</f>
        <v/>
      </c>
      <c r="I518" s="5">
        <f>IF('ORDENES'!$A496="","",IF('ORDENES'!$AU496="","-",'ORDENES'!$AU496))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3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IF('ORDENES'!$A496="","",'ORDENES'!$AG496)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IF('ORDENES'!$A497="","",IF('ORDENES'!$AI497="","-",'ORDENES'!$AI497))</f>
        <v/>
      </c>
      <c r="D519" s="5">
        <f>IF('ORDENES'!$A497="","",IF('ORDENES'!$AA497="","-",'ORDENES'!$AA497))</f>
        <v/>
      </c>
      <c r="E519" s="5">
        <f>IF('ORDENES'!$A497="","",IF('ORDENES'!$Y497="","-",'ORDENES'!$Y497))</f>
        <v/>
      </c>
      <c r="F519" s="5">
        <f>IF('ORDENES'!$A497="","",IF('ORDENES'!$AB497="","-",'ORDENES'!$AB497))</f>
        <v/>
      </c>
      <c r="G519" s="5">
        <f>IF('ORDENES'!$A497="","",IF('ORDENES'!$Z497="","-",'ORDENES'!$Z497))</f>
        <v/>
      </c>
      <c r="H519" s="5">
        <f>IF('ORDENES'!$A497="","",IF('ORDENES'!$AH497="","-",'ORDENES'!$AH497))</f>
        <v/>
      </c>
      <c r="I519" s="5">
        <f>IF('ORDENES'!$A497="","",IF('ORDENES'!$AU497="","-",'ORDENES'!$AU497))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3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IF('ORDENES'!$A497="","",'ORDENES'!$AG497)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IF('ORDENES'!$A498="","",IF('ORDENES'!$AI498="","-",'ORDENES'!$AI498))</f>
        <v/>
      </c>
      <c r="D520" s="5">
        <f>IF('ORDENES'!$A498="","",IF('ORDENES'!$AA498="","-",'ORDENES'!$AA498))</f>
        <v/>
      </c>
      <c r="E520" s="5">
        <f>IF('ORDENES'!$A498="","",IF('ORDENES'!$Y498="","-",'ORDENES'!$Y498))</f>
        <v/>
      </c>
      <c r="F520" s="5">
        <f>IF('ORDENES'!$A498="","",IF('ORDENES'!$AB498="","-",'ORDENES'!$AB498))</f>
        <v/>
      </c>
      <c r="G520" s="5">
        <f>IF('ORDENES'!$A498="","",IF('ORDENES'!$Z498="","-",'ORDENES'!$Z498))</f>
        <v/>
      </c>
      <c r="H520" s="5">
        <f>IF('ORDENES'!$A498="","",IF('ORDENES'!$AH498="","-",'ORDENES'!$AH498))</f>
        <v/>
      </c>
      <c r="I520" s="5">
        <f>IF('ORDENES'!$A498="","",IF('ORDENES'!$AU498="","-",'ORDENES'!$AU498))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3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IF('ORDENES'!$A498="","",'ORDENES'!$AG498)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IF('ORDENES'!$A499="","",IF('ORDENES'!$AI499="","-",'ORDENES'!$AI499))</f>
        <v/>
      </c>
      <c r="D521" s="5">
        <f>IF('ORDENES'!$A499="","",IF('ORDENES'!$AA499="","-",'ORDENES'!$AA499))</f>
        <v/>
      </c>
      <c r="E521" s="5">
        <f>IF('ORDENES'!$A499="","",IF('ORDENES'!$Y499="","-",'ORDENES'!$Y499))</f>
        <v/>
      </c>
      <c r="F521" s="5">
        <f>IF('ORDENES'!$A499="","",IF('ORDENES'!$AB499="","-",'ORDENES'!$AB499))</f>
        <v/>
      </c>
      <c r="G521" s="5">
        <f>IF('ORDENES'!$A499="","",IF('ORDENES'!$Z499="","-",'ORDENES'!$Z499))</f>
        <v/>
      </c>
      <c r="H521" s="5">
        <f>IF('ORDENES'!$A499="","",IF('ORDENES'!$AH499="","-",'ORDENES'!$AH499))</f>
        <v/>
      </c>
      <c r="I521" s="5">
        <f>IF('ORDENES'!$A499="","",IF('ORDENES'!$AU499="","-",'ORDENES'!$AU499))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3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IF('ORDENES'!$A499="","",'ORDENES'!$AG499)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IF('ORDENES'!$A500="","",IF('ORDENES'!$AI500="","-",'ORDENES'!$AI500))</f>
        <v/>
      </c>
      <c r="D522" s="5">
        <f>IF('ORDENES'!$A500="","",IF('ORDENES'!$AA500="","-",'ORDENES'!$AA500))</f>
        <v/>
      </c>
      <c r="E522" s="5">
        <f>IF('ORDENES'!$A500="","",IF('ORDENES'!$Y500="","-",'ORDENES'!$Y500))</f>
        <v/>
      </c>
      <c r="F522" s="5">
        <f>IF('ORDENES'!$A500="","",IF('ORDENES'!$AB500="","-",'ORDENES'!$AB500))</f>
        <v/>
      </c>
      <c r="G522" s="5">
        <f>IF('ORDENES'!$A500="","",IF('ORDENES'!$Z500="","-",'ORDENES'!$Z500))</f>
        <v/>
      </c>
      <c r="H522" s="5">
        <f>IF('ORDENES'!$A500="","",IF('ORDENES'!$AH500="","-",'ORDENES'!$AH500))</f>
        <v/>
      </c>
      <c r="I522" s="5">
        <f>IF('ORDENES'!$A500="","",IF('ORDENES'!$AU500="","-",'ORDENES'!$AU500))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3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IF('ORDENES'!$A500="","",'ORDENES'!$AG500)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IF('ORDENES'!$A501="","",IF('ORDENES'!$AI501="","-",'ORDENES'!$AI501))</f>
        <v/>
      </c>
      <c r="D523" s="5">
        <f>IF('ORDENES'!$A501="","",IF('ORDENES'!$AA501="","-",'ORDENES'!$AA501))</f>
        <v/>
      </c>
      <c r="E523" s="5">
        <f>IF('ORDENES'!$A501="","",IF('ORDENES'!$Y501="","-",'ORDENES'!$Y501))</f>
        <v/>
      </c>
      <c r="F523" s="5">
        <f>IF('ORDENES'!$A501="","",IF('ORDENES'!$AB501="","-",'ORDENES'!$AB501))</f>
        <v/>
      </c>
      <c r="G523" s="5">
        <f>IF('ORDENES'!$A501="","",IF('ORDENES'!$Z501="","-",'ORDENES'!$Z501))</f>
        <v/>
      </c>
      <c r="H523" s="5">
        <f>IF('ORDENES'!$A501="","",IF('ORDENES'!$AH501="","-",'ORDENES'!$AH501))</f>
        <v/>
      </c>
      <c r="I523" s="5">
        <f>IF('ORDENES'!$A501="","",IF('ORDENES'!$AU501="","-",'ORDENES'!$AU501))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3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IF('ORDENES'!$A501="","",'ORDENES'!$AG501)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IF('ORDENES'!$A502="","",IF('ORDENES'!$AI502="","-",'ORDENES'!$AI502))</f>
        <v/>
      </c>
      <c r="D524" s="5">
        <f>IF('ORDENES'!$A502="","",IF('ORDENES'!$AA502="","-",'ORDENES'!$AA502))</f>
        <v/>
      </c>
      <c r="E524" s="5">
        <f>IF('ORDENES'!$A502="","",IF('ORDENES'!$Y502="","-",'ORDENES'!$Y502))</f>
        <v/>
      </c>
      <c r="F524" s="5">
        <f>IF('ORDENES'!$A502="","",IF('ORDENES'!$AB502="","-",'ORDENES'!$AB502))</f>
        <v/>
      </c>
      <c r="G524" s="5">
        <f>IF('ORDENES'!$A502="","",IF('ORDENES'!$Z502="","-",'ORDENES'!$Z502))</f>
        <v/>
      </c>
      <c r="H524" s="5">
        <f>IF('ORDENES'!$A502="","",IF('ORDENES'!$AH502="","-",'ORDENES'!$AH502))</f>
        <v/>
      </c>
      <c r="I524" s="5">
        <f>IF('ORDENES'!$A502="","",IF('ORDENES'!$AU502="","-",'ORDENES'!$AU502))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3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IF('ORDENES'!$A502="","",'ORDENES'!$AG502)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IF('ORDENES'!$A503="","",IF('ORDENES'!$AI503="","-",'ORDENES'!$AI503))</f>
        <v/>
      </c>
      <c r="D525" s="5">
        <f>IF('ORDENES'!$A503="","",IF('ORDENES'!$AA503="","-",'ORDENES'!$AA503))</f>
        <v/>
      </c>
      <c r="E525" s="5">
        <f>IF('ORDENES'!$A503="","",IF('ORDENES'!$Y503="","-",'ORDENES'!$Y503))</f>
        <v/>
      </c>
      <c r="F525" s="5">
        <f>IF('ORDENES'!$A503="","",IF('ORDENES'!$AB503="","-",'ORDENES'!$AB503))</f>
        <v/>
      </c>
      <c r="G525" s="5">
        <f>IF('ORDENES'!$A503="","",IF('ORDENES'!$Z503="","-",'ORDENES'!$Z503))</f>
        <v/>
      </c>
      <c r="H525" s="5">
        <f>IF('ORDENES'!$A503="","",IF('ORDENES'!$AH503="","-",'ORDENES'!$AH503))</f>
        <v/>
      </c>
      <c r="I525" s="5">
        <f>IF('ORDENES'!$A503="","",IF('ORDENES'!$AU503="","-",'ORDENES'!$AU503))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3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IF('ORDENES'!$A503="","",'ORDENES'!$AG503)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IF('ORDENES'!$A504="","",IF('ORDENES'!$AI504="","-",'ORDENES'!$AI504))</f>
        <v/>
      </c>
      <c r="D526" s="5">
        <f>IF('ORDENES'!$A504="","",IF('ORDENES'!$AA504="","-",'ORDENES'!$AA504))</f>
        <v/>
      </c>
      <c r="E526" s="5">
        <f>IF('ORDENES'!$A504="","",IF('ORDENES'!$Y504="","-",'ORDENES'!$Y504))</f>
        <v/>
      </c>
      <c r="F526" s="5">
        <f>IF('ORDENES'!$A504="","",IF('ORDENES'!$AB504="","-",'ORDENES'!$AB504))</f>
        <v/>
      </c>
      <c r="G526" s="5">
        <f>IF('ORDENES'!$A504="","",IF('ORDENES'!$Z504="","-",'ORDENES'!$Z504))</f>
        <v/>
      </c>
      <c r="H526" s="5">
        <f>IF('ORDENES'!$A504="","",IF('ORDENES'!$AH504="","-",'ORDENES'!$AH504))</f>
        <v/>
      </c>
      <c r="I526" s="5">
        <f>IF('ORDENES'!$A504="","",IF('ORDENES'!$AU504="","-",'ORDENES'!$AU504))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3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IF('ORDENES'!$A504="","",'ORDENES'!$AG504)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IF('ORDENES'!$A505="","",IF('ORDENES'!$AI505="","-",'ORDENES'!$AI505))</f>
        <v/>
      </c>
      <c r="D527" s="5">
        <f>IF('ORDENES'!$A505="","",IF('ORDENES'!$AA505="","-",'ORDENES'!$AA505))</f>
        <v/>
      </c>
      <c r="E527" s="5">
        <f>IF('ORDENES'!$A505="","",IF('ORDENES'!$Y505="","-",'ORDENES'!$Y505))</f>
        <v/>
      </c>
      <c r="F527" s="5">
        <f>IF('ORDENES'!$A505="","",IF('ORDENES'!$AB505="","-",'ORDENES'!$AB505))</f>
        <v/>
      </c>
      <c r="G527" s="5">
        <f>IF('ORDENES'!$A505="","",IF('ORDENES'!$Z505="","-",'ORDENES'!$Z505))</f>
        <v/>
      </c>
      <c r="H527" s="5">
        <f>IF('ORDENES'!$A505="","",IF('ORDENES'!$AH505="","-",'ORDENES'!$AH505))</f>
        <v/>
      </c>
      <c r="I527" s="5">
        <f>IF('ORDENES'!$A505="","",IF('ORDENES'!$AU505="","-",'ORDENES'!$AU505))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3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IF('ORDENES'!$A505="","",'ORDENES'!$AG505)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IF('ORDENES'!$A506="","",IF('ORDENES'!$AI506="","-",'ORDENES'!$AI506))</f>
        <v/>
      </c>
      <c r="D528" s="5">
        <f>IF('ORDENES'!$A506="","",IF('ORDENES'!$AA506="","-",'ORDENES'!$AA506))</f>
        <v/>
      </c>
      <c r="E528" s="5">
        <f>IF('ORDENES'!$A506="","",IF('ORDENES'!$Y506="","-",'ORDENES'!$Y506))</f>
        <v/>
      </c>
      <c r="F528" s="5">
        <f>IF('ORDENES'!$A506="","",IF('ORDENES'!$AB506="","-",'ORDENES'!$AB506))</f>
        <v/>
      </c>
      <c r="G528" s="5">
        <f>IF('ORDENES'!$A506="","",IF('ORDENES'!$Z506="","-",'ORDENES'!$Z506))</f>
        <v/>
      </c>
      <c r="H528" s="5">
        <f>IF('ORDENES'!$A506="","",IF('ORDENES'!$AH506="","-",'ORDENES'!$AH506))</f>
        <v/>
      </c>
      <c r="I528" s="5">
        <f>IF('ORDENES'!$A506="","",IF('ORDENES'!$AU506="","-",'ORDENES'!$AU506))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3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IF('ORDENES'!$A506="","",'ORDENES'!$AG506)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IF('ORDENES'!$A507="","",IF('ORDENES'!$AI507="","-",'ORDENES'!$AI507))</f>
        <v/>
      </c>
      <c r="D529" s="5">
        <f>IF('ORDENES'!$A507="","",IF('ORDENES'!$AA507="","-",'ORDENES'!$AA507))</f>
        <v/>
      </c>
      <c r="E529" s="5">
        <f>IF('ORDENES'!$A507="","",IF('ORDENES'!$Y507="","-",'ORDENES'!$Y507))</f>
        <v/>
      </c>
      <c r="F529" s="5">
        <f>IF('ORDENES'!$A507="","",IF('ORDENES'!$AB507="","-",'ORDENES'!$AB507))</f>
        <v/>
      </c>
      <c r="G529" s="5">
        <f>IF('ORDENES'!$A507="","",IF('ORDENES'!$Z507="","-",'ORDENES'!$Z507))</f>
        <v/>
      </c>
      <c r="H529" s="5">
        <f>IF('ORDENES'!$A507="","",IF('ORDENES'!$AH507="","-",'ORDENES'!$AH507))</f>
        <v/>
      </c>
      <c r="I529" s="5">
        <f>IF('ORDENES'!$A507="","",IF('ORDENES'!$AU507="","-",'ORDENES'!$AU507))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3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IF('ORDENES'!$A507="","",'ORDENES'!$AG507)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IF('ORDENES'!$A508="","",IF('ORDENES'!$AI508="","-",'ORDENES'!$AI508))</f>
        <v/>
      </c>
      <c r="D530" s="5">
        <f>IF('ORDENES'!$A508="","",IF('ORDENES'!$AA508="","-",'ORDENES'!$AA508))</f>
        <v/>
      </c>
      <c r="E530" s="5">
        <f>IF('ORDENES'!$A508="","",IF('ORDENES'!$Y508="","-",'ORDENES'!$Y508))</f>
        <v/>
      </c>
      <c r="F530" s="5">
        <f>IF('ORDENES'!$A508="","",IF('ORDENES'!$AB508="","-",'ORDENES'!$AB508))</f>
        <v/>
      </c>
      <c r="G530" s="5">
        <f>IF('ORDENES'!$A508="","",IF('ORDENES'!$Z508="","-",'ORDENES'!$Z508))</f>
        <v/>
      </c>
      <c r="H530" s="5">
        <f>IF('ORDENES'!$A508="","",IF('ORDENES'!$AH508="","-",'ORDENES'!$AH508))</f>
        <v/>
      </c>
      <c r="I530" s="5">
        <f>IF('ORDENES'!$A508="","",IF('ORDENES'!$AU508="","-",'ORDENES'!$AU508))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3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IF('ORDENES'!$A508="","",'ORDENES'!$AG508)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IF('ORDENES'!$A509="","",IF('ORDENES'!$AI509="","-",'ORDENES'!$AI509))</f>
        <v/>
      </c>
      <c r="D531" s="5">
        <f>IF('ORDENES'!$A509="","",IF('ORDENES'!$AA509="","-",'ORDENES'!$AA509))</f>
        <v/>
      </c>
      <c r="E531" s="5">
        <f>IF('ORDENES'!$A509="","",IF('ORDENES'!$Y509="","-",'ORDENES'!$Y509))</f>
        <v/>
      </c>
      <c r="F531" s="5">
        <f>IF('ORDENES'!$A509="","",IF('ORDENES'!$AB509="","-",'ORDENES'!$AB509))</f>
        <v/>
      </c>
      <c r="G531" s="5">
        <f>IF('ORDENES'!$A509="","",IF('ORDENES'!$Z509="","-",'ORDENES'!$Z509))</f>
        <v/>
      </c>
      <c r="H531" s="5">
        <f>IF('ORDENES'!$A509="","",IF('ORDENES'!$AH509="","-",'ORDENES'!$AH509))</f>
        <v/>
      </c>
      <c r="I531" s="5">
        <f>IF('ORDENES'!$A509="","",IF('ORDENES'!$AU509="","-",'ORDENES'!$AU509))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3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IF('ORDENES'!$A509="","",'ORDENES'!$AG509)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IF('ORDENES'!$A510="","",IF('ORDENES'!$AI510="","-",'ORDENES'!$AI510))</f>
        <v/>
      </c>
      <c r="D532" s="5">
        <f>IF('ORDENES'!$A510="","",IF('ORDENES'!$AA510="","-",'ORDENES'!$AA510))</f>
        <v/>
      </c>
      <c r="E532" s="5">
        <f>IF('ORDENES'!$A510="","",IF('ORDENES'!$Y510="","-",'ORDENES'!$Y510))</f>
        <v/>
      </c>
      <c r="F532" s="5">
        <f>IF('ORDENES'!$A510="","",IF('ORDENES'!$AB510="","-",'ORDENES'!$AB510))</f>
        <v/>
      </c>
      <c r="G532" s="5">
        <f>IF('ORDENES'!$A510="","",IF('ORDENES'!$Z510="","-",'ORDENES'!$Z510))</f>
        <v/>
      </c>
      <c r="H532" s="5">
        <f>IF('ORDENES'!$A510="","",IF('ORDENES'!$AH510="","-",'ORDENES'!$AH510))</f>
        <v/>
      </c>
      <c r="I532" s="5">
        <f>IF('ORDENES'!$A510="","",IF('ORDENES'!$AU510="","-",'ORDENES'!$AU510))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3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IF('ORDENES'!$A510="","",'ORDENES'!$AG510)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IF('ORDENES'!$A511="","",IF('ORDENES'!$AI511="","-",'ORDENES'!$AI511))</f>
        <v/>
      </c>
      <c r="D533" s="5">
        <f>IF('ORDENES'!$A511="","",IF('ORDENES'!$AA511="","-",'ORDENES'!$AA511))</f>
        <v/>
      </c>
      <c r="E533" s="5">
        <f>IF('ORDENES'!$A511="","",IF('ORDENES'!$Y511="","-",'ORDENES'!$Y511))</f>
        <v/>
      </c>
      <c r="F533" s="5">
        <f>IF('ORDENES'!$A511="","",IF('ORDENES'!$AB511="","-",'ORDENES'!$AB511))</f>
        <v/>
      </c>
      <c r="G533" s="5">
        <f>IF('ORDENES'!$A511="","",IF('ORDENES'!$Z511="","-",'ORDENES'!$Z511))</f>
        <v/>
      </c>
      <c r="H533" s="5">
        <f>IF('ORDENES'!$A511="","",IF('ORDENES'!$AH511="","-",'ORDENES'!$AH511))</f>
        <v/>
      </c>
      <c r="I533" s="5">
        <f>IF('ORDENES'!$A511="","",IF('ORDENES'!$AU511="","-",'ORDENES'!$AU511))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3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IF('ORDENES'!$A511="","",'ORDENES'!$AG511)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IF('ORDENES'!$A512="","",IF('ORDENES'!$AI512="","-",'ORDENES'!$AI512))</f>
        <v/>
      </c>
      <c r="D534" s="5">
        <f>IF('ORDENES'!$A512="","",IF('ORDENES'!$AA512="","-",'ORDENES'!$AA512))</f>
        <v/>
      </c>
      <c r="E534" s="5">
        <f>IF('ORDENES'!$A512="","",IF('ORDENES'!$Y512="","-",'ORDENES'!$Y512))</f>
        <v/>
      </c>
      <c r="F534" s="5">
        <f>IF('ORDENES'!$A512="","",IF('ORDENES'!$AB512="","-",'ORDENES'!$AB512))</f>
        <v/>
      </c>
      <c r="G534" s="5">
        <f>IF('ORDENES'!$A512="","",IF('ORDENES'!$Z512="","-",'ORDENES'!$Z512))</f>
        <v/>
      </c>
      <c r="H534" s="5">
        <f>IF('ORDENES'!$A512="","",IF('ORDENES'!$AH512="","-",'ORDENES'!$AH512))</f>
        <v/>
      </c>
      <c r="I534" s="5">
        <f>IF('ORDENES'!$A512="","",IF('ORDENES'!$AU512="","-",'ORDENES'!$AU512))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3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IF('ORDENES'!$A512="","",'ORDENES'!$AG512)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IF('ORDENES'!$A513="","",IF('ORDENES'!$AI513="","-",'ORDENES'!$AI513))</f>
        <v/>
      </c>
      <c r="D535" s="5">
        <f>IF('ORDENES'!$A513="","",IF('ORDENES'!$AA513="","-",'ORDENES'!$AA513))</f>
        <v/>
      </c>
      <c r="E535" s="5">
        <f>IF('ORDENES'!$A513="","",IF('ORDENES'!$Y513="","-",'ORDENES'!$Y513))</f>
        <v/>
      </c>
      <c r="F535" s="5">
        <f>IF('ORDENES'!$A513="","",IF('ORDENES'!$AB513="","-",'ORDENES'!$AB513))</f>
        <v/>
      </c>
      <c r="G535" s="5">
        <f>IF('ORDENES'!$A513="","",IF('ORDENES'!$Z513="","-",'ORDENES'!$Z513))</f>
        <v/>
      </c>
      <c r="H535" s="5">
        <f>IF('ORDENES'!$A513="","",IF('ORDENES'!$AH513="","-",'ORDENES'!$AH513))</f>
        <v/>
      </c>
      <c r="I535" s="5">
        <f>IF('ORDENES'!$A513="","",IF('ORDENES'!$AU513="","-",'ORDENES'!$AU513))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3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IF('ORDENES'!$A513="","",'ORDENES'!$AG513)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IF('ORDENES'!$A514="","",IF('ORDENES'!$AI514="","-",'ORDENES'!$AI514))</f>
        <v/>
      </c>
      <c r="D536" s="5">
        <f>IF('ORDENES'!$A514="","",IF('ORDENES'!$AA514="","-",'ORDENES'!$AA514))</f>
        <v/>
      </c>
      <c r="E536" s="5">
        <f>IF('ORDENES'!$A514="","",IF('ORDENES'!$Y514="","-",'ORDENES'!$Y514))</f>
        <v/>
      </c>
      <c r="F536" s="5">
        <f>IF('ORDENES'!$A514="","",IF('ORDENES'!$AB514="","-",'ORDENES'!$AB514))</f>
        <v/>
      </c>
      <c r="G536" s="5">
        <f>IF('ORDENES'!$A514="","",IF('ORDENES'!$Z514="","-",'ORDENES'!$Z514))</f>
        <v/>
      </c>
      <c r="H536" s="5">
        <f>IF('ORDENES'!$A514="","",IF('ORDENES'!$AH514="","-",'ORDENES'!$AH514))</f>
        <v/>
      </c>
      <c r="I536" s="5">
        <f>IF('ORDENES'!$A514="","",IF('ORDENES'!$AU514="","-",'ORDENES'!$AU514))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3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IF('ORDENES'!$A514="","",'ORDENES'!$AG514)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IF('ORDENES'!$A515="","",IF('ORDENES'!$AI515="","-",'ORDENES'!$AI515))</f>
        <v/>
      </c>
      <c r="D537" s="5">
        <f>IF('ORDENES'!$A515="","",IF('ORDENES'!$AA515="","-",'ORDENES'!$AA515))</f>
        <v/>
      </c>
      <c r="E537" s="5">
        <f>IF('ORDENES'!$A515="","",IF('ORDENES'!$Y515="","-",'ORDENES'!$Y515))</f>
        <v/>
      </c>
      <c r="F537" s="5">
        <f>IF('ORDENES'!$A515="","",IF('ORDENES'!$AB515="","-",'ORDENES'!$AB515))</f>
        <v/>
      </c>
      <c r="G537" s="5">
        <f>IF('ORDENES'!$A515="","",IF('ORDENES'!$Z515="","-",'ORDENES'!$Z515))</f>
        <v/>
      </c>
      <c r="H537" s="5">
        <f>IF('ORDENES'!$A515="","",IF('ORDENES'!$AH515="","-",'ORDENES'!$AH515))</f>
        <v/>
      </c>
      <c r="I537" s="5">
        <f>IF('ORDENES'!$A515="","",IF('ORDENES'!$AU515="","-",'ORDENES'!$AU515))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3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IF('ORDENES'!$A515="","",'ORDENES'!$AG515)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IF('ORDENES'!$A516="","",IF('ORDENES'!$AI516="","-",'ORDENES'!$AI516))</f>
        <v/>
      </c>
      <c r="D538" s="5">
        <f>IF('ORDENES'!$A516="","",IF('ORDENES'!$AA516="","-",'ORDENES'!$AA516))</f>
        <v/>
      </c>
      <c r="E538" s="5">
        <f>IF('ORDENES'!$A516="","",IF('ORDENES'!$Y516="","-",'ORDENES'!$Y516))</f>
        <v/>
      </c>
      <c r="F538" s="5">
        <f>IF('ORDENES'!$A516="","",IF('ORDENES'!$AB516="","-",'ORDENES'!$AB516))</f>
        <v/>
      </c>
      <c r="G538" s="5">
        <f>IF('ORDENES'!$A516="","",IF('ORDENES'!$Z516="","-",'ORDENES'!$Z516))</f>
        <v/>
      </c>
      <c r="H538" s="5">
        <f>IF('ORDENES'!$A516="","",IF('ORDENES'!$AH516="","-",'ORDENES'!$AH516))</f>
        <v/>
      </c>
      <c r="I538" s="5">
        <f>IF('ORDENES'!$A516="","",IF('ORDENES'!$AU516="","-",'ORDENES'!$AU516))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3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IF('ORDENES'!$A516="","",'ORDENES'!$AG516)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IF('ORDENES'!$A517="","",IF('ORDENES'!$AI517="","-",'ORDENES'!$AI517))</f>
        <v/>
      </c>
      <c r="D539" s="5">
        <f>IF('ORDENES'!$A517="","",IF('ORDENES'!$AA517="","-",'ORDENES'!$AA517))</f>
        <v/>
      </c>
      <c r="E539" s="5">
        <f>IF('ORDENES'!$A517="","",IF('ORDENES'!$Y517="","-",'ORDENES'!$Y517))</f>
        <v/>
      </c>
      <c r="F539" s="5">
        <f>IF('ORDENES'!$A517="","",IF('ORDENES'!$AB517="","-",'ORDENES'!$AB517))</f>
        <v/>
      </c>
      <c r="G539" s="5">
        <f>IF('ORDENES'!$A517="","",IF('ORDENES'!$Z517="","-",'ORDENES'!$Z517))</f>
        <v/>
      </c>
      <c r="H539" s="5">
        <f>IF('ORDENES'!$A517="","",IF('ORDENES'!$AH517="","-",'ORDENES'!$AH517))</f>
        <v/>
      </c>
      <c r="I539" s="5">
        <f>IF('ORDENES'!$A517="","",IF('ORDENES'!$AU517="","-",'ORDENES'!$AU517))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3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IF('ORDENES'!$A517="","",'ORDENES'!$AG517)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IF('ORDENES'!$A518="","",IF('ORDENES'!$AI518="","-",'ORDENES'!$AI518))</f>
        <v/>
      </c>
      <c r="D540" s="5">
        <f>IF('ORDENES'!$A518="","",IF('ORDENES'!$AA518="","-",'ORDENES'!$AA518))</f>
        <v/>
      </c>
      <c r="E540" s="5">
        <f>IF('ORDENES'!$A518="","",IF('ORDENES'!$Y518="","-",'ORDENES'!$Y518))</f>
        <v/>
      </c>
      <c r="F540" s="5">
        <f>IF('ORDENES'!$A518="","",IF('ORDENES'!$AB518="","-",'ORDENES'!$AB518))</f>
        <v/>
      </c>
      <c r="G540" s="5">
        <f>IF('ORDENES'!$A518="","",IF('ORDENES'!$Z518="","-",'ORDENES'!$Z518))</f>
        <v/>
      </c>
      <c r="H540" s="5">
        <f>IF('ORDENES'!$A518="","",IF('ORDENES'!$AH518="","-",'ORDENES'!$AH518))</f>
        <v/>
      </c>
      <c r="I540" s="5">
        <f>IF('ORDENES'!$A518="","",IF('ORDENES'!$AU518="","-",'ORDENES'!$AU518))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3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IF('ORDENES'!$A518="","",'ORDENES'!$AG518)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IF('ORDENES'!$A519="","",IF('ORDENES'!$AI519="","-",'ORDENES'!$AI519))</f>
        <v/>
      </c>
      <c r="D541" s="5">
        <f>IF('ORDENES'!$A519="","",IF('ORDENES'!$AA519="","-",'ORDENES'!$AA519))</f>
        <v/>
      </c>
      <c r="E541" s="5">
        <f>IF('ORDENES'!$A519="","",IF('ORDENES'!$Y519="","-",'ORDENES'!$Y519))</f>
        <v/>
      </c>
      <c r="F541" s="5">
        <f>IF('ORDENES'!$A519="","",IF('ORDENES'!$AB519="","-",'ORDENES'!$AB519))</f>
        <v/>
      </c>
      <c r="G541" s="5">
        <f>IF('ORDENES'!$A519="","",IF('ORDENES'!$Z519="","-",'ORDENES'!$Z519))</f>
        <v/>
      </c>
      <c r="H541" s="5">
        <f>IF('ORDENES'!$A519="","",IF('ORDENES'!$AH519="","-",'ORDENES'!$AH519))</f>
        <v/>
      </c>
      <c r="I541" s="5">
        <f>IF('ORDENES'!$A519="","",IF('ORDENES'!$AU519="","-",'ORDENES'!$AU519))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3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IF('ORDENES'!$A519="","",'ORDENES'!$AG519)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IF('ORDENES'!$A520="","",IF('ORDENES'!$AI520="","-",'ORDENES'!$AI520))</f>
        <v/>
      </c>
      <c r="D542" s="5">
        <f>IF('ORDENES'!$A520="","",IF('ORDENES'!$AA520="","-",'ORDENES'!$AA520))</f>
        <v/>
      </c>
      <c r="E542" s="5">
        <f>IF('ORDENES'!$A520="","",IF('ORDENES'!$Y520="","-",'ORDENES'!$Y520))</f>
        <v/>
      </c>
      <c r="F542" s="5">
        <f>IF('ORDENES'!$A520="","",IF('ORDENES'!$AB520="","-",'ORDENES'!$AB520))</f>
        <v/>
      </c>
      <c r="G542" s="5">
        <f>IF('ORDENES'!$A520="","",IF('ORDENES'!$Z520="","-",'ORDENES'!$Z520))</f>
        <v/>
      </c>
      <c r="H542" s="5">
        <f>IF('ORDENES'!$A520="","",IF('ORDENES'!$AH520="","-",'ORDENES'!$AH520))</f>
        <v/>
      </c>
      <c r="I542" s="5">
        <f>IF('ORDENES'!$A520="","",IF('ORDENES'!$AU520="","-",'ORDENES'!$AU520))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3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IF('ORDENES'!$A520="","",'ORDENES'!$AG520)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IF('ORDENES'!$A521="","",IF('ORDENES'!$AI521="","-",'ORDENES'!$AI521))</f>
        <v/>
      </c>
      <c r="D543" s="5">
        <f>IF('ORDENES'!$A521="","",IF('ORDENES'!$AA521="","-",'ORDENES'!$AA521))</f>
        <v/>
      </c>
      <c r="E543" s="5">
        <f>IF('ORDENES'!$A521="","",IF('ORDENES'!$Y521="","-",'ORDENES'!$Y521))</f>
        <v/>
      </c>
      <c r="F543" s="5">
        <f>IF('ORDENES'!$A521="","",IF('ORDENES'!$AB521="","-",'ORDENES'!$AB521))</f>
        <v/>
      </c>
      <c r="G543" s="5">
        <f>IF('ORDENES'!$A521="","",IF('ORDENES'!$Z521="","-",'ORDENES'!$Z521))</f>
        <v/>
      </c>
      <c r="H543" s="5">
        <f>IF('ORDENES'!$A521="","",IF('ORDENES'!$AH521="","-",'ORDENES'!$AH521))</f>
        <v/>
      </c>
      <c r="I543" s="5">
        <f>IF('ORDENES'!$A521="","",IF('ORDENES'!$AU521="","-",'ORDENES'!$AU521))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3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IF('ORDENES'!$A521="","",'ORDENES'!$AG521)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IF('ORDENES'!$A522="","",IF('ORDENES'!$AI522="","-",'ORDENES'!$AI522))</f>
        <v/>
      </c>
      <c r="D544" s="5">
        <f>IF('ORDENES'!$A522="","",IF('ORDENES'!$AA522="","-",'ORDENES'!$AA522))</f>
        <v/>
      </c>
      <c r="E544" s="5">
        <f>IF('ORDENES'!$A522="","",IF('ORDENES'!$Y522="","-",'ORDENES'!$Y522))</f>
        <v/>
      </c>
      <c r="F544" s="5">
        <f>IF('ORDENES'!$A522="","",IF('ORDENES'!$AB522="","-",'ORDENES'!$AB522))</f>
        <v/>
      </c>
      <c r="G544" s="5">
        <f>IF('ORDENES'!$A522="","",IF('ORDENES'!$Z522="","-",'ORDENES'!$Z522))</f>
        <v/>
      </c>
      <c r="H544" s="5">
        <f>IF('ORDENES'!$A522="","",IF('ORDENES'!$AH522="","-",'ORDENES'!$AH522))</f>
        <v/>
      </c>
      <c r="I544" s="5">
        <f>IF('ORDENES'!$A522="","",IF('ORDENES'!$AU522="","-",'ORDENES'!$AU522))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3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IF('ORDENES'!$A522="","",'ORDENES'!$AG522)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IF('ORDENES'!$A523="","",IF('ORDENES'!$AI523="","-",'ORDENES'!$AI523))</f>
        <v/>
      </c>
      <c r="D545" s="5">
        <f>IF('ORDENES'!$A523="","",IF('ORDENES'!$AA523="","-",'ORDENES'!$AA523))</f>
        <v/>
      </c>
      <c r="E545" s="5">
        <f>IF('ORDENES'!$A523="","",IF('ORDENES'!$Y523="","-",'ORDENES'!$Y523))</f>
        <v/>
      </c>
      <c r="F545" s="5">
        <f>IF('ORDENES'!$A523="","",IF('ORDENES'!$AB523="","-",'ORDENES'!$AB523))</f>
        <v/>
      </c>
      <c r="G545" s="5">
        <f>IF('ORDENES'!$A523="","",IF('ORDENES'!$Z523="","-",'ORDENES'!$Z523))</f>
        <v/>
      </c>
      <c r="H545" s="5">
        <f>IF('ORDENES'!$A523="","",IF('ORDENES'!$AH523="","-",'ORDENES'!$AH523))</f>
        <v/>
      </c>
      <c r="I545" s="5">
        <f>IF('ORDENES'!$A523="","",IF('ORDENES'!$AU523="","-",'ORDENES'!$AU523))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3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IF('ORDENES'!$A523="","",'ORDENES'!$AG523)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IF('ORDENES'!$A524="","",IF('ORDENES'!$AI524="","-",'ORDENES'!$AI524))</f>
        <v/>
      </c>
      <c r="D546" s="5">
        <f>IF('ORDENES'!$A524="","",IF('ORDENES'!$AA524="","-",'ORDENES'!$AA524))</f>
        <v/>
      </c>
      <c r="E546" s="5">
        <f>IF('ORDENES'!$A524="","",IF('ORDENES'!$Y524="","-",'ORDENES'!$Y524))</f>
        <v/>
      </c>
      <c r="F546" s="5">
        <f>IF('ORDENES'!$A524="","",IF('ORDENES'!$AB524="","-",'ORDENES'!$AB524))</f>
        <v/>
      </c>
      <c r="G546" s="5">
        <f>IF('ORDENES'!$A524="","",IF('ORDENES'!$Z524="","-",'ORDENES'!$Z524))</f>
        <v/>
      </c>
      <c r="H546" s="5">
        <f>IF('ORDENES'!$A524="","",IF('ORDENES'!$AH524="","-",'ORDENES'!$AH524))</f>
        <v/>
      </c>
      <c r="I546" s="5">
        <f>IF('ORDENES'!$A524="","",IF('ORDENES'!$AU524="","-",'ORDENES'!$AU524))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3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IF('ORDENES'!$A524="","",'ORDENES'!$AG524)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IF('ORDENES'!$A525="","",IF('ORDENES'!$AI525="","-",'ORDENES'!$AI525))</f>
        <v/>
      </c>
      <c r="D547" s="5">
        <f>IF('ORDENES'!$A525="","",IF('ORDENES'!$AA525="","-",'ORDENES'!$AA525))</f>
        <v/>
      </c>
      <c r="E547" s="5">
        <f>IF('ORDENES'!$A525="","",IF('ORDENES'!$Y525="","-",'ORDENES'!$Y525))</f>
        <v/>
      </c>
      <c r="F547" s="5">
        <f>IF('ORDENES'!$A525="","",IF('ORDENES'!$AB525="","-",'ORDENES'!$AB525))</f>
        <v/>
      </c>
      <c r="G547" s="5">
        <f>IF('ORDENES'!$A525="","",IF('ORDENES'!$Z525="","-",'ORDENES'!$Z525))</f>
        <v/>
      </c>
      <c r="H547" s="5">
        <f>IF('ORDENES'!$A525="","",IF('ORDENES'!$AH525="","-",'ORDENES'!$AH525))</f>
        <v/>
      </c>
      <c r="I547" s="5">
        <f>IF('ORDENES'!$A525="","",IF('ORDENES'!$AU525="","-",'ORDENES'!$AU525))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3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IF('ORDENES'!$A525="","",'ORDENES'!$AG525)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IF('ORDENES'!$A526="","",IF('ORDENES'!$AI526="","-",'ORDENES'!$AI526))</f>
        <v/>
      </c>
      <c r="D548" s="5">
        <f>IF('ORDENES'!$A526="","",IF('ORDENES'!$AA526="","-",'ORDENES'!$AA526))</f>
        <v/>
      </c>
      <c r="E548" s="5">
        <f>IF('ORDENES'!$A526="","",IF('ORDENES'!$Y526="","-",'ORDENES'!$Y526))</f>
        <v/>
      </c>
      <c r="F548" s="5">
        <f>IF('ORDENES'!$A526="","",IF('ORDENES'!$AB526="","-",'ORDENES'!$AB526))</f>
        <v/>
      </c>
      <c r="G548" s="5">
        <f>IF('ORDENES'!$A526="","",IF('ORDENES'!$Z526="","-",'ORDENES'!$Z526))</f>
        <v/>
      </c>
      <c r="H548" s="5">
        <f>IF('ORDENES'!$A526="","",IF('ORDENES'!$AH526="","-",'ORDENES'!$AH526))</f>
        <v/>
      </c>
      <c r="I548" s="5">
        <f>IF('ORDENES'!$A526="","",IF('ORDENES'!$AU526="","-",'ORDENES'!$AU526))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3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IF('ORDENES'!$A526="","",'ORDENES'!$AG526)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IF('ORDENES'!$A527="","",IF('ORDENES'!$AI527="","-",'ORDENES'!$AI527))</f>
        <v/>
      </c>
      <c r="D549" s="5">
        <f>IF('ORDENES'!$A527="","",IF('ORDENES'!$AA527="","-",'ORDENES'!$AA527))</f>
        <v/>
      </c>
      <c r="E549" s="5">
        <f>IF('ORDENES'!$A527="","",IF('ORDENES'!$Y527="","-",'ORDENES'!$Y527))</f>
        <v/>
      </c>
      <c r="F549" s="5">
        <f>IF('ORDENES'!$A527="","",IF('ORDENES'!$AB527="","-",'ORDENES'!$AB527))</f>
        <v/>
      </c>
      <c r="G549" s="5">
        <f>IF('ORDENES'!$A527="","",IF('ORDENES'!$Z527="","-",'ORDENES'!$Z527))</f>
        <v/>
      </c>
      <c r="H549" s="5">
        <f>IF('ORDENES'!$A527="","",IF('ORDENES'!$AH527="","-",'ORDENES'!$AH527))</f>
        <v/>
      </c>
      <c r="I549" s="5">
        <f>IF('ORDENES'!$A527="","",IF('ORDENES'!$AU527="","-",'ORDENES'!$AU527))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3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IF('ORDENES'!$A527="","",'ORDENES'!$AG527)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IF('ORDENES'!$A528="","",IF('ORDENES'!$AI528="","-",'ORDENES'!$AI528))</f>
        <v/>
      </c>
      <c r="D550" s="5">
        <f>IF('ORDENES'!$A528="","",IF('ORDENES'!$AA528="","-",'ORDENES'!$AA528))</f>
        <v/>
      </c>
      <c r="E550" s="5">
        <f>IF('ORDENES'!$A528="","",IF('ORDENES'!$Y528="","-",'ORDENES'!$Y528))</f>
        <v/>
      </c>
      <c r="F550" s="5">
        <f>IF('ORDENES'!$A528="","",IF('ORDENES'!$AB528="","-",'ORDENES'!$AB528))</f>
        <v/>
      </c>
      <c r="G550" s="5">
        <f>IF('ORDENES'!$A528="","",IF('ORDENES'!$Z528="","-",'ORDENES'!$Z528))</f>
        <v/>
      </c>
      <c r="H550" s="5">
        <f>IF('ORDENES'!$A528="","",IF('ORDENES'!$AH528="","-",'ORDENES'!$AH528))</f>
        <v/>
      </c>
      <c r="I550" s="5">
        <f>IF('ORDENES'!$A528="","",IF('ORDENES'!$AU528="","-",'ORDENES'!$AU528))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3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IF('ORDENES'!$A528="","",'ORDENES'!$AG528)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IF('ORDENES'!$A529="","",IF('ORDENES'!$AI529="","-",'ORDENES'!$AI529))</f>
        <v/>
      </c>
      <c r="D551" s="5">
        <f>IF('ORDENES'!$A529="","",IF('ORDENES'!$AA529="","-",'ORDENES'!$AA529))</f>
        <v/>
      </c>
      <c r="E551" s="5">
        <f>IF('ORDENES'!$A529="","",IF('ORDENES'!$Y529="","-",'ORDENES'!$Y529))</f>
        <v/>
      </c>
      <c r="F551" s="5">
        <f>IF('ORDENES'!$A529="","",IF('ORDENES'!$AB529="","-",'ORDENES'!$AB529))</f>
        <v/>
      </c>
      <c r="G551" s="5">
        <f>IF('ORDENES'!$A529="","",IF('ORDENES'!$Z529="","-",'ORDENES'!$Z529))</f>
        <v/>
      </c>
      <c r="H551" s="5">
        <f>IF('ORDENES'!$A529="","",IF('ORDENES'!$AH529="","-",'ORDENES'!$AH529))</f>
        <v/>
      </c>
      <c r="I551" s="5">
        <f>IF('ORDENES'!$A529="","",IF('ORDENES'!$AU529="","-",'ORDENES'!$AU529))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3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IF('ORDENES'!$A529="","",'ORDENES'!$AG529)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IF('ORDENES'!$A530="","",IF('ORDENES'!$AI530="","-",'ORDENES'!$AI530))</f>
        <v/>
      </c>
      <c r="D552" s="5">
        <f>IF('ORDENES'!$A530="","",IF('ORDENES'!$AA530="","-",'ORDENES'!$AA530))</f>
        <v/>
      </c>
      <c r="E552" s="5">
        <f>IF('ORDENES'!$A530="","",IF('ORDENES'!$Y530="","-",'ORDENES'!$Y530))</f>
        <v/>
      </c>
      <c r="F552" s="5">
        <f>IF('ORDENES'!$A530="","",IF('ORDENES'!$AB530="","-",'ORDENES'!$AB530))</f>
        <v/>
      </c>
      <c r="G552" s="5">
        <f>IF('ORDENES'!$A530="","",IF('ORDENES'!$Z530="","-",'ORDENES'!$Z530))</f>
        <v/>
      </c>
      <c r="H552" s="5">
        <f>IF('ORDENES'!$A530="","",IF('ORDENES'!$AH530="","-",'ORDENES'!$AH530))</f>
        <v/>
      </c>
      <c r="I552" s="5">
        <f>IF('ORDENES'!$A530="","",IF('ORDENES'!$AU530="","-",'ORDENES'!$AU530))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3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IF('ORDENES'!$A530="","",'ORDENES'!$AG530)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IF('ORDENES'!$A531="","",IF('ORDENES'!$AI531="","-",'ORDENES'!$AI531))</f>
        <v/>
      </c>
      <c r="D553" s="5">
        <f>IF('ORDENES'!$A531="","",IF('ORDENES'!$AA531="","-",'ORDENES'!$AA531))</f>
        <v/>
      </c>
      <c r="E553" s="5">
        <f>IF('ORDENES'!$A531="","",IF('ORDENES'!$Y531="","-",'ORDENES'!$Y531))</f>
        <v/>
      </c>
      <c r="F553" s="5">
        <f>IF('ORDENES'!$A531="","",IF('ORDENES'!$AB531="","-",'ORDENES'!$AB531))</f>
        <v/>
      </c>
      <c r="G553" s="5">
        <f>IF('ORDENES'!$A531="","",IF('ORDENES'!$Z531="","-",'ORDENES'!$Z531))</f>
        <v/>
      </c>
      <c r="H553" s="5">
        <f>IF('ORDENES'!$A531="","",IF('ORDENES'!$AH531="","-",'ORDENES'!$AH531))</f>
        <v/>
      </c>
      <c r="I553" s="5">
        <f>IF('ORDENES'!$A531="","",IF('ORDENES'!$AU531="","-",'ORDENES'!$AU531))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3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IF('ORDENES'!$A531="","",'ORDENES'!$AG531)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IF('ORDENES'!$A532="","",IF('ORDENES'!$AI532="","-",'ORDENES'!$AI532))</f>
        <v/>
      </c>
      <c r="D554" s="5">
        <f>IF('ORDENES'!$A532="","",IF('ORDENES'!$AA532="","-",'ORDENES'!$AA532))</f>
        <v/>
      </c>
      <c r="E554" s="5">
        <f>IF('ORDENES'!$A532="","",IF('ORDENES'!$Y532="","-",'ORDENES'!$Y532))</f>
        <v/>
      </c>
      <c r="F554" s="5">
        <f>IF('ORDENES'!$A532="","",IF('ORDENES'!$AB532="","-",'ORDENES'!$AB532))</f>
        <v/>
      </c>
      <c r="G554" s="5">
        <f>IF('ORDENES'!$A532="","",IF('ORDENES'!$Z532="","-",'ORDENES'!$Z532))</f>
        <v/>
      </c>
      <c r="H554" s="5">
        <f>IF('ORDENES'!$A532="","",IF('ORDENES'!$AH532="","-",'ORDENES'!$AH532))</f>
        <v/>
      </c>
      <c r="I554" s="5">
        <f>IF('ORDENES'!$A532="","",IF('ORDENES'!$AU532="","-",'ORDENES'!$AU532))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3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IF('ORDENES'!$A532="","",'ORDENES'!$AG532)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IF('ORDENES'!$A533="","",IF('ORDENES'!$AI533="","-",'ORDENES'!$AI533))</f>
        <v/>
      </c>
      <c r="D555" s="5">
        <f>IF('ORDENES'!$A533="","",IF('ORDENES'!$AA533="","-",'ORDENES'!$AA533))</f>
        <v/>
      </c>
      <c r="E555" s="5">
        <f>IF('ORDENES'!$A533="","",IF('ORDENES'!$Y533="","-",'ORDENES'!$Y533))</f>
        <v/>
      </c>
      <c r="F555" s="5">
        <f>IF('ORDENES'!$A533="","",IF('ORDENES'!$AB533="","-",'ORDENES'!$AB533))</f>
        <v/>
      </c>
      <c r="G555" s="5">
        <f>IF('ORDENES'!$A533="","",IF('ORDENES'!$Z533="","-",'ORDENES'!$Z533))</f>
        <v/>
      </c>
      <c r="H555" s="5">
        <f>IF('ORDENES'!$A533="","",IF('ORDENES'!$AH533="","-",'ORDENES'!$AH533))</f>
        <v/>
      </c>
      <c r="I555" s="5">
        <f>IF('ORDENES'!$A533="","",IF('ORDENES'!$AU533="","-",'ORDENES'!$AU533))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3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IF('ORDENES'!$A533="","",'ORDENES'!$AG533)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IF('ORDENES'!$A534="","",IF('ORDENES'!$AI534="","-",'ORDENES'!$AI534))</f>
        <v/>
      </c>
      <c r="D556" s="5">
        <f>IF('ORDENES'!$A534="","",IF('ORDENES'!$AA534="","-",'ORDENES'!$AA534))</f>
        <v/>
      </c>
      <c r="E556" s="5">
        <f>IF('ORDENES'!$A534="","",IF('ORDENES'!$Y534="","-",'ORDENES'!$Y534))</f>
        <v/>
      </c>
      <c r="F556" s="5">
        <f>IF('ORDENES'!$A534="","",IF('ORDENES'!$AB534="","-",'ORDENES'!$AB534))</f>
        <v/>
      </c>
      <c r="G556" s="5">
        <f>IF('ORDENES'!$A534="","",IF('ORDENES'!$Z534="","-",'ORDENES'!$Z534))</f>
        <v/>
      </c>
      <c r="H556" s="5">
        <f>IF('ORDENES'!$A534="","",IF('ORDENES'!$AH534="","-",'ORDENES'!$AH534))</f>
        <v/>
      </c>
      <c r="I556" s="5">
        <f>IF('ORDENES'!$A534="","",IF('ORDENES'!$AU534="","-",'ORDENES'!$AU534))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3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IF('ORDENES'!$A534="","",'ORDENES'!$AG534)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IF('ORDENES'!$A535="","",IF('ORDENES'!$AI535="","-",'ORDENES'!$AI535))</f>
        <v/>
      </c>
      <c r="D557" s="5">
        <f>IF('ORDENES'!$A535="","",IF('ORDENES'!$AA535="","-",'ORDENES'!$AA535))</f>
        <v/>
      </c>
      <c r="E557" s="5">
        <f>IF('ORDENES'!$A535="","",IF('ORDENES'!$Y535="","-",'ORDENES'!$Y535))</f>
        <v/>
      </c>
      <c r="F557" s="5">
        <f>IF('ORDENES'!$A535="","",IF('ORDENES'!$AB535="","-",'ORDENES'!$AB535))</f>
        <v/>
      </c>
      <c r="G557" s="5">
        <f>IF('ORDENES'!$A535="","",IF('ORDENES'!$Z535="","-",'ORDENES'!$Z535))</f>
        <v/>
      </c>
      <c r="H557" s="5">
        <f>IF('ORDENES'!$A535="","",IF('ORDENES'!$AH535="","-",'ORDENES'!$AH535))</f>
        <v/>
      </c>
      <c r="I557" s="5">
        <f>IF('ORDENES'!$A535="","",IF('ORDENES'!$AU535="","-",'ORDENES'!$AU535))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3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IF('ORDENES'!$A535="","",'ORDENES'!$AG535)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IF('ORDENES'!$A536="","",IF('ORDENES'!$AI536="","-",'ORDENES'!$AI536))</f>
        <v/>
      </c>
      <c r="D558" s="5">
        <f>IF('ORDENES'!$A536="","",IF('ORDENES'!$AA536="","-",'ORDENES'!$AA536))</f>
        <v/>
      </c>
      <c r="E558" s="5">
        <f>IF('ORDENES'!$A536="","",IF('ORDENES'!$Y536="","-",'ORDENES'!$Y536))</f>
        <v/>
      </c>
      <c r="F558" s="5">
        <f>IF('ORDENES'!$A536="","",IF('ORDENES'!$AB536="","-",'ORDENES'!$AB536))</f>
        <v/>
      </c>
      <c r="G558" s="5">
        <f>IF('ORDENES'!$A536="","",IF('ORDENES'!$Z536="","-",'ORDENES'!$Z536))</f>
        <v/>
      </c>
      <c r="H558" s="5">
        <f>IF('ORDENES'!$A536="","",IF('ORDENES'!$AH536="","-",'ORDENES'!$AH536))</f>
        <v/>
      </c>
      <c r="I558" s="5">
        <f>IF('ORDENES'!$A536="","",IF('ORDENES'!$AU536="","-",'ORDENES'!$AU536))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3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IF('ORDENES'!$A536="","",'ORDENES'!$AG536)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IF('ORDENES'!$A537="","",IF('ORDENES'!$AI537="","-",'ORDENES'!$AI537))</f>
        <v/>
      </c>
      <c r="D559" s="5">
        <f>IF('ORDENES'!$A537="","",IF('ORDENES'!$AA537="","-",'ORDENES'!$AA537))</f>
        <v/>
      </c>
      <c r="E559" s="5">
        <f>IF('ORDENES'!$A537="","",IF('ORDENES'!$Y537="","-",'ORDENES'!$Y537))</f>
        <v/>
      </c>
      <c r="F559" s="5">
        <f>IF('ORDENES'!$A537="","",IF('ORDENES'!$AB537="","-",'ORDENES'!$AB537))</f>
        <v/>
      </c>
      <c r="G559" s="5">
        <f>IF('ORDENES'!$A537="","",IF('ORDENES'!$Z537="","-",'ORDENES'!$Z537))</f>
        <v/>
      </c>
      <c r="H559" s="5">
        <f>IF('ORDENES'!$A537="","",IF('ORDENES'!$AH537="","-",'ORDENES'!$AH537))</f>
        <v/>
      </c>
      <c r="I559" s="5">
        <f>IF('ORDENES'!$A537="","",IF('ORDENES'!$AU537="","-",'ORDENES'!$AU537))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3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IF('ORDENES'!$A537="","",'ORDENES'!$AG537)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IF('ORDENES'!$A538="","",IF('ORDENES'!$AI538="","-",'ORDENES'!$AI538))</f>
        <v/>
      </c>
      <c r="D560" s="5">
        <f>IF('ORDENES'!$A538="","",IF('ORDENES'!$AA538="","-",'ORDENES'!$AA538))</f>
        <v/>
      </c>
      <c r="E560" s="5">
        <f>IF('ORDENES'!$A538="","",IF('ORDENES'!$Y538="","-",'ORDENES'!$Y538))</f>
        <v/>
      </c>
      <c r="F560" s="5">
        <f>IF('ORDENES'!$A538="","",IF('ORDENES'!$AB538="","-",'ORDENES'!$AB538))</f>
        <v/>
      </c>
      <c r="G560" s="5">
        <f>IF('ORDENES'!$A538="","",IF('ORDENES'!$Z538="","-",'ORDENES'!$Z538))</f>
        <v/>
      </c>
      <c r="H560" s="5">
        <f>IF('ORDENES'!$A538="","",IF('ORDENES'!$AH538="","-",'ORDENES'!$AH538))</f>
        <v/>
      </c>
      <c r="I560" s="5">
        <f>IF('ORDENES'!$A538="","",IF('ORDENES'!$AU538="","-",'ORDENES'!$AU538))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3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IF('ORDENES'!$A538="","",'ORDENES'!$AG538)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IF('ORDENES'!$A539="","",IF('ORDENES'!$AI539="","-",'ORDENES'!$AI539))</f>
        <v/>
      </c>
      <c r="D561" s="5">
        <f>IF('ORDENES'!$A539="","",IF('ORDENES'!$AA539="","-",'ORDENES'!$AA539))</f>
        <v/>
      </c>
      <c r="E561" s="5">
        <f>IF('ORDENES'!$A539="","",IF('ORDENES'!$Y539="","-",'ORDENES'!$Y539))</f>
        <v/>
      </c>
      <c r="F561" s="5">
        <f>IF('ORDENES'!$A539="","",IF('ORDENES'!$AB539="","-",'ORDENES'!$AB539))</f>
        <v/>
      </c>
      <c r="G561" s="5">
        <f>IF('ORDENES'!$A539="","",IF('ORDENES'!$Z539="","-",'ORDENES'!$Z539))</f>
        <v/>
      </c>
      <c r="H561" s="5">
        <f>IF('ORDENES'!$A539="","",IF('ORDENES'!$AH539="","-",'ORDENES'!$AH539))</f>
        <v/>
      </c>
      <c r="I561" s="5">
        <f>IF('ORDENES'!$A539="","",IF('ORDENES'!$AU539="","-",'ORDENES'!$AU539))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3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IF('ORDENES'!$A539="","",'ORDENES'!$AG539)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IF('ORDENES'!$A540="","",IF('ORDENES'!$AI540="","-",'ORDENES'!$AI540))</f>
        <v/>
      </c>
      <c r="D562" s="5">
        <f>IF('ORDENES'!$A540="","",IF('ORDENES'!$AA540="","-",'ORDENES'!$AA540))</f>
        <v/>
      </c>
      <c r="E562" s="5">
        <f>IF('ORDENES'!$A540="","",IF('ORDENES'!$Y540="","-",'ORDENES'!$Y540))</f>
        <v/>
      </c>
      <c r="F562" s="5">
        <f>IF('ORDENES'!$A540="","",IF('ORDENES'!$AB540="","-",'ORDENES'!$AB540))</f>
        <v/>
      </c>
      <c r="G562" s="5">
        <f>IF('ORDENES'!$A540="","",IF('ORDENES'!$Z540="","-",'ORDENES'!$Z540))</f>
        <v/>
      </c>
      <c r="H562" s="5">
        <f>IF('ORDENES'!$A540="","",IF('ORDENES'!$AH540="","-",'ORDENES'!$AH540))</f>
        <v/>
      </c>
      <c r="I562" s="5">
        <f>IF('ORDENES'!$A540="","",IF('ORDENES'!$AU540="","-",'ORDENES'!$AU540))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3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IF('ORDENES'!$A540="","",'ORDENES'!$AG540)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IF('ORDENES'!$A541="","",IF('ORDENES'!$AI541="","-",'ORDENES'!$AI541))</f>
        <v/>
      </c>
      <c r="D563" s="5">
        <f>IF('ORDENES'!$A541="","",IF('ORDENES'!$AA541="","-",'ORDENES'!$AA541))</f>
        <v/>
      </c>
      <c r="E563" s="5">
        <f>IF('ORDENES'!$A541="","",IF('ORDENES'!$Y541="","-",'ORDENES'!$Y541))</f>
        <v/>
      </c>
      <c r="F563" s="5">
        <f>IF('ORDENES'!$A541="","",IF('ORDENES'!$AB541="","-",'ORDENES'!$AB541))</f>
        <v/>
      </c>
      <c r="G563" s="5">
        <f>IF('ORDENES'!$A541="","",IF('ORDENES'!$Z541="","-",'ORDENES'!$Z541))</f>
        <v/>
      </c>
      <c r="H563" s="5">
        <f>IF('ORDENES'!$A541="","",IF('ORDENES'!$AH541="","-",'ORDENES'!$AH541))</f>
        <v/>
      </c>
      <c r="I563" s="5">
        <f>IF('ORDENES'!$A541="","",IF('ORDENES'!$AU541="","-",'ORDENES'!$AU541))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3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IF('ORDENES'!$A541="","",'ORDENES'!$AG541)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IF('ORDENES'!$A542="","",IF('ORDENES'!$AI542="","-",'ORDENES'!$AI542))</f>
        <v/>
      </c>
      <c r="D564" s="5">
        <f>IF('ORDENES'!$A542="","",IF('ORDENES'!$AA542="","-",'ORDENES'!$AA542))</f>
        <v/>
      </c>
      <c r="E564" s="5">
        <f>IF('ORDENES'!$A542="","",IF('ORDENES'!$Y542="","-",'ORDENES'!$Y542))</f>
        <v/>
      </c>
      <c r="F564" s="5">
        <f>IF('ORDENES'!$A542="","",IF('ORDENES'!$AB542="","-",'ORDENES'!$AB542))</f>
        <v/>
      </c>
      <c r="G564" s="5">
        <f>IF('ORDENES'!$A542="","",IF('ORDENES'!$Z542="","-",'ORDENES'!$Z542))</f>
        <v/>
      </c>
      <c r="H564" s="5">
        <f>IF('ORDENES'!$A542="","",IF('ORDENES'!$AH542="","-",'ORDENES'!$AH542))</f>
        <v/>
      </c>
      <c r="I564" s="5">
        <f>IF('ORDENES'!$A542="","",IF('ORDENES'!$AU542="","-",'ORDENES'!$AU542))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3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IF('ORDENES'!$A542="","",'ORDENES'!$AG542)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IF('ORDENES'!$A543="","",IF('ORDENES'!$AI543="","-",'ORDENES'!$AI543))</f>
        <v/>
      </c>
      <c r="D565" s="5">
        <f>IF('ORDENES'!$A543="","",IF('ORDENES'!$AA543="","-",'ORDENES'!$AA543))</f>
        <v/>
      </c>
      <c r="E565" s="5">
        <f>IF('ORDENES'!$A543="","",IF('ORDENES'!$Y543="","-",'ORDENES'!$Y543))</f>
        <v/>
      </c>
      <c r="F565" s="5">
        <f>IF('ORDENES'!$A543="","",IF('ORDENES'!$AB543="","-",'ORDENES'!$AB543))</f>
        <v/>
      </c>
      <c r="G565" s="5">
        <f>IF('ORDENES'!$A543="","",IF('ORDENES'!$Z543="","-",'ORDENES'!$Z543))</f>
        <v/>
      </c>
      <c r="H565" s="5">
        <f>IF('ORDENES'!$A543="","",IF('ORDENES'!$AH543="","-",'ORDENES'!$AH543))</f>
        <v/>
      </c>
      <c r="I565" s="5">
        <f>IF('ORDENES'!$A543="","",IF('ORDENES'!$AU543="","-",'ORDENES'!$AU543))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3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IF('ORDENES'!$A543="","",'ORDENES'!$AG543)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IF('ORDENES'!$A544="","",IF('ORDENES'!$AI544="","-",'ORDENES'!$AI544))</f>
        <v/>
      </c>
      <c r="D566" s="5">
        <f>IF('ORDENES'!$A544="","",IF('ORDENES'!$AA544="","-",'ORDENES'!$AA544))</f>
        <v/>
      </c>
      <c r="E566" s="5">
        <f>IF('ORDENES'!$A544="","",IF('ORDENES'!$Y544="","-",'ORDENES'!$Y544))</f>
        <v/>
      </c>
      <c r="F566" s="5">
        <f>IF('ORDENES'!$A544="","",IF('ORDENES'!$AB544="","-",'ORDENES'!$AB544))</f>
        <v/>
      </c>
      <c r="G566" s="5">
        <f>IF('ORDENES'!$A544="","",IF('ORDENES'!$Z544="","-",'ORDENES'!$Z544))</f>
        <v/>
      </c>
      <c r="H566" s="5">
        <f>IF('ORDENES'!$A544="","",IF('ORDENES'!$AH544="","-",'ORDENES'!$AH544))</f>
        <v/>
      </c>
      <c r="I566" s="5">
        <f>IF('ORDENES'!$A544="","",IF('ORDENES'!$AU544="","-",'ORDENES'!$AU544))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3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IF('ORDENES'!$A544="","",'ORDENES'!$AG544)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IF('ORDENES'!$A545="","",IF('ORDENES'!$AI545="","-",'ORDENES'!$AI545))</f>
        <v/>
      </c>
      <c r="D567" s="5">
        <f>IF('ORDENES'!$A545="","",IF('ORDENES'!$AA545="","-",'ORDENES'!$AA545))</f>
        <v/>
      </c>
      <c r="E567" s="5">
        <f>IF('ORDENES'!$A545="","",IF('ORDENES'!$Y545="","-",'ORDENES'!$Y545))</f>
        <v/>
      </c>
      <c r="F567" s="5">
        <f>IF('ORDENES'!$A545="","",IF('ORDENES'!$AB545="","-",'ORDENES'!$AB545))</f>
        <v/>
      </c>
      <c r="G567" s="5">
        <f>IF('ORDENES'!$A545="","",IF('ORDENES'!$Z545="","-",'ORDENES'!$Z545))</f>
        <v/>
      </c>
      <c r="H567" s="5">
        <f>IF('ORDENES'!$A545="","",IF('ORDENES'!$AH545="","-",'ORDENES'!$AH545))</f>
        <v/>
      </c>
      <c r="I567" s="5">
        <f>IF('ORDENES'!$A545="","",IF('ORDENES'!$AU545="","-",'ORDENES'!$AU545))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3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IF('ORDENES'!$A545="","",'ORDENES'!$AG545)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IF('ORDENES'!$A546="","",IF('ORDENES'!$AI546="","-",'ORDENES'!$AI546))</f>
        <v/>
      </c>
      <c r="D568" s="5">
        <f>IF('ORDENES'!$A546="","",IF('ORDENES'!$AA546="","-",'ORDENES'!$AA546))</f>
        <v/>
      </c>
      <c r="E568" s="5">
        <f>IF('ORDENES'!$A546="","",IF('ORDENES'!$Y546="","-",'ORDENES'!$Y546))</f>
        <v/>
      </c>
      <c r="F568" s="5">
        <f>IF('ORDENES'!$A546="","",IF('ORDENES'!$AB546="","-",'ORDENES'!$AB546))</f>
        <v/>
      </c>
      <c r="G568" s="5">
        <f>IF('ORDENES'!$A546="","",IF('ORDENES'!$Z546="","-",'ORDENES'!$Z546))</f>
        <v/>
      </c>
      <c r="H568" s="5">
        <f>IF('ORDENES'!$A546="","",IF('ORDENES'!$AH546="","-",'ORDENES'!$AH546))</f>
        <v/>
      </c>
      <c r="I568" s="5">
        <f>IF('ORDENES'!$A546="","",IF('ORDENES'!$AU546="","-",'ORDENES'!$AU546))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3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IF('ORDENES'!$A546="","",'ORDENES'!$AG546)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IF('ORDENES'!$A547="","",IF('ORDENES'!$AI547="","-",'ORDENES'!$AI547))</f>
        <v/>
      </c>
      <c r="D569" s="5">
        <f>IF('ORDENES'!$A547="","",IF('ORDENES'!$AA547="","-",'ORDENES'!$AA547))</f>
        <v/>
      </c>
      <c r="E569" s="5">
        <f>IF('ORDENES'!$A547="","",IF('ORDENES'!$Y547="","-",'ORDENES'!$Y547))</f>
        <v/>
      </c>
      <c r="F569" s="5">
        <f>IF('ORDENES'!$A547="","",IF('ORDENES'!$AB547="","-",'ORDENES'!$AB547))</f>
        <v/>
      </c>
      <c r="G569" s="5">
        <f>IF('ORDENES'!$A547="","",IF('ORDENES'!$Z547="","-",'ORDENES'!$Z547))</f>
        <v/>
      </c>
      <c r="H569" s="5">
        <f>IF('ORDENES'!$A547="","",IF('ORDENES'!$AH547="","-",'ORDENES'!$AH547))</f>
        <v/>
      </c>
      <c r="I569" s="5">
        <f>IF('ORDENES'!$A547="","",IF('ORDENES'!$AU547="","-",'ORDENES'!$AU547))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3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IF('ORDENES'!$A547="","",'ORDENES'!$AG547)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IF('ORDENES'!$A548="","",IF('ORDENES'!$AI548="","-",'ORDENES'!$AI548))</f>
        <v/>
      </c>
      <c r="D570" s="5">
        <f>IF('ORDENES'!$A548="","",IF('ORDENES'!$AA548="","-",'ORDENES'!$AA548))</f>
        <v/>
      </c>
      <c r="E570" s="5">
        <f>IF('ORDENES'!$A548="","",IF('ORDENES'!$Y548="","-",'ORDENES'!$Y548))</f>
        <v/>
      </c>
      <c r="F570" s="5">
        <f>IF('ORDENES'!$A548="","",IF('ORDENES'!$AB548="","-",'ORDENES'!$AB548))</f>
        <v/>
      </c>
      <c r="G570" s="5">
        <f>IF('ORDENES'!$A548="","",IF('ORDENES'!$Z548="","-",'ORDENES'!$Z548))</f>
        <v/>
      </c>
      <c r="H570" s="5">
        <f>IF('ORDENES'!$A548="","",IF('ORDENES'!$AH548="","-",'ORDENES'!$AH548))</f>
        <v/>
      </c>
      <c r="I570" s="5">
        <f>IF('ORDENES'!$A548="","",IF('ORDENES'!$AU548="","-",'ORDENES'!$AU548))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3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IF('ORDENES'!$A548="","",'ORDENES'!$AG548)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IF('ORDENES'!$A549="","",IF('ORDENES'!$AI549="","-",'ORDENES'!$AI549))</f>
        <v/>
      </c>
      <c r="D571" s="5">
        <f>IF('ORDENES'!$A549="","",IF('ORDENES'!$AA549="","-",'ORDENES'!$AA549))</f>
        <v/>
      </c>
      <c r="E571" s="5">
        <f>IF('ORDENES'!$A549="","",IF('ORDENES'!$Y549="","-",'ORDENES'!$Y549))</f>
        <v/>
      </c>
      <c r="F571" s="5">
        <f>IF('ORDENES'!$A549="","",IF('ORDENES'!$AB549="","-",'ORDENES'!$AB549))</f>
        <v/>
      </c>
      <c r="G571" s="5">
        <f>IF('ORDENES'!$A549="","",IF('ORDENES'!$Z549="","-",'ORDENES'!$Z549))</f>
        <v/>
      </c>
      <c r="H571" s="5">
        <f>IF('ORDENES'!$A549="","",IF('ORDENES'!$AH549="","-",'ORDENES'!$AH549))</f>
        <v/>
      </c>
      <c r="I571" s="5">
        <f>IF('ORDENES'!$A549="","",IF('ORDENES'!$AU549="","-",'ORDENES'!$AU549))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3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IF('ORDENES'!$A549="","",'ORDENES'!$AG549)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IF('ORDENES'!$A550="","",IF('ORDENES'!$AI550="","-",'ORDENES'!$AI550))</f>
        <v/>
      </c>
      <c r="D572" s="5">
        <f>IF('ORDENES'!$A550="","",IF('ORDENES'!$AA550="","-",'ORDENES'!$AA550))</f>
        <v/>
      </c>
      <c r="E572" s="5">
        <f>IF('ORDENES'!$A550="","",IF('ORDENES'!$Y550="","-",'ORDENES'!$Y550))</f>
        <v/>
      </c>
      <c r="F572" s="5">
        <f>IF('ORDENES'!$A550="","",IF('ORDENES'!$AB550="","-",'ORDENES'!$AB550))</f>
        <v/>
      </c>
      <c r="G572" s="5">
        <f>IF('ORDENES'!$A550="","",IF('ORDENES'!$Z550="","-",'ORDENES'!$Z550))</f>
        <v/>
      </c>
      <c r="H572" s="5">
        <f>IF('ORDENES'!$A550="","",IF('ORDENES'!$AH550="","-",'ORDENES'!$AH550))</f>
        <v/>
      </c>
      <c r="I572" s="5">
        <f>IF('ORDENES'!$A550="","",IF('ORDENES'!$AU550="","-",'ORDENES'!$AU550))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3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IF('ORDENES'!$A550="","",'ORDENES'!$AG550)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IF('ORDENES'!$A551="","",IF('ORDENES'!$AI551="","-",'ORDENES'!$AI551))</f>
        <v/>
      </c>
      <c r="D573" s="5">
        <f>IF('ORDENES'!$A551="","",IF('ORDENES'!$AA551="","-",'ORDENES'!$AA551))</f>
        <v/>
      </c>
      <c r="E573" s="5">
        <f>IF('ORDENES'!$A551="","",IF('ORDENES'!$Y551="","-",'ORDENES'!$Y551))</f>
        <v/>
      </c>
      <c r="F573" s="5">
        <f>IF('ORDENES'!$A551="","",IF('ORDENES'!$AB551="","-",'ORDENES'!$AB551))</f>
        <v/>
      </c>
      <c r="G573" s="5">
        <f>IF('ORDENES'!$A551="","",IF('ORDENES'!$Z551="","-",'ORDENES'!$Z551))</f>
        <v/>
      </c>
      <c r="H573" s="5">
        <f>IF('ORDENES'!$A551="","",IF('ORDENES'!$AH551="","-",'ORDENES'!$AH551))</f>
        <v/>
      </c>
      <c r="I573" s="5">
        <f>IF('ORDENES'!$A551="","",IF('ORDENES'!$AU551="","-",'ORDENES'!$AU551))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3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IF('ORDENES'!$A551="","",'ORDENES'!$AG551)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IF('ORDENES'!$A552="","",IF('ORDENES'!$AI552="","-",'ORDENES'!$AI552))</f>
        <v/>
      </c>
      <c r="D574" s="5">
        <f>IF('ORDENES'!$A552="","",IF('ORDENES'!$AA552="","-",'ORDENES'!$AA552))</f>
        <v/>
      </c>
      <c r="E574" s="5">
        <f>IF('ORDENES'!$A552="","",IF('ORDENES'!$Y552="","-",'ORDENES'!$Y552))</f>
        <v/>
      </c>
      <c r="F574" s="5">
        <f>IF('ORDENES'!$A552="","",IF('ORDENES'!$AB552="","-",'ORDENES'!$AB552))</f>
        <v/>
      </c>
      <c r="G574" s="5">
        <f>IF('ORDENES'!$A552="","",IF('ORDENES'!$Z552="","-",'ORDENES'!$Z552))</f>
        <v/>
      </c>
      <c r="H574" s="5">
        <f>IF('ORDENES'!$A552="","",IF('ORDENES'!$AH552="","-",'ORDENES'!$AH552))</f>
        <v/>
      </c>
      <c r="I574" s="5">
        <f>IF('ORDENES'!$A552="","",IF('ORDENES'!$AU552="","-",'ORDENES'!$AU552))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3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IF('ORDENES'!$A552="","",'ORDENES'!$AG552)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IF('ORDENES'!$A553="","",IF('ORDENES'!$AI553="","-",'ORDENES'!$AI553))</f>
        <v/>
      </c>
      <c r="D575" s="5">
        <f>IF('ORDENES'!$A553="","",IF('ORDENES'!$AA553="","-",'ORDENES'!$AA553))</f>
        <v/>
      </c>
      <c r="E575" s="5">
        <f>IF('ORDENES'!$A553="","",IF('ORDENES'!$Y553="","-",'ORDENES'!$Y553))</f>
        <v/>
      </c>
      <c r="F575" s="5">
        <f>IF('ORDENES'!$A553="","",IF('ORDENES'!$AB553="","-",'ORDENES'!$AB553))</f>
        <v/>
      </c>
      <c r="G575" s="5">
        <f>IF('ORDENES'!$A553="","",IF('ORDENES'!$Z553="","-",'ORDENES'!$Z553))</f>
        <v/>
      </c>
      <c r="H575" s="5">
        <f>IF('ORDENES'!$A553="","",IF('ORDENES'!$AH553="","-",'ORDENES'!$AH553))</f>
        <v/>
      </c>
      <c r="I575" s="5">
        <f>IF('ORDENES'!$A553="","",IF('ORDENES'!$AU553="","-",'ORDENES'!$AU553))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3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IF('ORDENES'!$A553="","",'ORDENES'!$AG553)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IF('ORDENES'!$A554="","",IF('ORDENES'!$AI554="","-",'ORDENES'!$AI554))</f>
        <v/>
      </c>
      <c r="D576" s="5">
        <f>IF('ORDENES'!$A554="","",IF('ORDENES'!$AA554="","-",'ORDENES'!$AA554))</f>
        <v/>
      </c>
      <c r="E576" s="5">
        <f>IF('ORDENES'!$A554="","",IF('ORDENES'!$Y554="","-",'ORDENES'!$Y554))</f>
        <v/>
      </c>
      <c r="F576" s="5">
        <f>IF('ORDENES'!$A554="","",IF('ORDENES'!$AB554="","-",'ORDENES'!$AB554))</f>
        <v/>
      </c>
      <c r="G576" s="5">
        <f>IF('ORDENES'!$A554="","",IF('ORDENES'!$Z554="","-",'ORDENES'!$Z554))</f>
        <v/>
      </c>
      <c r="H576" s="5">
        <f>IF('ORDENES'!$A554="","",IF('ORDENES'!$AH554="","-",'ORDENES'!$AH554))</f>
        <v/>
      </c>
      <c r="I576" s="5">
        <f>IF('ORDENES'!$A554="","",IF('ORDENES'!$AU554="","-",'ORDENES'!$AU554))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3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IF('ORDENES'!$A554="","",'ORDENES'!$AG554)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IF('ORDENES'!$A555="","",IF('ORDENES'!$AI555="","-",'ORDENES'!$AI555))</f>
        <v/>
      </c>
      <c r="D577" s="5">
        <f>IF('ORDENES'!$A555="","",IF('ORDENES'!$AA555="","-",'ORDENES'!$AA555))</f>
        <v/>
      </c>
      <c r="E577" s="5">
        <f>IF('ORDENES'!$A555="","",IF('ORDENES'!$Y555="","-",'ORDENES'!$Y555))</f>
        <v/>
      </c>
      <c r="F577" s="5">
        <f>IF('ORDENES'!$A555="","",IF('ORDENES'!$AB555="","-",'ORDENES'!$AB555))</f>
        <v/>
      </c>
      <c r="G577" s="5">
        <f>IF('ORDENES'!$A555="","",IF('ORDENES'!$Z555="","-",'ORDENES'!$Z555))</f>
        <v/>
      </c>
      <c r="H577" s="5">
        <f>IF('ORDENES'!$A555="","",IF('ORDENES'!$AH555="","-",'ORDENES'!$AH555))</f>
        <v/>
      </c>
      <c r="I577" s="5">
        <f>IF('ORDENES'!$A555="","",IF('ORDENES'!$AU555="","-",'ORDENES'!$AU555))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3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IF('ORDENES'!$A555="","",'ORDENES'!$AG555)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IF('ORDENES'!$A556="","",IF('ORDENES'!$AI556="","-",'ORDENES'!$AI556))</f>
        <v/>
      </c>
      <c r="D578" s="5">
        <f>IF('ORDENES'!$A556="","",IF('ORDENES'!$AA556="","-",'ORDENES'!$AA556))</f>
        <v/>
      </c>
      <c r="E578" s="5">
        <f>IF('ORDENES'!$A556="","",IF('ORDENES'!$Y556="","-",'ORDENES'!$Y556))</f>
        <v/>
      </c>
      <c r="F578" s="5">
        <f>IF('ORDENES'!$A556="","",IF('ORDENES'!$AB556="","-",'ORDENES'!$AB556))</f>
        <v/>
      </c>
      <c r="G578" s="5">
        <f>IF('ORDENES'!$A556="","",IF('ORDENES'!$Z556="","-",'ORDENES'!$Z556))</f>
        <v/>
      </c>
      <c r="H578" s="5">
        <f>IF('ORDENES'!$A556="","",IF('ORDENES'!$AH556="","-",'ORDENES'!$AH556))</f>
        <v/>
      </c>
      <c r="I578" s="5">
        <f>IF('ORDENES'!$A556="","",IF('ORDENES'!$AU556="","-",'ORDENES'!$AU556))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3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IF('ORDENES'!$A556="","",'ORDENES'!$AG556)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IF('ORDENES'!$A557="","",IF('ORDENES'!$AI557="","-",'ORDENES'!$AI557))</f>
        <v/>
      </c>
      <c r="D579" s="5">
        <f>IF('ORDENES'!$A557="","",IF('ORDENES'!$AA557="","-",'ORDENES'!$AA557))</f>
        <v/>
      </c>
      <c r="E579" s="5">
        <f>IF('ORDENES'!$A557="","",IF('ORDENES'!$Y557="","-",'ORDENES'!$Y557))</f>
        <v/>
      </c>
      <c r="F579" s="5">
        <f>IF('ORDENES'!$A557="","",IF('ORDENES'!$AB557="","-",'ORDENES'!$AB557))</f>
        <v/>
      </c>
      <c r="G579" s="5">
        <f>IF('ORDENES'!$A557="","",IF('ORDENES'!$Z557="","-",'ORDENES'!$Z557))</f>
        <v/>
      </c>
      <c r="H579" s="5">
        <f>IF('ORDENES'!$A557="","",IF('ORDENES'!$AH557="","-",'ORDENES'!$AH557))</f>
        <v/>
      </c>
      <c r="I579" s="5">
        <f>IF('ORDENES'!$A557="","",IF('ORDENES'!$AU557="","-",'ORDENES'!$AU557))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3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IF('ORDENES'!$A557="","",'ORDENES'!$AG557)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IF('ORDENES'!$A558="","",IF('ORDENES'!$AI558="","-",'ORDENES'!$AI558))</f>
        <v/>
      </c>
      <c r="D580" s="5">
        <f>IF('ORDENES'!$A558="","",IF('ORDENES'!$AA558="","-",'ORDENES'!$AA558))</f>
        <v/>
      </c>
      <c r="E580" s="5">
        <f>IF('ORDENES'!$A558="","",IF('ORDENES'!$Y558="","-",'ORDENES'!$Y558))</f>
        <v/>
      </c>
      <c r="F580" s="5">
        <f>IF('ORDENES'!$A558="","",IF('ORDENES'!$AB558="","-",'ORDENES'!$AB558))</f>
        <v/>
      </c>
      <c r="G580" s="5">
        <f>IF('ORDENES'!$A558="","",IF('ORDENES'!$Z558="","-",'ORDENES'!$Z558))</f>
        <v/>
      </c>
      <c r="H580" s="5">
        <f>IF('ORDENES'!$A558="","",IF('ORDENES'!$AH558="","-",'ORDENES'!$AH558))</f>
        <v/>
      </c>
      <c r="I580" s="5">
        <f>IF('ORDENES'!$A558="","",IF('ORDENES'!$AU558="","-",'ORDENES'!$AU558))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3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IF('ORDENES'!$A558="","",'ORDENES'!$AG558)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IF('ORDENES'!$A559="","",IF('ORDENES'!$AI559="","-",'ORDENES'!$AI559))</f>
        <v/>
      </c>
      <c r="D581" s="5">
        <f>IF('ORDENES'!$A559="","",IF('ORDENES'!$AA559="","-",'ORDENES'!$AA559))</f>
        <v/>
      </c>
      <c r="E581" s="5">
        <f>IF('ORDENES'!$A559="","",IF('ORDENES'!$Y559="","-",'ORDENES'!$Y559))</f>
        <v/>
      </c>
      <c r="F581" s="5">
        <f>IF('ORDENES'!$A559="","",IF('ORDENES'!$AB559="","-",'ORDENES'!$AB559))</f>
        <v/>
      </c>
      <c r="G581" s="5">
        <f>IF('ORDENES'!$A559="","",IF('ORDENES'!$Z559="","-",'ORDENES'!$Z559))</f>
        <v/>
      </c>
      <c r="H581" s="5">
        <f>IF('ORDENES'!$A559="","",IF('ORDENES'!$AH559="","-",'ORDENES'!$AH559))</f>
        <v/>
      </c>
      <c r="I581" s="5">
        <f>IF('ORDENES'!$A559="","",IF('ORDENES'!$AU559="","-",'ORDENES'!$AU559))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3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IF('ORDENES'!$A559="","",'ORDENES'!$AG559)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IF('ORDENES'!$A560="","",IF('ORDENES'!$AI560="","-",'ORDENES'!$AI560))</f>
        <v/>
      </c>
      <c r="D582" s="5">
        <f>IF('ORDENES'!$A560="","",IF('ORDENES'!$AA560="","-",'ORDENES'!$AA560))</f>
        <v/>
      </c>
      <c r="E582" s="5">
        <f>IF('ORDENES'!$A560="","",IF('ORDENES'!$Y560="","-",'ORDENES'!$Y560))</f>
        <v/>
      </c>
      <c r="F582" s="5">
        <f>IF('ORDENES'!$A560="","",IF('ORDENES'!$AB560="","-",'ORDENES'!$AB560))</f>
        <v/>
      </c>
      <c r="G582" s="5">
        <f>IF('ORDENES'!$A560="","",IF('ORDENES'!$Z560="","-",'ORDENES'!$Z560))</f>
        <v/>
      </c>
      <c r="H582" s="5">
        <f>IF('ORDENES'!$A560="","",IF('ORDENES'!$AH560="","-",'ORDENES'!$AH560))</f>
        <v/>
      </c>
      <c r="I582" s="5">
        <f>IF('ORDENES'!$A560="","",IF('ORDENES'!$AU560="","-",'ORDENES'!$AU560))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3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IF('ORDENES'!$A560="","",'ORDENES'!$AG560)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IF('ORDENES'!$A561="","",IF('ORDENES'!$AI561="","-",'ORDENES'!$AI561))</f>
        <v/>
      </c>
      <c r="D583" s="5">
        <f>IF('ORDENES'!$A561="","",IF('ORDENES'!$AA561="","-",'ORDENES'!$AA561))</f>
        <v/>
      </c>
      <c r="E583" s="5">
        <f>IF('ORDENES'!$A561="","",IF('ORDENES'!$Y561="","-",'ORDENES'!$Y561))</f>
        <v/>
      </c>
      <c r="F583" s="5">
        <f>IF('ORDENES'!$A561="","",IF('ORDENES'!$AB561="","-",'ORDENES'!$AB561))</f>
        <v/>
      </c>
      <c r="G583" s="5">
        <f>IF('ORDENES'!$A561="","",IF('ORDENES'!$Z561="","-",'ORDENES'!$Z561))</f>
        <v/>
      </c>
      <c r="H583" s="5">
        <f>IF('ORDENES'!$A561="","",IF('ORDENES'!$AH561="","-",'ORDENES'!$AH561))</f>
        <v/>
      </c>
      <c r="I583" s="5">
        <f>IF('ORDENES'!$A561="","",IF('ORDENES'!$AU561="","-",'ORDENES'!$AU561))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3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IF('ORDENES'!$A561="","",'ORDENES'!$AG561)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IF('ORDENES'!$A562="","",IF('ORDENES'!$AI562="","-",'ORDENES'!$AI562))</f>
        <v/>
      </c>
      <c r="D584" s="5">
        <f>IF('ORDENES'!$A562="","",IF('ORDENES'!$AA562="","-",'ORDENES'!$AA562))</f>
        <v/>
      </c>
      <c r="E584" s="5">
        <f>IF('ORDENES'!$A562="","",IF('ORDENES'!$Y562="","-",'ORDENES'!$Y562))</f>
        <v/>
      </c>
      <c r="F584" s="5">
        <f>IF('ORDENES'!$A562="","",IF('ORDENES'!$AB562="","-",'ORDENES'!$AB562))</f>
        <v/>
      </c>
      <c r="G584" s="5">
        <f>IF('ORDENES'!$A562="","",IF('ORDENES'!$Z562="","-",'ORDENES'!$Z562))</f>
        <v/>
      </c>
      <c r="H584" s="5">
        <f>IF('ORDENES'!$A562="","",IF('ORDENES'!$AH562="","-",'ORDENES'!$AH562))</f>
        <v/>
      </c>
      <c r="I584" s="5">
        <f>IF('ORDENES'!$A562="","",IF('ORDENES'!$AU562="","-",'ORDENES'!$AU562))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3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IF('ORDENES'!$A562="","",'ORDENES'!$AG562)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IF('ORDENES'!$A563="","",IF('ORDENES'!$AI563="","-",'ORDENES'!$AI563))</f>
        <v/>
      </c>
      <c r="D585" s="5">
        <f>IF('ORDENES'!$A563="","",IF('ORDENES'!$AA563="","-",'ORDENES'!$AA563))</f>
        <v/>
      </c>
      <c r="E585" s="5">
        <f>IF('ORDENES'!$A563="","",IF('ORDENES'!$Y563="","-",'ORDENES'!$Y563))</f>
        <v/>
      </c>
      <c r="F585" s="5">
        <f>IF('ORDENES'!$A563="","",IF('ORDENES'!$AB563="","-",'ORDENES'!$AB563))</f>
        <v/>
      </c>
      <c r="G585" s="5">
        <f>IF('ORDENES'!$A563="","",IF('ORDENES'!$Z563="","-",'ORDENES'!$Z563))</f>
        <v/>
      </c>
      <c r="H585" s="5">
        <f>IF('ORDENES'!$A563="","",IF('ORDENES'!$AH563="","-",'ORDENES'!$AH563))</f>
        <v/>
      </c>
      <c r="I585" s="5">
        <f>IF('ORDENES'!$A563="","",IF('ORDENES'!$AU563="","-",'ORDENES'!$AU563))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3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IF('ORDENES'!$A563="","",'ORDENES'!$AG563)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IF('ORDENES'!$A564="","",IF('ORDENES'!$AI564="","-",'ORDENES'!$AI564))</f>
        <v/>
      </c>
      <c r="D586" s="5">
        <f>IF('ORDENES'!$A564="","",IF('ORDENES'!$AA564="","-",'ORDENES'!$AA564))</f>
        <v/>
      </c>
      <c r="E586" s="5">
        <f>IF('ORDENES'!$A564="","",IF('ORDENES'!$Y564="","-",'ORDENES'!$Y564))</f>
        <v/>
      </c>
      <c r="F586" s="5">
        <f>IF('ORDENES'!$A564="","",IF('ORDENES'!$AB564="","-",'ORDENES'!$AB564))</f>
        <v/>
      </c>
      <c r="G586" s="5">
        <f>IF('ORDENES'!$A564="","",IF('ORDENES'!$Z564="","-",'ORDENES'!$Z564))</f>
        <v/>
      </c>
      <c r="H586" s="5">
        <f>IF('ORDENES'!$A564="","",IF('ORDENES'!$AH564="","-",'ORDENES'!$AH564))</f>
        <v/>
      </c>
      <c r="I586" s="5">
        <f>IF('ORDENES'!$A564="","",IF('ORDENES'!$AU564="","-",'ORDENES'!$AU564))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3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IF('ORDENES'!$A564="","",'ORDENES'!$AG564)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IF('ORDENES'!$A565="","",IF('ORDENES'!$AI565="","-",'ORDENES'!$AI565))</f>
        <v/>
      </c>
      <c r="D587" s="5">
        <f>IF('ORDENES'!$A565="","",IF('ORDENES'!$AA565="","-",'ORDENES'!$AA565))</f>
        <v/>
      </c>
      <c r="E587" s="5">
        <f>IF('ORDENES'!$A565="","",IF('ORDENES'!$Y565="","-",'ORDENES'!$Y565))</f>
        <v/>
      </c>
      <c r="F587" s="5">
        <f>IF('ORDENES'!$A565="","",IF('ORDENES'!$AB565="","-",'ORDENES'!$AB565))</f>
        <v/>
      </c>
      <c r="G587" s="5">
        <f>IF('ORDENES'!$A565="","",IF('ORDENES'!$Z565="","-",'ORDENES'!$Z565))</f>
        <v/>
      </c>
      <c r="H587" s="5">
        <f>IF('ORDENES'!$A565="","",IF('ORDENES'!$AH565="","-",'ORDENES'!$AH565))</f>
        <v/>
      </c>
      <c r="I587" s="5">
        <f>IF('ORDENES'!$A565="","",IF('ORDENES'!$AU565="","-",'ORDENES'!$AU565))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3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IF('ORDENES'!$A565="","",'ORDENES'!$AG565)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IF('ORDENES'!$A566="","",IF('ORDENES'!$AI566="","-",'ORDENES'!$AI566))</f>
        <v/>
      </c>
      <c r="D588" s="5">
        <f>IF('ORDENES'!$A566="","",IF('ORDENES'!$AA566="","-",'ORDENES'!$AA566))</f>
        <v/>
      </c>
      <c r="E588" s="5">
        <f>IF('ORDENES'!$A566="","",IF('ORDENES'!$Y566="","-",'ORDENES'!$Y566))</f>
        <v/>
      </c>
      <c r="F588" s="5">
        <f>IF('ORDENES'!$A566="","",IF('ORDENES'!$AB566="","-",'ORDENES'!$AB566))</f>
        <v/>
      </c>
      <c r="G588" s="5">
        <f>IF('ORDENES'!$A566="","",IF('ORDENES'!$Z566="","-",'ORDENES'!$Z566))</f>
        <v/>
      </c>
      <c r="H588" s="5">
        <f>IF('ORDENES'!$A566="","",IF('ORDENES'!$AH566="","-",'ORDENES'!$AH566))</f>
        <v/>
      </c>
      <c r="I588" s="5">
        <f>IF('ORDENES'!$A566="","",IF('ORDENES'!$AU566="","-",'ORDENES'!$AU566))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3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IF('ORDENES'!$A566="","",'ORDENES'!$AG566)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IF('ORDENES'!$A567="","",IF('ORDENES'!$AI567="","-",'ORDENES'!$AI567))</f>
        <v/>
      </c>
      <c r="D589" s="5">
        <f>IF('ORDENES'!$A567="","",IF('ORDENES'!$AA567="","-",'ORDENES'!$AA567))</f>
        <v/>
      </c>
      <c r="E589" s="5">
        <f>IF('ORDENES'!$A567="","",IF('ORDENES'!$Y567="","-",'ORDENES'!$Y567))</f>
        <v/>
      </c>
      <c r="F589" s="5">
        <f>IF('ORDENES'!$A567="","",IF('ORDENES'!$AB567="","-",'ORDENES'!$AB567))</f>
        <v/>
      </c>
      <c r="G589" s="5">
        <f>IF('ORDENES'!$A567="","",IF('ORDENES'!$Z567="","-",'ORDENES'!$Z567))</f>
        <v/>
      </c>
      <c r="H589" s="5">
        <f>IF('ORDENES'!$A567="","",IF('ORDENES'!$AH567="","-",'ORDENES'!$AH567))</f>
        <v/>
      </c>
      <c r="I589" s="5">
        <f>IF('ORDENES'!$A567="","",IF('ORDENES'!$AU567="","-",'ORDENES'!$AU567))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3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IF('ORDENES'!$A567="","",'ORDENES'!$AG567)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IF('ORDENES'!$A568="","",IF('ORDENES'!$AI568="","-",'ORDENES'!$AI568))</f>
        <v/>
      </c>
      <c r="D590" s="5">
        <f>IF('ORDENES'!$A568="","",IF('ORDENES'!$AA568="","-",'ORDENES'!$AA568))</f>
        <v/>
      </c>
      <c r="E590" s="5">
        <f>IF('ORDENES'!$A568="","",IF('ORDENES'!$Y568="","-",'ORDENES'!$Y568))</f>
        <v/>
      </c>
      <c r="F590" s="5">
        <f>IF('ORDENES'!$A568="","",IF('ORDENES'!$AB568="","-",'ORDENES'!$AB568))</f>
        <v/>
      </c>
      <c r="G590" s="5">
        <f>IF('ORDENES'!$A568="","",IF('ORDENES'!$Z568="","-",'ORDENES'!$Z568))</f>
        <v/>
      </c>
      <c r="H590" s="5">
        <f>IF('ORDENES'!$A568="","",IF('ORDENES'!$AH568="","-",'ORDENES'!$AH568))</f>
        <v/>
      </c>
      <c r="I590" s="5">
        <f>IF('ORDENES'!$A568="","",IF('ORDENES'!$AU568="","-",'ORDENES'!$AU568))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3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IF('ORDENES'!$A568="","",'ORDENES'!$AG568)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IF('ORDENES'!$A569="","",IF('ORDENES'!$AI569="","-",'ORDENES'!$AI569))</f>
        <v/>
      </c>
      <c r="D591" s="5">
        <f>IF('ORDENES'!$A569="","",IF('ORDENES'!$AA569="","-",'ORDENES'!$AA569))</f>
        <v/>
      </c>
      <c r="E591" s="5">
        <f>IF('ORDENES'!$A569="","",IF('ORDENES'!$Y569="","-",'ORDENES'!$Y569))</f>
        <v/>
      </c>
      <c r="F591" s="5">
        <f>IF('ORDENES'!$A569="","",IF('ORDENES'!$AB569="","-",'ORDENES'!$AB569))</f>
        <v/>
      </c>
      <c r="G591" s="5">
        <f>IF('ORDENES'!$A569="","",IF('ORDENES'!$Z569="","-",'ORDENES'!$Z569))</f>
        <v/>
      </c>
      <c r="H591" s="5">
        <f>IF('ORDENES'!$A569="","",IF('ORDENES'!$AH569="","-",'ORDENES'!$AH569))</f>
        <v/>
      </c>
      <c r="I591" s="5">
        <f>IF('ORDENES'!$A569="","",IF('ORDENES'!$AU569="","-",'ORDENES'!$AU569))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3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IF('ORDENES'!$A569="","",'ORDENES'!$AG569)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IF('ORDENES'!$A570="","",IF('ORDENES'!$AI570="","-",'ORDENES'!$AI570))</f>
        <v/>
      </c>
      <c r="D592" s="5">
        <f>IF('ORDENES'!$A570="","",IF('ORDENES'!$AA570="","-",'ORDENES'!$AA570))</f>
        <v/>
      </c>
      <c r="E592" s="5">
        <f>IF('ORDENES'!$A570="","",IF('ORDENES'!$Y570="","-",'ORDENES'!$Y570))</f>
        <v/>
      </c>
      <c r="F592" s="5">
        <f>IF('ORDENES'!$A570="","",IF('ORDENES'!$AB570="","-",'ORDENES'!$AB570))</f>
        <v/>
      </c>
      <c r="G592" s="5">
        <f>IF('ORDENES'!$A570="","",IF('ORDENES'!$Z570="","-",'ORDENES'!$Z570))</f>
        <v/>
      </c>
      <c r="H592" s="5">
        <f>IF('ORDENES'!$A570="","",IF('ORDENES'!$AH570="","-",'ORDENES'!$AH570))</f>
        <v/>
      </c>
      <c r="I592" s="5">
        <f>IF('ORDENES'!$A570="","",IF('ORDENES'!$AU570="","-",'ORDENES'!$AU570))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3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IF('ORDENES'!$A570="","",'ORDENES'!$AG570)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IF('ORDENES'!$A571="","",IF('ORDENES'!$AI571="","-",'ORDENES'!$AI571))</f>
        <v/>
      </c>
      <c r="D593" s="5">
        <f>IF('ORDENES'!$A571="","",IF('ORDENES'!$AA571="","-",'ORDENES'!$AA571))</f>
        <v/>
      </c>
      <c r="E593" s="5">
        <f>IF('ORDENES'!$A571="","",IF('ORDENES'!$Y571="","-",'ORDENES'!$Y571))</f>
        <v/>
      </c>
      <c r="F593" s="5">
        <f>IF('ORDENES'!$A571="","",IF('ORDENES'!$AB571="","-",'ORDENES'!$AB571))</f>
        <v/>
      </c>
      <c r="G593" s="5">
        <f>IF('ORDENES'!$A571="","",IF('ORDENES'!$Z571="","-",'ORDENES'!$Z571))</f>
        <v/>
      </c>
      <c r="H593" s="5">
        <f>IF('ORDENES'!$A571="","",IF('ORDENES'!$AH571="","-",'ORDENES'!$AH571))</f>
        <v/>
      </c>
      <c r="I593" s="5">
        <f>IF('ORDENES'!$A571="","",IF('ORDENES'!$AU571="","-",'ORDENES'!$AU571))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3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IF('ORDENES'!$A571="","",'ORDENES'!$AG571)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IF('ORDENES'!$A572="","",IF('ORDENES'!$AI572="","-",'ORDENES'!$AI572))</f>
        <v/>
      </c>
      <c r="D594" s="5">
        <f>IF('ORDENES'!$A572="","",IF('ORDENES'!$AA572="","-",'ORDENES'!$AA572))</f>
        <v/>
      </c>
      <c r="E594" s="5">
        <f>IF('ORDENES'!$A572="","",IF('ORDENES'!$Y572="","-",'ORDENES'!$Y572))</f>
        <v/>
      </c>
      <c r="F594" s="5">
        <f>IF('ORDENES'!$A572="","",IF('ORDENES'!$AB572="","-",'ORDENES'!$AB572))</f>
        <v/>
      </c>
      <c r="G594" s="5">
        <f>IF('ORDENES'!$A572="","",IF('ORDENES'!$Z572="","-",'ORDENES'!$Z572))</f>
        <v/>
      </c>
      <c r="H594" s="5">
        <f>IF('ORDENES'!$A572="","",IF('ORDENES'!$AH572="","-",'ORDENES'!$AH572))</f>
        <v/>
      </c>
      <c r="I594" s="5">
        <f>IF('ORDENES'!$A572="","",IF('ORDENES'!$AU572="","-",'ORDENES'!$AU572))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3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IF('ORDENES'!$A572="","",'ORDENES'!$AG572)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IF('ORDENES'!$A573="","",IF('ORDENES'!$AI573="","-",'ORDENES'!$AI573))</f>
        <v/>
      </c>
      <c r="D595" s="5">
        <f>IF('ORDENES'!$A573="","",IF('ORDENES'!$AA573="","-",'ORDENES'!$AA573))</f>
        <v/>
      </c>
      <c r="E595" s="5">
        <f>IF('ORDENES'!$A573="","",IF('ORDENES'!$Y573="","-",'ORDENES'!$Y573))</f>
        <v/>
      </c>
      <c r="F595" s="5">
        <f>IF('ORDENES'!$A573="","",IF('ORDENES'!$AB573="","-",'ORDENES'!$AB573))</f>
        <v/>
      </c>
      <c r="G595" s="5">
        <f>IF('ORDENES'!$A573="","",IF('ORDENES'!$Z573="","-",'ORDENES'!$Z573))</f>
        <v/>
      </c>
      <c r="H595" s="5">
        <f>IF('ORDENES'!$A573="","",IF('ORDENES'!$AH573="","-",'ORDENES'!$AH573))</f>
        <v/>
      </c>
      <c r="I595" s="5">
        <f>IF('ORDENES'!$A573="","",IF('ORDENES'!$AU573="","-",'ORDENES'!$AU573))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3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IF('ORDENES'!$A573="","",'ORDENES'!$AG573)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IF('ORDENES'!$A574="","",IF('ORDENES'!$AI574="","-",'ORDENES'!$AI574))</f>
        <v/>
      </c>
      <c r="D596" s="5">
        <f>IF('ORDENES'!$A574="","",IF('ORDENES'!$AA574="","-",'ORDENES'!$AA574))</f>
        <v/>
      </c>
      <c r="E596" s="5">
        <f>IF('ORDENES'!$A574="","",IF('ORDENES'!$Y574="","-",'ORDENES'!$Y574))</f>
        <v/>
      </c>
      <c r="F596" s="5">
        <f>IF('ORDENES'!$A574="","",IF('ORDENES'!$AB574="","-",'ORDENES'!$AB574))</f>
        <v/>
      </c>
      <c r="G596" s="5">
        <f>IF('ORDENES'!$A574="","",IF('ORDENES'!$Z574="","-",'ORDENES'!$Z574))</f>
        <v/>
      </c>
      <c r="H596" s="5">
        <f>IF('ORDENES'!$A574="","",IF('ORDENES'!$AH574="","-",'ORDENES'!$AH574))</f>
        <v/>
      </c>
      <c r="I596" s="5">
        <f>IF('ORDENES'!$A574="","",IF('ORDENES'!$AU574="","-",'ORDENES'!$AU574))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3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IF('ORDENES'!$A574="","",'ORDENES'!$AG574)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IF('ORDENES'!$A575="","",IF('ORDENES'!$AI575="","-",'ORDENES'!$AI575))</f>
        <v/>
      </c>
      <c r="D597" s="5">
        <f>IF('ORDENES'!$A575="","",IF('ORDENES'!$AA575="","-",'ORDENES'!$AA575))</f>
        <v/>
      </c>
      <c r="E597" s="5">
        <f>IF('ORDENES'!$A575="","",IF('ORDENES'!$Y575="","-",'ORDENES'!$Y575))</f>
        <v/>
      </c>
      <c r="F597" s="5">
        <f>IF('ORDENES'!$A575="","",IF('ORDENES'!$AB575="","-",'ORDENES'!$AB575))</f>
        <v/>
      </c>
      <c r="G597" s="5">
        <f>IF('ORDENES'!$A575="","",IF('ORDENES'!$Z575="","-",'ORDENES'!$Z575))</f>
        <v/>
      </c>
      <c r="H597" s="5">
        <f>IF('ORDENES'!$A575="","",IF('ORDENES'!$AH575="","-",'ORDENES'!$AH575))</f>
        <v/>
      </c>
      <c r="I597" s="5">
        <f>IF('ORDENES'!$A575="","",IF('ORDENES'!$AU575="","-",'ORDENES'!$AU575))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3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IF('ORDENES'!$A575="","",'ORDENES'!$AG575)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IF('ORDENES'!$A576="","",IF('ORDENES'!$AI576="","-",'ORDENES'!$AI576))</f>
        <v/>
      </c>
      <c r="D598" s="5">
        <f>IF('ORDENES'!$A576="","",IF('ORDENES'!$AA576="","-",'ORDENES'!$AA576))</f>
        <v/>
      </c>
      <c r="E598" s="5">
        <f>IF('ORDENES'!$A576="","",IF('ORDENES'!$Y576="","-",'ORDENES'!$Y576))</f>
        <v/>
      </c>
      <c r="F598" s="5">
        <f>IF('ORDENES'!$A576="","",IF('ORDENES'!$AB576="","-",'ORDENES'!$AB576))</f>
        <v/>
      </c>
      <c r="G598" s="5">
        <f>IF('ORDENES'!$A576="","",IF('ORDENES'!$Z576="","-",'ORDENES'!$Z576))</f>
        <v/>
      </c>
      <c r="H598" s="5">
        <f>IF('ORDENES'!$A576="","",IF('ORDENES'!$AH576="","-",'ORDENES'!$AH576))</f>
        <v/>
      </c>
      <c r="I598" s="5">
        <f>IF('ORDENES'!$A576="","",IF('ORDENES'!$AU576="","-",'ORDENES'!$AU576))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3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IF('ORDENES'!$A576="","",'ORDENES'!$AG576)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IF('ORDENES'!$A577="","",IF('ORDENES'!$AI577="","-",'ORDENES'!$AI577))</f>
        <v/>
      </c>
      <c r="D599" s="5">
        <f>IF('ORDENES'!$A577="","",IF('ORDENES'!$AA577="","-",'ORDENES'!$AA577))</f>
        <v/>
      </c>
      <c r="E599" s="5">
        <f>IF('ORDENES'!$A577="","",IF('ORDENES'!$Y577="","-",'ORDENES'!$Y577))</f>
        <v/>
      </c>
      <c r="F599" s="5">
        <f>IF('ORDENES'!$A577="","",IF('ORDENES'!$AB577="","-",'ORDENES'!$AB577))</f>
        <v/>
      </c>
      <c r="G599" s="5">
        <f>IF('ORDENES'!$A577="","",IF('ORDENES'!$Z577="","-",'ORDENES'!$Z577))</f>
        <v/>
      </c>
      <c r="H599" s="5">
        <f>IF('ORDENES'!$A577="","",IF('ORDENES'!$AH577="","-",'ORDENES'!$AH577))</f>
        <v/>
      </c>
      <c r="I599" s="5">
        <f>IF('ORDENES'!$A577="","",IF('ORDENES'!$AU577="","-",'ORDENES'!$AU577))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3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IF('ORDENES'!$A577="","",'ORDENES'!$AG577)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IF('ORDENES'!$A578="","",IF('ORDENES'!$AI578="","-",'ORDENES'!$AI578))</f>
        <v/>
      </c>
      <c r="D600" s="5">
        <f>IF('ORDENES'!$A578="","",IF('ORDENES'!$AA578="","-",'ORDENES'!$AA578))</f>
        <v/>
      </c>
      <c r="E600" s="5">
        <f>IF('ORDENES'!$A578="","",IF('ORDENES'!$Y578="","-",'ORDENES'!$Y578))</f>
        <v/>
      </c>
      <c r="F600" s="5">
        <f>IF('ORDENES'!$A578="","",IF('ORDENES'!$AB578="","-",'ORDENES'!$AB578))</f>
        <v/>
      </c>
      <c r="G600" s="5">
        <f>IF('ORDENES'!$A578="","",IF('ORDENES'!$Z578="","-",'ORDENES'!$Z578))</f>
        <v/>
      </c>
      <c r="H600" s="5">
        <f>IF('ORDENES'!$A578="","",IF('ORDENES'!$AH578="","-",'ORDENES'!$AH578))</f>
        <v/>
      </c>
      <c r="I600" s="5">
        <f>IF('ORDENES'!$A578="","",IF('ORDENES'!$AU578="","-",'ORDENES'!$AU578))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3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IF('ORDENES'!$A578="","",'ORDENES'!$AG578)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IF('ORDENES'!$A579="","",IF('ORDENES'!$AI579="","-",'ORDENES'!$AI579))</f>
        <v/>
      </c>
      <c r="D601" s="5">
        <f>IF('ORDENES'!$A579="","",IF('ORDENES'!$AA579="","-",'ORDENES'!$AA579))</f>
        <v/>
      </c>
      <c r="E601" s="5">
        <f>IF('ORDENES'!$A579="","",IF('ORDENES'!$Y579="","-",'ORDENES'!$Y579))</f>
        <v/>
      </c>
      <c r="F601" s="5">
        <f>IF('ORDENES'!$A579="","",IF('ORDENES'!$AB579="","-",'ORDENES'!$AB579))</f>
        <v/>
      </c>
      <c r="G601" s="5">
        <f>IF('ORDENES'!$A579="","",IF('ORDENES'!$Z579="","-",'ORDENES'!$Z579))</f>
        <v/>
      </c>
      <c r="H601" s="5">
        <f>IF('ORDENES'!$A579="","",IF('ORDENES'!$AH579="","-",'ORDENES'!$AH579))</f>
        <v/>
      </c>
      <c r="I601" s="5">
        <f>IF('ORDENES'!$A579="","",IF('ORDENES'!$AU579="","-",'ORDENES'!$AU579))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3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IF('ORDENES'!$A579="","",'ORDENES'!$AG579)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IF('ORDENES'!$A580="","",IF('ORDENES'!$AI580="","-",'ORDENES'!$AI580))</f>
        <v/>
      </c>
      <c r="D602" s="5">
        <f>IF('ORDENES'!$A580="","",IF('ORDENES'!$AA580="","-",'ORDENES'!$AA580))</f>
        <v/>
      </c>
      <c r="E602" s="5">
        <f>IF('ORDENES'!$A580="","",IF('ORDENES'!$Y580="","-",'ORDENES'!$Y580))</f>
        <v/>
      </c>
      <c r="F602" s="5">
        <f>IF('ORDENES'!$A580="","",IF('ORDENES'!$AB580="","-",'ORDENES'!$AB580))</f>
        <v/>
      </c>
      <c r="G602" s="5">
        <f>IF('ORDENES'!$A580="","",IF('ORDENES'!$Z580="","-",'ORDENES'!$Z580))</f>
        <v/>
      </c>
      <c r="H602" s="5">
        <f>IF('ORDENES'!$A580="","",IF('ORDENES'!$AH580="","-",'ORDENES'!$AH580))</f>
        <v/>
      </c>
      <c r="I602" s="5">
        <f>IF('ORDENES'!$A580="","",IF('ORDENES'!$AU580="","-",'ORDENES'!$AU580))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3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IF('ORDENES'!$A580="","",'ORDENES'!$AG580)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IF('ORDENES'!$A581="","",IF('ORDENES'!$AI581="","-",'ORDENES'!$AI581))</f>
        <v/>
      </c>
      <c r="D603" s="5">
        <f>IF('ORDENES'!$A581="","",IF('ORDENES'!$AA581="","-",'ORDENES'!$AA581))</f>
        <v/>
      </c>
      <c r="E603" s="5">
        <f>IF('ORDENES'!$A581="","",IF('ORDENES'!$Y581="","-",'ORDENES'!$Y581))</f>
        <v/>
      </c>
      <c r="F603" s="5">
        <f>IF('ORDENES'!$A581="","",IF('ORDENES'!$AB581="","-",'ORDENES'!$AB581))</f>
        <v/>
      </c>
      <c r="G603" s="5">
        <f>IF('ORDENES'!$A581="","",IF('ORDENES'!$Z581="","-",'ORDENES'!$Z581))</f>
        <v/>
      </c>
      <c r="H603" s="5">
        <f>IF('ORDENES'!$A581="","",IF('ORDENES'!$AH581="","-",'ORDENES'!$AH581))</f>
        <v/>
      </c>
      <c r="I603" s="5">
        <f>IF('ORDENES'!$A581="","",IF('ORDENES'!$AU581="","-",'ORDENES'!$AU581))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3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IF('ORDENES'!$A581="","",'ORDENES'!$AG581)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IF('ORDENES'!$A582="","",IF('ORDENES'!$AI582="","-",'ORDENES'!$AI582))</f>
        <v/>
      </c>
      <c r="D604" s="5">
        <f>IF('ORDENES'!$A582="","",IF('ORDENES'!$AA582="","-",'ORDENES'!$AA582))</f>
        <v/>
      </c>
      <c r="E604" s="5">
        <f>IF('ORDENES'!$A582="","",IF('ORDENES'!$Y582="","-",'ORDENES'!$Y582))</f>
        <v/>
      </c>
      <c r="F604" s="5">
        <f>IF('ORDENES'!$A582="","",IF('ORDENES'!$AB582="","-",'ORDENES'!$AB582))</f>
        <v/>
      </c>
      <c r="G604" s="5">
        <f>IF('ORDENES'!$A582="","",IF('ORDENES'!$Z582="","-",'ORDENES'!$Z582))</f>
        <v/>
      </c>
      <c r="H604" s="5">
        <f>IF('ORDENES'!$A582="","",IF('ORDENES'!$AH582="","-",'ORDENES'!$AH582))</f>
        <v/>
      </c>
      <c r="I604" s="5">
        <f>IF('ORDENES'!$A582="","",IF('ORDENES'!$AU582="","-",'ORDENES'!$AU582))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3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IF('ORDENES'!$A582="","",'ORDENES'!$AG582)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IF('ORDENES'!$A583="","",IF('ORDENES'!$AI583="","-",'ORDENES'!$AI583))</f>
        <v/>
      </c>
      <c r="D605" s="5">
        <f>IF('ORDENES'!$A583="","",IF('ORDENES'!$AA583="","-",'ORDENES'!$AA583))</f>
        <v/>
      </c>
      <c r="E605" s="5">
        <f>IF('ORDENES'!$A583="","",IF('ORDENES'!$Y583="","-",'ORDENES'!$Y583))</f>
        <v/>
      </c>
      <c r="F605" s="5">
        <f>IF('ORDENES'!$A583="","",IF('ORDENES'!$AB583="","-",'ORDENES'!$AB583))</f>
        <v/>
      </c>
      <c r="G605" s="5">
        <f>IF('ORDENES'!$A583="","",IF('ORDENES'!$Z583="","-",'ORDENES'!$Z583))</f>
        <v/>
      </c>
      <c r="H605" s="5">
        <f>IF('ORDENES'!$A583="","",IF('ORDENES'!$AH583="","-",'ORDENES'!$AH583))</f>
        <v/>
      </c>
      <c r="I605" s="5">
        <f>IF('ORDENES'!$A583="","",IF('ORDENES'!$AU583="","-",'ORDENES'!$AU583))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3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IF('ORDENES'!$A583="","",'ORDENES'!$AG583)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IF('ORDENES'!$A584="","",IF('ORDENES'!$AI584="","-",'ORDENES'!$AI584))</f>
        <v/>
      </c>
      <c r="D606" s="5">
        <f>IF('ORDENES'!$A584="","",IF('ORDENES'!$AA584="","-",'ORDENES'!$AA584))</f>
        <v/>
      </c>
      <c r="E606" s="5">
        <f>IF('ORDENES'!$A584="","",IF('ORDENES'!$Y584="","-",'ORDENES'!$Y584))</f>
        <v/>
      </c>
      <c r="F606" s="5">
        <f>IF('ORDENES'!$A584="","",IF('ORDENES'!$AB584="","-",'ORDENES'!$AB584))</f>
        <v/>
      </c>
      <c r="G606" s="5">
        <f>IF('ORDENES'!$A584="","",IF('ORDENES'!$Z584="","-",'ORDENES'!$Z584))</f>
        <v/>
      </c>
      <c r="H606" s="5">
        <f>IF('ORDENES'!$A584="","",IF('ORDENES'!$AH584="","-",'ORDENES'!$AH584))</f>
        <v/>
      </c>
      <c r="I606" s="5">
        <f>IF('ORDENES'!$A584="","",IF('ORDENES'!$AU584="","-",'ORDENES'!$AU584))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3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IF('ORDENES'!$A584="","",'ORDENES'!$AG584)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IF('ORDENES'!$A585="","",IF('ORDENES'!$AI585="","-",'ORDENES'!$AI585))</f>
        <v/>
      </c>
      <c r="D607" s="5">
        <f>IF('ORDENES'!$A585="","",IF('ORDENES'!$AA585="","-",'ORDENES'!$AA585))</f>
        <v/>
      </c>
      <c r="E607" s="5">
        <f>IF('ORDENES'!$A585="","",IF('ORDENES'!$Y585="","-",'ORDENES'!$Y585))</f>
        <v/>
      </c>
      <c r="F607" s="5">
        <f>IF('ORDENES'!$A585="","",IF('ORDENES'!$AB585="","-",'ORDENES'!$AB585))</f>
        <v/>
      </c>
      <c r="G607" s="5">
        <f>IF('ORDENES'!$A585="","",IF('ORDENES'!$Z585="","-",'ORDENES'!$Z585))</f>
        <v/>
      </c>
      <c r="H607" s="5">
        <f>IF('ORDENES'!$A585="","",IF('ORDENES'!$AH585="","-",'ORDENES'!$AH585))</f>
        <v/>
      </c>
      <c r="I607" s="5">
        <f>IF('ORDENES'!$A585="","",IF('ORDENES'!$AU585="","-",'ORDENES'!$AU585))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3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IF('ORDENES'!$A585="","",'ORDENES'!$AG585)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IF('ORDENES'!$A586="","",IF('ORDENES'!$AI586="","-",'ORDENES'!$AI586))</f>
        <v/>
      </c>
      <c r="D608" s="5">
        <f>IF('ORDENES'!$A586="","",IF('ORDENES'!$AA586="","-",'ORDENES'!$AA586))</f>
        <v/>
      </c>
      <c r="E608" s="5">
        <f>IF('ORDENES'!$A586="","",IF('ORDENES'!$Y586="","-",'ORDENES'!$Y586))</f>
        <v/>
      </c>
      <c r="F608" s="5">
        <f>IF('ORDENES'!$A586="","",IF('ORDENES'!$AB586="","-",'ORDENES'!$AB586))</f>
        <v/>
      </c>
      <c r="G608" s="5">
        <f>IF('ORDENES'!$A586="","",IF('ORDENES'!$Z586="","-",'ORDENES'!$Z586))</f>
        <v/>
      </c>
      <c r="H608" s="5">
        <f>IF('ORDENES'!$A586="","",IF('ORDENES'!$AH586="","-",'ORDENES'!$AH586))</f>
        <v/>
      </c>
      <c r="I608" s="5">
        <f>IF('ORDENES'!$A586="","",IF('ORDENES'!$AU586="","-",'ORDENES'!$AU586))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3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IF('ORDENES'!$A586="","",'ORDENES'!$AG586)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IF('ORDENES'!$A587="","",IF('ORDENES'!$AI587="","-",'ORDENES'!$AI587))</f>
        <v/>
      </c>
      <c r="D609" s="5">
        <f>IF('ORDENES'!$A587="","",IF('ORDENES'!$AA587="","-",'ORDENES'!$AA587))</f>
        <v/>
      </c>
      <c r="E609" s="5">
        <f>IF('ORDENES'!$A587="","",IF('ORDENES'!$Y587="","-",'ORDENES'!$Y587))</f>
        <v/>
      </c>
      <c r="F609" s="5">
        <f>IF('ORDENES'!$A587="","",IF('ORDENES'!$AB587="","-",'ORDENES'!$AB587))</f>
        <v/>
      </c>
      <c r="G609" s="5">
        <f>IF('ORDENES'!$A587="","",IF('ORDENES'!$Z587="","-",'ORDENES'!$Z587))</f>
        <v/>
      </c>
      <c r="H609" s="5">
        <f>IF('ORDENES'!$A587="","",IF('ORDENES'!$AH587="","-",'ORDENES'!$AH587))</f>
        <v/>
      </c>
      <c r="I609" s="5">
        <f>IF('ORDENES'!$A587="","",IF('ORDENES'!$AU587="","-",'ORDENES'!$AU587))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3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IF('ORDENES'!$A587="","",'ORDENES'!$AG587)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IF('ORDENES'!$A588="","",IF('ORDENES'!$AI588="","-",'ORDENES'!$AI588))</f>
        <v/>
      </c>
      <c r="D610" s="5">
        <f>IF('ORDENES'!$A588="","",IF('ORDENES'!$AA588="","-",'ORDENES'!$AA588))</f>
        <v/>
      </c>
      <c r="E610" s="5">
        <f>IF('ORDENES'!$A588="","",IF('ORDENES'!$Y588="","-",'ORDENES'!$Y588))</f>
        <v/>
      </c>
      <c r="F610" s="5">
        <f>IF('ORDENES'!$A588="","",IF('ORDENES'!$AB588="","-",'ORDENES'!$AB588))</f>
        <v/>
      </c>
      <c r="G610" s="5">
        <f>IF('ORDENES'!$A588="","",IF('ORDENES'!$Z588="","-",'ORDENES'!$Z588))</f>
        <v/>
      </c>
      <c r="H610" s="5">
        <f>IF('ORDENES'!$A588="","",IF('ORDENES'!$AH588="","-",'ORDENES'!$AH588))</f>
        <v/>
      </c>
      <c r="I610" s="5">
        <f>IF('ORDENES'!$A588="","",IF('ORDENES'!$AU588="","-",'ORDENES'!$AU588))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3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IF('ORDENES'!$A588="","",'ORDENES'!$AG588)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IF('ORDENES'!$A589="","",IF('ORDENES'!$AI589="","-",'ORDENES'!$AI589))</f>
        <v/>
      </c>
      <c r="D611" s="5">
        <f>IF('ORDENES'!$A589="","",IF('ORDENES'!$AA589="","-",'ORDENES'!$AA589))</f>
        <v/>
      </c>
      <c r="E611" s="5">
        <f>IF('ORDENES'!$A589="","",IF('ORDENES'!$Y589="","-",'ORDENES'!$Y589))</f>
        <v/>
      </c>
      <c r="F611" s="5">
        <f>IF('ORDENES'!$A589="","",IF('ORDENES'!$AB589="","-",'ORDENES'!$AB589))</f>
        <v/>
      </c>
      <c r="G611" s="5">
        <f>IF('ORDENES'!$A589="","",IF('ORDENES'!$Z589="","-",'ORDENES'!$Z589))</f>
        <v/>
      </c>
      <c r="H611" s="5">
        <f>IF('ORDENES'!$A589="","",IF('ORDENES'!$AH589="","-",'ORDENES'!$AH589))</f>
        <v/>
      </c>
      <c r="I611" s="5">
        <f>IF('ORDENES'!$A589="","",IF('ORDENES'!$AU589="","-",'ORDENES'!$AU589))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3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IF('ORDENES'!$A589="","",'ORDENES'!$AG589)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IF('ORDENES'!$A590="","",IF('ORDENES'!$AI590="","-",'ORDENES'!$AI590))</f>
        <v/>
      </c>
      <c r="D612" s="5">
        <f>IF('ORDENES'!$A590="","",IF('ORDENES'!$AA590="","-",'ORDENES'!$AA590))</f>
        <v/>
      </c>
      <c r="E612" s="5">
        <f>IF('ORDENES'!$A590="","",IF('ORDENES'!$Y590="","-",'ORDENES'!$Y590))</f>
        <v/>
      </c>
      <c r="F612" s="5">
        <f>IF('ORDENES'!$A590="","",IF('ORDENES'!$AB590="","-",'ORDENES'!$AB590))</f>
        <v/>
      </c>
      <c r="G612" s="5">
        <f>IF('ORDENES'!$A590="","",IF('ORDENES'!$Z590="","-",'ORDENES'!$Z590))</f>
        <v/>
      </c>
      <c r="H612" s="5">
        <f>IF('ORDENES'!$A590="","",IF('ORDENES'!$AH590="","-",'ORDENES'!$AH590))</f>
        <v/>
      </c>
      <c r="I612" s="5">
        <f>IF('ORDENES'!$A590="","",IF('ORDENES'!$AU590="","-",'ORDENES'!$AU590))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3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IF('ORDENES'!$A590="","",'ORDENES'!$AG590)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IF('ORDENES'!$A591="","",IF('ORDENES'!$AI591="","-",'ORDENES'!$AI591))</f>
        <v/>
      </c>
      <c r="D613" s="5">
        <f>IF('ORDENES'!$A591="","",IF('ORDENES'!$AA591="","-",'ORDENES'!$AA591))</f>
        <v/>
      </c>
      <c r="E613" s="5">
        <f>IF('ORDENES'!$A591="","",IF('ORDENES'!$Y591="","-",'ORDENES'!$Y591))</f>
        <v/>
      </c>
      <c r="F613" s="5">
        <f>IF('ORDENES'!$A591="","",IF('ORDENES'!$AB591="","-",'ORDENES'!$AB591))</f>
        <v/>
      </c>
      <c r="G613" s="5">
        <f>IF('ORDENES'!$A591="","",IF('ORDENES'!$Z591="","-",'ORDENES'!$Z591))</f>
        <v/>
      </c>
      <c r="H613" s="5">
        <f>IF('ORDENES'!$A591="","",IF('ORDENES'!$AH591="","-",'ORDENES'!$AH591))</f>
        <v/>
      </c>
      <c r="I613" s="5">
        <f>IF('ORDENES'!$A591="","",IF('ORDENES'!$AU591="","-",'ORDENES'!$AU591))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3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IF('ORDENES'!$A591="","",'ORDENES'!$AG591)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IF('ORDENES'!$A592="","",IF('ORDENES'!$AI592="","-",'ORDENES'!$AI592))</f>
        <v/>
      </c>
      <c r="D614" s="5">
        <f>IF('ORDENES'!$A592="","",IF('ORDENES'!$AA592="","-",'ORDENES'!$AA592))</f>
        <v/>
      </c>
      <c r="E614" s="5">
        <f>IF('ORDENES'!$A592="","",IF('ORDENES'!$Y592="","-",'ORDENES'!$Y592))</f>
        <v/>
      </c>
      <c r="F614" s="5">
        <f>IF('ORDENES'!$A592="","",IF('ORDENES'!$AB592="","-",'ORDENES'!$AB592))</f>
        <v/>
      </c>
      <c r="G614" s="5">
        <f>IF('ORDENES'!$A592="","",IF('ORDENES'!$Z592="","-",'ORDENES'!$Z592))</f>
        <v/>
      </c>
      <c r="H614" s="5">
        <f>IF('ORDENES'!$A592="","",IF('ORDENES'!$AH592="","-",'ORDENES'!$AH592))</f>
        <v/>
      </c>
      <c r="I614" s="5">
        <f>IF('ORDENES'!$A592="","",IF('ORDENES'!$AU592="","-",'ORDENES'!$AU592))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3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IF('ORDENES'!$A592="","",'ORDENES'!$AG592)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IF('ORDENES'!$A593="","",IF('ORDENES'!$AI593="","-",'ORDENES'!$AI593))</f>
        <v/>
      </c>
      <c r="D615" s="5">
        <f>IF('ORDENES'!$A593="","",IF('ORDENES'!$AA593="","-",'ORDENES'!$AA593))</f>
        <v/>
      </c>
      <c r="E615" s="5">
        <f>IF('ORDENES'!$A593="","",IF('ORDENES'!$Y593="","-",'ORDENES'!$Y593))</f>
        <v/>
      </c>
      <c r="F615" s="5">
        <f>IF('ORDENES'!$A593="","",IF('ORDENES'!$AB593="","-",'ORDENES'!$AB593))</f>
        <v/>
      </c>
      <c r="G615" s="5">
        <f>IF('ORDENES'!$A593="","",IF('ORDENES'!$Z593="","-",'ORDENES'!$Z593))</f>
        <v/>
      </c>
      <c r="H615" s="5">
        <f>IF('ORDENES'!$A593="","",IF('ORDENES'!$AH593="","-",'ORDENES'!$AH593))</f>
        <v/>
      </c>
      <c r="I615" s="5">
        <f>IF('ORDENES'!$A593="","",IF('ORDENES'!$AU593="","-",'ORDENES'!$AU593))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3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IF('ORDENES'!$A593="","",'ORDENES'!$AG593)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IF('ORDENES'!$A594="","",IF('ORDENES'!$AI594="","-",'ORDENES'!$AI594))</f>
        <v/>
      </c>
      <c r="D616" s="5">
        <f>IF('ORDENES'!$A594="","",IF('ORDENES'!$AA594="","-",'ORDENES'!$AA594))</f>
        <v/>
      </c>
      <c r="E616" s="5">
        <f>IF('ORDENES'!$A594="","",IF('ORDENES'!$Y594="","-",'ORDENES'!$Y594))</f>
        <v/>
      </c>
      <c r="F616" s="5">
        <f>IF('ORDENES'!$A594="","",IF('ORDENES'!$AB594="","-",'ORDENES'!$AB594))</f>
        <v/>
      </c>
      <c r="G616" s="5">
        <f>IF('ORDENES'!$A594="","",IF('ORDENES'!$Z594="","-",'ORDENES'!$Z594))</f>
        <v/>
      </c>
      <c r="H616" s="5">
        <f>IF('ORDENES'!$A594="","",IF('ORDENES'!$AH594="","-",'ORDENES'!$AH594))</f>
        <v/>
      </c>
      <c r="I616" s="5">
        <f>IF('ORDENES'!$A594="","",IF('ORDENES'!$AU594="","-",'ORDENES'!$AU594))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3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IF('ORDENES'!$A594="","",'ORDENES'!$AG594)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IF('ORDENES'!$A595="","",IF('ORDENES'!$AI595="","-",'ORDENES'!$AI595))</f>
        <v/>
      </c>
      <c r="D617" s="5">
        <f>IF('ORDENES'!$A595="","",IF('ORDENES'!$AA595="","-",'ORDENES'!$AA595))</f>
        <v/>
      </c>
      <c r="E617" s="5">
        <f>IF('ORDENES'!$A595="","",IF('ORDENES'!$Y595="","-",'ORDENES'!$Y595))</f>
        <v/>
      </c>
      <c r="F617" s="5">
        <f>IF('ORDENES'!$A595="","",IF('ORDENES'!$AB595="","-",'ORDENES'!$AB595))</f>
        <v/>
      </c>
      <c r="G617" s="5">
        <f>IF('ORDENES'!$A595="","",IF('ORDENES'!$Z595="","-",'ORDENES'!$Z595))</f>
        <v/>
      </c>
      <c r="H617" s="5">
        <f>IF('ORDENES'!$A595="","",IF('ORDENES'!$AH595="","-",'ORDENES'!$AH595))</f>
        <v/>
      </c>
      <c r="I617" s="5">
        <f>IF('ORDENES'!$A595="","",IF('ORDENES'!$AU595="","-",'ORDENES'!$AU595))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3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IF('ORDENES'!$A595="","",'ORDENES'!$AG595)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IF('ORDENES'!$A596="","",IF('ORDENES'!$AI596="","-",'ORDENES'!$AI596))</f>
        <v/>
      </c>
      <c r="D618" s="5">
        <f>IF('ORDENES'!$A596="","",IF('ORDENES'!$AA596="","-",'ORDENES'!$AA596))</f>
        <v/>
      </c>
      <c r="E618" s="5">
        <f>IF('ORDENES'!$A596="","",IF('ORDENES'!$Y596="","-",'ORDENES'!$Y596))</f>
        <v/>
      </c>
      <c r="F618" s="5">
        <f>IF('ORDENES'!$A596="","",IF('ORDENES'!$AB596="","-",'ORDENES'!$AB596))</f>
        <v/>
      </c>
      <c r="G618" s="5">
        <f>IF('ORDENES'!$A596="","",IF('ORDENES'!$Z596="","-",'ORDENES'!$Z596))</f>
        <v/>
      </c>
      <c r="H618" s="5">
        <f>IF('ORDENES'!$A596="","",IF('ORDENES'!$AH596="","-",'ORDENES'!$AH596))</f>
        <v/>
      </c>
      <c r="I618" s="5">
        <f>IF('ORDENES'!$A596="","",IF('ORDENES'!$AU596="","-",'ORDENES'!$AU596))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3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IF('ORDENES'!$A596="","",'ORDENES'!$AG596)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IF('ORDENES'!$A597="","",IF('ORDENES'!$AI597="","-",'ORDENES'!$AI597))</f>
        <v/>
      </c>
      <c r="D619" s="5">
        <f>IF('ORDENES'!$A597="","",IF('ORDENES'!$AA597="","-",'ORDENES'!$AA597))</f>
        <v/>
      </c>
      <c r="E619" s="5">
        <f>IF('ORDENES'!$A597="","",IF('ORDENES'!$Y597="","-",'ORDENES'!$Y597))</f>
        <v/>
      </c>
      <c r="F619" s="5">
        <f>IF('ORDENES'!$A597="","",IF('ORDENES'!$AB597="","-",'ORDENES'!$AB597))</f>
        <v/>
      </c>
      <c r="G619" s="5">
        <f>IF('ORDENES'!$A597="","",IF('ORDENES'!$Z597="","-",'ORDENES'!$Z597))</f>
        <v/>
      </c>
      <c r="H619" s="5">
        <f>IF('ORDENES'!$A597="","",IF('ORDENES'!$AH597="","-",'ORDENES'!$AH597))</f>
        <v/>
      </c>
      <c r="I619" s="5">
        <f>IF('ORDENES'!$A597="","",IF('ORDENES'!$AU597="","-",'ORDENES'!$AU597))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3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IF('ORDENES'!$A597="","",'ORDENES'!$AG597)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IF('ORDENES'!$A598="","",IF('ORDENES'!$AI598="","-",'ORDENES'!$AI598))</f>
        <v/>
      </c>
      <c r="D620" s="5">
        <f>IF('ORDENES'!$A598="","",IF('ORDENES'!$AA598="","-",'ORDENES'!$AA598))</f>
        <v/>
      </c>
      <c r="E620" s="5">
        <f>IF('ORDENES'!$A598="","",IF('ORDENES'!$Y598="","-",'ORDENES'!$Y598))</f>
        <v/>
      </c>
      <c r="F620" s="5">
        <f>IF('ORDENES'!$A598="","",IF('ORDENES'!$AB598="","-",'ORDENES'!$AB598))</f>
        <v/>
      </c>
      <c r="G620" s="5">
        <f>IF('ORDENES'!$A598="","",IF('ORDENES'!$Z598="","-",'ORDENES'!$Z598))</f>
        <v/>
      </c>
      <c r="H620" s="5">
        <f>IF('ORDENES'!$A598="","",IF('ORDENES'!$AH598="","-",'ORDENES'!$AH598))</f>
        <v/>
      </c>
      <c r="I620" s="5">
        <f>IF('ORDENES'!$A598="","",IF('ORDENES'!$AU598="","-",'ORDENES'!$AU598))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3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IF('ORDENES'!$A598="","",'ORDENES'!$AG598)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IF('ORDENES'!$A599="","",IF('ORDENES'!$AI599="","-",'ORDENES'!$AI599))</f>
        <v/>
      </c>
      <c r="D621" s="5">
        <f>IF('ORDENES'!$A599="","",IF('ORDENES'!$AA599="","-",'ORDENES'!$AA599))</f>
        <v/>
      </c>
      <c r="E621" s="5">
        <f>IF('ORDENES'!$A599="","",IF('ORDENES'!$Y599="","-",'ORDENES'!$Y599))</f>
        <v/>
      </c>
      <c r="F621" s="5">
        <f>IF('ORDENES'!$A599="","",IF('ORDENES'!$AB599="","-",'ORDENES'!$AB599))</f>
        <v/>
      </c>
      <c r="G621" s="5">
        <f>IF('ORDENES'!$A599="","",IF('ORDENES'!$Z599="","-",'ORDENES'!$Z599))</f>
        <v/>
      </c>
      <c r="H621" s="5">
        <f>IF('ORDENES'!$A599="","",IF('ORDENES'!$AH599="","-",'ORDENES'!$AH599))</f>
        <v/>
      </c>
      <c r="I621" s="5">
        <f>IF('ORDENES'!$A599="","",IF('ORDENES'!$AU599="","-",'ORDENES'!$AU599))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3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IF('ORDENES'!$A599="","",'ORDENES'!$AG599)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IF('ORDENES'!$A600="","",IF('ORDENES'!$AI600="","-",'ORDENES'!$AI600))</f>
        <v/>
      </c>
      <c r="D622" s="5">
        <f>IF('ORDENES'!$A600="","",IF('ORDENES'!$AA600="","-",'ORDENES'!$AA600))</f>
        <v/>
      </c>
      <c r="E622" s="5">
        <f>IF('ORDENES'!$A600="","",IF('ORDENES'!$Y600="","-",'ORDENES'!$Y600))</f>
        <v/>
      </c>
      <c r="F622" s="5">
        <f>IF('ORDENES'!$A600="","",IF('ORDENES'!$AB600="","-",'ORDENES'!$AB600))</f>
        <v/>
      </c>
      <c r="G622" s="5">
        <f>IF('ORDENES'!$A600="","",IF('ORDENES'!$Z600="","-",'ORDENES'!$Z600))</f>
        <v/>
      </c>
      <c r="H622" s="5">
        <f>IF('ORDENES'!$A600="","",IF('ORDENES'!$AH600="","-",'ORDENES'!$AH600))</f>
        <v/>
      </c>
      <c r="I622" s="5">
        <f>IF('ORDENES'!$A600="","",IF('ORDENES'!$AU600="","-",'ORDENES'!$AU600))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3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IF('ORDENES'!$A600="","",'ORDENES'!$AG600)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IF('ORDENES'!$A601="","",IF('ORDENES'!$AI601="","-",'ORDENES'!$AI601))</f>
        <v/>
      </c>
      <c r="D623" s="5">
        <f>IF('ORDENES'!$A601="","",IF('ORDENES'!$AA601="","-",'ORDENES'!$AA601))</f>
        <v/>
      </c>
      <c r="E623" s="5">
        <f>IF('ORDENES'!$A601="","",IF('ORDENES'!$Y601="","-",'ORDENES'!$Y601))</f>
        <v/>
      </c>
      <c r="F623" s="5">
        <f>IF('ORDENES'!$A601="","",IF('ORDENES'!$AB601="","-",'ORDENES'!$AB601))</f>
        <v/>
      </c>
      <c r="G623" s="5">
        <f>IF('ORDENES'!$A601="","",IF('ORDENES'!$Z601="","-",'ORDENES'!$Z601))</f>
        <v/>
      </c>
      <c r="H623" s="5">
        <f>IF('ORDENES'!$A601="","",IF('ORDENES'!$AH601="","-",'ORDENES'!$AH601))</f>
        <v/>
      </c>
      <c r="I623" s="5">
        <f>IF('ORDENES'!$A601="","",IF('ORDENES'!$AU601="","-",'ORDENES'!$AU601))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3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IF('ORDENES'!$A601="","",'ORDENES'!$AG601)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IF('ORDENES'!$A602="","",IF('ORDENES'!$AI602="","-",'ORDENES'!$AI602))</f>
        <v/>
      </c>
      <c r="D624" s="5">
        <f>IF('ORDENES'!$A602="","",IF('ORDENES'!$AA602="","-",'ORDENES'!$AA602))</f>
        <v/>
      </c>
      <c r="E624" s="5">
        <f>IF('ORDENES'!$A602="","",IF('ORDENES'!$Y602="","-",'ORDENES'!$Y602))</f>
        <v/>
      </c>
      <c r="F624" s="5">
        <f>IF('ORDENES'!$A602="","",IF('ORDENES'!$AB602="","-",'ORDENES'!$AB602))</f>
        <v/>
      </c>
      <c r="G624" s="5">
        <f>IF('ORDENES'!$A602="","",IF('ORDENES'!$Z602="","-",'ORDENES'!$Z602))</f>
        <v/>
      </c>
      <c r="H624" s="5">
        <f>IF('ORDENES'!$A602="","",IF('ORDENES'!$AH602="","-",'ORDENES'!$AH602))</f>
        <v/>
      </c>
      <c r="I624" s="5">
        <f>IF('ORDENES'!$A602="","",IF('ORDENES'!$AU602="","-",'ORDENES'!$AU602))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3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IF('ORDENES'!$A602="","",'ORDENES'!$AG602)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IF('ORDENES'!$A603="","",IF('ORDENES'!$AI603="","-",'ORDENES'!$AI603))</f>
        <v/>
      </c>
      <c r="D625" s="5">
        <f>IF('ORDENES'!$A603="","",IF('ORDENES'!$AA603="","-",'ORDENES'!$AA603))</f>
        <v/>
      </c>
      <c r="E625" s="5">
        <f>IF('ORDENES'!$A603="","",IF('ORDENES'!$Y603="","-",'ORDENES'!$Y603))</f>
        <v/>
      </c>
      <c r="F625" s="5">
        <f>IF('ORDENES'!$A603="","",IF('ORDENES'!$AB603="","-",'ORDENES'!$AB603))</f>
        <v/>
      </c>
      <c r="G625" s="5">
        <f>IF('ORDENES'!$A603="","",IF('ORDENES'!$Z603="","-",'ORDENES'!$Z603))</f>
        <v/>
      </c>
      <c r="H625" s="5">
        <f>IF('ORDENES'!$A603="","",IF('ORDENES'!$AH603="","-",'ORDENES'!$AH603))</f>
        <v/>
      </c>
      <c r="I625" s="5">
        <f>IF('ORDENES'!$A603="","",IF('ORDENES'!$AU603="","-",'ORDENES'!$AU603))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3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IF('ORDENES'!$A603="","",'ORDENES'!$AG603)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IF('ORDENES'!$A604="","",IF('ORDENES'!$AI604="","-",'ORDENES'!$AI604))</f>
        <v/>
      </c>
      <c r="D626" s="5">
        <f>IF('ORDENES'!$A604="","",IF('ORDENES'!$AA604="","-",'ORDENES'!$AA604))</f>
        <v/>
      </c>
      <c r="E626" s="5">
        <f>IF('ORDENES'!$A604="","",IF('ORDENES'!$Y604="","-",'ORDENES'!$Y604))</f>
        <v/>
      </c>
      <c r="F626" s="5">
        <f>IF('ORDENES'!$A604="","",IF('ORDENES'!$AB604="","-",'ORDENES'!$AB604))</f>
        <v/>
      </c>
      <c r="G626" s="5">
        <f>IF('ORDENES'!$A604="","",IF('ORDENES'!$Z604="","-",'ORDENES'!$Z604))</f>
        <v/>
      </c>
      <c r="H626" s="5">
        <f>IF('ORDENES'!$A604="","",IF('ORDENES'!$AH604="","-",'ORDENES'!$AH604))</f>
        <v/>
      </c>
      <c r="I626" s="5">
        <f>IF('ORDENES'!$A604="","",IF('ORDENES'!$AU604="","-",'ORDENES'!$AU604))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3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IF('ORDENES'!$A604="","",'ORDENES'!$AG604)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IF('ORDENES'!$A605="","",IF('ORDENES'!$AI605="","-",'ORDENES'!$AI605))</f>
        <v/>
      </c>
      <c r="D627" s="5">
        <f>IF('ORDENES'!$A605="","",IF('ORDENES'!$AA605="","-",'ORDENES'!$AA605))</f>
        <v/>
      </c>
      <c r="E627" s="5">
        <f>IF('ORDENES'!$A605="","",IF('ORDENES'!$Y605="","-",'ORDENES'!$Y605))</f>
        <v/>
      </c>
      <c r="F627" s="5">
        <f>IF('ORDENES'!$A605="","",IF('ORDENES'!$AB605="","-",'ORDENES'!$AB605))</f>
        <v/>
      </c>
      <c r="G627" s="5">
        <f>IF('ORDENES'!$A605="","",IF('ORDENES'!$Z605="","-",'ORDENES'!$Z605))</f>
        <v/>
      </c>
      <c r="H627" s="5">
        <f>IF('ORDENES'!$A605="","",IF('ORDENES'!$AH605="","-",'ORDENES'!$AH605))</f>
        <v/>
      </c>
      <c r="I627" s="5">
        <f>IF('ORDENES'!$A605="","",IF('ORDENES'!$AU605="","-",'ORDENES'!$AU605))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3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IF('ORDENES'!$A605="","",'ORDENES'!$AG605)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IF('ORDENES'!$A606="","",IF('ORDENES'!$AI606="","-",'ORDENES'!$AI606))</f>
        <v/>
      </c>
      <c r="D628" s="5">
        <f>IF('ORDENES'!$A606="","",IF('ORDENES'!$AA606="","-",'ORDENES'!$AA606))</f>
        <v/>
      </c>
      <c r="E628" s="5">
        <f>IF('ORDENES'!$A606="","",IF('ORDENES'!$Y606="","-",'ORDENES'!$Y606))</f>
        <v/>
      </c>
      <c r="F628" s="5">
        <f>IF('ORDENES'!$A606="","",IF('ORDENES'!$AB606="","-",'ORDENES'!$AB606))</f>
        <v/>
      </c>
      <c r="G628" s="5">
        <f>IF('ORDENES'!$A606="","",IF('ORDENES'!$Z606="","-",'ORDENES'!$Z606))</f>
        <v/>
      </c>
      <c r="H628" s="5">
        <f>IF('ORDENES'!$A606="","",IF('ORDENES'!$AH606="","-",'ORDENES'!$AH606))</f>
        <v/>
      </c>
      <c r="I628" s="5">
        <f>IF('ORDENES'!$A606="","",IF('ORDENES'!$AU606="","-",'ORDENES'!$AU606))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3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IF('ORDENES'!$A606="","",'ORDENES'!$AG606)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IF('ORDENES'!$A607="","",IF('ORDENES'!$AI607="","-",'ORDENES'!$AI607))</f>
        <v/>
      </c>
      <c r="D629" s="5">
        <f>IF('ORDENES'!$A607="","",IF('ORDENES'!$AA607="","-",'ORDENES'!$AA607))</f>
        <v/>
      </c>
      <c r="E629" s="5">
        <f>IF('ORDENES'!$A607="","",IF('ORDENES'!$Y607="","-",'ORDENES'!$Y607))</f>
        <v/>
      </c>
      <c r="F629" s="5">
        <f>IF('ORDENES'!$A607="","",IF('ORDENES'!$AB607="","-",'ORDENES'!$AB607))</f>
        <v/>
      </c>
      <c r="G629" s="5">
        <f>IF('ORDENES'!$A607="","",IF('ORDENES'!$Z607="","-",'ORDENES'!$Z607))</f>
        <v/>
      </c>
      <c r="H629" s="5">
        <f>IF('ORDENES'!$A607="","",IF('ORDENES'!$AH607="","-",'ORDENES'!$AH607))</f>
        <v/>
      </c>
      <c r="I629" s="5">
        <f>IF('ORDENES'!$A607="","",IF('ORDENES'!$AU607="","-",'ORDENES'!$AU607))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3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IF('ORDENES'!$A607="","",'ORDENES'!$AG607)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IF('ORDENES'!$A608="","",IF('ORDENES'!$AI608="","-",'ORDENES'!$AI608))</f>
        <v/>
      </c>
      <c r="D630" s="5">
        <f>IF('ORDENES'!$A608="","",IF('ORDENES'!$AA608="","-",'ORDENES'!$AA608))</f>
        <v/>
      </c>
      <c r="E630" s="5">
        <f>IF('ORDENES'!$A608="","",IF('ORDENES'!$Y608="","-",'ORDENES'!$Y608))</f>
        <v/>
      </c>
      <c r="F630" s="5">
        <f>IF('ORDENES'!$A608="","",IF('ORDENES'!$AB608="","-",'ORDENES'!$AB608))</f>
        <v/>
      </c>
      <c r="G630" s="5">
        <f>IF('ORDENES'!$A608="","",IF('ORDENES'!$Z608="","-",'ORDENES'!$Z608))</f>
        <v/>
      </c>
      <c r="H630" s="5">
        <f>IF('ORDENES'!$A608="","",IF('ORDENES'!$AH608="","-",'ORDENES'!$AH608))</f>
        <v/>
      </c>
      <c r="I630" s="5">
        <f>IF('ORDENES'!$A608="","",IF('ORDENES'!$AU608="","-",'ORDENES'!$AU608))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3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IF('ORDENES'!$A608="","",'ORDENES'!$AG608)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IF('ORDENES'!$A609="","",IF('ORDENES'!$AI609="","-",'ORDENES'!$AI609))</f>
        <v/>
      </c>
      <c r="D631" s="5">
        <f>IF('ORDENES'!$A609="","",IF('ORDENES'!$AA609="","-",'ORDENES'!$AA609))</f>
        <v/>
      </c>
      <c r="E631" s="5">
        <f>IF('ORDENES'!$A609="","",IF('ORDENES'!$Y609="","-",'ORDENES'!$Y609))</f>
        <v/>
      </c>
      <c r="F631" s="5">
        <f>IF('ORDENES'!$A609="","",IF('ORDENES'!$AB609="","-",'ORDENES'!$AB609))</f>
        <v/>
      </c>
      <c r="G631" s="5">
        <f>IF('ORDENES'!$A609="","",IF('ORDENES'!$Z609="","-",'ORDENES'!$Z609))</f>
        <v/>
      </c>
      <c r="H631" s="5">
        <f>IF('ORDENES'!$A609="","",IF('ORDENES'!$AH609="","-",'ORDENES'!$AH609))</f>
        <v/>
      </c>
      <c r="I631" s="5">
        <f>IF('ORDENES'!$A609="","",IF('ORDENES'!$AU609="","-",'ORDENES'!$AU609))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3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IF('ORDENES'!$A609="","",'ORDENES'!$AG609)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IF('ORDENES'!$A610="","",IF('ORDENES'!$AI610="","-",'ORDENES'!$AI610))</f>
        <v/>
      </c>
      <c r="D632" s="5">
        <f>IF('ORDENES'!$A610="","",IF('ORDENES'!$AA610="","-",'ORDENES'!$AA610))</f>
        <v/>
      </c>
      <c r="E632" s="5">
        <f>IF('ORDENES'!$A610="","",IF('ORDENES'!$Y610="","-",'ORDENES'!$Y610))</f>
        <v/>
      </c>
      <c r="F632" s="5">
        <f>IF('ORDENES'!$A610="","",IF('ORDENES'!$AB610="","-",'ORDENES'!$AB610))</f>
        <v/>
      </c>
      <c r="G632" s="5">
        <f>IF('ORDENES'!$A610="","",IF('ORDENES'!$Z610="","-",'ORDENES'!$Z610))</f>
        <v/>
      </c>
      <c r="H632" s="5">
        <f>IF('ORDENES'!$A610="","",IF('ORDENES'!$AH610="","-",'ORDENES'!$AH610))</f>
        <v/>
      </c>
      <c r="I632" s="5">
        <f>IF('ORDENES'!$A610="","",IF('ORDENES'!$AU610="","-",'ORDENES'!$AU610))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3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IF('ORDENES'!$A610="","",'ORDENES'!$AG610)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IF('ORDENES'!$A611="","",IF('ORDENES'!$AI611="","-",'ORDENES'!$AI611))</f>
        <v/>
      </c>
      <c r="D633" s="5">
        <f>IF('ORDENES'!$A611="","",IF('ORDENES'!$AA611="","-",'ORDENES'!$AA611))</f>
        <v/>
      </c>
      <c r="E633" s="5">
        <f>IF('ORDENES'!$A611="","",IF('ORDENES'!$Y611="","-",'ORDENES'!$Y611))</f>
        <v/>
      </c>
      <c r="F633" s="5">
        <f>IF('ORDENES'!$A611="","",IF('ORDENES'!$AB611="","-",'ORDENES'!$AB611))</f>
        <v/>
      </c>
      <c r="G633" s="5">
        <f>IF('ORDENES'!$A611="","",IF('ORDENES'!$Z611="","-",'ORDENES'!$Z611))</f>
        <v/>
      </c>
      <c r="H633" s="5">
        <f>IF('ORDENES'!$A611="","",IF('ORDENES'!$AH611="","-",'ORDENES'!$AH611))</f>
        <v/>
      </c>
      <c r="I633" s="5">
        <f>IF('ORDENES'!$A611="","",IF('ORDENES'!$AU611="","-",'ORDENES'!$AU611))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3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IF('ORDENES'!$A611="","",'ORDENES'!$AG611)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IF('ORDENES'!$A612="","",IF('ORDENES'!$AI612="","-",'ORDENES'!$AI612))</f>
        <v/>
      </c>
      <c r="D634" s="5">
        <f>IF('ORDENES'!$A612="","",IF('ORDENES'!$AA612="","-",'ORDENES'!$AA612))</f>
        <v/>
      </c>
      <c r="E634" s="5">
        <f>IF('ORDENES'!$A612="","",IF('ORDENES'!$Y612="","-",'ORDENES'!$Y612))</f>
        <v/>
      </c>
      <c r="F634" s="5">
        <f>IF('ORDENES'!$A612="","",IF('ORDENES'!$AB612="","-",'ORDENES'!$AB612))</f>
        <v/>
      </c>
      <c r="G634" s="5">
        <f>IF('ORDENES'!$A612="","",IF('ORDENES'!$Z612="","-",'ORDENES'!$Z612))</f>
        <v/>
      </c>
      <c r="H634" s="5">
        <f>IF('ORDENES'!$A612="","",IF('ORDENES'!$AH612="","-",'ORDENES'!$AH612))</f>
        <v/>
      </c>
      <c r="I634" s="5">
        <f>IF('ORDENES'!$A612="","",IF('ORDENES'!$AU612="","-",'ORDENES'!$AU612))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3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IF('ORDENES'!$A612="","",'ORDENES'!$AG612)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IF('ORDENES'!$A613="","",IF('ORDENES'!$AI613="","-",'ORDENES'!$AI613))</f>
        <v/>
      </c>
      <c r="D635" s="5">
        <f>IF('ORDENES'!$A613="","",IF('ORDENES'!$AA613="","-",'ORDENES'!$AA613))</f>
        <v/>
      </c>
      <c r="E635" s="5">
        <f>IF('ORDENES'!$A613="","",IF('ORDENES'!$Y613="","-",'ORDENES'!$Y613))</f>
        <v/>
      </c>
      <c r="F635" s="5">
        <f>IF('ORDENES'!$A613="","",IF('ORDENES'!$AB613="","-",'ORDENES'!$AB613))</f>
        <v/>
      </c>
      <c r="G635" s="5">
        <f>IF('ORDENES'!$A613="","",IF('ORDENES'!$Z613="","-",'ORDENES'!$Z613))</f>
        <v/>
      </c>
      <c r="H635" s="5">
        <f>IF('ORDENES'!$A613="","",IF('ORDENES'!$AH613="","-",'ORDENES'!$AH613))</f>
        <v/>
      </c>
      <c r="I635" s="5">
        <f>IF('ORDENES'!$A613="","",IF('ORDENES'!$AU613="","-",'ORDENES'!$AU613))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3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IF('ORDENES'!$A613="","",'ORDENES'!$AG613)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IF('ORDENES'!$A614="","",IF('ORDENES'!$AI614="","-",'ORDENES'!$AI614))</f>
        <v/>
      </c>
      <c r="D636" s="5">
        <f>IF('ORDENES'!$A614="","",IF('ORDENES'!$AA614="","-",'ORDENES'!$AA614))</f>
        <v/>
      </c>
      <c r="E636" s="5">
        <f>IF('ORDENES'!$A614="","",IF('ORDENES'!$Y614="","-",'ORDENES'!$Y614))</f>
        <v/>
      </c>
      <c r="F636" s="5">
        <f>IF('ORDENES'!$A614="","",IF('ORDENES'!$AB614="","-",'ORDENES'!$AB614))</f>
        <v/>
      </c>
      <c r="G636" s="5">
        <f>IF('ORDENES'!$A614="","",IF('ORDENES'!$Z614="","-",'ORDENES'!$Z614))</f>
        <v/>
      </c>
      <c r="H636" s="5">
        <f>IF('ORDENES'!$A614="","",IF('ORDENES'!$AH614="","-",'ORDENES'!$AH614))</f>
        <v/>
      </c>
      <c r="I636" s="5">
        <f>IF('ORDENES'!$A614="","",IF('ORDENES'!$AU614="","-",'ORDENES'!$AU614))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3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IF('ORDENES'!$A614="","",'ORDENES'!$AG614)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IF('ORDENES'!$A615="","",IF('ORDENES'!$AI615="","-",'ORDENES'!$AI615))</f>
        <v/>
      </c>
      <c r="D637" s="5">
        <f>IF('ORDENES'!$A615="","",IF('ORDENES'!$AA615="","-",'ORDENES'!$AA615))</f>
        <v/>
      </c>
      <c r="E637" s="5">
        <f>IF('ORDENES'!$A615="","",IF('ORDENES'!$Y615="","-",'ORDENES'!$Y615))</f>
        <v/>
      </c>
      <c r="F637" s="5">
        <f>IF('ORDENES'!$A615="","",IF('ORDENES'!$AB615="","-",'ORDENES'!$AB615))</f>
        <v/>
      </c>
      <c r="G637" s="5">
        <f>IF('ORDENES'!$A615="","",IF('ORDENES'!$Z615="","-",'ORDENES'!$Z615))</f>
        <v/>
      </c>
      <c r="H637" s="5">
        <f>IF('ORDENES'!$A615="","",IF('ORDENES'!$AH615="","-",'ORDENES'!$AH615))</f>
        <v/>
      </c>
      <c r="I637" s="5">
        <f>IF('ORDENES'!$A615="","",IF('ORDENES'!$AU615="","-",'ORDENES'!$AU615))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3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IF('ORDENES'!$A615="","",'ORDENES'!$AG615)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IF('ORDENES'!$A616="","",IF('ORDENES'!$AI616="","-",'ORDENES'!$AI616))</f>
        <v/>
      </c>
      <c r="D638" s="5">
        <f>IF('ORDENES'!$A616="","",IF('ORDENES'!$AA616="","-",'ORDENES'!$AA616))</f>
        <v/>
      </c>
      <c r="E638" s="5">
        <f>IF('ORDENES'!$A616="","",IF('ORDENES'!$Y616="","-",'ORDENES'!$Y616))</f>
        <v/>
      </c>
      <c r="F638" s="5">
        <f>IF('ORDENES'!$A616="","",IF('ORDENES'!$AB616="","-",'ORDENES'!$AB616))</f>
        <v/>
      </c>
      <c r="G638" s="5">
        <f>IF('ORDENES'!$A616="","",IF('ORDENES'!$Z616="","-",'ORDENES'!$Z616))</f>
        <v/>
      </c>
      <c r="H638" s="5">
        <f>IF('ORDENES'!$A616="","",IF('ORDENES'!$AH616="","-",'ORDENES'!$AH616))</f>
        <v/>
      </c>
      <c r="I638" s="5">
        <f>IF('ORDENES'!$A616="","",IF('ORDENES'!$AU616="","-",'ORDENES'!$AU616))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3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IF('ORDENES'!$A616="","",'ORDENES'!$AG616)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IF('ORDENES'!$A617="","",IF('ORDENES'!$AI617="","-",'ORDENES'!$AI617))</f>
        <v/>
      </c>
      <c r="D639" s="5">
        <f>IF('ORDENES'!$A617="","",IF('ORDENES'!$AA617="","-",'ORDENES'!$AA617))</f>
        <v/>
      </c>
      <c r="E639" s="5">
        <f>IF('ORDENES'!$A617="","",IF('ORDENES'!$Y617="","-",'ORDENES'!$Y617))</f>
        <v/>
      </c>
      <c r="F639" s="5">
        <f>IF('ORDENES'!$A617="","",IF('ORDENES'!$AB617="","-",'ORDENES'!$AB617))</f>
        <v/>
      </c>
      <c r="G639" s="5">
        <f>IF('ORDENES'!$A617="","",IF('ORDENES'!$Z617="","-",'ORDENES'!$Z617))</f>
        <v/>
      </c>
      <c r="H639" s="5">
        <f>IF('ORDENES'!$A617="","",IF('ORDENES'!$AH617="","-",'ORDENES'!$AH617))</f>
        <v/>
      </c>
      <c r="I639" s="5">
        <f>IF('ORDENES'!$A617="","",IF('ORDENES'!$AU617="","-",'ORDENES'!$AU617))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3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IF('ORDENES'!$A617="","",'ORDENES'!$AG617)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IF('ORDENES'!$A618="","",IF('ORDENES'!$AI618="","-",'ORDENES'!$AI618))</f>
        <v/>
      </c>
      <c r="D640" s="5">
        <f>IF('ORDENES'!$A618="","",IF('ORDENES'!$AA618="","-",'ORDENES'!$AA618))</f>
        <v/>
      </c>
      <c r="E640" s="5">
        <f>IF('ORDENES'!$A618="","",IF('ORDENES'!$Y618="","-",'ORDENES'!$Y618))</f>
        <v/>
      </c>
      <c r="F640" s="5">
        <f>IF('ORDENES'!$A618="","",IF('ORDENES'!$AB618="","-",'ORDENES'!$AB618))</f>
        <v/>
      </c>
      <c r="G640" s="5">
        <f>IF('ORDENES'!$A618="","",IF('ORDENES'!$Z618="","-",'ORDENES'!$Z618))</f>
        <v/>
      </c>
      <c r="H640" s="5">
        <f>IF('ORDENES'!$A618="","",IF('ORDENES'!$AH618="","-",'ORDENES'!$AH618))</f>
        <v/>
      </c>
      <c r="I640" s="5">
        <f>IF('ORDENES'!$A618="","",IF('ORDENES'!$AU618="","-",'ORDENES'!$AU618))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3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IF('ORDENES'!$A618="","",'ORDENES'!$AG618)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IF('ORDENES'!$A619="","",IF('ORDENES'!$AI619="","-",'ORDENES'!$AI619))</f>
        <v/>
      </c>
      <c r="D641" s="5">
        <f>IF('ORDENES'!$A619="","",IF('ORDENES'!$AA619="","-",'ORDENES'!$AA619))</f>
        <v/>
      </c>
      <c r="E641" s="5">
        <f>IF('ORDENES'!$A619="","",IF('ORDENES'!$Y619="","-",'ORDENES'!$Y619))</f>
        <v/>
      </c>
      <c r="F641" s="5">
        <f>IF('ORDENES'!$A619="","",IF('ORDENES'!$AB619="","-",'ORDENES'!$AB619))</f>
        <v/>
      </c>
      <c r="G641" s="5">
        <f>IF('ORDENES'!$A619="","",IF('ORDENES'!$Z619="","-",'ORDENES'!$Z619))</f>
        <v/>
      </c>
      <c r="H641" s="5">
        <f>IF('ORDENES'!$A619="","",IF('ORDENES'!$AH619="","-",'ORDENES'!$AH619))</f>
        <v/>
      </c>
      <c r="I641" s="5">
        <f>IF('ORDENES'!$A619="","",IF('ORDENES'!$AU619="","-",'ORDENES'!$AU619))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3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IF('ORDENES'!$A619="","",'ORDENES'!$AG619)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IF('ORDENES'!$A620="","",IF('ORDENES'!$AI620="","-",'ORDENES'!$AI620))</f>
        <v/>
      </c>
      <c r="D642" s="5">
        <f>IF('ORDENES'!$A620="","",IF('ORDENES'!$AA620="","-",'ORDENES'!$AA620))</f>
        <v/>
      </c>
      <c r="E642" s="5">
        <f>IF('ORDENES'!$A620="","",IF('ORDENES'!$Y620="","-",'ORDENES'!$Y620))</f>
        <v/>
      </c>
      <c r="F642" s="5">
        <f>IF('ORDENES'!$A620="","",IF('ORDENES'!$AB620="","-",'ORDENES'!$AB620))</f>
        <v/>
      </c>
      <c r="G642" s="5">
        <f>IF('ORDENES'!$A620="","",IF('ORDENES'!$Z620="","-",'ORDENES'!$Z620))</f>
        <v/>
      </c>
      <c r="H642" s="5">
        <f>IF('ORDENES'!$A620="","",IF('ORDENES'!$AH620="","-",'ORDENES'!$AH620))</f>
        <v/>
      </c>
      <c r="I642" s="5">
        <f>IF('ORDENES'!$A620="","",IF('ORDENES'!$AU620="","-",'ORDENES'!$AU620))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3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IF('ORDENES'!$A620="","",'ORDENES'!$AG620)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IF('ORDENES'!$A621="","",IF('ORDENES'!$AI621="","-",'ORDENES'!$AI621))</f>
        <v/>
      </c>
      <c r="D643" s="5">
        <f>IF('ORDENES'!$A621="","",IF('ORDENES'!$AA621="","-",'ORDENES'!$AA621))</f>
        <v/>
      </c>
      <c r="E643" s="5">
        <f>IF('ORDENES'!$A621="","",IF('ORDENES'!$Y621="","-",'ORDENES'!$Y621))</f>
        <v/>
      </c>
      <c r="F643" s="5">
        <f>IF('ORDENES'!$A621="","",IF('ORDENES'!$AB621="","-",'ORDENES'!$AB621))</f>
        <v/>
      </c>
      <c r="G643" s="5">
        <f>IF('ORDENES'!$A621="","",IF('ORDENES'!$Z621="","-",'ORDENES'!$Z621))</f>
        <v/>
      </c>
      <c r="H643" s="5">
        <f>IF('ORDENES'!$A621="","",IF('ORDENES'!$AH621="","-",'ORDENES'!$AH621))</f>
        <v/>
      </c>
      <c r="I643" s="5">
        <f>IF('ORDENES'!$A621="","",IF('ORDENES'!$AU621="","-",'ORDENES'!$AU621))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3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IF('ORDENES'!$A621="","",'ORDENES'!$AG621)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IF('ORDENES'!$A622="","",IF('ORDENES'!$AI622="","-",'ORDENES'!$AI622))</f>
        <v/>
      </c>
      <c r="D644" s="5">
        <f>IF('ORDENES'!$A622="","",IF('ORDENES'!$AA622="","-",'ORDENES'!$AA622))</f>
        <v/>
      </c>
      <c r="E644" s="5">
        <f>IF('ORDENES'!$A622="","",IF('ORDENES'!$Y622="","-",'ORDENES'!$Y622))</f>
        <v/>
      </c>
      <c r="F644" s="5">
        <f>IF('ORDENES'!$A622="","",IF('ORDENES'!$AB622="","-",'ORDENES'!$AB622))</f>
        <v/>
      </c>
      <c r="G644" s="5">
        <f>IF('ORDENES'!$A622="","",IF('ORDENES'!$Z622="","-",'ORDENES'!$Z622))</f>
        <v/>
      </c>
      <c r="H644" s="5">
        <f>IF('ORDENES'!$A622="","",IF('ORDENES'!$AH622="","-",'ORDENES'!$AH622))</f>
        <v/>
      </c>
      <c r="I644" s="5">
        <f>IF('ORDENES'!$A622="","",IF('ORDENES'!$AU622="","-",'ORDENES'!$AU622))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3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IF('ORDENES'!$A622="","",'ORDENES'!$AG622)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IF('ORDENES'!$A623="","",IF('ORDENES'!$AI623="","-",'ORDENES'!$AI623))</f>
        <v/>
      </c>
      <c r="D645" s="5">
        <f>IF('ORDENES'!$A623="","",IF('ORDENES'!$AA623="","-",'ORDENES'!$AA623))</f>
        <v/>
      </c>
      <c r="E645" s="5">
        <f>IF('ORDENES'!$A623="","",IF('ORDENES'!$Y623="","-",'ORDENES'!$Y623))</f>
        <v/>
      </c>
      <c r="F645" s="5">
        <f>IF('ORDENES'!$A623="","",IF('ORDENES'!$AB623="","-",'ORDENES'!$AB623))</f>
        <v/>
      </c>
      <c r="G645" s="5">
        <f>IF('ORDENES'!$A623="","",IF('ORDENES'!$Z623="","-",'ORDENES'!$Z623))</f>
        <v/>
      </c>
      <c r="H645" s="5">
        <f>IF('ORDENES'!$A623="","",IF('ORDENES'!$AH623="","-",'ORDENES'!$AH623))</f>
        <v/>
      </c>
      <c r="I645" s="5">
        <f>IF('ORDENES'!$A623="","",IF('ORDENES'!$AU623="","-",'ORDENES'!$AU623))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3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IF('ORDENES'!$A623="","",'ORDENES'!$AG623)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IF('ORDENES'!$A624="","",IF('ORDENES'!$AI624="","-",'ORDENES'!$AI624))</f>
        <v/>
      </c>
      <c r="D646" s="5">
        <f>IF('ORDENES'!$A624="","",IF('ORDENES'!$AA624="","-",'ORDENES'!$AA624))</f>
        <v/>
      </c>
      <c r="E646" s="5">
        <f>IF('ORDENES'!$A624="","",IF('ORDENES'!$Y624="","-",'ORDENES'!$Y624))</f>
        <v/>
      </c>
      <c r="F646" s="5">
        <f>IF('ORDENES'!$A624="","",IF('ORDENES'!$AB624="","-",'ORDENES'!$AB624))</f>
        <v/>
      </c>
      <c r="G646" s="5">
        <f>IF('ORDENES'!$A624="","",IF('ORDENES'!$Z624="","-",'ORDENES'!$Z624))</f>
        <v/>
      </c>
      <c r="H646" s="5">
        <f>IF('ORDENES'!$A624="","",IF('ORDENES'!$AH624="","-",'ORDENES'!$AH624))</f>
        <v/>
      </c>
      <c r="I646" s="5">
        <f>IF('ORDENES'!$A624="","",IF('ORDENES'!$AU624="","-",'ORDENES'!$AU624))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3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IF('ORDENES'!$A624="","",'ORDENES'!$AG624)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IF('ORDENES'!$A625="","",IF('ORDENES'!$AI625="","-",'ORDENES'!$AI625))</f>
        <v/>
      </c>
      <c r="D647" s="5">
        <f>IF('ORDENES'!$A625="","",IF('ORDENES'!$AA625="","-",'ORDENES'!$AA625))</f>
        <v/>
      </c>
      <c r="E647" s="5">
        <f>IF('ORDENES'!$A625="","",IF('ORDENES'!$Y625="","-",'ORDENES'!$Y625))</f>
        <v/>
      </c>
      <c r="F647" s="5">
        <f>IF('ORDENES'!$A625="","",IF('ORDENES'!$AB625="","-",'ORDENES'!$AB625))</f>
        <v/>
      </c>
      <c r="G647" s="5">
        <f>IF('ORDENES'!$A625="","",IF('ORDENES'!$Z625="","-",'ORDENES'!$Z625))</f>
        <v/>
      </c>
      <c r="H647" s="5">
        <f>IF('ORDENES'!$A625="","",IF('ORDENES'!$AH625="","-",'ORDENES'!$AH625))</f>
        <v/>
      </c>
      <c r="I647" s="5">
        <f>IF('ORDENES'!$A625="","",IF('ORDENES'!$AU625="","-",'ORDENES'!$AU625))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3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IF('ORDENES'!$A625="","",'ORDENES'!$AG625)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IF('ORDENES'!$A626="","",IF('ORDENES'!$AI626="","-",'ORDENES'!$AI626))</f>
        <v/>
      </c>
      <c r="D648" s="5">
        <f>IF('ORDENES'!$A626="","",IF('ORDENES'!$AA626="","-",'ORDENES'!$AA626))</f>
        <v/>
      </c>
      <c r="E648" s="5">
        <f>IF('ORDENES'!$A626="","",IF('ORDENES'!$Y626="","-",'ORDENES'!$Y626))</f>
        <v/>
      </c>
      <c r="F648" s="5">
        <f>IF('ORDENES'!$A626="","",IF('ORDENES'!$AB626="","-",'ORDENES'!$AB626))</f>
        <v/>
      </c>
      <c r="G648" s="5">
        <f>IF('ORDENES'!$A626="","",IF('ORDENES'!$Z626="","-",'ORDENES'!$Z626))</f>
        <v/>
      </c>
      <c r="H648" s="5">
        <f>IF('ORDENES'!$A626="","",IF('ORDENES'!$AH626="","-",'ORDENES'!$AH626))</f>
        <v/>
      </c>
      <c r="I648" s="5">
        <f>IF('ORDENES'!$A626="","",IF('ORDENES'!$AU626="","-",'ORDENES'!$AU626))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3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IF('ORDENES'!$A626="","",'ORDENES'!$AG626)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IF('ORDENES'!$A627="","",IF('ORDENES'!$AI627="","-",'ORDENES'!$AI627))</f>
        <v/>
      </c>
      <c r="D649" s="5">
        <f>IF('ORDENES'!$A627="","",IF('ORDENES'!$AA627="","-",'ORDENES'!$AA627))</f>
        <v/>
      </c>
      <c r="E649" s="5">
        <f>IF('ORDENES'!$A627="","",IF('ORDENES'!$Y627="","-",'ORDENES'!$Y627))</f>
        <v/>
      </c>
      <c r="F649" s="5">
        <f>IF('ORDENES'!$A627="","",IF('ORDENES'!$AB627="","-",'ORDENES'!$AB627))</f>
        <v/>
      </c>
      <c r="G649" s="5">
        <f>IF('ORDENES'!$A627="","",IF('ORDENES'!$Z627="","-",'ORDENES'!$Z627))</f>
        <v/>
      </c>
      <c r="H649" s="5">
        <f>IF('ORDENES'!$A627="","",IF('ORDENES'!$AH627="","-",'ORDENES'!$AH627))</f>
        <v/>
      </c>
      <c r="I649" s="5">
        <f>IF('ORDENES'!$A627="","",IF('ORDENES'!$AU627="","-",'ORDENES'!$AU627))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3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IF('ORDENES'!$A627="","",'ORDENES'!$AG627)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IF('ORDENES'!$A628="","",IF('ORDENES'!$AI628="","-",'ORDENES'!$AI628))</f>
        <v/>
      </c>
      <c r="D650" s="5">
        <f>IF('ORDENES'!$A628="","",IF('ORDENES'!$AA628="","-",'ORDENES'!$AA628))</f>
        <v/>
      </c>
      <c r="E650" s="5">
        <f>IF('ORDENES'!$A628="","",IF('ORDENES'!$Y628="","-",'ORDENES'!$Y628))</f>
        <v/>
      </c>
      <c r="F650" s="5">
        <f>IF('ORDENES'!$A628="","",IF('ORDENES'!$AB628="","-",'ORDENES'!$AB628))</f>
        <v/>
      </c>
      <c r="G650" s="5">
        <f>IF('ORDENES'!$A628="","",IF('ORDENES'!$Z628="","-",'ORDENES'!$Z628))</f>
        <v/>
      </c>
      <c r="H650" s="5">
        <f>IF('ORDENES'!$A628="","",IF('ORDENES'!$AH628="","-",'ORDENES'!$AH628))</f>
        <v/>
      </c>
      <c r="I650" s="5">
        <f>IF('ORDENES'!$A628="","",IF('ORDENES'!$AU628="","-",'ORDENES'!$AU628))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3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IF('ORDENES'!$A628="","",'ORDENES'!$AG628)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IF('ORDENES'!$A629="","",IF('ORDENES'!$AI629="","-",'ORDENES'!$AI629))</f>
        <v/>
      </c>
      <c r="D651" s="5">
        <f>IF('ORDENES'!$A629="","",IF('ORDENES'!$AA629="","-",'ORDENES'!$AA629))</f>
        <v/>
      </c>
      <c r="E651" s="5">
        <f>IF('ORDENES'!$A629="","",IF('ORDENES'!$Y629="","-",'ORDENES'!$Y629))</f>
        <v/>
      </c>
      <c r="F651" s="5">
        <f>IF('ORDENES'!$A629="","",IF('ORDENES'!$AB629="","-",'ORDENES'!$AB629))</f>
        <v/>
      </c>
      <c r="G651" s="5">
        <f>IF('ORDENES'!$A629="","",IF('ORDENES'!$Z629="","-",'ORDENES'!$Z629))</f>
        <v/>
      </c>
      <c r="H651" s="5">
        <f>IF('ORDENES'!$A629="","",IF('ORDENES'!$AH629="","-",'ORDENES'!$AH629))</f>
        <v/>
      </c>
      <c r="I651" s="5">
        <f>IF('ORDENES'!$A629="","",IF('ORDENES'!$AU629="","-",'ORDENES'!$AU629))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3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IF('ORDENES'!$A629="","",'ORDENES'!$AG629)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IF('ORDENES'!$A630="","",IF('ORDENES'!$AI630="","-",'ORDENES'!$AI630))</f>
        <v/>
      </c>
      <c r="D652" s="5">
        <f>IF('ORDENES'!$A630="","",IF('ORDENES'!$AA630="","-",'ORDENES'!$AA630))</f>
        <v/>
      </c>
      <c r="E652" s="5">
        <f>IF('ORDENES'!$A630="","",IF('ORDENES'!$Y630="","-",'ORDENES'!$Y630))</f>
        <v/>
      </c>
      <c r="F652" s="5">
        <f>IF('ORDENES'!$A630="","",IF('ORDENES'!$AB630="","-",'ORDENES'!$AB630))</f>
        <v/>
      </c>
      <c r="G652" s="5">
        <f>IF('ORDENES'!$A630="","",IF('ORDENES'!$Z630="","-",'ORDENES'!$Z630))</f>
        <v/>
      </c>
      <c r="H652" s="5">
        <f>IF('ORDENES'!$A630="","",IF('ORDENES'!$AH630="","-",'ORDENES'!$AH630))</f>
        <v/>
      </c>
      <c r="I652" s="5">
        <f>IF('ORDENES'!$A630="","",IF('ORDENES'!$AU630="","-",'ORDENES'!$AU630))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3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IF('ORDENES'!$A630="","",'ORDENES'!$AG630)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IF('ORDENES'!$A631="","",IF('ORDENES'!$AI631="","-",'ORDENES'!$AI631))</f>
        <v/>
      </c>
      <c r="D653" s="5">
        <f>IF('ORDENES'!$A631="","",IF('ORDENES'!$AA631="","-",'ORDENES'!$AA631))</f>
        <v/>
      </c>
      <c r="E653" s="5">
        <f>IF('ORDENES'!$A631="","",IF('ORDENES'!$Y631="","-",'ORDENES'!$Y631))</f>
        <v/>
      </c>
      <c r="F653" s="5">
        <f>IF('ORDENES'!$A631="","",IF('ORDENES'!$AB631="","-",'ORDENES'!$AB631))</f>
        <v/>
      </c>
      <c r="G653" s="5">
        <f>IF('ORDENES'!$A631="","",IF('ORDENES'!$Z631="","-",'ORDENES'!$Z631))</f>
        <v/>
      </c>
      <c r="H653" s="5">
        <f>IF('ORDENES'!$A631="","",IF('ORDENES'!$AH631="","-",'ORDENES'!$AH631))</f>
        <v/>
      </c>
      <c r="I653" s="5">
        <f>IF('ORDENES'!$A631="","",IF('ORDENES'!$AU631="","-",'ORDENES'!$AU631))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3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IF('ORDENES'!$A631="","",'ORDENES'!$AG631)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IF('ORDENES'!$A632="","",IF('ORDENES'!$AI632="","-",'ORDENES'!$AI632))</f>
        <v/>
      </c>
      <c r="D654" s="5">
        <f>IF('ORDENES'!$A632="","",IF('ORDENES'!$AA632="","-",'ORDENES'!$AA632))</f>
        <v/>
      </c>
      <c r="E654" s="5">
        <f>IF('ORDENES'!$A632="","",IF('ORDENES'!$Y632="","-",'ORDENES'!$Y632))</f>
        <v/>
      </c>
      <c r="F654" s="5">
        <f>IF('ORDENES'!$A632="","",IF('ORDENES'!$AB632="","-",'ORDENES'!$AB632))</f>
        <v/>
      </c>
      <c r="G654" s="5">
        <f>IF('ORDENES'!$A632="","",IF('ORDENES'!$Z632="","-",'ORDENES'!$Z632))</f>
        <v/>
      </c>
      <c r="H654" s="5">
        <f>IF('ORDENES'!$A632="","",IF('ORDENES'!$AH632="","-",'ORDENES'!$AH632))</f>
        <v/>
      </c>
      <c r="I654" s="5">
        <f>IF('ORDENES'!$A632="","",IF('ORDENES'!$AU632="","-",'ORDENES'!$AU632))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3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IF('ORDENES'!$A632="","",'ORDENES'!$AG632)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IF('ORDENES'!$A633="","",IF('ORDENES'!$AI633="","-",'ORDENES'!$AI633))</f>
        <v/>
      </c>
      <c r="D655" s="5">
        <f>IF('ORDENES'!$A633="","",IF('ORDENES'!$AA633="","-",'ORDENES'!$AA633))</f>
        <v/>
      </c>
      <c r="E655" s="5">
        <f>IF('ORDENES'!$A633="","",IF('ORDENES'!$Y633="","-",'ORDENES'!$Y633))</f>
        <v/>
      </c>
      <c r="F655" s="5">
        <f>IF('ORDENES'!$A633="","",IF('ORDENES'!$AB633="","-",'ORDENES'!$AB633))</f>
        <v/>
      </c>
      <c r="G655" s="5">
        <f>IF('ORDENES'!$A633="","",IF('ORDENES'!$Z633="","-",'ORDENES'!$Z633))</f>
        <v/>
      </c>
      <c r="H655" s="5">
        <f>IF('ORDENES'!$A633="","",IF('ORDENES'!$AH633="","-",'ORDENES'!$AH633))</f>
        <v/>
      </c>
      <c r="I655" s="5">
        <f>IF('ORDENES'!$A633="","",IF('ORDENES'!$AU633="","-",'ORDENES'!$AU633))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3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IF('ORDENES'!$A633="","",'ORDENES'!$AG633)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IF('ORDENES'!$A634="","",IF('ORDENES'!$AI634="","-",'ORDENES'!$AI634))</f>
        <v/>
      </c>
      <c r="D656" s="5">
        <f>IF('ORDENES'!$A634="","",IF('ORDENES'!$AA634="","-",'ORDENES'!$AA634))</f>
        <v/>
      </c>
      <c r="E656" s="5">
        <f>IF('ORDENES'!$A634="","",IF('ORDENES'!$Y634="","-",'ORDENES'!$Y634))</f>
        <v/>
      </c>
      <c r="F656" s="5">
        <f>IF('ORDENES'!$A634="","",IF('ORDENES'!$AB634="","-",'ORDENES'!$AB634))</f>
        <v/>
      </c>
      <c r="G656" s="5">
        <f>IF('ORDENES'!$A634="","",IF('ORDENES'!$Z634="","-",'ORDENES'!$Z634))</f>
        <v/>
      </c>
      <c r="H656" s="5">
        <f>IF('ORDENES'!$A634="","",IF('ORDENES'!$AH634="","-",'ORDENES'!$AH634))</f>
        <v/>
      </c>
      <c r="I656" s="5">
        <f>IF('ORDENES'!$A634="","",IF('ORDENES'!$AU634="","-",'ORDENES'!$AU634))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3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IF('ORDENES'!$A634="","",'ORDENES'!$AG634)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IF('ORDENES'!$A635="","",IF('ORDENES'!$AI635="","-",'ORDENES'!$AI635))</f>
        <v/>
      </c>
      <c r="D657" s="5">
        <f>IF('ORDENES'!$A635="","",IF('ORDENES'!$AA635="","-",'ORDENES'!$AA635))</f>
        <v/>
      </c>
      <c r="E657" s="5">
        <f>IF('ORDENES'!$A635="","",IF('ORDENES'!$Y635="","-",'ORDENES'!$Y635))</f>
        <v/>
      </c>
      <c r="F657" s="5">
        <f>IF('ORDENES'!$A635="","",IF('ORDENES'!$AB635="","-",'ORDENES'!$AB635))</f>
        <v/>
      </c>
      <c r="G657" s="5">
        <f>IF('ORDENES'!$A635="","",IF('ORDENES'!$Z635="","-",'ORDENES'!$Z635))</f>
        <v/>
      </c>
      <c r="H657" s="5">
        <f>IF('ORDENES'!$A635="","",IF('ORDENES'!$AH635="","-",'ORDENES'!$AH635))</f>
        <v/>
      </c>
      <c r="I657" s="5">
        <f>IF('ORDENES'!$A635="","",IF('ORDENES'!$AU635="","-",'ORDENES'!$AU635))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3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IF('ORDENES'!$A635="","",'ORDENES'!$AG635)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IF('ORDENES'!$A636="","",IF('ORDENES'!$AI636="","-",'ORDENES'!$AI636))</f>
        <v/>
      </c>
      <c r="D658" s="5">
        <f>IF('ORDENES'!$A636="","",IF('ORDENES'!$AA636="","-",'ORDENES'!$AA636))</f>
        <v/>
      </c>
      <c r="E658" s="5">
        <f>IF('ORDENES'!$A636="","",IF('ORDENES'!$Y636="","-",'ORDENES'!$Y636))</f>
        <v/>
      </c>
      <c r="F658" s="5">
        <f>IF('ORDENES'!$A636="","",IF('ORDENES'!$AB636="","-",'ORDENES'!$AB636))</f>
        <v/>
      </c>
      <c r="G658" s="5">
        <f>IF('ORDENES'!$A636="","",IF('ORDENES'!$Z636="","-",'ORDENES'!$Z636))</f>
        <v/>
      </c>
      <c r="H658" s="5">
        <f>IF('ORDENES'!$A636="","",IF('ORDENES'!$AH636="","-",'ORDENES'!$AH636))</f>
        <v/>
      </c>
      <c r="I658" s="5">
        <f>IF('ORDENES'!$A636="","",IF('ORDENES'!$AU636="","-",'ORDENES'!$AU636))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3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IF('ORDENES'!$A636="","",'ORDENES'!$AG636)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IF('ORDENES'!$A637="","",IF('ORDENES'!$AI637="","-",'ORDENES'!$AI637))</f>
        <v/>
      </c>
      <c r="D659" s="5">
        <f>IF('ORDENES'!$A637="","",IF('ORDENES'!$AA637="","-",'ORDENES'!$AA637))</f>
        <v/>
      </c>
      <c r="E659" s="5">
        <f>IF('ORDENES'!$A637="","",IF('ORDENES'!$Y637="","-",'ORDENES'!$Y637))</f>
        <v/>
      </c>
      <c r="F659" s="5">
        <f>IF('ORDENES'!$A637="","",IF('ORDENES'!$AB637="","-",'ORDENES'!$AB637))</f>
        <v/>
      </c>
      <c r="G659" s="5">
        <f>IF('ORDENES'!$A637="","",IF('ORDENES'!$Z637="","-",'ORDENES'!$Z637))</f>
        <v/>
      </c>
      <c r="H659" s="5">
        <f>IF('ORDENES'!$A637="","",IF('ORDENES'!$AH637="","-",'ORDENES'!$AH637))</f>
        <v/>
      </c>
      <c r="I659" s="5">
        <f>IF('ORDENES'!$A637="","",IF('ORDENES'!$AU637="","-",'ORDENES'!$AU637))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3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IF('ORDENES'!$A637="","",'ORDENES'!$AG637)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IF('ORDENES'!$A638="","",IF('ORDENES'!$AI638="","-",'ORDENES'!$AI638))</f>
        <v/>
      </c>
      <c r="D660" s="5">
        <f>IF('ORDENES'!$A638="","",IF('ORDENES'!$AA638="","-",'ORDENES'!$AA638))</f>
        <v/>
      </c>
      <c r="E660" s="5">
        <f>IF('ORDENES'!$A638="","",IF('ORDENES'!$Y638="","-",'ORDENES'!$Y638))</f>
        <v/>
      </c>
      <c r="F660" s="5">
        <f>IF('ORDENES'!$A638="","",IF('ORDENES'!$AB638="","-",'ORDENES'!$AB638))</f>
        <v/>
      </c>
      <c r="G660" s="5">
        <f>IF('ORDENES'!$A638="","",IF('ORDENES'!$Z638="","-",'ORDENES'!$Z638))</f>
        <v/>
      </c>
      <c r="H660" s="5">
        <f>IF('ORDENES'!$A638="","",IF('ORDENES'!$AH638="","-",'ORDENES'!$AH638))</f>
        <v/>
      </c>
      <c r="I660" s="5">
        <f>IF('ORDENES'!$A638="","",IF('ORDENES'!$AU638="","-",'ORDENES'!$AU638))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3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IF('ORDENES'!$A638="","",'ORDENES'!$AG638)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IF('ORDENES'!$A639="","",IF('ORDENES'!$AI639="","-",'ORDENES'!$AI639))</f>
        <v/>
      </c>
      <c r="D661" s="5">
        <f>IF('ORDENES'!$A639="","",IF('ORDENES'!$AA639="","-",'ORDENES'!$AA639))</f>
        <v/>
      </c>
      <c r="E661" s="5">
        <f>IF('ORDENES'!$A639="","",IF('ORDENES'!$Y639="","-",'ORDENES'!$Y639))</f>
        <v/>
      </c>
      <c r="F661" s="5">
        <f>IF('ORDENES'!$A639="","",IF('ORDENES'!$AB639="","-",'ORDENES'!$AB639))</f>
        <v/>
      </c>
      <c r="G661" s="5">
        <f>IF('ORDENES'!$A639="","",IF('ORDENES'!$Z639="","-",'ORDENES'!$Z639))</f>
        <v/>
      </c>
      <c r="H661" s="5">
        <f>IF('ORDENES'!$A639="","",IF('ORDENES'!$AH639="","-",'ORDENES'!$AH639))</f>
        <v/>
      </c>
      <c r="I661" s="5">
        <f>IF('ORDENES'!$A639="","",IF('ORDENES'!$AU639="","-",'ORDENES'!$AU639))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3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IF('ORDENES'!$A639="","",'ORDENES'!$AG639)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IF('ORDENES'!$A640="","",IF('ORDENES'!$AI640="","-",'ORDENES'!$AI640))</f>
        <v/>
      </c>
      <c r="D662" s="5">
        <f>IF('ORDENES'!$A640="","",IF('ORDENES'!$AA640="","-",'ORDENES'!$AA640))</f>
        <v/>
      </c>
      <c r="E662" s="5">
        <f>IF('ORDENES'!$A640="","",IF('ORDENES'!$Y640="","-",'ORDENES'!$Y640))</f>
        <v/>
      </c>
      <c r="F662" s="5">
        <f>IF('ORDENES'!$A640="","",IF('ORDENES'!$AB640="","-",'ORDENES'!$AB640))</f>
        <v/>
      </c>
      <c r="G662" s="5">
        <f>IF('ORDENES'!$A640="","",IF('ORDENES'!$Z640="","-",'ORDENES'!$Z640))</f>
        <v/>
      </c>
      <c r="H662" s="5">
        <f>IF('ORDENES'!$A640="","",IF('ORDENES'!$AH640="","-",'ORDENES'!$AH640))</f>
        <v/>
      </c>
      <c r="I662" s="5">
        <f>IF('ORDENES'!$A640="","",IF('ORDENES'!$AU640="","-",'ORDENES'!$AU640))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3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IF('ORDENES'!$A640="","",'ORDENES'!$AG640)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IF('ORDENES'!$A641="","",IF('ORDENES'!$AI641="","-",'ORDENES'!$AI641))</f>
        <v/>
      </c>
      <c r="D663" s="5">
        <f>IF('ORDENES'!$A641="","",IF('ORDENES'!$AA641="","-",'ORDENES'!$AA641))</f>
        <v/>
      </c>
      <c r="E663" s="5">
        <f>IF('ORDENES'!$A641="","",IF('ORDENES'!$Y641="","-",'ORDENES'!$Y641))</f>
        <v/>
      </c>
      <c r="F663" s="5">
        <f>IF('ORDENES'!$A641="","",IF('ORDENES'!$AB641="","-",'ORDENES'!$AB641))</f>
        <v/>
      </c>
      <c r="G663" s="5">
        <f>IF('ORDENES'!$A641="","",IF('ORDENES'!$Z641="","-",'ORDENES'!$Z641))</f>
        <v/>
      </c>
      <c r="H663" s="5">
        <f>IF('ORDENES'!$A641="","",IF('ORDENES'!$AH641="","-",'ORDENES'!$AH641))</f>
        <v/>
      </c>
      <c r="I663" s="5">
        <f>IF('ORDENES'!$A641="","",IF('ORDENES'!$AU641="","-",'ORDENES'!$AU641))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3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IF('ORDENES'!$A641="","",'ORDENES'!$AG641)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IF('ORDENES'!$A642="","",IF('ORDENES'!$AI642="","-",'ORDENES'!$AI642))</f>
        <v/>
      </c>
      <c r="D664" s="5">
        <f>IF('ORDENES'!$A642="","",IF('ORDENES'!$AA642="","-",'ORDENES'!$AA642))</f>
        <v/>
      </c>
      <c r="E664" s="5">
        <f>IF('ORDENES'!$A642="","",IF('ORDENES'!$Y642="","-",'ORDENES'!$Y642))</f>
        <v/>
      </c>
      <c r="F664" s="5">
        <f>IF('ORDENES'!$A642="","",IF('ORDENES'!$AB642="","-",'ORDENES'!$AB642))</f>
        <v/>
      </c>
      <c r="G664" s="5">
        <f>IF('ORDENES'!$A642="","",IF('ORDENES'!$Z642="","-",'ORDENES'!$Z642))</f>
        <v/>
      </c>
      <c r="H664" s="5">
        <f>IF('ORDENES'!$A642="","",IF('ORDENES'!$AH642="","-",'ORDENES'!$AH642))</f>
        <v/>
      </c>
      <c r="I664" s="5">
        <f>IF('ORDENES'!$A642="","",IF('ORDENES'!$AU642="","-",'ORDENES'!$AU642))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3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IF('ORDENES'!$A642="","",'ORDENES'!$AG642)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IF('ORDENES'!$A643="","",IF('ORDENES'!$AI643="","-",'ORDENES'!$AI643))</f>
        <v/>
      </c>
      <c r="D665" s="5">
        <f>IF('ORDENES'!$A643="","",IF('ORDENES'!$AA643="","-",'ORDENES'!$AA643))</f>
        <v/>
      </c>
      <c r="E665" s="5">
        <f>IF('ORDENES'!$A643="","",IF('ORDENES'!$Y643="","-",'ORDENES'!$Y643))</f>
        <v/>
      </c>
      <c r="F665" s="5">
        <f>IF('ORDENES'!$A643="","",IF('ORDENES'!$AB643="","-",'ORDENES'!$AB643))</f>
        <v/>
      </c>
      <c r="G665" s="5">
        <f>IF('ORDENES'!$A643="","",IF('ORDENES'!$Z643="","-",'ORDENES'!$Z643))</f>
        <v/>
      </c>
      <c r="H665" s="5">
        <f>IF('ORDENES'!$A643="","",IF('ORDENES'!$AH643="","-",'ORDENES'!$AH643))</f>
        <v/>
      </c>
      <c r="I665" s="5">
        <f>IF('ORDENES'!$A643="","",IF('ORDENES'!$AU643="","-",'ORDENES'!$AU643))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3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IF('ORDENES'!$A643="","",'ORDENES'!$AG643)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IF('ORDENES'!$A644="","",IF('ORDENES'!$AI644="","-",'ORDENES'!$AI644))</f>
        <v/>
      </c>
      <c r="D666" s="5">
        <f>IF('ORDENES'!$A644="","",IF('ORDENES'!$AA644="","-",'ORDENES'!$AA644))</f>
        <v/>
      </c>
      <c r="E666" s="5">
        <f>IF('ORDENES'!$A644="","",IF('ORDENES'!$Y644="","-",'ORDENES'!$Y644))</f>
        <v/>
      </c>
      <c r="F666" s="5">
        <f>IF('ORDENES'!$A644="","",IF('ORDENES'!$AB644="","-",'ORDENES'!$AB644))</f>
        <v/>
      </c>
      <c r="G666" s="5">
        <f>IF('ORDENES'!$A644="","",IF('ORDENES'!$Z644="","-",'ORDENES'!$Z644))</f>
        <v/>
      </c>
      <c r="H666" s="5">
        <f>IF('ORDENES'!$A644="","",IF('ORDENES'!$AH644="","-",'ORDENES'!$AH644))</f>
        <v/>
      </c>
      <c r="I666" s="5">
        <f>IF('ORDENES'!$A644="","",IF('ORDENES'!$AU644="","-",'ORDENES'!$AU644))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3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IF('ORDENES'!$A644="","",'ORDENES'!$AG644)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IF('ORDENES'!$A645="","",IF('ORDENES'!$AI645="","-",'ORDENES'!$AI645))</f>
        <v/>
      </c>
      <c r="D667" s="5">
        <f>IF('ORDENES'!$A645="","",IF('ORDENES'!$AA645="","-",'ORDENES'!$AA645))</f>
        <v/>
      </c>
      <c r="E667" s="5">
        <f>IF('ORDENES'!$A645="","",IF('ORDENES'!$Y645="","-",'ORDENES'!$Y645))</f>
        <v/>
      </c>
      <c r="F667" s="5">
        <f>IF('ORDENES'!$A645="","",IF('ORDENES'!$AB645="","-",'ORDENES'!$AB645))</f>
        <v/>
      </c>
      <c r="G667" s="5">
        <f>IF('ORDENES'!$A645="","",IF('ORDENES'!$Z645="","-",'ORDENES'!$Z645))</f>
        <v/>
      </c>
      <c r="H667" s="5">
        <f>IF('ORDENES'!$A645="","",IF('ORDENES'!$AH645="","-",'ORDENES'!$AH645))</f>
        <v/>
      </c>
      <c r="I667" s="5">
        <f>IF('ORDENES'!$A645="","",IF('ORDENES'!$AU645="","-",'ORDENES'!$AU645))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3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IF('ORDENES'!$A645="","",'ORDENES'!$AG645)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IF('ORDENES'!$A646="","",IF('ORDENES'!$AI646="","-",'ORDENES'!$AI646))</f>
        <v/>
      </c>
      <c r="D668" s="5">
        <f>IF('ORDENES'!$A646="","",IF('ORDENES'!$AA646="","-",'ORDENES'!$AA646))</f>
        <v/>
      </c>
      <c r="E668" s="5">
        <f>IF('ORDENES'!$A646="","",IF('ORDENES'!$Y646="","-",'ORDENES'!$Y646))</f>
        <v/>
      </c>
      <c r="F668" s="5">
        <f>IF('ORDENES'!$A646="","",IF('ORDENES'!$AB646="","-",'ORDENES'!$AB646))</f>
        <v/>
      </c>
      <c r="G668" s="5">
        <f>IF('ORDENES'!$A646="","",IF('ORDENES'!$Z646="","-",'ORDENES'!$Z646))</f>
        <v/>
      </c>
      <c r="H668" s="5">
        <f>IF('ORDENES'!$A646="","",IF('ORDENES'!$AH646="","-",'ORDENES'!$AH646))</f>
        <v/>
      </c>
      <c r="I668" s="5">
        <f>IF('ORDENES'!$A646="","",IF('ORDENES'!$AU646="","-",'ORDENES'!$AU646))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3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IF('ORDENES'!$A646="","",'ORDENES'!$AG646)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IF('ORDENES'!$A647="","",IF('ORDENES'!$AI647="","-",'ORDENES'!$AI647))</f>
        <v/>
      </c>
      <c r="D669" s="5">
        <f>IF('ORDENES'!$A647="","",IF('ORDENES'!$AA647="","-",'ORDENES'!$AA647))</f>
        <v/>
      </c>
      <c r="E669" s="5">
        <f>IF('ORDENES'!$A647="","",IF('ORDENES'!$Y647="","-",'ORDENES'!$Y647))</f>
        <v/>
      </c>
      <c r="F669" s="5">
        <f>IF('ORDENES'!$A647="","",IF('ORDENES'!$AB647="","-",'ORDENES'!$AB647))</f>
        <v/>
      </c>
      <c r="G669" s="5">
        <f>IF('ORDENES'!$A647="","",IF('ORDENES'!$Z647="","-",'ORDENES'!$Z647))</f>
        <v/>
      </c>
      <c r="H669" s="5">
        <f>IF('ORDENES'!$A647="","",IF('ORDENES'!$AH647="","-",'ORDENES'!$AH647))</f>
        <v/>
      </c>
      <c r="I669" s="5">
        <f>IF('ORDENES'!$A647="","",IF('ORDENES'!$AU647="","-",'ORDENES'!$AU647))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3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IF('ORDENES'!$A647="","",'ORDENES'!$AG647)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IF('ORDENES'!$A648="","",IF('ORDENES'!$AI648="","-",'ORDENES'!$AI648))</f>
        <v/>
      </c>
      <c r="D670" s="5">
        <f>IF('ORDENES'!$A648="","",IF('ORDENES'!$AA648="","-",'ORDENES'!$AA648))</f>
        <v/>
      </c>
      <c r="E670" s="5">
        <f>IF('ORDENES'!$A648="","",IF('ORDENES'!$Y648="","-",'ORDENES'!$Y648))</f>
        <v/>
      </c>
      <c r="F670" s="5">
        <f>IF('ORDENES'!$A648="","",IF('ORDENES'!$AB648="","-",'ORDENES'!$AB648))</f>
        <v/>
      </c>
      <c r="G670" s="5">
        <f>IF('ORDENES'!$A648="","",IF('ORDENES'!$Z648="","-",'ORDENES'!$Z648))</f>
        <v/>
      </c>
      <c r="H670" s="5">
        <f>IF('ORDENES'!$A648="","",IF('ORDENES'!$AH648="","-",'ORDENES'!$AH648))</f>
        <v/>
      </c>
      <c r="I670" s="5">
        <f>IF('ORDENES'!$A648="","",IF('ORDENES'!$AU648="","-",'ORDENES'!$AU648))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3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IF('ORDENES'!$A648="","",'ORDENES'!$AG648)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IF('ORDENES'!$A649="","",IF('ORDENES'!$AI649="","-",'ORDENES'!$AI649))</f>
        <v/>
      </c>
      <c r="D671" s="5">
        <f>IF('ORDENES'!$A649="","",IF('ORDENES'!$AA649="","-",'ORDENES'!$AA649))</f>
        <v/>
      </c>
      <c r="E671" s="5">
        <f>IF('ORDENES'!$A649="","",IF('ORDENES'!$Y649="","-",'ORDENES'!$Y649))</f>
        <v/>
      </c>
      <c r="F671" s="5">
        <f>IF('ORDENES'!$A649="","",IF('ORDENES'!$AB649="","-",'ORDENES'!$AB649))</f>
        <v/>
      </c>
      <c r="G671" s="5">
        <f>IF('ORDENES'!$A649="","",IF('ORDENES'!$Z649="","-",'ORDENES'!$Z649))</f>
        <v/>
      </c>
      <c r="H671" s="5">
        <f>IF('ORDENES'!$A649="","",IF('ORDENES'!$AH649="","-",'ORDENES'!$AH649))</f>
        <v/>
      </c>
      <c r="I671" s="5">
        <f>IF('ORDENES'!$A649="","",IF('ORDENES'!$AU649="","-",'ORDENES'!$AU649))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3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IF('ORDENES'!$A649="","",'ORDENES'!$AG649)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IF('ORDENES'!$A650="","",IF('ORDENES'!$AI650="","-",'ORDENES'!$AI650))</f>
        <v/>
      </c>
      <c r="D672" s="5">
        <f>IF('ORDENES'!$A650="","",IF('ORDENES'!$AA650="","-",'ORDENES'!$AA650))</f>
        <v/>
      </c>
      <c r="E672" s="5">
        <f>IF('ORDENES'!$A650="","",IF('ORDENES'!$Y650="","-",'ORDENES'!$Y650))</f>
        <v/>
      </c>
      <c r="F672" s="5">
        <f>IF('ORDENES'!$A650="","",IF('ORDENES'!$AB650="","-",'ORDENES'!$AB650))</f>
        <v/>
      </c>
      <c r="G672" s="5">
        <f>IF('ORDENES'!$A650="","",IF('ORDENES'!$Z650="","-",'ORDENES'!$Z650))</f>
        <v/>
      </c>
      <c r="H672" s="5">
        <f>IF('ORDENES'!$A650="","",IF('ORDENES'!$AH650="","-",'ORDENES'!$AH650))</f>
        <v/>
      </c>
      <c r="I672" s="5">
        <f>IF('ORDENES'!$A650="","",IF('ORDENES'!$AU650="","-",'ORDENES'!$AU650))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3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IF('ORDENES'!$A650="","",'ORDENES'!$AG650)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IF('ORDENES'!$A651="","",IF('ORDENES'!$AI651="","-",'ORDENES'!$AI651))</f>
        <v/>
      </c>
      <c r="D673" s="5">
        <f>IF('ORDENES'!$A651="","",IF('ORDENES'!$AA651="","-",'ORDENES'!$AA651))</f>
        <v/>
      </c>
      <c r="E673" s="5">
        <f>IF('ORDENES'!$A651="","",IF('ORDENES'!$Y651="","-",'ORDENES'!$Y651))</f>
        <v/>
      </c>
      <c r="F673" s="5">
        <f>IF('ORDENES'!$A651="","",IF('ORDENES'!$AB651="","-",'ORDENES'!$AB651))</f>
        <v/>
      </c>
      <c r="G673" s="5">
        <f>IF('ORDENES'!$A651="","",IF('ORDENES'!$Z651="","-",'ORDENES'!$Z651))</f>
        <v/>
      </c>
      <c r="H673" s="5">
        <f>IF('ORDENES'!$A651="","",IF('ORDENES'!$AH651="","-",'ORDENES'!$AH651))</f>
        <v/>
      </c>
      <c r="I673" s="5">
        <f>IF('ORDENES'!$A651="","",IF('ORDENES'!$AU651="","-",'ORDENES'!$AU651))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3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IF('ORDENES'!$A651="","",'ORDENES'!$AG651)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IF('ORDENES'!$A652="","",IF('ORDENES'!$AI652="","-",'ORDENES'!$AI652))</f>
        <v/>
      </c>
      <c r="D674" s="5">
        <f>IF('ORDENES'!$A652="","",IF('ORDENES'!$AA652="","-",'ORDENES'!$AA652))</f>
        <v/>
      </c>
      <c r="E674" s="5">
        <f>IF('ORDENES'!$A652="","",IF('ORDENES'!$Y652="","-",'ORDENES'!$Y652))</f>
        <v/>
      </c>
      <c r="F674" s="5">
        <f>IF('ORDENES'!$A652="","",IF('ORDENES'!$AB652="","-",'ORDENES'!$AB652))</f>
        <v/>
      </c>
      <c r="G674" s="5">
        <f>IF('ORDENES'!$A652="","",IF('ORDENES'!$Z652="","-",'ORDENES'!$Z652))</f>
        <v/>
      </c>
      <c r="H674" s="5">
        <f>IF('ORDENES'!$A652="","",IF('ORDENES'!$AH652="","-",'ORDENES'!$AH652))</f>
        <v/>
      </c>
      <c r="I674" s="5">
        <f>IF('ORDENES'!$A652="","",IF('ORDENES'!$AU652="","-",'ORDENES'!$AU652))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3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IF('ORDENES'!$A652="","",'ORDENES'!$AG652)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IF('ORDENES'!$A653="","",IF('ORDENES'!$AI653="","-",'ORDENES'!$AI653))</f>
        <v/>
      </c>
      <c r="D675" s="5">
        <f>IF('ORDENES'!$A653="","",IF('ORDENES'!$AA653="","-",'ORDENES'!$AA653))</f>
        <v/>
      </c>
      <c r="E675" s="5">
        <f>IF('ORDENES'!$A653="","",IF('ORDENES'!$Y653="","-",'ORDENES'!$Y653))</f>
        <v/>
      </c>
      <c r="F675" s="5">
        <f>IF('ORDENES'!$A653="","",IF('ORDENES'!$AB653="","-",'ORDENES'!$AB653))</f>
        <v/>
      </c>
      <c r="G675" s="5">
        <f>IF('ORDENES'!$A653="","",IF('ORDENES'!$Z653="","-",'ORDENES'!$Z653))</f>
        <v/>
      </c>
      <c r="H675" s="5">
        <f>IF('ORDENES'!$A653="","",IF('ORDENES'!$AH653="","-",'ORDENES'!$AH653))</f>
        <v/>
      </c>
      <c r="I675" s="5">
        <f>IF('ORDENES'!$A653="","",IF('ORDENES'!$AU653="","-",'ORDENES'!$AU653))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3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IF('ORDENES'!$A653="","",'ORDENES'!$AG653)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IF('ORDENES'!$A654="","",IF('ORDENES'!$AI654="","-",'ORDENES'!$AI654))</f>
        <v/>
      </c>
      <c r="D676" s="5">
        <f>IF('ORDENES'!$A654="","",IF('ORDENES'!$AA654="","-",'ORDENES'!$AA654))</f>
        <v/>
      </c>
      <c r="E676" s="5">
        <f>IF('ORDENES'!$A654="","",IF('ORDENES'!$Y654="","-",'ORDENES'!$Y654))</f>
        <v/>
      </c>
      <c r="F676" s="5">
        <f>IF('ORDENES'!$A654="","",IF('ORDENES'!$AB654="","-",'ORDENES'!$AB654))</f>
        <v/>
      </c>
      <c r="G676" s="5">
        <f>IF('ORDENES'!$A654="","",IF('ORDENES'!$Z654="","-",'ORDENES'!$Z654))</f>
        <v/>
      </c>
      <c r="H676" s="5">
        <f>IF('ORDENES'!$A654="","",IF('ORDENES'!$AH654="","-",'ORDENES'!$AH654))</f>
        <v/>
      </c>
      <c r="I676" s="5">
        <f>IF('ORDENES'!$A654="","",IF('ORDENES'!$AU654="","-",'ORDENES'!$AU654))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3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IF('ORDENES'!$A654="","",'ORDENES'!$AG654)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IF('ORDENES'!$A655="","",IF('ORDENES'!$AI655="","-",'ORDENES'!$AI655))</f>
        <v/>
      </c>
      <c r="D677" s="5">
        <f>IF('ORDENES'!$A655="","",IF('ORDENES'!$AA655="","-",'ORDENES'!$AA655))</f>
        <v/>
      </c>
      <c r="E677" s="5">
        <f>IF('ORDENES'!$A655="","",IF('ORDENES'!$Y655="","-",'ORDENES'!$Y655))</f>
        <v/>
      </c>
      <c r="F677" s="5">
        <f>IF('ORDENES'!$A655="","",IF('ORDENES'!$AB655="","-",'ORDENES'!$AB655))</f>
        <v/>
      </c>
      <c r="G677" s="5">
        <f>IF('ORDENES'!$A655="","",IF('ORDENES'!$Z655="","-",'ORDENES'!$Z655))</f>
        <v/>
      </c>
      <c r="H677" s="5">
        <f>IF('ORDENES'!$A655="","",IF('ORDENES'!$AH655="","-",'ORDENES'!$AH655))</f>
        <v/>
      </c>
      <c r="I677" s="5">
        <f>IF('ORDENES'!$A655="","",IF('ORDENES'!$AU655="","-",'ORDENES'!$AU655))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3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IF('ORDENES'!$A655="","",'ORDENES'!$AG655)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IF('ORDENES'!$A656="","",IF('ORDENES'!$AI656="","-",'ORDENES'!$AI656))</f>
        <v/>
      </c>
      <c r="D678" s="5">
        <f>IF('ORDENES'!$A656="","",IF('ORDENES'!$AA656="","-",'ORDENES'!$AA656))</f>
        <v/>
      </c>
      <c r="E678" s="5">
        <f>IF('ORDENES'!$A656="","",IF('ORDENES'!$Y656="","-",'ORDENES'!$Y656))</f>
        <v/>
      </c>
      <c r="F678" s="5">
        <f>IF('ORDENES'!$A656="","",IF('ORDENES'!$AB656="","-",'ORDENES'!$AB656))</f>
        <v/>
      </c>
      <c r="G678" s="5">
        <f>IF('ORDENES'!$A656="","",IF('ORDENES'!$Z656="","-",'ORDENES'!$Z656))</f>
        <v/>
      </c>
      <c r="H678" s="5">
        <f>IF('ORDENES'!$A656="","",IF('ORDENES'!$AH656="","-",'ORDENES'!$AH656))</f>
        <v/>
      </c>
      <c r="I678" s="5">
        <f>IF('ORDENES'!$A656="","",IF('ORDENES'!$AU656="","-",'ORDENES'!$AU656))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3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IF('ORDENES'!$A656="","",'ORDENES'!$AG656)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IF('ORDENES'!$A657="","",IF('ORDENES'!$AI657="","-",'ORDENES'!$AI657))</f>
        <v/>
      </c>
      <c r="D679" s="5">
        <f>IF('ORDENES'!$A657="","",IF('ORDENES'!$AA657="","-",'ORDENES'!$AA657))</f>
        <v/>
      </c>
      <c r="E679" s="5">
        <f>IF('ORDENES'!$A657="","",IF('ORDENES'!$Y657="","-",'ORDENES'!$Y657))</f>
        <v/>
      </c>
      <c r="F679" s="5">
        <f>IF('ORDENES'!$A657="","",IF('ORDENES'!$AB657="","-",'ORDENES'!$AB657))</f>
        <v/>
      </c>
      <c r="G679" s="5">
        <f>IF('ORDENES'!$A657="","",IF('ORDENES'!$Z657="","-",'ORDENES'!$Z657))</f>
        <v/>
      </c>
      <c r="H679" s="5">
        <f>IF('ORDENES'!$A657="","",IF('ORDENES'!$AH657="","-",'ORDENES'!$AH657))</f>
        <v/>
      </c>
      <c r="I679" s="5">
        <f>IF('ORDENES'!$A657="","",IF('ORDENES'!$AU657="","-",'ORDENES'!$AU657))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3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IF('ORDENES'!$A657="","",'ORDENES'!$AG657)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IF('ORDENES'!$A658="","",IF('ORDENES'!$AI658="","-",'ORDENES'!$AI658))</f>
        <v/>
      </c>
      <c r="D680" s="5">
        <f>IF('ORDENES'!$A658="","",IF('ORDENES'!$AA658="","-",'ORDENES'!$AA658))</f>
        <v/>
      </c>
      <c r="E680" s="5">
        <f>IF('ORDENES'!$A658="","",IF('ORDENES'!$Y658="","-",'ORDENES'!$Y658))</f>
        <v/>
      </c>
      <c r="F680" s="5">
        <f>IF('ORDENES'!$A658="","",IF('ORDENES'!$AB658="","-",'ORDENES'!$AB658))</f>
        <v/>
      </c>
      <c r="G680" s="5">
        <f>IF('ORDENES'!$A658="","",IF('ORDENES'!$Z658="","-",'ORDENES'!$Z658))</f>
        <v/>
      </c>
      <c r="H680" s="5">
        <f>IF('ORDENES'!$A658="","",IF('ORDENES'!$AH658="","-",'ORDENES'!$AH658))</f>
        <v/>
      </c>
      <c r="I680" s="5">
        <f>IF('ORDENES'!$A658="","",IF('ORDENES'!$AU658="","-",'ORDENES'!$AU658))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3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IF('ORDENES'!$A658="","",'ORDENES'!$AG658)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IF('ORDENES'!$A659="","",IF('ORDENES'!$AI659="","-",'ORDENES'!$AI659))</f>
        <v/>
      </c>
      <c r="D681" s="5">
        <f>IF('ORDENES'!$A659="","",IF('ORDENES'!$AA659="","-",'ORDENES'!$AA659))</f>
        <v/>
      </c>
      <c r="E681" s="5">
        <f>IF('ORDENES'!$A659="","",IF('ORDENES'!$Y659="","-",'ORDENES'!$Y659))</f>
        <v/>
      </c>
      <c r="F681" s="5">
        <f>IF('ORDENES'!$A659="","",IF('ORDENES'!$AB659="","-",'ORDENES'!$AB659))</f>
        <v/>
      </c>
      <c r="G681" s="5">
        <f>IF('ORDENES'!$A659="","",IF('ORDENES'!$Z659="","-",'ORDENES'!$Z659))</f>
        <v/>
      </c>
      <c r="H681" s="5">
        <f>IF('ORDENES'!$A659="","",IF('ORDENES'!$AH659="","-",'ORDENES'!$AH659))</f>
        <v/>
      </c>
      <c r="I681" s="5">
        <f>IF('ORDENES'!$A659="","",IF('ORDENES'!$AU659="","-",'ORDENES'!$AU659))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3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IF('ORDENES'!$A659="","",'ORDENES'!$AG659)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IF('ORDENES'!$A660="","",IF('ORDENES'!$AI660="","-",'ORDENES'!$AI660))</f>
        <v/>
      </c>
      <c r="D682" s="5">
        <f>IF('ORDENES'!$A660="","",IF('ORDENES'!$AA660="","-",'ORDENES'!$AA660))</f>
        <v/>
      </c>
      <c r="E682" s="5">
        <f>IF('ORDENES'!$A660="","",IF('ORDENES'!$Y660="","-",'ORDENES'!$Y660))</f>
        <v/>
      </c>
      <c r="F682" s="5">
        <f>IF('ORDENES'!$A660="","",IF('ORDENES'!$AB660="","-",'ORDENES'!$AB660))</f>
        <v/>
      </c>
      <c r="G682" s="5">
        <f>IF('ORDENES'!$A660="","",IF('ORDENES'!$Z660="","-",'ORDENES'!$Z660))</f>
        <v/>
      </c>
      <c r="H682" s="5">
        <f>IF('ORDENES'!$A660="","",IF('ORDENES'!$AH660="","-",'ORDENES'!$AH660))</f>
        <v/>
      </c>
      <c r="I682" s="5">
        <f>IF('ORDENES'!$A660="","",IF('ORDENES'!$AU660="","-",'ORDENES'!$AU660))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3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IF('ORDENES'!$A660="","",'ORDENES'!$AG660)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IF('ORDENES'!$A661="","",IF('ORDENES'!$AI661="","-",'ORDENES'!$AI661))</f>
        <v/>
      </c>
      <c r="D683" s="5">
        <f>IF('ORDENES'!$A661="","",IF('ORDENES'!$AA661="","-",'ORDENES'!$AA661))</f>
        <v/>
      </c>
      <c r="E683" s="5">
        <f>IF('ORDENES'!$A661="","",IF('ORDENES'!$Y661="","-",'ORDENES'!$Y661))</f>
        <v/>
      </c>
      <c r="F683" s="5">
        <f>IF('ORDENES'!$A661="","",IF('ORDENES'!$AB661="","-",'ORDENES'!$AB661))</f>
        <v/>
      </c>
      <c r="G683" s="5">
        <f>IF('ORDENES'!$A661="","",IF('ORDENES'!$Z661="","-",'ORDENES'!$Z661))</f>
        <v/>
      </c>
      <c r="H683" s="5">
        <f>IF('ORDENES'!$A661="","",IF('ORDENES'!$AH661="","-",'ORDENES'!$AH661))</f>
        <v/>
      </c>
      <c r="I683" s="5">
        <f>IF('ORDENES'!$A661="","",IF('ORDENES'!$AU661="","-",'ORDENES'!$AU661))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3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IF('ORDENES'!$A661="","",'ORDENES'!$AG661)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IF('ORDENES'!$A662="","",IF('ORDENES'!$AI662="","-",'ORDENES'!$AI662))</f>
        <v/>
      </c>
      <c r="D684" s="5">
        <f>IF('ORDENES'!$A662="","",IF('ORDENES'!$AA662="","-",'ORDENES'!$AA662))</f>
        <v/>
      </c>
      <c r="E684" s="5">
        <f>IF('ORDENES'!$A662="","",IF('ORDENES'!$Y662="","-",'ORDENES'!$Y662))</f>
        <v/>
      </c>
      <c r="F684" s="5">
        <f>IF('ORDENES'!$A662="","",IF('ORDENES'!$AB662="","-",'ORDENES'!$AB662))</f>
        <v/>
      </c>
      <c r="G684" s="5">
        <f>IF('ORDENES'!$A662="","",IF('ORDENES'!$Z662="","-",'ORDENES'!$Z662))</f>
        <v/>
      </c>
      <c r="H684" s="5">
        <f>IF('ORDENES'!$A662="","",IF('ORDENES'!$AH662="","-",'ORDENES'!$AH662))</f>
        <v/>
      </c>
      <c r="I684" s="5">
        <f>IF('ORDENES'!$A662="","",IF('ORDENES'!$AU662="","-",'ORDENES'!$AU662))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3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IF('ORDENES'!$A662="","",'ORDENES'!$AG662)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IF('ORDENES'!$A663="","",IF('ORDENES'!$AI663="","-",'ORDENES'!$AI663))</f>
        <v/>
      </c>
      <c r="D685" s="5">
        <f>IF('ORDENES'!$A663="","",IF('ORDENES'!$AA663="","-",'ORDENES'!$AA663))</f>
        <v/>
      </c>
      <c r="E685" s="5">
        <f>IF('ORDENES'!$A663="","",IF('ORDENES'!$Y663="","-",'ORDENES'!$Y663))</f>
        <v/>
      </c>
      <c r="F685" s="5">
        <f>IF('ORDENES'!$A663="","",IF('ORDENES'!$AB663="","-",'ORDENES'!$AB663))</f>
        <v/>
      </c>
      <c r="G685" s="5">
        <f>IF('ORDENES'!$A663="","",IF('ORDENES'!$Z663="","-",'ORDENES'!$Z663))</f>
        <v/>
      </c>
      <c r="H685" s="5">
        <f>IF('ORDENES'!$A663="","",IF('ORDENES'!$AH663="","-",'ORDENES'!$AH663))</f>
        <v/>
      </c>
      <c r="I685" s="5">
        <f>IF('ORDENES'!$A663="","",IF('ORDENES'!$AU663="","-",'ORDENES'!$AU663))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3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IF('ORDENES'!$A663="","",'ORDENES'!$AG663)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IF('ORDENES'!$A664="","",IF('ORDENES'!$AI664="","-",'ORDENES'!$AI664))</f>
        <v/>
      </c>
      <c r="D686" s="5">
        <f>IF('ORDENES'!$A664="","",IF('ORDENES'!$AA664="","-",'ORDENES'!$AA664))</f>
        <v/>
      </c>
      <c r="E686" s="5">
        <f>IF('ORDENES'!$A664="","",IF('ORDENES'!$Y664="","-",'ORDENES'!$Y664))</f>
        <v/>
      </c>
      <c r="F686" s="5">
        <f>IF('ORDENES'!$A664="","",IF('ORDENES'!$AB664="","-",'ORDENES'!$AB664))</f>
        <v/>
      </c>
      <c r="G686" s="5">
        <f>IF('ORDENES'!$A664="","",IF('ORDENES'!$Z664="","-",'ORDENES'!$Z664))</f>
        <v/>
      </c>
      <c r="H686" s="5">
        <f>IF('ORDENES'!$A664="","",IF('ORDENES'!$AH664="","-",'ORDENES'!$AH664))</f>
        <v/>
      </c>
      <c r="I686" s="5">
        <f>IF('ORDENES'!$A664="","",IF('ORDENES'!$AU664="","-",'ORDENES'!$AU664))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3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IF('ORDENES'!$A664="","",'ORDENES'!$AG664)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IF('ORDENES'!$A665="","",IF('ORDENES'!$AI665="","-",'ORDENES'!$AI665))</f>
        <v/>
      </c>
      <c r="D687" s="5">
        <f>IF('ORDENES'!$A665="","",IF('ORDENES'!$AA665="","-",'ORDENES'!$AA665))</f>
        <v/>
      </c>
      <c r="E687" s="5">
        <f>IF('ORDENES'!$A665="","",IF('ORDENES'!$Y665="","-",'ORDENES'!$Y665))</f>
        <v/>
      </c>
      <c r="F687" s="5">
        <f>IF('ORDENES'!$A665="","",IF('ORDENES'!$AB665="","-",'ORDENES'!$AB665))</f>
        <v/>
      </c>
      <c r="G687" s="5">
        <f>IF('ORDENES'!$A665="","",IF('ORDENES'!$Z665="","-",'ORDENES'!$Z665))</f>
        <v/>
      </c>
      <c r="H687" s="5">
        <f>IF('ORDENES'!$A665="","",IF('ORDENES'!$AH665="","-",'ORDENES'!$AH665))</f>
        <v/>
      </c>
      <c r="I687" s="5">
        <f>IF('ORDENES'!$A665="","",IF('ORDENES'!$AU665="","-",'ORDENES'!$AU665))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3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IF('ORDENES'!$A665="","",'ORDENES'!$AG665)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IF('ORDENES'!$A666="","",IF('ORDENES'!$AI666="","-",'ORDENES'!$AI666))</f>
        <v/>
      </c>
      <c r="D688" s="5">
        <f>IF('ORDENES'!$A666="","",IF('ORDENES'!$AA666="","-",'ORDENES'!$AA666))</f>
        <v/>
      </c>
      <c r="E688" s="5">
        <f>IF('ORDENES'!$A666="","",IF('ORDENES'!$Y666="","-",'ORDENES'!$Y666))</f>
        <v/>
      </c>
      <c r="F688" s="5">
        <f>IF('ORDENES'!$A666="","",IF('ORDENES'!$AB666="","-",'ORDENES'!$AB666))</f>
        <v/>
      </c>
      <c r="G688" s="5">
        <f>IF('ORDENES'!$A666="","",IF('ORDENES'!$Z666="","-",'ORDENES'!$Z666))</f>
        <v/>
      </c>
      <c r="H688" s="5">
        <f>IF('ORDENES'!$A666="","",IF('ORDENES'!$AH666="","-",'ORDENES'!$AH666))</f>
        <v/>
      </c>
      <c r="I688" s="5">
        <f>IF('ORDENES'!$A666="","",IF('ORDENES'!$AU666="","-",'ORDENES'!$AU666))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3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IF('ORDENES'!$A666="","",'ORDENES'!$AG666)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IF('ORDENES'!$A667="","",IF('ORDENES'!$AI667="","-",'ORDENES'!$AI667))</f>
        <v/>
      </c>
      <c r="D689" s="5">
        <f>IF('ORDENES'!$A667="","",IF('ORDENES'!$AA667="","-",'ORDENES'!$AA667))</f>
        <v/>
      </c>
      <c r="E689" s="5">
        <f>IF('ORDENES'!$A667="","",IF('ORDENES'!$Y667="","-",'ORDENES'!$Y667))</f>
        <v/>
      </c>
      <c r="F689" s="5">
        <f>IF('ORDENES'!$A667="","",IF('ORDENES'!$AB667="","-",'ORDENES'!$AB667))</f>
        <v/>
      </c>
      <c r="G689" s="5">
        <f>IF('ORDENES'!$A667="","",IF('ORDENES'!$Z667="","-",'ORDENES'!$Z667))</f>
        <v/>
      </c>
      <c r="H689" s="5">
        <f>IF('ORDENES'!$A667="","",IF('ORDENES'!$AH667="","-",'ORDENES'!$AH667))</f>
        <v/>
      </c>
      <c r="I689" s="5">
        <f>IF('ORDENES'!$A667="","",IF('ORDENES'!$AU667="","-",'ORDENES'!$AU667))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3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IF('ORDENES'!$A667="","",'ORDENES'!$AG667)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IF('ORDENES'!$A668="","",IF('ORDENES'!$AI668="","-",'ORDENES'!$AI668))</f>
        <v/>
      </c>
      <c r="D690" s="5">
        <f>IF('ORDENES'!$A668="","",IF('ORDENES'!$AA668="","-",'ORDENES'!$AA668))</f>
        <v/>
      </c>
      <c r="E690" s="5">
        <f>IF('ORDENES'!$A668="","",IF('ORDENES'!$Y668="","-",'ORDENES'!$Y668))</f>
        <v/>
      </c>
      <c r="F690" s="5">
        <f>IF('ORDENES'!$A668="","",IF('ORDENES'!$AB668="","-",'ORDENES'!$AB668))</f>
        <v/>
      </c>
      <c r="G690" s="5">
        <f>IF('ORDENES'!$A668="","",IF('ORDENES'!$Z668="","-",'ORDENES'!$Z668))</f>
        <v/>
      </c>
      <c r="H690" s="5">
        <f>IF('ORDENES'!$A668="","",IF('ORDENES'!$AH668="","-",'ORDENES'!$AH668))</f>
        <v/>
      </c>
      <c r="I690" s="5">
        <f>IF('ORDENES'!$A668="","",IF('ORDENES'!$AU668="","-",'ORDENES'!$AU668))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3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IF('ORDENES'!$A668="","",'ORDENES'!$AG668)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IF('ORDENES'!$A669="","",IF('ORDENES'!$AI669="","-",'ORDENES'!$AI669))</f>
        <v/>
      </c>
      <c r="D691" s="5">
        <f>IF('ORDENES'!$A669="","",IF('ORDENES'!$AA669="","-",'ORDENES'!$AA669))</f>
        <v/>
      </c>
      <c r="E691" s="5">
        <f>IF('ORDENES'!$A669="","",IF('ORDENES'!$Y669="","-",'ORDENES'!$Y669))</f>
        <v/>
      </c>
      <c r="F691" s="5">
        <f>IF('ORDENES'!$A669="","",IF('ORDENES'!$AB669="","-",'ORDENES'!$AB669))</f>
        <v/>
      </c>
      <c r="G691" s="5">
        <f>IF('ORDENES'!$A669="","",IF('ORDENES'!$Z669="","-",'ORDENES'!$Z669))</f>
        <v/>
      </c>
      <c r="H691" s="5">
        <f>IF('ORDENES'!$A669="","",IF('ORDENES'!$AH669="","-",'ORDENES'!$AH669))</f>
        <v/>
      </c>
      <c r="I691" s="5">
        <f>IF('ORDENES'!$A669="","",IF('ORDENES'!$AU669="","-",'ORDENES'!$AU669))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3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IF('ORDENES'!$A669="","",'ORDENES'!$AG669)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IF('ORDENES'!$A670="","",IF('ORDENES'!$AI670="","-",'ORDENES'!$AI670))</f>
        <v/>
      </c>
      <c r="D692" s="5">
        <f>IF('ORDENES'!$A670="","",IF('ORDENES'!$AA670="","-",'ORDENES'!$AA670))</f>
        <v/>
      </c>
      <c r="E692" s="5">
        <f>IF('ORDENES'!$A670="","",IF('ORDENES'!$Y670="","-",'ORDENES'!$Y670))</f>
        <v/>
      </c>
      <c r="F692" s="5">
        <f>IF('ORDENES'!$A670="","",IF('ORDENES'!$AB670="","-",'ORDENES'!$AB670))</f>
        <v/>
      </c>
      <c r="G692" s="5">
        <f>IF('ORDENES'!$A670="","",IF('ORDENES'!$Z670="","-",'ORDENES'!$Z670))</f>
        <v/>
      </c>
      <c r="H692" s="5">
        <f>IF('ORDENES'!$A670="","",IF('ORDENES'!$AH670="","-",'ORDENES'!$AH670))</f>
        <v/>
      </c>
      <c r="I692" s="5">
        <f>IF('ORDENES'!$A670="","",IF('ORDENES'!$AU670="","-",'ORDENES'!$AU670))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3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IF('ORDENES'!$A670="","",'ORDENES'!$AG670)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IF('ORDENES'!$A671="","",IF('ORDENES'!$AI671="","-",'ORDENES'!$AI671))</f>
        <v/>
      </c>
      <c r="D693" s="5">
        <f>IF('ORDENES'!$A671="","",IF('ORDENES'!$AA671="","-",'ORDENES'!$AA671))</f>
        <v/>
      </c>
      <c r="E693" s="5">
        <f>IF('ORDENES'!$A671="","",IF('ORDENES'!$Y671="","-",'ORDENES'!$Y671))</f>
        <v/>
      </c>
      <c r="F693" s="5">
        <f>IF('ORDENES'!$A671="","",IF('ORDENES'!$AB671="","-",'ORDENES'!$AB671))</f>
        <v/>
      </c>
      <c r="G693" s="5">
        <f>IF('ORDENES'!$A671="","",IF('ORDENES'!$Z671="","-",'ORDENES'!$Z671))</f>
        <v/>
      </c>
      <c r="H693" s="5">
        <f>IF('ORDENES'!$A671="","",IF('ORDENES'!$AH671="","-",'ORDENES'!$AH671))</f>
        <v/>
      </c>
      <c r="I693" s="5">
        <f>IF('ORDENES'!$A671="","",IF('ORDENES'!$AU671="","-",'ORDENES'!$AU671))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3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IF('ORDENES'!$A671="","",'ORDENES'!$AG671)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IF('ORDENES'!$A672="","",IF('ORDENES'!$AI672="","-",'ORDENES'!$AI672))</f>
        <v/>
      </c>
      <c r="D694" s="5">
        <f>IF('ORDENES'!$A672="","",IF('ORDENES'!$AA672="","-",'ORDENES'!$AA672))</f>
        <v/>
      </c>
      <c r="E694" s="5">
        <f>IF('ORDENES'!$A672="","",IF('ORDENES'!$Y672="","-",'ORDENES'!$Y672))</f>
        <v/>
      </c>
      <c r="F694" s="5">
        <f>IF('ORDENES'!$A672="","",IF('ORDENES'!$AB672="","-",'ORDENES'!$AB672))</f>
        <v/>
      </c>
      <c r="G694" s="5">
        <f>IF('ORDENES'!$A672="","",IF('ORDENES'!$Z672="","-",'ORDENES'!$Z672))</f>
        <v/>
      </c>
      <c r="H694" s="5">
        <f>IF('ORDENES'!$A672="","",IF('ORDENES'!$AH672="","-",'ORDENES'!$AH672))</f>
        <v/>
      </c>
      <c r="I694" s="5">
        <f>IF('ORDENES'!$A672="","",IF('ORDENES'!$AU672="","-",'ORDENES'!$AU672))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3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IF('ORDENES'!$A672="","",'ORDENES'!$AG672)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IF('ORDENES'!$A673="","",IF('ORDENES'!$AI673="","-",'ORDENES'!$AI673))</f>
        <v/>
      </c>
      <c r="D695" s="5">
        <f>IF('ORDENES'!$A673="","",IF('ORDENES'!$AA673="","-",'ORDENES'!$AA673))</f>
        <v/>
      </c>
      <c r="E695" s="5">
        <f>IF('ORDENES'!$A673="","",IF('ORDENES'!$Y673="","-",'ORDENES'!$Y673))</f>
        <v/>
      </c>
      <c r="F695" s="5">
        <f>IF('ORDENES'!$A673="","",IF('ORDENES'!$AB673="","-",'ORDENES'!$AB673))</f>
        <v/>
      </c>
      <c r="G695" s="5">
        <f>IF('ORDENES'!$A673="","",IF('ORDENES'!$Z673="","-",'ORDENES'!$Z673))</f>
        <v/>
      </c>
      <c r="H695" s="5">
        <f>IF('ORDENES'!$A673="","",IF('ORDENES'!$AH673="","-",'ORDENES'!$AH673))</f>
        <v/>
      </c>
      <c r="I695" s="5">
        <f>IF('ORDENES'!$A673="","",IF('ORDENES'!$AU673="","-",'ORDENES'!$AU673))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3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IF('ORDENES'!$A673="","",'ORDENES'!$AG673)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IF('ORDENES'!$A674="","",IF('ORDENES'!$AI674="","-",'ORDENES'!$AI674))</f>
        <v/>
      </c>
      <c r="D696" s="5">
        <f>IF('ORDENES'!$A674="","",IF('ORDENES'!$AA674="","-",'ORDENES'!$AA674))</f>
        <v/>
      </c>
      <c r="E696" s="5">
        <f>IF('ORDENES'!$A674="","",IF('ORDENES'!$Y674="","-",'ORDENES'!$Y674))</f>
        <v/>
      </c>
      <c r="F696" s="5">
        <f>IF('ORDENES'!$A674="","",IF('ORDENES'!$AB674="","-",'ORDENES'!$AB674))</f>
        <v/>
      </c>
      <c r="G696" s="5">
        <f>IF('ORDENES'!$A674="","",IF('ORDENES'!$Z674="","-",'ORDENES'!$Z674))</f>
        <v/>
      </c>
      <c r="H696" s="5">
        <f>IF('ORDENES'!$A674="","",IF('ORDENES'!$AH674="","-",'ORDENES'!$AH674))</f>
        <v/>
      </c>
      <c r="I696" s="5">
        <f>IF('ORDENES'!$A674="","",IF('ORDENES'!$AU674="","-",'ORDENES'!$AU674))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3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IF('ORDENES'!$A674="","",'ORDENES'!$AG674)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IF('ORDENES'!$A675="","",IF('ORDENES'!$AI675="","-",'ORDENES'!$AI675))</f>
        <v/>
      </c>
      <c r="D697" s="5">
        <f>IF('ORDENES'!$A675="","",IF('ORDENES'!$AA675="","-",'ORDENES'!$AA675))</f>
        <v/>
      </c>
      <c r="E697" s="5">
        <f>IF('ORDENES'!$A675="","",IF('ORDENES'!$Y675="","-",'ORDENES'!$Y675))</f>
        <v/>
      </c>
      <c r="F697" s="5">
        <f>IF('ORDENES'!$A675="","",IF('ORDENES'!$AB675="","-",'ORDENES'!$AB675))</f>
        <v/>
      </c>
      <c r="G697" s="5">
        <f>IF('ORDENES'!$A675="","",IF('ORDENES'!$Z675="","-",'ORDENES'!$Z675))</f>
        <v/>
      </c>
      <c r="H697" s="5">
        <f>IF('ORDENES'!$A675="","",IF('ORDENES'!$AH675="","-",'ORDENES'!$AH675))</f>
        <v/>
      </c>
      <c r="I697" s="5">
        <f>IF('ORDENES'!$A675="","",IF('ORDENES'!$AU675="","-",'ORDENES'!$AU675))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3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IF('ORDENES'!$A675="","",'ORDENES'!$AG675)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IF('ORDENES'!$A676="","",IF('ORDENES'!$AI676="","-",'ORDENES'!$AI676))</f>
        <v/>
      </c>
      <c r="D698" s="5">
        <f>IF('ORDENES'!$A676="","",IF('ORDENES'!$AA676="","-",'ORDENES'!$AA676))</f>
        <v/>
      </c>
      <c r="E698" s="5">
        <f>IF('ORDENES'!$A676="","",IF('ORDENES'!$Y676="","-",'ORDENES'!$Y676))</f>
        <v/>
      </c>
      <c r="F698" s="5">
        <f>IF('ORDENES'!$A676="","",IF('ORDENES'!$AB676="","-",'ORDENES'!$AB676))</f>
        <v/>
      </c>
      <c r="G698" s="5">
        <f>IF('ORDENES'!$A676="","",IF('ORDENES'!$Z676="","-",'ORDENES'!$Z676))</f>
        <v/>
      </c>
      <c r="H698" s="5">
        <f>IF('ORDENES'!$A676="","",IF('ORDENES'!$AH676="","-",'ORDENES'!$AH676))</f>
        <v/>
      </c>
      <c r="I698" s="5">
        <f>IF('ORDENES'!$A676="","",IF('ORDENES'!$AU676="","-",'ORDENES'!$AU676))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3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IF('ORDENES'!$A676="","",'ORDENES'!$AG676)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IF('ORDENES'!$A677="","",IF('ORDENES'!$AI677="","-",'ORDENES'!$AI677))</f>
        <v/>
      </c>
      <c r="D699" s="5">
        <f>IF('ORDENES'!$A677="","",IF('ORDENES'!$AA677="","-",'ORDENES'!$AA677))</f>
        <v/>
      </c>
      <c r="E699" s="5">
        <f>IF('ORDENES'!$A677="","",IF('ORDENES'!$Y677="","-",'ORDENES'!$Y677))</f>
        <v/>
      </c>
      <c r="F699" s="5">
        <f>IF('ORDENES'!$A677="","",IF('ORDENES'!$AB677="","-",'ORDENES'!$AB677))</f>
        <v/>
      </c>
      <c r="G699" s="5">
        <f>IF('ORDENES'!$A677="","",IF('ORDENES'!$Z677="","-",'ORDENES'!$Z677))</f>
        <v/>
      </c>
      <c r="H699" s="5">
        <f>IF('ORDENES'!$A677="","",IF('ORDENES'!$AH677="","-",'ORDENES'!$AH677))</f>
        <v/>
      </c>
      <c r="I699" s="5">
        <f>IF('ORDENES'!$A677="","",IF('ORDENES'!$AU677="","-",'ORDENES'!$AU677))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3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IF('ORDENES'!$A677="","",'ORDENES'!$AG677)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IF('ORDENES'!$A678="","",IF('ORDENES'!$AI678="","-",'ORDENES'!$AI678))</f>
        <v/>
      </c>
      <c r="D700" s="5">
        <f>IF('ORDENES'!$A678="","",IF('ORDENES'!$AA678="","-",'ORDENES'!$AA678))</f>
        <v/>
      </c>
      <c r="E700" s="5">
        <f>IF('ORDENES'!$A678="","",IF('ORDENES'!$Y678="","-",'ORDENES'!$Y678))</f>
        <v/>
      </c>
      <c r="F700" s="5">
        <f>IF('ORDENES'!$A678="","",IF('ORDENES'!$AB678="","-",'ORDENES'!$AB678))</f>
        <v/>
      </c>
      <c r="G700" s="5">
        <f>IF('ORDENES'!$A678="","",IF('ORDENES'!$Z678="","-",'ORDENES'!$Z678))</f>
        <v/>
      </c>
      <c r="H700" s="5">
        <f>IF('ORDENES'!$A678="","",IF('ORDENES'!$AH678="","-",'ORDENES'!$AH678))</f>
        <v/>
      </c>
      <c r="I700" s="5">
        <f>IF('ORDENES'!$A678="","",IF('ORDENES'!$AU678="","-",'ORDENES'!$AU678))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3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IF('ORDENES'!$A678="","",'ORDENES'!$AG678)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IF('ORDENES'!$A679="","",IF('ORDENES'!$AI679="","-",'ORDENES'!$AI679))</f>
        <v/>
      </c>
      <c r="D701" s="5">
        <f>IF('ORDENES'!$A679="","",IF('ORDENES'!$AA679="","-",'ORDENES'!$AA679))</f>
        <v/>
      </c>
      <c r="E701" s="5">
        <f>IF('ORDENES'!$A679="","",IF('ORDENES'!$Y679="","-",'ORDENES'!$Y679))</f>
        <v/>
      </c>
      <c r="F701" s="5">
        <f>IF('ORDENES'!$A679="","",IF('ORDENES'!$AB679="","-",'ORDENES'!$AB679))</f>
        <v/>
      </c>
      <c r="G701" s="5">
        <f>IF('ORDENES'!$A679="","",IF('ORDENES'!$Z679="","-",'ORDENES'!$Z679))</f>
        <v/>
      </c>
      <c r="H701" s="5">
        <f>IF('ORDENES'!$A679="","",IF('ORDENES'!$AH679="","-",'ORDENES'!$AH679))</f>
        <v/>
      </c>
      <c r="I701" s="5">
        <f>IF('ORDENES'!$A679="","",IF('ORDENES'!$AU679="","-",'ORDENES'!$AU679))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3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IF('ORDENES'!$A679="","",'ORDENES'!$AG679)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IF('ORDENES'!$A680="","",IF('ORDENES'!$AI680="","-",'ORDENES'!$AI680))</f>
        <v/>
      </c>
      <c r="D702" s="5">
        <f>IF('ORDENES'!$A680="","",IF('ORDENES'!$AA680="","-",'ORDENES'!$AA680))</f>
        <v/>
      </c>
      <c r="E702" s="5">
        <f>IF('ORDENES'!$A680="","",IF('ORDENES'!$Y680="","-",'ORDENES'!$Y680))</f>
        <v/>
      </c>
      <c r="F702" s="5">
        <f>IF('ORDENES'!$A680="","",IF('ORDENES'!$AB680="","-",'ORDENES'!$AB680))</f>
        <v/>
      </c>
      <c r="G702" s="5">
        <f>IF('ORDENES'!$A680="","",IF('ORDENES'!$Z680="","-",'ORDENES'!$Z680))</f>
        <v/>
      </c>
      <c r="H702" s="5">
        <f>IF('ORDENES'!$A680="","",IF('ORDENES'!$AH680="","-",'ORDENES'!$AH680))</f>
        <v/>
      </c>
      <c r="I702" s="5">
        <f>IF('ORDENES'!$A680="","",IF('ORDENES'!$AU680="","-",'ORDENES'!$AU680))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3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IF('ORDENES'!$A680="","",'ORDENES'!$AG680)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IF('ORDENES'!$A681="","",IF('ORDENES'!$AI681="","-",'ORDENES'!$AI681))</f>
        <v/>
      </c>
      <c r="D703" s="5">
        <f>IF('ORDENES'!$A681="","",IF('ORDENES'!$AA681="","-",'ORDENES'!$AA681))</f>
        <v/>
      </c>
      <c r="E703" s="5">
        <f>IF('ORDENES'!$A681="","",IF('ORDENES'!$Y681="","-",'ORDENES'!$Y681))</f>
        <v/>
      </c>
      <c r="F703" s="5">
        <f>IF('ORDENES'!$A681="","",IF('ORDENES'!$AB681="","-",'ORDENES'!$AB681))</f>
        <v/>
      </c>
      <c r="G703" s="5">
        <f>IF('ORDENES'!$A681="","",IF('ORDENES'!$Z681="","-",'ORDENES'!$Z681))</f>
        <v/>
      </c>
      <c r="H703" s="5">
        <f>IF('ORDENES'!$A681="","",IF('ORDENES'!$AH681="","-",'ORDENES'!$AH681))</f>
        <v/>
      </c>
      <c r="I703" s="5">
        <f>IF('ORDENES'!$A681="","",IF('ORDENES'!$AU681="","-",'ORDENES'!$AU681))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3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IF('ORDENES'!$A681="","",'ORDENES'!$AG681)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IF('ORDENES'!$A682="","",IF('ORDENES'!$AI682="","-",'ORDENES'!$AI682))</f>
        <v/>
      </c>
      <c r="D704" s="5">
        <f>IF('ORDENES'!$A682="","",IF('ORDENES'!$AA682="","-",'ORDENES'!$AA682))</f>
        <v/>
      </c>
      <c r="E704" s="5">
        <f>IF('ORDENES'!$A682="","",IF('ORDENES'!$Y682="","-",'ORDENES'!$Y682))</f>
        <v/>
      </c>
      <c r="F704" s="5">
        <f>IF('ORDENES'!$A682="","",IF('ORDENES'!$AB682="","-",'ORDENES'!$AB682))</f>
        <v/>
      </c>
      <c r="G704" s="5">
        <f>IF('ORDENES'!$A682="","",IF('ORDENES'!$Z682="","-",'ORDENES'!$Z682))</f>
        <v/>
      </c>
      <c r="H704" s="5">
        <f>IF('ORDENES'!$A682="","",IF('ORDENES'!$AH682="","-",'ORDENES'!$AH682))</f>
        <v/>
      </c>
      <c r="I704" s="5">
        <f>IF('ORDENES'!$A682="","",IF('ORDENES'!$AU682="","-",'ORDENES'!$AU682))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3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IF('ORDENES'!$A682="","",'ORDENES'!$AG682)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IF('ORDENES'!$A683="","",IF('ORDENES'!$AI683="","-",'ORDENES'!$AI683))</f>
        <v/>
      </c>
      <c r="D705" s="5">
        <f>IF('ORDENES'!$A683="","",IF('ORDENES'!$AA683="","-",'ORDENES'!$AA683))</f>
        <v/>
      </c>
      <c r="E705" s="5">
        <f>IF('ORDENES'!$A683="","",IF('ORDENES'!$Y683="","-",'ORDENES'!$Y683))</f>
        <v/>
      </c>
      <c r="F705" s="5">
        <f>IF('ORDENES'!$A683="","",IF('ORDENES'!$AB683="","-",'ORDENES'!$AB683))</f>
        <v/>
      </c>
      <c r="G705" s="5">
        <f>IF('ORDENES'!$A683="","",IF('ORDENES'!$Z683="","-",'ORDENES'!$Z683))</f>
        <v/>
      </c>
      <c r="H705" s="5">
        <f>IF('ORDENES'!$A683="","",IF('ORDENES'!$AH683="","-",'ORDENES'!$AH683))</f>
        <v/>
      </c>
      <c r="I705" s="5">
        <f>IF('ORDENES'!$A683="","",IF('ORDENES'!$AU683="","-",'ORDENES'!$AU683))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3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IF('ORDENES'!$A683="","",'ORDENES'!$AG683)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IF('ORDENES'!$A684="","",IF('ORDENES'!$AI684="","-",'ORDENES'!$AI684))</f>
        <v/>
      </c>
      <c r="D706" s="5">
        <f>IF('ORDENES'!$A684="","",IF('ORDENES'!$AA684="","-",'ORDENES'!$AA684))</f>
        <v/>
      </c>
      <c r="E706" s="5">
        <f>IF('ORDENES'!$A684="","",IF('ORDENES'!$Y684="","-",'ORDENES'!$Y684))</f>
        <v/>
      </c>
      <c r="F706" s="5">
        <f>IF('ORDENES'!$A684="","",IF('ORDENES'!$AB684="","-",'ORDENES'!$AB684))</f>
        <v/>
      </c>
      <c r="G706" s="5">
        <f>IF('ORDENES'!$A684="","",IF('ORDENES'!$Z684="","-",'ORDENES'!$Z684))</f>
        <v/>
      </c>
      <c r="H706" s="5">
        <f>IF('ORDENES'!$A684="","",IF('ORDENES'!$AH684="","-",'ORDENES'!$AH684))</f>
        <v/>
      </c>
      <c r="I706" s="5">
        <f>IF('ORDENES'!$A684="","",IF('ORDENES'!$AU684="","-",'ORDENES'!$AU684))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3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IF('ORDENES'!$A684="","",'ORDENES'!$AG684)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IF('ORDENES'!$A685="","",IF('ORDENES'!$AI685="","-",'ORDENES'!$AI685))</f>
        <v/>
      </c>
      <c r="D707" s="5">
        <f>IF('ORDENES'!$A685="","",IF('ORDENES'!$AA685="","-",'ORDENES'!$AA685))</f>
        <v/>
      </c>
      <c r="E707" s="5">
        <f>IF('ORDENES'!$A685="","",IF('ORDENES'!$Y685="","-",'ORDENES'!$Y685))</f>
        <v/>
      </c>
      <c r="F707" s="5">
        <f>IF('ORDENES'!$A685="","",IF('ORDENES'!$AB685="","-",'ORDENES'!$AB685))</f>
        <v/>
      </c>
      <c r="G707" s="5">
        <f>IF('ORDENES'!$A685="","",IF('ORDENES'!$Z685="","-",'ORDENES'!$Z685))</f>
        <v/>
      </c>
      <c r="H707" s="5">
        <f>IF('ORDENES'!$A685="","",IF('ORDENES'!$AH685="","-",'ORDENES'!$AH685))</f>
        <v/>
      </c>
      <c r="I707" s="5">
        <f>IF('ORDENES'!$A685="","",IF('ORDENES'!$AU685="","-",'ORDENES'!$AU685))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3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IF('ORDENES'!$A685="","",'ORDENES'!$AG685)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IF('ORDENES'!$A686="","",IF('ORDENES'!$AI686="","-",'ORDENES'!$AI686))</f>
        <v/>
      </c>
      <c r="D708" s="5">
        <f>IF('ORDENES'!$A686="","",IF('ORDENES'!$AA686="","-",'ORDENES'!$AA686))</f>
        <v/>
      </c>
      <c r="E708" s="5">
        <f>IF('ORDENES'!$A686="","",IF('ORDENES'!$Y686="","-",'ORDENES'!$Y686))</f>
        <v/>
      </c>
      <c r="F708" s="5">
        <f>IF('ORDENES'!$A686="","",IF('ORDENES'!$AB686="","-",'ORDENES'!$AB686))</f>
        <v/>
      </c>
      <c r="G708" s="5">
        <f>IF('ORDENES'!$A686="","",IF('ORDENES'!$Z686="","-",'ORDENES'!$Z686))</f>
        <v/>
      </c>
      <c r="H708" s="5">
        <f>IF('ORDENES'!$A686="","",IF('ORDENES'!$AH686="","-",'ORDENES'!$AH686))</f>
        <v/>
      </c>
      <c r="I708" s="5">
        <f>IF('ORDENES'!$A686="","",IF('ORDENES'!$AU686="","-",'ORDENES'!$AU686))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3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IF('ORDENES'!$A686="","",'ORDENES'!$AG686)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IF('ORDENES'!$A687="","",IF('ORDENES'!$AI687="","-",'ORDENES'!$AI687))</f>
        <v/>
      </c>
      <c r="D709" s="5">
        <f>IF('ORDENES'!$A687="","",IF('ORDENES'!$AA687="","-",'ORDENES'!$AA687))</f>
        <v/>
      </c>
      <c r="E709" s="5">
        <f>IF('ORDENES'!$A687="","",IF('ORDENES'!$Y687="","-",'ORDENES'!$Y687))</f>
        <v/>
      </c>
      <c r="F709" s="5">
        <f>IF('ORDENES'!$A687="","",IF('ORDENES'!$AB687="","-",'ORDENES'!$AB687))</f>
        <v/>
      </c>
      <c r="G709" s="5">
        <f>IF('ORDENES'!$A687="","",IF('ORDENES'!$Z687="","-",'ORDENES'!$Z687))</f>
        <v/>
      </c>
      <c r="H709" s="5">
        <f>IF('ORDENES'!$A687="","",IF('ORDENES'!$AH687="","-",'ORDENES'!$AH687))</f>
        <v/>
      </c>
      <c r="I709" s="5">
        <f>IF('ORDENES'!$A687="","",IF('ORDENES'!$AU687="","-",'ORDENES'!$AU687))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3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IF('ORDENES'!$A687="","",'ORDENES'!$AG687)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IF('ORDENES'!$A688="","",IF('ORDENES'!$AI688="","-",'ORDENES'!$AI688))</f>
        <v/>
      </c>
      <c r="D710" s="5">
        <f>IF('ORDENES'!$A688="","",IF('ORDENES'!$AA688="","-",'ORDENES'!$AA688))</f>
        <v/>
      </c>
      <c r="E710" s="5">
        <f>IF('ORDENES'!$A688="","",IF('ORDENES'!$Y688="","-",'ORDENES'!$Y688))</f>
        <v/>
      </c>
      <c r="F710" s="5">
        <f>IF('ORDENES'!$A688="","",IF('ORDENES'!$AB688="","-",'ORDENES'!$AB688))</f>
        <v/>
      </c>
      <c r="G710" s="5">
        <f>IF('ORDENES'!$A688="","",IF('ORDENES'!$Z688="","-",'ORDENES'!$Z688))</f>
        <v/>
      </c>
      <c r="H710" s="5">
        <f>IF('ORDENES'!$A688="","",IF('ORDENES'!$AH688="","-",'ORDENES'!$AH688))</f>
        <v/>
      </c>
      <c r="I710" s="5">
        <f>IF('ORDENES'!$A688="","",IF('ORDENES'!$AU688="","-",'ORDENES'!$AU688))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3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IF('ORDENES'!$A688="","",'ORDENES'!$AG688)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IF('ORDENES'!$A689="","",IF('ORDENES'!$AI689="","-",'ORDENES'!$AI689))</f>
        <v/>
      </c>
      <c r="D711" s="5">
        <f>IF('ORDENES'!$A689="","",IF('ORDENES'!$AA689="","-",'ORDENES'!$AA689))</f>
        <v/>
      </c>
      <c r="E711" s="5">
        <f>IF('ORDENES'!$A689="","",IF('ORDENES'!$Y689="","-",'ORDENES'!$Y689))</f>
        <v/>
      </c>
      <c r="F711" s="5">
        <f>IF('ORDENES'!$A689="","",IF('ORDENES'!$AB689="","-",'ORDENES'!$AB689))</f>
        <v/>
      </c>
      <c r="G711" s="5">
        <f>IF('ORDENES'!$A689="","",IF('ORDENES'!$Z689="","-",'ORDENES'!$Z689))</f>
        <v/>
      </c>
      <c r="H711" s="5">
        <f>IF('ORDENES'!$A689="","",IF('ORDENES'!$AH689="","-",'ORDENES'!$AH689))</f>
        <v/>
      </c>
      <c r="I711" s="5">
        <f>IF('ORDENES'!$A689="","",IF('ORDENES'!$AU689="","-",'ORDENES'!$AU689))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3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IF('ORDENES'!$A689="","",'ORDENES'!$AG689)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IF('ORDENES'!$A690="","",IF('ORDENES'!$AI690="","-",'ORDENES'!$AI690))</f>
        <v/>
      </c>
      <c r="D712" s="5">
        <f>IF('ORDENES'!$A690="","",IF('ORDENES'!$AA690="","-",'ORDENES'!$AA690))</f>
        <v/>
      </c>
      <c r="E712" s="5">
        <f>IF('ORDENES'!$A690="","",IF('ORDENES'!$Y690="","-",'ORDENES'!$Y690))</f>
        <v/>
      </c>
      <c r="F712" s="5">
        <f>IF('ORDENES'!$A690="","",IF('ORDENES'!$AB690="","-",'ORDENES'!$AB690))</f>
        <v/>
      </c>
      <c r="G712" s="5">
        <f>IF('ORDENES'!$A690="","",IF('ORDENES'!$Z690="","-",'ORDENES'!$Z690))</f>
        <v/>
      </c>
      <c r="H712" s="5">
        <f>IF('ORDENES'!$A690="","",IF('ORDENES'!$AH690="","-",'ORDENES'!$AH690))</f>
        <v/>
      </c>
      <c r="I712" s="5">
        <f>IF('ORDENES'!$A690="","",IF('ORDENES'!$AU690="","-",'ORDENES'!$AU690))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3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IF('ORDENES'!$A690="","",'ORDENES'!$AG690)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IF('ORDENES'!$A691="","",IF('ORDENES'!$AI691="","-",'ORDENES'!$AI691))</f>
        <v/>
      </c>
      <c r="D713" s="5">
        <f>IF('ORDENES'!$A691="","",IF('ORDENES'!$AA691="","-",'ORDENES'!$AA691))</f>
        <v/>
      </c>
      <c r="E713" s="5">
        <f>IF('ORDENES'!$A691="","",IF('ORDENES'!$Y691="","-",'ORDENES'!$Y691))</f>
        <v/>
      </c>
      <c r="F713" s="5">
        <f>IF('ORDENES'!$A691="","",IF('ORDENES'!$AB691="","-",'ORDENES'!$AB691))</f>
        <v/>
      </c>
      <c r="G713" s="5">
        <f>IF('ORDENES'!$A691="","",IF('ORDENES'!$Z691="","-",'ORDENES'!$Z691))</f>
        <v/>
      </c>
      <c r="H713" s="5">
        <f>IF('ORDENES'!$A691="","",IF('ORDENES'!$AH691="","-",'ORDENES'!$AH691))</f>
        <v/>
      </c>
      <c r="I713" s="5">
        <f>IF('ORDENES'!$A691="","",IF('ORDENES'!$AU691="","-",'ORDENES'!$AU691))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3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IF('ORDENES'!$A691="","",'ORDENES'!$AG691)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IF('ORDENES'!$A692="","",IF('ORDENES'!$AI692="","-",'ORDENES'!$AI692))</f>
        <v/>
      </c>
      <c r="D714" s="5">
        <f>IF('ORDENES'!$A692="","",IF('ORDENES'!$AA692="","-",'ORDENES'!$AA692))</f>
        <v/>
      </c>
      <c r="E714" s="5">
        <f>IF('ORDENES'!$A692="","",IF('ORDENES'!$Y692="","-",'ORDENES'!$Y692))</f>
        <v/>
      </c>
      <c r="F714" s="5">
        <f>IF('ORDENES'!$A692="","",IF('ORDENES'!$AB692="","-",'ORDENES'!$AB692))</f>
        <v/>
      </c>
      <c r="G714" s="5">
        <f>IF('ORDENES'!$A692="","",IF('ORDENES'!$Z692="","-",'ORDENES'!$Z692))</f>
        <v/>
      </c>
      <c r="H714" s="5">
        <f>IF('ORDENES'!$A692="","",IF('ORDENES'!$AH692="","-",'ORDENES'!$AH692))</f>
        <v/>
      </c>
      <c r="I714" s="5">
        <f>IF('ORDENES'!$A692="","",IF('ORDENES'!$AU692="","-",'ORDENES'!$AU692))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3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IF('ORDENES'!$A692="","",'ORDENES'!$AG692)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IF('ORDENES'!$A693="","",IF('ORDENES'!$AI693="","-",'ORDENES'!$AI693))</f>
        <v/>
      </c>
      <c r="D715" s="5">
        <f>IF('ORDENES'!$A693="","",IF('ORDENES'!$AA693="","-",'ORDENES'!$AA693))</f>
        <v/>
      </c>
      <c r="E715" s="5">
        <f>IF('ORDENES'!$A693="","",IF('ORDENES'!$Y693="","-",'ORDENES'!$Y693))</f>
        <v/>
      </c>
      <c r="F715" s="5">
        <f>IF('ORDENES'!$A693="","",IF('ORDENES'!$AB693="","-",'ORDENES'!$AB693))</f>
        <v/>
      </c>
      <c r="G715" s="5">
        <f>IF('ORDENES'!$A693="","",IF('ORDENES'!$Z693="","-",'ORDENES'!$Z693))</f>
        <v/>
      </c>
      <c r="H715" s="5">
        <f>IF('ORDENES'!$A693="","",IF('ORDENES'!$AH693="","-",'ORDENES'!$AH693))</f>
        <v/>
      </c>
      <c r="I715" s="5">
        <f>IF('ORDENES'!$A693="","",IF('ORDENES'!$AU693="","-",'ORDENES'!$AU693))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3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IF('ORDENES'!$A693="","",'ORDENES'!$AG693)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IF('ORDENES'!$A694="","",IF('ORDENES'!$AI694="","-",'ORDENES'!$AI694))</f>
        <v/>
      </c>
      <c r="D716" s="5">
        <f>IF('ORDENES'!$A694="","",IF('ORDENES'!$AA694="","-",'ORDENES'!$AA694))</f>
        <v/>
      </c>
      <c r="E716" s="5">
        <f>IF('ORDENES'!$A694="","",IF('ORDENES'!$Y694="","-",'ORDENES'!$Y694))</f>
        <v/>
      </c>
      <c r="F716" s="5">
        <f>IF('ORDENES'!$A694="","",IF('ORDENES'!$AB694="","-",'ORDENES'!$AB694))</f>
        <v/>
      </c>
      <c r="G716" s="5">
        <f>IF('ORDENES'!$A694="","",IF('ORDENES'!$Z694="","-",'ORDENES'!$Z694))</f>
        <v/>
      </c>
      <c r="H716" s="5">
        <f>IF('ORDENES'!$A694="","",IF('ORDENES'!$AH694="","-",'ORDENES'!$AH694))</f>
        <v/>
      </c>
      <c r="I716" s="5">
        <f>IF('ORDENES'!$A694="","",IF('ORDENES'!$AU694="","-",'ORDENES'!$AU694))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3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IF('ORDENES'!$A694="","",'ORDENES'!$AG694)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IF('ORDENES'!$A695="","",IF('ORDENES'!$AI695="","-",'ORDENES'!$AI695))</f>
        <v/>
      </c>
      <c r="D717" s="5">
        <f>IF('ORDENES'!$A695="","",IF('ORDENES'!$AA695="","-",'ORDENES'!$AA695))</f>
        <v/>
      </c>
      <c r="E717" s="5">
        <f>IF('ORDENES'!$A695="","",IF('ORDENES'!$Y695="","-",'ORDENES'!$Y695))</f>
        <v/>
      </c>
      <c r="F717" s="5">
        <f>IF('ORDENES'!$A695="","",IF('ORDENES'!$AB695="","-",'ORDENES'!$AB695))</f>
        <v/>
      </c>
      <c r="G717" s="5">
        <f>IF('ORDENES'!$A695="","",IF('ORDENES'!$Z695="","-",'ORDENES'!$Z695))</f>
        <v/>
      </c>
      <c r="H717" s="5">
        <f>IF('ORDENES'!$A695="","",IF('ORDENES'!$AH695="","-",'ORDENES'!$AH695))</f>
        <v/>
      </c>
      <c r="I717" s="5">
        <f>IF('ORDENES'!$A695="","",IF('ORDENES'!$AU695="","-",'ORDENES'!$AU695))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3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IF('ORDENES'!$A695="","",'ORDENES'!$AG695)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IF('ORDENES'!$A696="","",IF('ORDENES'!$AI696="","-",'ORDENES'!$AI696))</f>
        <v/>
      </c>
      <c r="D718" s="5">
        <f>IF('ORDENES'!$A696="","",IF('ORDENES'!$AA696="","-",'ORDENES'!$AA696))</f>
        <v/>
      </c>
      <c r="E718" s="5">
        <f>IF('ORDENES'!$A696="","",IF('ORDENES'!$Y696="","-",'ORDENES'!$Y696))</f>
        <v/>
      </c>
      <c r="F718" s="5">
        <f>IF('ORDENES'!$A696="","",IF('ORDENES'!$AB696="","-",'ORDENES'!$AB696))</f>
        <v/>
      </c>
      <c r="G718" s="5">
        <f>IF('ORDENES'!$A696="","",IF('ORDENES'!$Z696="","-",'ORDENES'!$Z696))</f>
        <v/>
      </c>
      <c r="H718" s="5">
        <f>IF('ORDENES'!$A696="","",IF('ORDENES'!$AH696="","-",'ORDENES'!$AH696))</f>
        <v/>
      </c>
      <c r="I718" s="5">
        <f>IF('ORDENES'!$A696="","",IF('ORDENES'!$AU696="","-",'ORDENES'!$AU696))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3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IF('ORDENES'!$A696="","",'ORDENES'!$AG696)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IF('ORDENES'!$A697="","",IF('ORDENES'!$AI697="","-",'ORDENES'!$AI697))</f>
        <v/>
      </c>
      <c r="D719" s="5">
        <f>IF('ORDENES'!$A697="","",IF('ORDENES'!$AA697="","-",'ORDENES'!$AA697))</f>
        <v/>
      </c>
      <c r="E719" s="5">
        <f>IF('ORDENES'!$A697="","",IF('ORDENES'!$Y697="","-",'ORDENES'!$Y697))</f>
        <v/>
      </c>
      <c r="F719" s="5">
        <f>IF('ORDENES'!$A697="","",IF('ORDENES'!$AB697="","-",'ORDENES'!$AB697))</f>
        <v/>
      </c>
      <c r="G719" s="5">
        <f>IF('ORDENES'!$A697="","",IF('ORDENES'!$Z697="","-",'ORDENES'!$Z697))</f>
        <v/>
      </c>
      <c r="H719" s="5">
        <f>IF('ORDENES'!$A697="","",IF('ORDENES'!$AH697="","-",'ORDENES'!$AH697))</f>
        <v/>
      </c>
      <c r="I719" s="5">
        <f>IF('ORDENES'!$A697="","",IF('ORDENES'!$AU697="","-",'ORDENES'!$AU697))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3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IF('ORDENES'!$A697="","",'ORDENES'!$AG697)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IF('ORDENES'!$A698="","",IF('ORDENES'!$AI698="","-",'ORDENES'!$AI698))</f>
        <v/>
      </c>
      <c r="D720" s="5">
        <f>IF('ORDENES'!$A698="","",IF('ORDENES'!$AA698="","-",'ORDENES'!$AA698))</f>
        <v/>
      </c>
      <c r="E720" s="5">
        <f>IF('ORDENES'!$A698="","",IF('ORDENES'!$Y698="","-",'ORDENES'!$Y698))</f>
        <v/>
      </c>
      <c r="F720" s="5">
        <f>IF('ORDENES'!$A698="","",IF('ORDENES'!$AB698="","-",'ORDENES'!$AB698))</f>
        <v/>
      </c>
      <c r="G720" s="5">
        <f>IF('ORDENES'!$A698="","",IF('ORDENES'!$Z698="","-",'ORDENES'!$Z698))</f>
        <v/>
      </c>
      <c r="H720" s="5">
        <f>IF('ORDENES'!$A698="","",IF('ORDENES'!$AH698="","-",'ORDENES'!$AH698))</f>
        <v/>
      </c>
      <c r="I720" s="5">
        <f>IF('ORDENES'!$A698="","",IF('ORDENES'!$AU698="","-",'ORDENES'!$AU698))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3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IF('ORDENES'!$A698="","",'ORDENES'!$AG698)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IF('ORDENES'!$A699="","",IF('ORDENES'!$AI699="","-",'ORDENES'!$AI699))</f>
        <v/>
      </c>
      <c r="D721" s="5">
        <f>IF('ORDENES'!$A699="","",IF('ORDENES'!$AA699="","-",'ORDENES'!$AA699))</f>
        <v/>
      </c>
      <c r="E721" s="5">
        <f>IF('ORDENES'!$A699="","",IF('ORDENES'!$Y699="","-",'ORDENES'!$Y699))</f>
        <v/>
      </c>
      <c r="F721" s="5">
        <f>IF('ORDENES'!$A699="","",IF('ORDENES'!$AB699="","-",'ORDENES'!$AB699))</f>
        <v/>
      </c>
      <c r="G721" s="5">
        <f>IF('ORDENES'!$A699="","",IF('ORDENES'!$Z699="","-",'ORDENES'!$Z699))</f>
        <v/>
      </c>
      <c r="H721" s="5">
        <f>IF('ORDENES'!$A699="","",IF('ORDENES'!$AH699="","-",'ORDENES'!$AH699))</f>
        <v/>
      </c>
      <c r="I721" s="5">
        <f>IF('ORDENES'!$A699="","",IF('ORDENES'!$AU699="","-",'ORDENES'!$AU699))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3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IF('ORDENES'!$A699="","",'ORDENES'!$AG699)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IF('ORDENES'!$A700="","",IF('ORDENES'!$AI700="","-",'ORDENES'!$AI700))</f>
        <v/>
      </c>
      <c r="D722" s="5">
        <f>IF('ORDENES'!$A700="","",IF('ORDENES'!$AA700="","-",'ORDENES'!$AA700))</f>
        <v/>
      </c>
      <c r="E722" s="5">
        <f>IF('ORDENES'!$A700="","",IF('ORDENES'!$Y700="","-",'ORDENES'!$Y700))</f>
        <v/>
      </c>
      <c r="F722" s="5">
        <f>IF('ORDENES'!$A700="","",IF('ORDENES'!$AB700="","-",'ORDENES'!$AB700))</f>
        <v/>
      </c>
      <c r="G722" s="5">
        <f>IF('ORDENES'!$A700="","",IF('ORDENES'!$Z700="","-",'ORDENES'!$Z700))</f>
        <v/>
      </c>
      <c r="H722" s="5">
        <f>IF('ORDENES'!$A700="","",IF('ORDENES'!$AH700="","-",'ORDENES'!$AH700))</f>
        <v/>
      </c>
      <c r="I722" s="5">
        <f>IF('ORDENES'!$A700="","",IF('ORDENES'!$AU700="","-",'ORDENES'!$AU700))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3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IF('ORDENES'!$A700="","",'ORDENES'!$AG700)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IF('ORDENES'!$A701="","",IF('ORDENES'!$AI701="","-",'ORDENES'!$AI701))</f>
        <v/>
      </c>
      <c r="D723" s="5">
        <f>IF('ORDENES'!$A701="","",IF('ORDENES'!$AA701="","-",'ORDENES'!$AA701))</f>
        <v/>
      </c>
      <c r="E723" s="5">
        <f>IF('ORDENES'!$A701="","",IF('ORDENES'!$Y701="","-",'ORDENES'!$Y701))</f>
        <v/>
      </c>
      <c r="F723" s="5">
        <f>IF('ORDENES'!$A701="","",IF('ORDENES'!$AB701="","-",'ORDENES'!$AB701))</f>
        <v/>
      </c>
      <c r="G723" s="5">
        <f>IF('ORDENES'!$A701="","",IF('ORDENES'!$Z701="","-",'ORDENES'!$Z701))</f>
        <v/>
      </c>
      <c r="H723" s="5">
        <f>IF('ORDENES'!$A701="","",IF('ORDENES'!$AH701="","-",'ORDENES'!$AH701))</f>
        <v/>
      </c>
      <c r="I723" s="5">
        <f>IF('ORDENES'!$A701="","",IF('ORDENES'!$AU701="","-",'ORDENES'!$AU701))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3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IF('ORDENES'!$A701="","",'ORDENES'!$AG701)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IF('ORDENES'!$A702="","",IF('ORDENES'!$AI702="","-",'ORDENES'!$AI702))</f>
        <v/>
      </c>
      <c r="D724" s="5">
        <f>IF('ORDENES'!$A702="","",IF('ORDENES'!$AA702="","-",'ORDENES'!$AA702))</f>
        <v/>
      </c>
      <c r="E724" s="5">
        <f>IF('ORDENES'!$A702="","",IF('ORDENES'!$Y702="","-",'ORDENES'!$Y702))</f>
        <v/>
      </c>
      <c r="F724" s="5">
        <f>IF('ORDENES'!$A702="","",IF('ORDENES'!$AB702="","-",'ORDENES'!$AB702))</f>
        <v/>
      </c>
      <c r="G724" s="5">
        <f>IF('ORDENES'!$A702="","",IF('ORDENES'!$Z702="","-",'ORDENES'!$Z702))</f>
        <v/>
      </c>
      <c r="H724" s="5">
        <f>IF('ORDENES'!$A702="","",IF('ORDENES'!$AH702="","-",'ORDENES'!$AH702))</f>
        <v/>
      </c>
      <c r="I724" s="5">
        <f>IF('ORDENES'!$A702="","",IF('ORDENES'!$AU702="","-",'ORDENES'!$AU702))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3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IF('ORDENES'!$A702="","",'ORDENES'!$AG702)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IF('ORDENES'!$A703="","",IF('ORDENES'!$AI703="","-",'ORDENES'!$AI703))</f>
        <v/>
      </c>
      <c r="D725" s="5">
        <f>IF('ORDENES'!$A703="","",IF('ORDENES'!$AA703="","-",'ORDENES'!$AA703))</f>
        <v/>
      </c>
      <c r="E725" s="5">
        <f>IF('ORDENES'!$A703="","",IF('ORDENES'!$Y703="","-",'ORDENES'!$Y703))</f>
        <v/>
      </c>
      <c r="F725" s="5">
        <f>IF('ORDENES'!$A703="","",IF('ORDENES'!$AB703="","-",'ORDENES'!$AB703))</f>
        <v/>
      </c>
      <c r="G725" s="5">
        <f>IF('ORDENES'!$A703="","",IF('ORDENES'!$Z703="","-",'ORDENES'!$Z703))</f>
        <v/>
      </c>
      <c r="H725" s="5">
        <f>IF('ORDENES'!$A703="","",IF('ORDENES'!$AH703="","-",'ORDENES'!$AH703))</f>
        <v/>
      </c>
      <c r="I725" s="5">
        <f>IF('ORDENES'!$A703="","",IF('ORDENES'!$AU703="","-",'ORDENES'!$AU703))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3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IF('ORDENES'!$A703="","",'ORDENES'!$AG703)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IF('ORDENES'!$A704="","",IF('ORDENES'!$AI704="","-",'ORDENES'!$AI704))</f>
        <v/>
      </c>
      <c r="D726" s="5">
        <f>IF('ORDENES'!$A704="","",IF('ORDENES'!$AA704="","-",'ORDENES'!$AA704))</f>
        <v/>
      </c>
      <c r="E726" s="5">
        <f>IF('ORDENES'!$A704="","",IF('ORDENES'!$Y704="","-",'ORDENES'!$Y704))</f>
        <v/>
      </c>
      <c r="F726" s="5">
        <f>IF('ORDENES'!$A704="","",IF('ORDENES'!$AB704="","-",'ORDENES'!$AB704))</f>
        <v/>
      </c>
      <c r="G726" s="5">
        <f>IF('ORDENES'!$A704="","",IF('ORDENES'!$Z704="","-",'ORDENES'!$Z704))</f>
        <v/>
      </c>
      <c r="H726" s="5">
        <f>IF('ORDENES'!$A704="","",IF('ORDENES'!$AH704="","-",'ORDENES'!$AH704))</f>
        <v/>
      </c>
      <c r="I726" s="5">
        <f>IF('ORDENES'!$A704="","",IF('ORDENES'!$AU704="","-",'ORDENES'!$AU704))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3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IF('ORDENES'!$A704="","",'ORDENES'!$AG704)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IF('ORDENES'!$A705="","",IF('ORDENES'!$AI705="","-",'ORDENES'!$AI705))</f>
        <v/>
      </c>
      <c r="D727" s="5">
        <f>IF('ORDENES'!$A705="","",IF('ORDENES'!$AA705="","-",'ORDENES'!$AA705))</f>
        <v/>
      </c>
      <c r="E727" s="5">
        <f>IF('ORDENES'!$A705="","",IF('ORDENES'!$Y705="","-",'ORDENES'!$Y705))</f>
        <v/>
      </c>
      <c r="F727" s="5">
        <f>IF('ORDENES'!$A705="","",IF('ORDENES'!$AB705="","-",'ORDENES'!$AB705))</f>
        <v/>
      </c>
      <c r="G727" s="5">
        <f>IF('ORDENES'!$A705="","",IF('ORDENES'!$Z705="","-",'ORDENES'!$Z705))</f>
        <v/>
      </c>
      <c r="H727" s="5">
        <f>IF('ORDENES'!$A705="","",IF('ORDENES'!$AH705="","-",'ORDENES'!$AH705))</f>
        <v/>
      </c>
      <c r="I727" s="5">
        <f>IF('ORDENES'!$A705="","",IF('ORDENES'!$AU705="","-",'ORDENES'!$AU705))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3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IF('ORDENES'!$A705="","",'ORDENES'!$AG705)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IF('ORDENES'!$A706="","",IF('ORDENES'!$AI706="","-",'ORDENES'!$AI706))</f>
        <v/>
      </c>
      <c r="D728" s="5">
        <f>IF('ORDENES'!$A706="","",IF('ORDENES'!$AA706="","-",'ORDENES'!$AA706))</f>
        <v/>
      </c>
      <c r="E728" s="5">
        <f>IF('ORDENES'!$A706="","",IF('ORDENES'!$Y706="","-",'ORDENES'!$Y706))</f>
        <v/>
      </c>
      <c r="F728" s="5">
        <f>IF('ORDENES'!$A706="","",IF('ORDENES'!$AB706="","-",'ORDENES'!$AB706))</f>
        <v/>
      </c>
      <c r="G728" s="5">
        <f>IF('ORDENES'!$A706="","",IF('ORDENES'!$Z706="","-",'ORDENES'!$Z706))</f>
        <v/>
      </c>
      <c r="H728" s="5">
        <f>IF('ORDENES'!$A706="","",IF('ORDENES'!$AH706="","-",'ORDENES'!$AH706))</f>
        <v/>
      </c>
      <c r="I728" s="5">
        <f>IF('ORDENES'!$A706="","",IF('ORDENES'!$AU706="","-",'ORDENES'!$AU706))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3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IF('ORDENES'!$A706="","",'ORDENES'!$AG706)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IF('ORDENES'!$A707="","",IF('ORDENES'!$AI707="","-",'ORDENES'!$AI707))</f>
        <v/>
      </c>
      <c r="D729" s="5">
        <f>IF('ORDENES'!$A707="","",IF('ORDENES'!$AA707="","-",'ORDENES'!$AA707))</f>
        <v/>
      </c>
      <c r="E729" s="5">
        <f>IF('ORDENES'!$A707="","",IF('ORDENES'!$Y707="","-",'ORDENES'!$Y707))</f>
        <v/>
      </c>
      <c r="F729" s="5">
        <f>IF('ORDENES'!$A707="","",IF('ORDENES'!$AB707="","-",'ORDENES'!$AB707))</f>
        <v/>
      </c>
      <c r="G729" s="5">
        <f>IF('ORDENES'!$A707="","",IF('ORDENES'!$Z707="","-",'ORDENES'!$Z707))</f>
        <v/>
      </c>
      <c r="H729" s="5">
        <f>IF('ORDENES'!$A707="","",IF('ORDENES'!$AH707="","-",'ORDENES'!$AH707))</f>
        <v/>
      </c>
      <c r="I729" s="5">
        <f>IF('ORDENES'!$A707="","",IF('ORDENES'!$AU707="","-",'ORDENES'!$AU707))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3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IF('ORDENES'!$A707="","",'ORDENES'!$AG707)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IF('ORDENES'!$A708="","",IF('ORDENES'!$AI708="","-",'ORDENES'!$AI708))</f>
        <v/>
      </c>
      <c r="D730" s="5">
        <f>IF('ORDENES'!$A708="","",IF('ORDENES'!$AA708="","-",'ORDENES'!$AA708))</f>
        <v/>
      </c>
      <c r="E730" s="5">
        <f>IF('ORDENES'!$A708="","",IF('ORDENES'!$Y708="","-",'ORDENES'!$Y708))</f>
        <v/>
      </c>
      <c r="F730" s="5">
        <f>IF('ORDENES'!$A708="","",IF('ORDENES'!$AB708="","-",'ORDENES'!$AB708))</f>
        <v/>
      </c>
      <c r="G730" s="5">
        <f>IF('ORDENES'!$A708="","",IF('ORDENES'!$Z708="","-",'ORDENES'!$Z708))</f>
        <v/>
      </c>
      <c r="H730" s="5">
        <f>IF('ORDENES'!$A708="","",IF('ORDENES'!$AH708="","-",'ORDENES'!$AH708))</f>
        <v/>
      </c>
      <c r="I730" s="5">
        <f>IF('ORDENES'!$A708="","",IF('ORDENES'!$AU708="","-",'ORDENES'!$AU708))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3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IF('ORDENES'!$A708="","",'ORDENES'!$AG708)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IF('ORDENES'!$A709="","",IF('ORDENES'!$AI709="","-",'ORDENES'!$AI709))</f>
        <v/>
      </c>
      <c r="D731" s="5">
        <f>IF('ORDENES'!$A709="","",IF('ORDENES'!$AA709="","-",'ORDENES'!$AA709))</f>
        <v/>
      </c>
      <c r="E731" s="5">
        <f>IF('ORDENES'!$A709="","",IF('ORDENES'!$Y709="","-",'ORDENES'!$Y709))</f>
        <v/>
      </c>
      <c r="F731" s="5">
        <f>IF('ORDENES'!$A709="","",IF('ORDENES'!$AB709="","-",'ORDENES'!$AB709))</f>
        <v/>
      </c>
      <c r="G731" s="5">
        <f>IF('ORDENES'!$A709="","",IF('ORDENES'!$Z709="","-",'ORDENES'!$Z709))</f>
        <v/>
      </c>
      <c r="H731" s="5">
        <f>IF('ORDENES'!$A709="","",IF('ORDENES'!$AH709="","-",'ORDENES'!$AH709))</f>
        <v/>
      </c>
      <c r="I731" s="5">
        <f>IF('ORDENES'!$A709="","",IF('ORDENES'!$AU709="","-",'ORDENES'!$AU709))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3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IF('ORDENES'!$A709="","",'ORDENES'!$AG709)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IF('ORDENES'!$A710="","",IF('ORDENES'!$AI710="","-",'ORDENES'!$AI710))</f>
        <v/>
      </c>
      <c r="D732" s="5">
        <f>IF('ORDENES'!$A710="","",IF('ORDENES'!$AA710="","-",'ORDENES'!$AA710))</f>
        <v/>
      </c>
      <c r="E732" s="5">
        <f>IF('ORDENES'!$A710="","",IF('ORDENES'!$Y710="","-",'ORDENES'!$Y710))</f>
        <v/>
      </c>
      <c r="F732" s="5">
        <f>IF('ORDENES'!$A710="","",IF('ORDENES'!$AB710="","-",'ORDENES'!$AB710))</f>
        <v/>
      </c>
      <c r="G732" s="5">
        <f>IF('ORDENES'!$A710="","",IF('ORDENES'!$Z710="","-",'ORDENES'!$Z710))</f>
        <v/>
      </c>
      <c r="H732" s="5">
        <f>IF('ORDENES'!$A710="","",IF('ORDENES'!$AH710="","-",'ORDENES'!$AH710))</f>
        <v/>
      </c>
      <c r="I732" s="5">
        <f>IF('ORDENES'!$A710="","",IF('ORDENES'!$AU710="","-",'ORDENES'!$AU710))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3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IF('ORDENES'!$A710="","",'ORDENES'!$AG710)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IF('ORDENES'!$A711="","",IF('ORDENES'!$AI711="","-",'ORDENES'!$AI711))</f>
        <v/>
      </c>
      <c r="D733" s="5">
        <f>IF('ORDENES'!$A711="","",IF('ORDENES'!$AA711="","-",'ORDENES'!$AA711))</f>
        <v/>
      </c>
      <c r="E733" s="5">
        <f>IF('ORDENES'!$A711="","",IF('ORDENES'!$Y711="","-",'ORDENES'!$Y711))</f>
        <v/>
      </c>
      <c r="F733" s="5">
        <f>IF('ORDENES'!$A711="","",IF('ORDENES'!$AB711="","-",'ORDENES'!$AB711))</f>
        <v/>
      </c>
      <c r="G733" s="5">
        <f>IF('ORDENES'!$A711="","",IF('ORDENES'!$Z711="","-",'ORDENES'!$Z711))</f>
        <v/>
      </c>
      <c r="H733" s="5">
        <f>IF('ORDENES'!$A711="","",IF('ORDENES'!$AH711="","-",'ORDENES'!$AH711))</f>
        <v/>
      </c>
      <c r="I733" s="5">
        <f>IF('ORDENES'!$A711="","",IF('ORDENES'!$AU711="","-",'ORDENES'!$AU711))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3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IF('ORDENES'!$A711="","",'ORDENES'!$AG711)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IF('ORDENES'!$A712="","",IF('ORDENES'!$AI712="","-",'ORDENES'!$AI712))</f>
        <v/>
      </c>
      <c r="D734" s="5">
        <f>IF('ORDENES'!$A712="","",IF('ORDENES'!$AA712="","-",'ORDENES'!$AA712))</f>
        <v/>
      </c>
      <c r="E734" s="5">
        <f>IF('ORDENES'!$A712="","",IF('ORDENES'!$Y712="","-",'ORDENES'!$Y712))</f>
        <v/>
      </c>
      <c r="F734" s="5">
        <f>IF('ORDENES'!$A712="","",IF('ORDENES'!$AB712="","-",'ORDENES'!$AB712))</f>
        <v/>
      </c>
      <c r="G734" s="5">
        <f>IF('ORDENES'!$A712="","",IF('ORDENES'!$Z712="","-",'ORDENES'!$Z712))</f>
        <v/>
      </c>
      <c r="H734" s="5">
        <f>IF('ORDENES'!$A712="","",IF('ORDENES'!$AH712="","-",'ORDENES'!$AH712))</f>
        <v/>
      </c>
      <c r="I734" s="5">
        <f>IF('ORDENES'!$A712="","",IF('ORDENES'!$AU712="","-",'ORDENES'!$AU712))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3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IF('ORDENES'!$A712="","",'ORDENES'!$AG712)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IF('ORDENES'!$A713="","",IF('ORDENES'!$AI713="","-",'ORDENES'!$AI713))</f>
        <v/>
      </c>
      <c r="D735" s="5">
        <f>IF('ORDENES'!$A713="","",IF('ORDENES'!$AA713="","-",'ORDENES'!$AA713))</f>
        <v/>
      </c>
      <c r="E735" s="5">
        <f>IF('ORDENES'!$A713="","",IF('ORDENES'!$Y713="","-",'ORDENES'!$Y713))</f>
        <v/>
      </c>
      <c r="F735" s="5">
        <f>IF('ORDENES'!$A713="","",IF('ORDENES'!$AB713="","-",'ORDENES'!$AB713))</f>
        <v/>
      </c>
      <c r="G735" s="5">
        <f>IF('ORDENES'!$A713="","",IF('ORDENES'!$Z713="","-",'ORDENES'!$Z713))</f>
        <v/>
      </c>
      <c r="H735" s="5">
        <f>IF('ORDENES'!$A713="","",IF('ORDENES'!$AH713="","-",'ORDENES'!$AH713))</f>
        <v/>
      </c>
      <c r="I735" s="5">
        <f>IF('ORDENES'!$A713="","",IF('ORDENES'!$AU713="","-",'ORDENES'!$AU713))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3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IF('ORDENES'!$A713="","",'ORDENES'!$AG713)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IF('ORDENES'!$A714="","",IF('ORDENES'!$AI714="","-",'ORDENES'!$AI714))</f>
        <v/>
      </c>
      <c r="D736" s="5">
        <f>IF('ORDENES'!$A714="","",IF('ORDENES'!$AA714="","-",'ORDENES'!$AA714))</f>
        <v/>
      </c>
      <c r="E736" s="5">
        <f>IF('ORDENES'!$A714="","",IF('ORDENES'!$Y714="","-",'ORDENES'!$Y714))</f>
        <v/>
      </c>
      <c r="F736" s="5">
        <f>IF('ORDENES'!$A714="","",IF('ORDENES'!$AB714="","-",'ORDENES'!$AB714))</f>
        <v/>
      </c>
      <c r="G736" s="5">
        <f>IF('ORDENES'!$A714="","",IF('ORDENES'!$Z714="","-",'ORDENES'!$Z714))</f>
        <v/>
      </c>
      <c r="H736" s="5">
        <f>IF('ORDENES'!$A714="","",IF('ORDENES'!$AH714="","-",'ORDENES'!$AH714))</f>
        <v/>
      </c>
      <c r="I736" s="5">
        <f>IF('ORDENES'!$A714="","",IF('ORDENES'!$AU714="","-",'ORDENES'!$AU714))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3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IF('ORDENES'!$A714="","",'ORDENES'!$AG714)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IF('ORDENES'!$A715="","",IF('ORDENES'!$AI715="","-",'ORDENES'!$AI715))</f>
        <v/>
      </c>
      <c r="D737" s="5">
        <f>IF('ORDENES'!$A715="","",IF('ORDENES'!$AA715="","-",'ORDENES'!$AA715))</f>
        <v/>
      </c>
      <c r="E737" s="5">
        <f>IF('ORDENES'!$A715="","",IF('ORDENES'!$Y715="","-",'ORDENES'!$Y715))</f>
        <v/>
      </c>
      <c r="F737" s="5">
        <f>IF('ORDENES'!$A715="","",IF('ORDENES'!$AB715="","-",'ORDENES'!$AB715))</f>
        <v/>
      </c>
      <c r="G737" s="5">
        <f>IF('ORDENES'!$A715="","",IF('ORDENES'!$Z715="","-",'ORDENES'!$Z715))</f>
        <v/>
      </c>
      <c r="H737" s="5">
        <f>IF('ORDENES'!$A715="","",IF('ORDENES'!$AH715="","-",'ORDENES'!$AH715))</f>
        <v/>
      </c>
      <c r="I737" s="5">
        <f>IF('ORDENES'!$A715="","",IF('ORDENES'!$AU715="","-",'ORDENES'!$AU715))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3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IF('ORDENES'!$A715="","",'ORDENES'!$AG715)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IF('ORDENES'!$A716="","",IF('ORDENES'!$AI716="","-",'ORDENES'!$AI716))</f>
        <v/>
      </c>
      <c r="D738" s="5">
        <f>IF('ORDENES'!$A716="","",IF('ORDENES'!$AA716="","-",'ORDENES'!$AA716))</f>
        <v/>
      </c>
      <c r="E738" s="5">
        <f>IF('ORDENES'!$A716="","",IF('ORDENES'!$Y716="","-",'ORDENES'!$Y716))</f>
        <v/>
      </c>
      <c r="F738" s="5">
        <f>IF('ORDENES'!$A716="","",IF('ORDENES'!$AB716="","-",'ORDENES'!$AB716))</f>
        <v/>
      </c>
      <c r="G738" s="5">
        <f>IF('ORDENES'!$A716="","",IF('ORDENES'!$Z716="","-",'ORDENES'!$Z716))</f>
        <v/>
      </c>
      <c r="H738" s="5">
        <f>IF('ORDENES'!$A716="","",IF('ORDENES'!$AH716="","-",'ORDENES'!$AH716))</f>
        <v/>
      </c>
      <c r="I738" s="5">
        <f>IF('ORDENES'!$A716="","",IF('ORDENES'!$AU716="","-",'ORDENES'!$AU716))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3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IF('ORDENES'!$A716="","",'ORDENES'!$AG716)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IF('ORDENES'!$A717="","",IF('ORDENES'!$AI717="","-",'ORDENES'!$AI717))</f>
        <v/>
      </c>
      <c r="D739" s="5">
        <f>IF('ORDENES'!$A717="","",IF('ORDENES'!$AA717="","-",'ORDENES'!$AA717))</f>
        <v/>
      </c>
      <c r="E739" s="5">
        <f>IF('ORDENES'!$A717="","",IF('ORDENES'!$Y717="","-",'ORDENES'!$Y717))</f>
        <v/>
      </c>
      <c r="F739" s="5">
        <f>IF('ORDENES'!$A717="","",IF('ORDENES'!$AB717="","-",'ORDENES'!$AB717))</f>
        <v/>
      </c>
      <c r="G739" s="5">
        <f>IF('ORDENES'!$A717="","",IF('ORDENES'!$Z717="","-",'ORDENES'!$Z717))</f>
        <v/>
      </c>
      <c r="H739" s="5">
        <f>IF('ORDENES'!$A717="","",IF('ORDENES'!$AH717="","-",'ORDENES'!$AH717))</f>
        <v/>
      </c>
      <c r="I739" s="5">
        <f>IF('ORDENES'!$A717="","",IF('ORDENES'!$AU717="","-",'ORDENES'!$AU717))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3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IF('ORDENES'!$A717="","",'ORDENES'!$AG717)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IF('ORDENES'!$A718="","",IF('ORDENES'!$AI718="","-",'ORDENES'!$AI718))</f>
        <v/>
      </c>
      <c r="D740" s="5">
        <f>IF('ORDENES'!$A718="","",IF('ORDENES'!$AA718="","-",'ORDENES'!$AA718))</f>
        <v/>
      </c>
      <c r="E740" s="5">
        <f>IF('ORDENES'!$A718="","",IF('ORDENES'!$Y718="","-",'ORDENES'!$Y718))</f>
        <v/>
      </c>
      <c r="F740" s="5">
        <f>IF('ORDENES'!$A718="","",IF('ORDENES'!$AB718="","-",'ORDENES'!$AB718))</f>
        <v/>
      </c>
      <c r="G740" s="5">
        <f>IF('ORDENES'!$A718="","",IF('ORDENES'!$Z718="","-",'ORDENES'!$Z718))</f>
        <v/>
      </c>
      <c r="H740" s="5">
        <f>IF('ORDENES'!$A718="","",IF('ORDENES'!$AH718="","-",'ORDENES'!$AH718))</f>
        <v/>
      </c>
      <c r="I740" s="5">
        <f>IF('ORDENES'!$A718="","",IF('ORDENES'!$AU718="","-",'ORDENES'!$AU718))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3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IF('ORDENES'!$A718="","",'ORDENES'!$AG718)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IF('ORDENES'!$A719="","",IF('ORDENES'!$AI719="","-",'ORDENES'!$AI719))</f>
        <v/>
      </c>
      <c r="D741" s="5">
        <f>IF('ORDENES'!$A719="","",IF('ORDENES'!$AA719="","-",'ORDENES'!$AA719))</f>
        <v/>
      </c>
      <c r="E741" s="5">
        <f>IF('ORDENES'!$A719="","",IF('ORDENES'!$Y719="","-",'ORDENES'!$Y719))</f>
        <v/>
      </c>
      <c r="F741" s="5">
        <f>IF('ORDENES'!$A719="","",IF('ORDENES'!$AB719="","-",'ORDENES'!$AB719))</f>
        <v/>
      </c>
      <c r="G741" s="5">
        <f>IF('ORDENES'!$A719="","",IF('ORDENES'!$Z719="","-",'ORDENES'!$Z719))</f>
        <v/>
      </c>
      <c r="H741" s="5">
        <f>IF('ORDENES'!$A719="","",IF('ORDENES'!$AH719="","-",'ORDENES'!$AH719))</f>
        <v/>
      </c>
      <c r="I741" s="5">
        <f>IF('ORDENES'!$A719="","",IF('ORDENES'!$AU719="","-",'ORDENES'!$AU719))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3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IF('ORDENES'!$A719="","",'ORDENES'!$AG719)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IF('ORDENES'!$A720="","",IF('ORDENES'!$AI720="","-",'ORDENES'!$AI720))</f>
        <v/>
      </c>
      <c r="D742" s="5">
        <f>IF('ORDENES'!$A720="","",IF('ORDENES'!$AA720="","-",'ORDENES'!$AA720))</f>
        <v/>
      </c>
      <c r="E742" s="5">
        <f>IF('ORDENES'!$A720="","",IF('ORDENES'!$Y720="","-",'ORDENES'!$Y720))</f>
        <v/>
      </c>
      <c r="F742" s="5">
        <f>IF('ORDENES'!$A720="","",IF('ORDENES'!$AB720="","-",'ORDENES'!$AB720))</f>
        <v/>
      </c>
      <c r="G742" s="5">
        <f>IF('ORDENES'!$A720="","",IF('ORDENES'!$Z720="","-",'ORDENES'!$Z720))</f>
        <v/>
      </c>
      <c r="H742" s="5">
        <f>IF('ORDENES'!$A720="","",IF('ORDENES'!$AH720="","-",'ORDENES'!$AH720))</f>
        <v/>
      </c>
      <c r="I742" s="5">
        <f>IF('ORDENES'!$A720="","",IF('ORDENES'!$AU720="","-",'ORDENES'!$AU720))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3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IF('ORDENES'!$A720="","",'ORDENES'!$AG720)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IF('ORDENES'!$A721="","",IF('ORDENES'!$AI721="","-",'ORDENES'!$AI721))</f>
        <v/>
      </c>
      <c r="D743" s="5">
        <f>IF('ORDENES'!$A721="","",IF('ORDENES'!$AA721="","-",'ORDENES'!$AA721))</f>
        <v/>
      </c>
      <c r="E743" s="5">
        <f>IF('ORDENES'!$A721="","",IF('ORDENES'!$Y721="","-",'ORDENES'!$Y721))</f>
        <v/>
      </c>
      <c r="F743" s="5">
        <f>IF('ORDENES'!$A721="","",IF('ORDENES'!$AB721="","-",'ORDENES'!$AB721))</f>
        <v/>
      </c>
      <c r="G743" s="5">
        <f>IF('ORDENES'!$A721="","",IF('ORDENES'!$Z721="","-",'ORDENES'!$Z721))</f>
        <v/>
      </c>
      <c r="H743" s="5">
        <f>IF('ORDENES'!$A721="","",IF('ORDENES'!$AH721="","-",'ORDENES'!$AH721))</f>
        <v/>
      </c>
      <c r="I743" s="5">
        <f>IF('ORDENES'!$A721="","",IF('ORDENES'!$AU721="","-",'ORDENES'!$AU721))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3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IF('ORDENES'!$A721="","",'ORDENES'!$AG721)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IF('ORDENES'!$A722="","",IF('ORDENES'!$AI722="","-",'ORDENES'!$AI722))</f>
        <v/>
      </c>
      <c r="D744" s="5">
        <f>IF('ORDENES'!$A722="","",IF('ORDENES'!$AA722="","-",'ORDENES'!$AA722))</f>
        <v/>
      </c>
      <c r="E744" s="5">
        <f>IF('ORDENES'!$A722="","",IF('ORDENES'!$Y722="","-",'ORDENES'!$Y722))</f>
        <v/>
      </c>
      <c r="F744" s="5">
        <f>IF('ORDENES'!$A722="","",IF('ORDENES'!$AB722="","-",'ORDENES'!$AB722))</f>
        <v/>
      </c>
      <c r="G744" s="5">
        <f>IF('ORDENES'!$A722="","",IF('ORDENES'!$Z722="","-",'ORDENES'!$Z722))</f>
        <v/>
      </c>
      <c r="H744" s="5">
        <f>IF('ORDENES'!$A722="","",IF('ORDENES'!$AH722="","-",'ORDENES'!$AH722))</f>
        <v/>
      </c>
      <c r="I744" s="5">
        <f>IF('ORDENES'!$A722="","",IF('ORDENES'!$AU722="","-",'ORDENES'!$AU722))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3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IF('ORDENES'!$A722="","",'ORDENES'!$AG722)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IF('ORDENES'!$A723="","",IF('ORDENES'!$AI723="","-",'ORDENES'!$AI723))</f>
        <v/>
      </c>
      <c r="D745" s="5">
        <f>IF('ORDENES'!$A723="","",IF('ORDENES'!$AA723="","-",'ORDENES'!$AA723))</f>
        <v/>
      </c>
      <c r="E745" s="5">
        <f>IF('ORDENES'!$A723="","",IF('ORDENES'!$Y723="","-",'ORDENES'!$Y723))</f>
        <v/>
      </c>
      <c r="F745" s="5">
        <f>IF('ORDENES'!$A723="","",IF('ORDENES'!$AB723="","-",'ORDENES'!$AB723))</f>
        <v/>
      </c>
      <c r="G745" s="5">
        <f>IF('ORDENES'!$A723="","",IF('ORDENES'!$Z723="","-",'ORDENES'!$Z723))</f>
        <v/>
      </c>
      <c r="H745" s="5">
        <f>IF('ORDENES'!$A723="","",IF('ORDENES'!$AH723="","-",'ORDENES'!$AH723))</f>
        <v/>
      </c>
      <c r="I745" s="5">
        <f>IF('ORDENES'!$A723="","",IF('ORDENES'!$AU723="","-",'ORDENES'!$AU723))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3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IF('ORDENES'!$A723="","",'ORDENES'!$AG723)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IF('ORDENES'!$A724="","",IF('ORDENES'!$AI724="","-",'ORDENES'!$AI724))</f>
        <v/>
      </c>
      <c r="D746" s="5">
        <f>IF('ORDENES'!$A724="","",IF('ORDENES'!$AA724="","-",'ORDENES'!$AA724))</f>
        <v/>
      </c>
      <c r="E746" s="5">
        <f>IF('ORDENES'!$A724="","",IF('ORDENES'!$Y724="","-",'ORDENES'!$Y724))</f>
        <v/>
      </c>
      <c r="F746" s="5">
        <f>IF('ORDENES'!$A724="","",IF('ORDENES'!$AB724="","-",'ORDENES'!$AB724))</f>
        <v/>
      </c>
      <c r="G746" s="5">
        <f>IF('ORDENES'!$A724="","",IF('ORDENES'!$Z724="","-",'ORDENES'!$Z724))</f>
        <v/>
      </c>
      <c r="H746" s="5">
        <f>IF('ORDENES'!$A724="","",IF('ORDENES'!$AH724="","-",'ORDENES'!$AH724))</f>
        <v/>
      </c>
      <c r="I746" s="5">
        <f>IF('ORDENES'!$A724="","",IF('ORDENES'!$AU724="","-",'ORDENES'!$AU724))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3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IF('ORDENES'!$A724="","",'ORDENES'!$AG724)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IF('ORDENES'!$A725="","",IF('ORDENES'!$AI725="","-",'ORDENES'!$AI725))</f>
        <v/>
      </c>
      <c r="D747" s="5">
        <f>IF('ORDENES'!$A725="","",IF('ORDENES'!$AA725="","-",'ORDENES'!$AA725))</f>
        <v/>
      </c>
      <c r="E747" s="5">
        <f>IF('ORDENES'!$A725="","",IF('ORDENES'!$Y725="","-",'ORDENES'!$Y725))</f>
        <v/>
      </c>
      <c r="F747" s="5">
        <f>IF('ORDENES'!$A725="","",IF('ORDENES'!$AB725="","-",'ORDENES'!$AB725))</f>
        <v/>
      </c>
      <c r="G747" s="5">
        <f>IF('ORDENES'!$A725="","",IF('ORDENES'!$Z725="","-",'ORDENES'!$Z725))</f>
        <v/>
      </c>
      <c r="H747" s="5">
        <f>IF('ORDENES'!$A725="","",IF('ORDENES'!$AH725="","-",'ORDENES'!$AH725))</f>
        <v/>
      </c>
      <c r="I747" s="5">
        <f>IF('ORDENES'!$A725="","",IF('ORDENES'!$AU725="","-",'ORDENES'!$AU725))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3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IF('ORDENES'!$A725="","",'ORDENES'!$AG725)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IF('ORDENES'!$A726="","",IF('ORDENES'!$AI726="","-",'ORDENES'!$AI726))</f>
        <v/>
      </c>
      <c r="D748" s="5">
        <f>IF('ORDENES'!$A726="","",IF('ORDENES'!$AA726="","-",'ORDENES'!$AA726))</f>
        <v/>
      </c>
      <c r="E748" s="5">
        <f>IF('ORDENES'!$A726="","",IF('ORDENES'!$Y726="","-",'ORDENES'!$Y726))</f>
        <v/>
      </c>
      <c r="F748" s="5">
        <f>IF('ORDENES'!$A726="","",IF('ORDENES'!$AB726="","-",'ORDENES'!$AB726))</f>
        <v/>
      </c>
      <c r="G748" s="5">
        <f>IF('ORDENES'!$A726="","",IF('ORDENES'!$Z726="","-",'ORDENES'!$Z726))</f>
        <v/>
      </c>
      <c r="H748" s="5">
        <f>IF('ORDENES'!$A726="","",IF('ORDENES'!$AH726="","-",'ORDENES'!$AH726))</f>
        <v/>
      </c>
      <c r="I748" s="5">
        <f>IF('ORDENES'!$A726="","",IF('ORDENES'!$AU726="","-",'ORDENES'!$AU726))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3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IF('ORDENES'!$A726="","",'ORDENES'!$AG726)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IF('ORDENES'!$A727="","",IF('ORDENES'!$AI727="","-",'ORDENES'!$AI727))</f>
        <v/>
      </c>
      <c r="D749" s="5">
        <f>IF('ORDENES'!$A727="","",IF('ORDENES'!$AA727="","-",'ORDENES'!$AA727))</f>
        <v/>
      </c>
      <c r="E749" s="5">
        <f>IF('ORDENES'!$A727="","",IF('ORDENES'!$Y727="","-",'ORDENES'!$Y727))</f>
        <v/>
      </c>
      <c r="F749" s="5">
        <f>IF('ORDENES'!$A727="","",IF('ORDENES'!$AB727="","-",'ORDENES'!$AB727))</f>
        <v/>
      </c>
      <c r="G749" s="5">
        <f>IF('ORDENES'!$A727="","",IF('ORDENES'!$Z727="","-",'ORDENES'!$Z727))</f>
        <v/>
      </c>
      <c r="H749" s="5">
        <f>IF('ORDENES'!$A727="","",IF('ORDENES'!$AH727="","-",'ORDENES'!$AH727))</f>
        <v/>
      </c>
      <c r="I749" s="5">
        <f>IF('ORDENES'!$A727="","",IF('ORDENES'!$AU727="","-",'ORDENES'!$AU727))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3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IF('ORDENES'!$A727="","",'ORDENES'!$AG727)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IF('ORDENES'!$A728="","",IF('ORDENES'!$AI728="","-",'ORDENES'!$AI728))</f>
        <v/>
      </c>
      <c r="D750" s="5">
        <f>IF('ORDENES'!$A728="","",IF('ORDENES'!$AA728="","-",'ORDENES'!$AA728))</f>
        <v/>
      </c>
      <c r="E750" s="5">
        <f>IF('ORDENES'!$A728="","",IF('ORDENES'!$Y728="","-",'ORDENES'!$Y728))</f>
        <v/>
      </c>
      <c r="F750" s="5">
        <f>IF('ORDENES'!$A728="","",IF('ORDENES'!$AB728="","-",'ORDENES'!$AB728))</f>
        <v/>
      </c>
      <c r="G750" s="5">
        <f>IF('ORDENES'!$A728="","",IF('ORDENES'!$Z728="","-",'ORDENES'!$Z728))</f>
        <v/>
      </c>
      <c r="H750" s="5">
        <f>IF('ORDENES'!$A728="","",IF('ORDENES'!$AH728="","-",'ORDENES'!$AH728))</f>
        <v/>
      </c>
      <c r="I750" s="5">
        <f>IF('ORDENES'!$A728="","",IF('ORDENES'!$AU728="","-",'ORDENES'!$AU728))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3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IF('ORDENES'!$A728="","",'ORDENES'!$AG728)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IF('ORDENES'!$A729="","",IF('ORDENES'!$AI729="","-",'ORDENES'!$AI729))</f>
        <v/>
      </c>
      <c r="D751" s="5">
        <f>IF('ORDENES'!$A729="","",IF('ORDENES'!$AA729="","-",'ORDENES'!$AA729))</f>
        <v/>
      </c>
      <c r="E751" s="5">
        <f>IF('ORDENES'!$A729="","",IF('ORDENES'!$Y729="","-",'ORDENES'!$Y729))</f>
        <v/>
      </c>
      <c r="F751" s="5">
        <f>IF('ORDENES'!$A729="","",IF('ORDENES'!$AB729="","-",'ORDENES'!$AB729))</f>
        <v/>
      </c>
      <c r="G751" s="5">
        <f>IF('ORDENES'!$A729="","",IF('ORDENES'!$Z729="","-",'ORDENES'!$Z729))</f>
        <v/>
      </c>
      <c r="H751" s="5">
        <f>IF('ORDENES'!$A729="","",IF('ORDENES'!$AH729="","-",'ORDENES'!$AH729))</f>
        <v/>
      </c>
      <c r="I751" s="5">
        <f>IF('ORDENES'!$A729="","",IF('ORDENES'!$AU729="","-",'ORDENES'!$AU729))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3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IF('ORDENES'!$A729="","",'ORDENES'!$AG729)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IF('ORDENES'!$A730="","",IF('ORDENES'!$AI730="","-",'ORDENES'!$AI730))</f>
        <v/>
      </c>
      <c r="D752" s="5">
        <f>IF('ORDENES'!$A730="","",IF('ORDENES'!$AA730="","-",'ORDENES'!$AA730))</f>
        <v/>
      </c>
      <c r="E752" s="5">
        <f>IF('ORDENES'!$A730="","",IF('ORDENES'!$Y730="","-",'ORDENES'!$Y730))</f>
        <v/>
      </c>
      <c r="F752" s="5">
        <f>IF('ORDENES'!$A730="","",IF('ORDENES'!$AB730="","-",'ORDENES'!$AB730))</f>
        <v/>
      </c>
      <c r="G752" s="5">
        <f>IF('ORDENES'!$A730="","",IF('ORDENES'!$Z730="","-",'ORDENES'!$Z730))</f>
        <v/>
      </c>
      <c r="H752" s="5">
        <f>IF('ORDENES'!$A730="","",IF('ORDENES'!$AH730="","-",'ORDENES'!$AH730))</f>
        <v/>
      </c>
      <c r="I752" s="5">
        <f>IF('ORDENES'!$A730="","",IF('ORDENES'!$AU730="","-",'ORDENES'!$AU730))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3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IF('ORDENES'!$A730="","",'ORDENES'!$AG730)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IF('ORDENES'!$A731="","",IF('ORDENES'!$AI731="","-",'ORDENES'!$AI731))</f>
        <v/>
      </c>
      <c r="D753" s="5">
        <f>IF('ORDENES'!$A731="","",IF('ORDENES'!$AA731="","-",'ORDENES'!$AA731))</f>
        <v/>
      </c>
      <c r="E753" s="5">
        <f>IF('ORDENES'!$A731="","",IF('ORDENES'!$Y731="","-",'ORDENES'!$Y731))</f>
        <v/>
      </c>
      <c r="F753" s="5">
        <f>IF('ORDENES'!$A731="","",IF('ORDENES'!$AB731="","-",'ORDENES'!$AB731))</f>
        <v/>
      </c>
      <c r="G753" s="5">
        <f>IF('ORDENES'!$A731="","",IF('ORDENES'!$Z731="","-",'ORDENES'!$Z731))</f>
        <v/>
      </c>
      <c r="H753" s="5">
        <f>IF('ORDENES'!$A731="","",IF('ORDENES'!$AH731="","-",'ORDENES'!$AH731))</f>
        <v/>
      </c>
      <c r="I753" s="5">
        <f>IF('ORDENES'!$A731="","",IF('ORDENES'!$AU731="","-",'ORDENES'!$AU731))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3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IF('ORDENES'!$A731="","",'ORDENES'!$AG731)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IF('ORDENES'!$A732="","",IF('ORDENES'!$AI732="","-",'ORDENES'!$AI732))</f>
        <v/>
      </c>
      <c r="D754" s="5">
        <f>IF('ORDENES'!$A732="","",IF('ORDENES'!$AA732="","-",'ORDENES'!$AA732))</f>
        <v/>
      </c>
      <c r="E754" s="5">
        <f>IF('ORDENES'!$A732="","",IF('ORDENES'!$Y732="","-",'ORDENES'!$Y732))</f>
        <v/>
      </c>
      <c r="F754" s="5">
        <f>IF('ORDENES'!$A732="","",IF('ORDENES'!$AB732="","-",'ORDENES'!$AB732))</f>
        <v/>
      </c>
      <c r="G754" s="5">
        <f>IF('ORDENES'!$A732="","",IF('ORDENES'!$Z732="","-",'ORDENES'!$Z732))</f>
        <v/>
      </c>
      <c r="H754" s="5">
        <f>IF('ORDENES'!$A732="","",IF('ORDENES'!$AH732="","-",'ORDENES'!$AH732))</f>
        <v/>
      </c>
      <c r="I754" s="5">
        <f>IF('ORDENES'!$A732="","",IF('ORDENES'!$AU732="","-",'ORDENES'!$AU732))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3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IF('ORDENES'!$A732="","",'ORDENES'!$AG732)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IF('ORDENES'!$A733="","",IF('ORDENES'!$AI733="","-",'ORDENES'!$AI733))</f>
        <v/>
      </c>
      <c r="D755" s="5">
        <f>IF('ORDENES'!$A733="","",IF('ORDENES'!$AA733="","-",'ORDENES'!$AA733))</f>
        <v/>
      </c>
      <c r="E755" s="5">
        <f>IF('ORDENES'!$A733="","",IF('ORDENES'!$Y733="","-",'ORDENES'!$Y733))</f>
        <v/>
      </c>
      <c r="F755" s="5">
        <f>IF('ORDENES'!$A733="","",IF('ORDENES'!$AB733="","-",'ORDENES'!$AB733))</f>
        <v/>
      </c>
      <c r="G755" s="5">
        <f>IF('ORDENES'!$A733="","",IF('ORDENES'!$Z733="","-",'ORDENES'!$Z733))</f>
        <v/>
      </c>
      <c r="H755" s="5">
        <f>IF('ORDENES'!$A733="","",IF('ORDENES'!$AH733="","-",'ORDENES'!$AH733))</f>
        <v/>
      </c>
      <c r="I755" s="5">
        <f>IF('ORDENES'!$A733="","",IF('ORDENES'!$AU733="","-",'ORDENES'!$AU733))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3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IF('ORDENES'!$A733="","",'ORDENES'!$AG733)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IF('ORDENES'!$A734="","",IF('ORDENES'!$AI734="","-",'ORDENES'!$AI734))</f>
        <v/>
      </c>
      <c r="D756" s="5">
        <f>IF('ORDENES'!$A734="","",IF('ORDENES'!$AA734="","-",'ORDENES'!$AA734))</f>
        <v/>
      </c>
      <c r="E756" s="5">
        <f>IF('ORDENES'!$A734="","",IF('ORDENES'!$Y734="","-",'ORDENES'!$Y734))</f>
        <v/>
      </c>
      <c r="F756" s="5">
        <f>IF('ORDENES'!$A734="","",IF('ORDENES'!$AB734="","-",'ORDENES'!$AB734))</f>
        <v/>
      </c>
      <c r="G756" s="5">
        <f>IF('ORDENES'!$A734="","",IF('ORDENES'!$Z734="","-",'ORDENES'!$Z734))</f>
        <v/>
      </c>
      <c r="H756" s="5">
        <f>IF('ORDENES'!$A734="","",IF('ORDENES'!$AH734="","-",'ORDENES'!$AH734))</f>
        <v/>
      </c>
      <c r="I756" s="5">
        <f>IF('ORDENES'!$A734="","",IF('ORDENES'!$AU734="","-",'ORDENES'!$AU734))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3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IF('ORDENES'!$A734="","",'ORDENES'!$AG734)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IF('ORDENES'!$A735="","",IF('ORDENES'!$AI735="","-",'ORDENES'!$AI735))</f>
        <v/>
      </c>
      <c r="D757" s="5">
        <f>IF('ORDENES'!$A735="","",IF('ORDENES'!$AA735="","-",'ORDENES'!$AA735))</f>
        <v/>
      </c>
      <c r="E757" s="5">
        <f>IF('ORDENES'!$A735="","",IF('ORDENES'!$Y735="","-",'ORDENES'!$Y735))</f>
        <v/>
      </c>
      <c r="F757" s="5">
        <f>IF('ORDENES'!$A735="","",IF('ORDENES'!$AB735="","-",'ORDENES'!$AB735))</f>
        <v/>
      </c>
      <c r="G757" s="5">
        <f>IF('ORDENES'!$A735="","",IF('ORDENES'!$Z735="","-",'ORDENES'!$Z735))</f>
        <v/>
      </c>
      <c r="H757" s="5">
        <f>IF('ORDENES'!$A735="","",IF('ORDENES'!$AH735="","-",'ORDENES'!$AH735))</f>
        <v/>
      </c>
      <c r="I757" s="5">
        <f>IF('ORDENES'!$A735="","",IF('ORDENES'!$AU735="","-",'ORDENES'!$AU735))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3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IF('ORDENES'!$A735="","",'ORDENES'!$AG735)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IF('ORDENES'!$A736="","",IF('ORDENES'!$AI736="","-",'ORDENES'!$AI736))</f>
        <v/>
      </c>
      <c r="D758" s="5">
        <f>IF('ORDENES'!$A736="","",IF('ORDENES'!$AA736="","-",'ORDENES'!$AA736))</f>
        <v/>
      </c>
      <c r="E758" s="5">
        <f>IF('ORDENES'!$A736="","",IF('ORDENES'!$Y736="","-",'ORDENES'!$Y736))</f>
        <v/>
      </c>
      <c r="F758" s="5">
        <f>IF('ORDENES'!$A736="","",IF('ORDENES'!$AB736="","-",'ORDENES'!$AB736))</f>
        <v/>
      </c>
      <c r="G758" s="5">
        <f>IF('ORDENES'!$A736="","",IF('ORDENES'!$Z736="","-",'ORDENES'!$Z736))</f>
        <v/>
      </c>
      <c r="H758" s="5">
        <f>IF('ORDENES'!$A736="","",IF('ORDENES'!$AH736="","-",'ORDENES'!$AH736))</f>
        <v/>
      </c>
      <c r="I758" s="5">
        <f>IF('ORDENES'!$A736="","",IF('ORDENES'!$AU736="","-",'ORDENES'!$AU736))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3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IF('ORDENES'!$A736="","",'ORDENES'!$AG736)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IF('ORDENES'!$A737="","",IF('ORDENES'!$AI737="","-",'ORDENES'!$AI737))</f>
        <v/>
      </c>
      <c r="D759" s="5">
        <f>IF('ORDENES'!$A737="","",IF('ORDENES'!$AA737="","-",'ORDENES'!$AA737))</f>
        <v/>
      </c>
      <c r="E759" s="5">
        <f>IF('ORDENES'!$A737="","",IF('ORDENES'!$Y737="","-",'ORDENES'!$Y737))</f>
        <v/>
      </c>
      <c r="F759" s="5">
        <f>IF('ORDENES'!$A737="","",IF('ORDENES'!$AB737="","-",'ORDENES'!$AB737))</f>
        <v/>
      </c>
      <c r="G759" s="5">
        <f>IF('ORDENES'!$A737="","",IF('ORDENES'!$Z737="","-",'ORDENES'!$Z737))</f>
        <v/>
      </c>
      <c r="H759" s="5">
        <f>IF('ORDENES'!$A737="","",IF('ORDENES'!$AH737="","-",'ORDENES'!$AH737))</f>
        <v/>
      </c>
      <c r="I759" s="5">
        <f>IF('ORDENES'!$A737="","",IF('ORDENES'!$AU737="","-",'ORDENES'!$AU737))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3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IF('ORDENES'!$A737="","",'ORDENES'!$AG737)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IF('ORDENES'!$A738="","",IF('ORDENES'!$AI738="","-",'ORDENES'!$AI738))</f>
        <v/>
      </c>
      <c r="D760" s="5">
        <f>IF('ORDENES'!$A738="","",IF('ORDENES'!$AA738="","-",'ORDENES'!$AA738))</f>
        <v/>
      </c>
      <c r="E760" s="5">
        <f>IF('ORDENES'!$A738="","",IF('ORDENES'!$Y738="","-",'ORDENES'!$Y738))</f>
        <v/>
      </c>
      <c r="F760" s="5">
        <f>IF('ORDENES'!$A738="","",IF('ORDENES'!$AB738="","-",'ORDENES'!$AB738))</f>
        <v/>
      </c>
      <c r="G760" s="5">
        <f>IF('ORDENES'!$A738="","",IF('ORDENES'!$Z738="","-",'ORDENES'!$Z738))</f>
        <v/>
      </c>
      <c r="H760" s="5">
        <f>IF('ORDENES'!$A738="","",IF('ORDENES'!$AH738="","-",'ORDENES'!$AH738))</f>
        <v/>
      </c>
      <c r="I760" s="5">
        <f>IF('ORDENES'!$A738="","",IF('ORDENES'!$AU738="","-",'ORDENES'!$AU738))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3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IF('ORDENES'!$A738="","",'ORDENES'!$AG738)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IF('ORDENES'!$A739="","",IF('ORDENES'!$AI739="","-",'ORDENES'!$AI739))</f>
        <v/>
      </c>
      <c r="D761" s="5">
        <f>IF('ORDENES'!$A739="","",IF('ORDENES'!$AA739="","-",'ORDENES'!$AA739))</f>
        <v/>
      </c>
      <c r="E761" s="5">
        <f>IF('ORDENES'!$A739="","",IF('ORDENES'!$Y739="","-",'ORDENES'!$Y739))</f>
        <v/>
      </c>
      <c r="F761" s="5">
        <f>IF('ORDENES'!$A739="","",IF('ORDENES'!$AB739="","-",'ORDENES'!$AB739))</f>
        <v/>
      </c>
      <c r="G761" s="5">
        <f>IF('ORDENES'!$A739="","",IF('ORDENES'!$Z739="","-",'ORDENES'!$Z739))</f>
        <v/>
      </c>
      <c r="H761" s="5">
        <f>IF('ORDENES'!$A739="","",IF('ORDENES'!$AH739="","-",'ORDENES'!$AH739))</f>
        <v/>
      </c>
      <c r="I761" s="5">
        <f>IF('ORDENES'!$A739="","",IF('ORDENES'!$AU739="","-",'ORDENES'!$AU739))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3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IF('ORDENES'!$A739="","",'ORDENES'!$AG739)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IF('ORDENES'!$A740="","",IF('ORDENES'!$AI740="","-",'ORDENES'!$AI740))</f>
        <v/>
      </c>
      <c r="D762" s="5">
        <f>IF('ORDENES'!$A740="","",IF('ORDENES'!$AA740="","-",'ORDENES'!$AA740))</f>
        <v/>
      </c>
      <c r="E762" s="5">
        <f>IF('ORDENES'!$A740="","",IF('ORDENES'!$Y740="","-",'ORDENES'!$Y740))</f>
        <v/>
      </c>
      <c r="F762" s="5">
        <f>IF('ORDENES'!$A740="","",IF('ORDENES'!$AB740="","-",'ORDENES'!$AB740))</f>
        <v/>
      </c>
      <c r="G762" s="5">
        <f>IF('ORDENES'!$A740="","",IF('ORDENES'!$Z740="","-",'ORDENES'!$Z740))</f>
        <v/>
      </c>
      <c r="H762" s="5">
        <f>IF('ORDENES'!$A740="","",IF('ORDENES'!$AH740="","-",'ORDENES'!$AH740))</f>
        <v/>
      </c>
      <c r="I762" s="5">
        <f>IF('ORDENES'!$A740="","",IF('ORDENES'!$AU740="","-",'ORDENES'!$AU740))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3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IF('ORDENES'!$A740="","",'ORDENES'!$AG740)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IF('ORDENES'!$A741="","",IF('ORDENES'!$AI741="","-",'ORDENES'!$AI741))</f>
        <v/>
      </c>
      <c r="D763" s="5">
        <f>IF('ORDENES'!$A741="","",IF('ORDENES'!$AA741="","-",'ORDENES'!$AA741))</f>
        <v/>
      </c>
      <c r="E763" s="5">
        <f>IF('ORDENES'!$A741="","",IF('ORDENES'!$Y741="","-",'ORDENES'!$Y741))</f>
        <v/>
      </c>
      <c r="F763" s="5">
        <f>IF('ORDENES'!$A741="","",IF('ORDENES'!$AB741="","-",'ORDENES'!$AB741))</f>
        <v/>
      </c>
      <c r="G763" s="5">
        <f>IF('ORDENES'!$A741="","",IF('ORDENES'!$Z741="","-",'ORDENES'!$Z741))</f>
        <v/>
      </c>
      <c r="H763" s="5">
        <f>IF('ORDENES'!$A741="","",IF('ORDENES'!$AH741="","-",'ORDENES'!$AH741))</f>
        <v/>
      </c>
      <c r="I763" s="5">
        <f>IF('ORDENES'!$A741="","",IF('ORDENES'!$AU741="","-",'ORDENES'!$AU741))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3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IF('ORDENES'!$A741="","",'ORDENES'!$AG741)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IF('ORDENES'!$A742="","",IF('ORDENES'!$AI742="","-",'ORDENES'!$AI742))</f>
        <v/>
      </c>
      <c r="D764" s="5">
        <f>IF('ORDENES'!$A742="","",IF('ORDENES'!$AA742="","-",'ORDENES'!$AA742))</f>
        <v/>
      </c>
      <c r="E764" s="5">
        <f>IF('ORDENES'!$A742="","",IF('ORDENES'!$Y742="","-",'ORDENES'!$Y742))</f>
        <v/>
      </c>
      <c r="F764" s="5">
        <f>IF('ORDENES'!$A742="","",IF('ORDENES'!$AB742="","-",'ORDENES'!$AB742))</f>
        <v/>
      </c>
      <c r="G764" s="5">
        <f>IF('ORDENES'!$A742="","",IF('ORDENES'!$Z742="","-",'ORDENES'!$Z742))</f>
        <v/>
      </c>
      <c r="H764" s="5">
        <f>IF('ORDENES'!$A742="","",IF('ORDENES'!$AH742="","-",'ORDENES'!$AH742))</f>
        <v/>
      </c>
      <c r="I764" s="5">
        <f>IF('ORDENES'!$A742="","",IF('ORDENES'!$AU742="","-",'ORDENES'!$AU742))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3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IF('ORDENES'!$A742="","",'ORDENES'!$AG742)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IF('ORDENES'!$A743="","",IF('ORDENES'!$AI743="","-",'ORDENES'!$AI743))</f>
        <v/>
      </c>
      <c r="D765" s="5">
        <f>IF('ORDENES'!$A743="","",IF('ORDENES'!$AA743="","-",'ORDENES'!$AA743))</f>
        <v/>
      </c>
      <c r="E765" s="5">
        <f>IF('ORDENES'!$A743="","",IF('ORDENES'!$Y743="","-",'ORDENES'!$Y743))</f>
        <v/>
      </c>
      <c r="F765" s="5">
        <f>IF('ORDENES'!$A743="","",IF('ORDENES'!$AB743="","-",'ORDENES'!$AB743))</f>
        <v/>
      </c>
      <c r="G765" s="5">
        <f>IF('ORDENES'!$A743="","",IF('ORDENES'!$Z743="","-",'ORDENES'!$Z743))</f>
        <v/>
      </c>
      <c r="H765" s="5">
        <f>IF('ORDENES'!$A743="","",IF('ORDENES'!$AH743="","-",'ORDENES'!$AH743))</f>
        <v/>
      </c>
      <c r="I765" s="5">
        <f>IF('ORDENES'!$A743="","",IF('ORDENES'!$AU743="","-",'ORDENES'!$AU743))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3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IF('ORDENES'!$A743="","",'ORDENES'!$AG743)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IF('ORDENES'!$A744="","",IF('ORDENES'!$AI744="","-",'ORDENES'!$AI744))</f>
        <v/>
      </c>
      <c r="D766" s="5">
        <f>IF('ORDENES'!$A744="","",IF('ORDENES'!$AA744="","-",'ORDENES'!$AA744))</f>
        <v/>
      </c>
      <c r="E766" s="5">
        <f>IF('ORDENES'!$A744="","",IF('ORDENES'!$Y744="","-",'ORDENES'!$Y744))</f>
        <v/>
      </c>
      <c r="F766" s="5">
        <f>IF('ORDENES'!$A744="","",IF('ORDENES'!$AB744="","-",'ORDENES'!$AB744))</f>
        <v/>
      </c>
      <c r="G766" s="5">
        <f>IF('ORDENES'!$A744="","",IF('ORDENES'!$Z744="","-",'ORDENES'!$Z744))</f>
        <v/>
      </c>
      <c r="H766" s="5">
        <f>IF('ORDENES'!$A744="","",IF('ORDENES'!$AH744="","-",'ORDENES'!$AH744))</f>
        <v/>
      </c>
      <c r="I766" s="5">
        <f>IF('ORDENES'!$A744="","",IF('ORDENES'!$AU744="","-",'ORDENES'!$AU744))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3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IF('ORDENES'!$A744="","",'ORDENES'!$AG744)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IF('ORDENES'!$A745="","",IF('ORDENES'!$AI745="","-",'ORDENES'!$AI745))</f>
        <v/>
      </c>
      <c r="D767" s="5">
        <f>IF('ORDENES'!$A745="","",IF('ORDENES'!$AA745="","-",'ORDENES'!$AA745))</f>
        <v/>
      </c>
      <c r="E767" s="5">
        <f>IF('ORDENES'!$A745="","",IF('ORDENES'!$Y745="","-",'ORDENES'!$Y745))</f>
        <v/>
      </c>
      <c r="F767" s="5">
        <f>IF('ORDENES'!$A745="","",IF('ORDENES'!$AB745="","-",'ORDENES'!$AB745))</f>
        <v/>
      </c>
      <c r="G767" s="5">
        <f>IF('ORDENES'!$A745="","",IF('ORDENES'!$Z745="","-",'ORDENES'!$Z745))</f>
        <v/>
      </c>
      <c r="H767" s="5">
        <f>IF('ORDENES'!$A745="","",IF('ORDENES'!$AH745="","-",'ORDENES'!$AH745))</f>
        <v/>
      </c>
      <c r="I767" s="5">
        <f>IF('ORDENES'!$A745="","",IF('ORDENES'!$AU745="","-",'ORDENES'!$AU745))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3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IF('ORDENES'!$A745="","",'ORDENES'!$AG745)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IF('ORDENES'!$A746="","",IF('ORDENES'!$AI746="","-",'ORDENES'!$AI746))</f>
        <v/>
      </c>
      <c r="D768" s="5">
        <f>IF('ORDENES'!$A746="","",IF('ORDENES'!$AA746="","-",'ORDENES'!$AA746))</f>
        <v/>
      </c>
      <c r="E768" s="5">
        <f>IF('ORDENES'!$A746="","",IF('ORDENES'!$Y746="","-",'ORDENES'!$Y746))</f>
        <v/>
      </c>
      <c r="F768" s="5">
        <f>IF('ORDENES'!$A746="","",IF('ORDENES'!$AB746="","-",'ORDENES'!$AB746))</f>
        <v/>
      </c>
      <c r="G768" s="5">
        <f>IF('ORDENES'!$A746="","",IF('ORDENES'!$Z746="","-",'ORDENES'!$Z746))</f>
        <v/>
      </c>
      <c r="H768" s="5">
        <f>IF('ORDENES'!$A746="","",IF('ORDENES'!$AH746="","-",'ORDENES'!$AH746))</f>
        <v/>
      </c>
      <c r="I768" s="5">
        <f>IF('ORDENES'!$A746="","",IF('ORDENES'!$AU746="","-",'ORDENES'!$AU746))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3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IF('ORDENES'!$A746="","",'ORDENES'!$AG746)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IF('ORDENES'!$A747="","",IF('ORDENES'!$AI747="","-",'ORDENES'!$AI747))</f>
        <v/>
      </c>
      <c r="D769" s="5">
        <f>IF('ORDENES'!$A747="","",IF('ORDENES'!$AA747="","-",'ORDENES'!$AA747))</f>
        <v/>
      </c>
      <c r="E769" s="5">
        <f>IF('ORDENES'!$A747="","",IF('ORDENES'!$Y747="","-",'ORDENES'!$Y747))</f>
        <v/>
      </c>
      <c r="F769" s="5">
        <f>IF('ORDENES'!$A747="","",IF('ORDENES'!$AB747="","-",'ORDENES'!$AB747))</f>
        <v/>
      </c>
      <c r="G769" s="5">
        <f>IF('ORDENES'!$A747="","",IF('ORDENES'!$Z747="","-",'ORDENES'!$Z747))</f>
        <v/>
      </c>
      <c r="H769" s="5">
        <f>IF('ORDENES'!$A747="","",IF('ORDENES'!$AH747="","-",'ORDENES'!$AH747))</f>
        <v/>
      </c>
      <c r="I769" s="5">
        <f>IF('ORDENES'!$A747="","",IF('ORDENES'!$AU747="","-",'ORDENES'!$AU747))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3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IF('ORDENES'!$A747="","",'ORDENES'!$AG747)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IF('ORDENES'!$A748="","",IF('ORDENES'!$AI748="","-",'ORDENES'!$AI748))</f>
        <v/>
      </c>
      <c r="D770" s="5">
        <f>IF('ORDENES'!$A748="","",IF('ORDENES'!$AA748="","-",'ORDENES'!$AA748))</f>
        <v/>
      </c>
      <c r="E770" s="5">
        <f>IF('ORDENES'!$A748="","",IF('ORDENES'!$Y748="","-",'ORDENES'!$Y748))</f>
        <v/>
      </c>
      <c r="F770" s="5">
        <f>IF('ORDENES'!$A748="","",IF('ORDENES'!$AB748="","-",'ORDENES'!$AB748))</f>
        <v/>
      </c>
      <c r="G770" s="5">
        <f>IF('ORDENES'!$A748="","",IF('ORDENES'!$Z748="","-",'ORDENES'!$Z748))</f>
        <v/>
      </c>
      <c r="H770" s="5">
        <f>IF('ORDENES'!$A748="","",IF('ORDENES'!$AH748="","-",'ORDENES'!$AH748))</f>
        <v/>
      </c>
      <c r="I770" s="5">
        <f>IF('ORDENES'!$A748="","",IF('ORDENES'!$AU748="","-",'ORDENES'!$AU748))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3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IF('ORDENES'!$A748="","",'ORDENES'!$AG748)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IF('ORDENES'!$A749="","",IF('ORDENES'!$AI749="","-",'ORDENES'!$AI749))</f>
        <v/>
      </c>
      <c r="D771" s="5">
        <f>IF('ORDENES'!$A749="","",IF('ORDENES'!$AA749="","-",'ORDENES'!$AA749))</f>
        <v/>
      </c>
      <c r="E771" s="5">
        <f>IF('ORDENES'!$A749="","",IF('ORDENES'!$Y749="","-",'ORDENES'!$Y749))</f>
        <v/>
      </c>
      <c r="F771" s="5">
        <f>IF('ORDENES'!$A749="","",IF('ORDENES'!$AB749="","-",'ORDENES'!$AB749))</f>
        <v/>
      </c>
      <c r="G771" s="5">
        <f>IF('ORDENES'!$A749="","",IF('ORDENES'!$Z749="","-",'ORDENES'!$Z749))</f>
        <v/>
      </c>
      <c r="H771" s="5">
        <f>IF('ORDENES'!$A749="","",IF('ORDENES'!$AH749="","-",'ORDENES'!$AH749))</f>
        <v/>
      </c>
      <c r="I771" s="5">
        <f>IF('ORDENES'!$A749="","",IF('ORDENES'!$AU749="","-",'ORDENES'!$AU749))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3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IF('ORDENES'!$A749="","",'ORDENES'!$AG749)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IF('ORDENES'!$A750="","",IF('ORDENES'!$AI750="","-",'ORDENES'!$AI750))</f>
        <v/>
      </c>
      <c r="D772" s="5">
        <f>IF('ORDENES'!$A750="","",IF('ORDENES'!$AA750="","-",'ORDENES'!$AA750))</f>
        <v/>
      </c>
      <c r="E772" s="5">
        <f>IF('ORDENES'!$A750="","",IF('ORDENES'!$Y750="","-",'ORDENES'!$Y750))</f>
        <v/>
      </c>
      <c r="F772" s="5">
        <f>IF('ORDENES'!$A750="","",IF('ORDENES'!$AB750="","-",'ORDENES'!$AB750))</f>
        <v/>
      </c>
      <c r="G772" s="5">
        <f>IF('ORDENES'!$A750="","",IF('ORDENES'!$Z750="","-",'ORDENES'!$Z750))</f>
        <v/>
      </c>
      <c r="H772" s="5">
        <f>IF('ORDENES'!$A750="","",IF('ORDENES'!$AH750="","-",'ORDENES'!$AH750))</f>
        <v/>
      </c>
      <c r="I772" s="5">
        <f>IF('ORDENES'!$A750="","",IF('ORDENES'!$AU750="","-",'ORDENES'!$AU750))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3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IF('ORDENES'!$A750="","",'ORDENES'!$AG750)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IF('ORDENES'!$A751="","",IF('ORDENES'!$AI751="","-",'ORDENES'!$AI751))</f>
        <v/>
      </c>
      <c r="D773" s="5">
        <f>IF('ORDENES'!$A751="","",IF('ORDENES'!$AA751="","-",'ORDENES'!$AA751))</f>
        <v/>
      </c>
      <c r="E773" s="5">
        <f>IF('ORDENES'!$A751="","",IF('ORDENES'!$Y751="","-",'ORDENES'!$Y751))</f>
        <v/>
      </c>
      <c r="F773" s="5">
        <f>IF('ORDENES'!$A751="","",IF('ORDENES'!$AB751="","-",'ORDENES'!$AB751))</f>
        <v/>
      </c>
      <c r="G773" s="5">
        <f>IF('ORDENES'!$A751="","",IF('ORDENES'!$Z751="","-",'ORDENES'!$Z751))</f>
        <v/>
      </c>
      <c r="H773" s="5">
        <f>IF('ORDENES'!$A751="","",IF('ORDENES'!$AH751="","-",'ORDENES'!$AH751))</f>
        <v/>
      </c>
      <c r="I773" s="5">
        <f>IF('ORDENES'!$A751="","",IF('ORDENES'!$AU751="","-",'ORDENES'!$AU751))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3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IF('ORDENES'!$A751="","",'ORDENES'!$AG751)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IF('ORDENES'!$A752="","",IF('ORDENES'!$AI752="","-",'ORDENES'!$AI752))</f>
        <v/>
      </c>
      <c r="D774" s="5">
        <f>IF('ORDENES'!$A752="","",IF('ORDENES'!$AA752="","-",'ORDENES'!$AA752))</f>
        <v/>
      </c>
      <c r="E774" s="5">
        <f>IF('ORDENES'!$A752="","",IF('ORDENES'!$Y752="","-",'ORDENES'!$Y752))</f>
        <v/>
      </c>
      <c r="F774" s="5">
        <f>IF('ORDENES'!$A752="","",IF('ORDENES'!$AB752="","-",'ORDENES'!$AB752))</f>
        <v/>
      </c>
      <c r="G774" s="5">
        <f>IF('ORDENES'!$A752="","",IF('ORDENES'!$Z752="","-",'ORDENES'!$Z752))</f>
        <v/>
      </c>
      <c r="H774" s="5">
        <f>IF('ORDENES'!$A752="","",IF('ORDENES'!$AH752="","-",'ORDENES'!$AH752))</f>
        <v/>
      </c>
      <c r="I774" s="5">
        <f>IF('ORDENES'!$A752="","",IF('ORDENES'!$AU752="","-",'ORDENES'!$AU752))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3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IF('ORDENES'!$A752="","",'ORDENES'!$AG752)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IF('ORDENES'!$A753="","",IF('ORDENES'!$AI753="","-",'ORDENES'!$AI753))</f>
        <v/>
      </c>
      <c r="D775" s="5">
        <f>IF('ORDENES'!$A753="","",IF('ORDENES'!$AA753="","-",'ORDENES'!$AA753))</f>
        <v/>
      </c>
      <c r="E775" s="5">
        <f>IF('ORDENES'!$A753="","",IF('ORDENES'!$Y753="","-",'ORDENES'!$Y753))</f>
        <v/>
      </c>
      <c r="F775" s="5">
        <f>IF('ORDENES'!$A753="","",IF('ORDENES'!$AB753="","-",'ORDENES'!$AB753))</f>
        <v/>
      </c>
      <c r="G775" s="5">
        <f>IF('ORDENES'!$A753="","",IF('ORDENES'!$Z753="","-",'ORDENES'!$Z753))</f>
        <v/>
      </c>
      <c r="H775" s="5">
        <f>IF('ORDENES'!$A753="","",IF('ORDENES'!$AH753="","-",'ORDENES'!$AH753))</f>
        <v/>
      </c>
      <c r="I775" s="5">
        <f>IF('ORDENES'!$A753="","",IF('ORDENES'!$AU753="","-",'ORDENES'!$AU753))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3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IF('ORDENES'!$A753="","",'ORDENES'!$AG753)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IF('ORDENES'!$A754="","",IF('ORDENES'!$AI754="","-",'ORDENES'!$AI754))</f>
        <v/>
      </c>
      <c r="D776" s="5">
        <f>IF('ORDENES'!$A754="","",IF('ORDENES'!$AA754="","-",'ORDENES'!$AA754))</f>
        <v/>
      </c>
      <c r="E776" s="5">
        <f>IF('ORDENES'!$A754="","",IF('ORDENES'!$Y754="","-",'ORDENES'!$Y754))</f>
        <v/>
      </c>
      <c r="F776" s="5">
        <f>IF('ORDENES'!$A754="","",IF('ORDENES'!$AB754="","-",'ORDENES'!$AB754))</f>
        <v/>
      </c>
      <c r="G776" s="5">
        <f>IF('ORDENES'!$A754="","",IF('ORDENES'!$Z754="","-",'ORDENES'!$Z754))</f>
        <v/>
      </c>
      <c r="H776" s="5">
        <f>IF('ORDENES'!$A754="","",IF('ORDENES'!$AH754="","-",'ORDENES'!$AH754))</f>
        <v/>
      </c>
      <c r="I776" s="5">
        <f>IF('ORDENES'!$A754="","",IF('ORDENES'!$AU754="","-",'ORDENES'!$AU754))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3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IF('ORDENES'!$A754="","",'ORDENES'!$AG754)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IF('ORDENES'!$A755="","",IF('ORDENES'!$AI755="","-",'ORDENES'!$AI755))</f>
        <v/>
      </c>
      <c r="D777" s="5">
        <f>IF('ORDENES'!$A755="","",IF('ORDENES'!$AA755="","-",'ORDENES'!$AA755))</f>
        <v/>
      </c>
      <c r="E777" s="5">
        <f>IF('ORDENES'!$A755="","",IF('ORDENES'!$Y755="","-",'ORDENES'!$Y755))</f>
        <v/>
      </c>
      <c r="F777" s="5">
        <f>IF('ORDENES'!$A755="","",IF('ORDENES'!$AB755="","-",'ORDENES'!$AB755))</f>
        <v/>
      </c>
      <c r="G777" s="5">
        <f>IF('ORDENES'!$A755="","",IF('ORDENES'!$Z755="","-",'ORDENES'!$Z755))</f>
        <v/>
      </c>
      <c r="H777" s="5">
        <f>IF('ORDENES'!$A755="","",IF('ORDENES'!$AH755="","-",'ORDENES'!$AH755))</f>
        <v/>
      </c>
      <c r="I777" s="5">
        <f>IF('ORDENES'!$A755="","",IF('ORDENES'!$AU755="","-",'ORDENES'!$AU755))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3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IF('ORDENES'!$A755="","",'ORDENES'!$AG755)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IF('ORDENES'!$A756="","",IF('ORDENES'!$AI756="","-",'ORDENES'!$AI756))</f>
        <v/>
      </c>
      <c r="D778" s="5">
        <f>IF('ORDENES'!$A756="","",IF('ORDENES'!$AA756="","-",'ORDENES'!$AA756))</f>
        <v/>
      </c>
      <c r="E778" s="5">
        <f>IF('ORDENES'!$A756="","",IF('ORDENES'!$Y756="","-",'ORDENES'!$Y756))</f>
        <v/>
      </c>
      <c r="F778" s="5">
        <f>IF('ORDENES'!$A756="","",IF('ORDENES'!$AB756="","-",'ORDENES'!$AB756))</f>
        <v/>
      </c>
      <c r="G778" s="5">
        <f>IF('ORDENES'!$A756="","",IF('ORDENES'!$Z756="","-",'ORDENES'!$Z756))</f>
        <v/>
      </c>
      <c r="H778" s="5">
        <f>IF('ORDENES'!$A756="","",IF('ORDENES'!$AH756="","-",'ORDENES'!$AH756))</f>
        <v/>
      </c>
      <c r="I778" s="5">
        <f>IF('ORDENES'!$A756="","",IF('ORDENES'!$AU756="","-",'ORDENES'!$AU756))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3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IF('ORDENES'!$A756="","",'ORDENES'!$AG756)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IF('ORDENES'!$A757="","",IF('ORDENES'!$AI757="","-",'ORDENES'!$AI757))</f>
        <v/>
      </c>
      <c r="D779" s="5">
        <f>IF('ORDENES'!$A757="","",IF('ORDENES'!$AA757="","-",'ORDENES'!$AA757))</f>
        <v/>
      </c>
      <c r="E779" s="5">
        <f>IF('ORDENES'!$A757="","",IF('ORDENES'!$Y757="","-",'ORDENES'!$Y757))</f>
        <v/>
      </c>
      <c r="F779" s="5">
        <f>IF('ORDENES'!$A757="","",IF('ORDENES'!$AB757="","-",'ORDENES'!$AB757))</f>
        <v/>
      </c>
      <c r="G779" s="5">
        <f>IF('ORDENES'!$A757="","",IF('ORDENES'!$Z757="","-",'ORDENES'!$Z757))</f>
        <v/>
      </c>
      <c r="H779" s="5">
        <f>IF('ORDENES'!$A757="","",IF('ORDENES'!$AH757="","-",'ORDENES'!$AH757))</f>
        <v/>
      </c>
      <c r="I779" s="5">
        <f>IF('ORDENES'!$A757="","",IF('ORDENES'!$AU757="","-",'ORDENES'!$AU757))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3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IF('ORDENES'!$A757="","",'ORDENES'!$AG757)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IF('ORDENES'!$A758="","",IF('ORDENES'!$AI758="","-",'ORDENES'!$AI758))</f>
        <v/>
      </c>
      <c r="D780" s="5">
        <f>IF('ORDENES'!$A758="","",IF('ORDENES'!$AA758="","-",'ORDENES'!$AA758))</f>
        <v/>
      </c>
      <c r="E780" s="5">
        <f>IF('ORDENES'!$A758="","",IF('ORDENES'!$Y758="","-",'ORDENES'!$Y758))</f>
        <v/>
      </c>
      <c r="F780" s="5">
        <f>IF('ORDENES'!$A758="","",IF('ORDENES'!$AB758="","-",'ORDENES'!$AB758))</f>
        <v/>
      </c>
      <c r="G780" s="5">
        <f>IF('ORDENES'!$A758="","",IF('ORDENES'!$Z758="","-",'ORDENES'!$Z758))</f>
        <v/>
      </c>
      <c r="H780" s="5">
        <f>IF('ORDENES'!$A758="","",IF('ORDENES'!$AH758="","-",'ORDENES'!$AH758))</f>
        <v/>
      </c>
      <c r="I780" s="5">
        <f>IF('ORDENES'!$A758="","",IF('ORDENES'!$AU758="","-",'ORDENES'!$AU758))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3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IF('ORDENES'!$A758="","",'ORDENES'!$AG758)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IF('ORDENES'!$A759="","",IF('ORDENES'!$AI759="","-",'ORDENES'!$AI759))</f>
        <v/>
      </c>
      <c r="D781" s="5">
        <f>IF('ORDENES'!$A759="","",IF('ORDENES'!$AA759="","-",'ORDENES'!$AA759))</f>
        <v/>
      </c>
      <c r="E781" s="5">
        <f>IF('ORDENES'!$A759="","",IF('ORDENES'!$Y759="","-",'ORDENES'!$Y759))</f>
        <v/>
      </c>
      <c r="F781" s="5">
        <f>IF('ORDENES'!$A759="","",IF('ORDENES'!$AB759="","-",'ORDENES'!$AB759))</f>
        <v/>
      </c>
      <c r="G781" s="5">
        <f>IF('ORDENES'!$A759="","",IF('ORDENES'!$Z759="","-",'ORDENES'!$Z759))</f>
        <v/>
      </c>
      <c r="H781" s="5">
        <f>IF('ORDENES'!$A759="","",IF('ORDENES'!$AH759="","-",'ORDENES'!$AH759))</f>
        <v/>
      </c>
      <c r="I781" s="5">
        <f>IF('ORDENES'!$A759="","",IF('ORDENES'!$AU759="","-",'ORDENES'!$AU759))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3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IF('ORDENES'!$A759="","",'ORDENES'!$AG759)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IF('ORDENES'!$A760="","",IF('ORDENES'!$AI760="","-",'ORDENES'!$AI760))</f>
        <v/>
      </c>
      <c r="D782" s="5">
        <f>IF('ORDENES'!$A760="","",IF('ORDENES'!$AA760="","-",'ORDENES'!$AA760))</f>
        <v/>
      </c>
      <c r="E782" s="5">
        <f>IF('ORDENES'!$A760="","",IF('ORDENES'!$Y760="","-",'ORDENES'!$Y760))</f>
        <v/>
      </c>
      <c r="F782" s="5">
        <f>IF('ORDENES'!$A760="","",IF('ORDENES'!$AB760="","-",'ORDENES'!$AB760))</f>
        <v/>
      </c>
      <c r="G782" s="5">
        <f>IF('ORDENES'!$A760="","",IF('ORDENES'!$Z760="","-",'ORDENES'!$Z760))</f>
        <v/>
      </c>
      <c r="H782" s="5">
        <f>IF('ORDENES'!$A760="","",IF('ORDENES'!$AH760="","-",'ORDENES'!$AH760))</f>
        <v/>
      </c>
      <c r="I782" s="5">
        <f>IF('ORDENES'!$A760="","",IF('ORDENES'!$AU760="","-",'ORDENES'!$AU760))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3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IF('ORDENES'!$A760="","",'ORDENES'!$AG760)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IF('ORDENES'!$A761="","",IF('ORDENES'!$AI761="","-",'ORDENES'!$AI761))</f>
        <v/>
      </c>
      <c r="D783" s="5">
        <f>IF('ORDENES'!$A761="","",IF('ORDENES'!$AA761="","-",'ORDENES'!$AA761))</f>
        <v/>
      </c>
      <c r="E783" s="5">
        <f>IF('ORDENES'!$A761="","",IF('ORDENES'!$Y761="","-",'ORDENES'!$Y761))</f>
        <v/>
      </c>
      <c r="F783" s="5">
        <f>IF('ORDENES'!$A761="","",IF('ORDENES'!$AB761="","-",'ORDENES'!$AB761))</f>
        <v/>
      </c>
      <c r="G783" s="5">
        <f>IF('ORDENES'!$A761="","",IF('ORDENES'!$Z761="","-",'ORDENES'!$Z761))</f>
        <v/>
      </c>
      <c r="H783" s="5">
        <f>IF('ORDENES'!$A761="","",IF('ORDENES'!$AH761="","-",'ORDENES'!$AH761))</f>
        <v/>
      </c>
      <c r="I783" s="5">
        <f>IF('ORDENES'!$A761="","",IF('ORDENES'!$AU761="","-",'ORDENES'!$AU761))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3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IF('ORDENES'!$A761="","",'ORDENES'!$AG761)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IF('ORDENES'!$A762="","",IF('ORDENES'!$AI762="","-",'ORDENES'!$AI762))</f>
        <v/>
      </c>
      <c r="D784" s="5">
        <f>IF('ORDENES'!$A762="","",IF('ORDENES'!$AA762="","-",'ORDENES'!$AA762))</f>
        <v/>
      </c>
      <c r="E784" s="5">
        <f>IF('ORDENES'!$A762="","",IF('ORDENES'!$Y762="","-",'ORDENES'!$Y762))</f>
        <v/>
      </c>
      <c r="F784" s="5">
        <f>IF('ORDENES'!$A762="","",IF('ORDENES'!$AB762="","-",'ORDENES'!$AB762))</f>
        <v/>
      </c>
      <c r="G784" s="5">
        <f>IF('ORDENES'!$A762="","",IF('ORDENES'!$Z762="","-",'ORDENES'!$Z762))</f>
        <v/>
      </c>
      <c r="H784" s="5">
        <f>IF('ORDENES'!$A762="","",IF('ORDENES'!$AH762="","-",'ORDENES'!$AH762))</f>
        <v/>
      </c>
      <c r="I784" s="5">
        <f>IF('ORDENES'!$A762="","",IF('ORDENES'!$AU762="","-",'ORDENES'!$AU762))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3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IF('ORDENES'!$A762="","",'ORDENES'!$AG762)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IF('ORDENES'!$A763="","",IF('ORDENES'!$AI763="","-",'ORDENES'!$AI763))</f>
        <v/>
      </c>
      <c r="D785" s="5">
        <f>IF('ORDENES'!$A763="","",IF('ORDENES'!$AA763="","-",'ORDENES'!$AA763))</f>
        <v/>
      </c>
      <c r="E785" s="5">
        <f>IF('ORDENES'!$A763="","",IF('ORDENES'!$Y763="","-",'ORDENES'!$Y763))</f>
        <v/>
      </c>
      <c r="F785" s="5">
        <f>IF('ORDENES'!$A763="","",IF('ORDENES'!$AB763="","-",'ORDENES'!$AB763))</f>
        <v/>
      </c>
      <c r="G785" s="5">
        <f>IF('ORDENES'!$A763="","",IF('ORDENES'!$Z763="","-",'ORDENES'!$Z763))</f>
        <v/>
      </c>
      <c r="H785" s="5">
        <f>IF('ORDENES'!$A763="","",IF('ORDENES'!$AH763="","-",'ORDENES'!$AH763))</f>
        <v/>
      </c>
      <c r="I785" s="5">
        <f>IF('ORDENES'!$A763="","",IF('ORDENES'!$AU763="","-",'ORDENES'!$AU763))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3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IF('ORDENES'!$A763="","",'ORDENES'!$AG763)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IF('ORDENES'!$A764="","",IF('ORDENES'!$AI764="","-",'ORDENES'!$AI764))</f>
        <v/>
      </c>
      <c r="D786" s="5">
        <f>IF('ORDENES'!$A764="","",IF('ORDENES'!$AA764="","-",'ORDENES'!$AA764))</f>
        <v/>
      </c>
      <c r="E786" s="5">
        <f>IF('ORDENES'!$A764="","",IF('ORDENES'!$Y764="","-",'ORDENES'!$Y764))</f>
        <v/>
      </c>
      <c r="F786" s="5">
        <f>IF('ORDENES'!$A764="","",IF('ORDENES'!$AB764="","-",'ORDENES'!$AB764))</f>
        <v/>
      </c>
      <c r="G786" s="5">
        <f>IF('ORDENES'!$A764="","",IF('ORDENES'!$Z764="","-",'ORDENES'!$Z764))</f>
        <v/>
      </c>
      <c r="H786" s="5">
        <f>IF('ORDENES'!$A764="","",IF('ORDENES'!$AH764="","-",'ORDENES'!$AH764))</f>
        <v/>
      </c>
      <c r="I786" s="5">
        <f>IF('ORDENES'!$A764="","",IF('ORDENES'!$AU764="","-",'ORDENES'!$AU764))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3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IF('ORDENES'!$A764="","",'ORDENES'!$AG764)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IF('ORDENES'!$A765="","",IF('ORDENES'!$AI765="","-",'ORDENES'!$AI765))</f>
        <v/>
      </c>
      <c r="D787" s="5">
        <f>IF('ORDENES'!$A765="","",IF('ORDENES'!$AA765="","-",'ORDENES'!$AA765))</f>
        <v/>
      </c>
      <c r="E787" s="5">
        <f>IF('ORDENES'!$A765="","",IF('ORDENES'!$Y765="","-",'ORDENES'!$Y765))</f>
        <v/>
      </c>
      <c r="F787" s="5">
        <f>IF('ORDENES'!$A765="","",IF('ORDENES'!$AB765="","-",'ORDENES'!$AB765))</f>
        <v/>
      </c>
      <c r="G787" s="5">
        <f>IF('ORDENES'!$A765="","",IF('ORDENES'!$Z765="","-",'ORDENES'!$Z765))</f>
        <v/>
      </c>
      <c r="H787" s="5">
        <f>IF('ORDENES'!$A765="","",IF('ORDENES'!$AH765="","-",'ORDENES'!$AH765))</f>
        <v/>
      </c>
      <c r="I787" s="5">
        <f>IF('ORDENES'!$A765="","",IF('ORDENES'!$AU765="","-",'ORDENES'!$AU765))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3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IF('ORDENES'!$A765="","",'ORDENES'!$AG765)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IF('ORDENES'!$A766="","",IF('ORDENES'!$AI766="","-",'ORDENES'!$AI766))</f>
        <v/>
      </c>
      <c r="D788" s="5">
        <f>IF('ORDENES'!$A766="","",IF('ORDENES'!$AA766="","-",'ORDENES'!$AA766))</f>
        <v/>
      </c>
      <c r="E788" s="5">
        <f>IF('ORDENES'!$A766="","",IF('ORDENES'!$Y766="","-",'ORDENES'!$Y766))</f>
        <v/>
      </c>
      <c r="F788" s="5">
        <f>IF('ORDENES'!$A766="","",IF('ORDENES'!$AB766="","-",'ORDENES'!$AB766))</f>
        <v/>
      </c>
      <c r="G788" s="5">
        <f>IF('ORDENES'!$A766="","",IF('ORDENES'!$Z766="","-",'ORDENES'!$Z766))</f>
        <v/>
      </c>
      <c r="H788" s="5">
        <f>IF('ORDENES'!$A766="","",IF('ORDENES'!$AH766="","-",'ORDENES'!$AH766))</f>
        <v/>
      </c>
      <c r="I788" s="5">
        <f>IF('ORDENES'!$A766="","",IF('ORDENES'!$AU766="","-",'ORDENES'!$AU766))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3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IF('ORDENES'!$A766="","",'ORDENES'!$AG766)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IF('ORDENES'!$A767="","",IF('ORDENES'!$AI767="","-",'ORDENES'!$AI767))</f>
        <v/>
      </c>
      <c r="D789" s="5">
        <f>IF('ORDENES'!$A767="","",IF('ORDENES'!$AA767="","-",'ORDENES'!$AA767))</f>
        <v/>
      </c>
      <c r="E789" s="5">
        <f>IF('ORDENES'!$A767="","",IF('ORDENES'!$Y767="","-",'ORDENES'!$Y767))</f>
        <v/>
      </c>
      <c r="F789" s="5">
        <f>IF('ORDENES'!$A767="","",IF('ORDENES'!$AB767="","-",'ORDENES'!$AB767))</f>
        <v/>
      </c>
      <c r="G789" s="5">
        <f>IF('ORDENES'!$A767="","",IF('ORDENES'!$Z767="","-",'ORDENES'!$Z767))</f>
        <v/>
      </c>
      <c r="H789" s="5">
        <f>IF('ORDENES'!$A767="","",IF('ORDENES'!$AH767="","-",'ORDENES'!$AH767))</f>
        <v/>
      </c>
      <c r="I789" s="5">
        <f>IF('ORDENES'!$A767="","",IF('ORDENES'!$AU767="","-",'ORDENES'!$AU767))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3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IF('ORDENES'!$A767="","",'ORDENES'!$AG767)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IF('ORDENES'!$A768="","",IF('ORDENES'!$AI768="","-",'ORDENES'!$AI768))</f>
        <v/>
      </c>
      <c r="D790" s="5">
        <f>IF('ORDENES'!$A768="","",IF('ORDENES'!$AA768="","-",'ORDENES'!$AA768))</f>
        <v/>
      </c>
      <c r="E790" s="5">
        <f>IF('ORDENES'!$A768="","",IF('ORDENES'!$Y768="","-",'ORDENES'!$Y768))</f>
        <v/>
      </c>
      <c r="F790" s="5">
        <f>IF('ORDENES'!$A768="","",IF('ORDENES'!$AB768="","-",'ORDENES'!$AB768))</f>
        <v/>
      </c>
      <c r="G790" s="5">
        <f>IF('ORDENES'!$A768="","",IF('ORDENES'!$Z768="","-",'ORDENES'!$Z768))</f>
        <v/>
      </c>
      <c r="H790" s="5">
        <f>IF('ORDENES'!$A768="","",IF('ORDENES'!$AH768="","-",'ORDENES'!$AH768))</f>
        <v/>
      </c>
      <c r="I790" s="5">
        <f>IF('ORDENES'!$A768="","",IF('ORDENES'!$AU768="","-",'ORDENES'!$AU768))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3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IF('ORDENES'!$A768="","",'ORDENES'!$AG768)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IF('ORDENES'!$A769="","",IF('ORDENES'!$AI769="","-",'ORDENES'!$AI769))</f>
        <v/>
      </c>
      <c r="D791" s="5">
        <f>IF('ORDENES'!$A769="","",IF('ORDENES'!$AA769="","-",'ORDENES'!$AA769))</f>
        <v/>
      </c>
      <c r="E791" s="5">
        <f>IF('ORDENES'!$A769="","",IF('ORDENES'!$Y769="","-",'ORDENES'!$Y769))</f>
        <v/>
      </c>
      <c r="F791" s="5">
        <f>IF('ORDENES'!$A769="","",IF('ORDENES'!$AB769="","-",'ORDENES'!$AB769))</f>
        <v/>
      </c>
      <c r="G791" s="5">
        <f>IF('ORDENES'!$A769="","",IF('ORDENES'!$Z769="","-",'ORDENES'!$Z769))</f>
        <v/>
      </c>
      <c r="H791" s="5">
        <f>IF('ORDENES'!$A769="","",IF('ORDENES'!$AH769="","-",'ORDENES'!$AH769))</f>
        <v/>
      </c>
      <c r="I791" s="5">
        <f>IF('ORDENES'!$A769="","",IF('ORDENES'!$AU769="","-",'ORDENES'!$AU769))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3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IF('ORDENES'!$A769="","",'ORDENES'!$AG769)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IF('ORDENES'!$A770="","",IF('ORDENES'!$AI770="","-",'ORDENES'!$AI770))</f>
        <v/>
      </c>
      <c r="D792" s="5">
        <f>IF('ORDENES'!$A770="","",IF('ORDENES'!$AA770="","-",'ORDENES'!$AA770))</f>
        <v/>
      </c>
      <c r="E792" s="5">
        <f>IF('ORDENES'!$A770="","",IF('ORDENES'!$Y770="","-",'ORDENES'!$Y770))</f>
        <v/>
      </c>
      <c r="F792" s="5">
        <f>IF('ORDENES'!$A770="","",IF('ORDENES'!$AB770="","-",'ORDENES'!$AB770))</f>
        <v/>
      </c>
      <c r="G792" s="5">
        <f>IF('ORDENES'!$A770="","",IF('ORDENES'!$Z770="","-",'ORDENES'!$Z770))</f>
        <v/>
      </c>
      <c r="H792" s="5">
        <f>IF('ORDENES'!$A770="","",IF('ORDENES'!$AH770="","-",'ORDENES'!$AH770))</f>
        <v/>
      </c>
      <c r="I792" s="5">
        <f>IF('ORDENES'!$A770="","",IF('ORDENES'!$AU770="","-",'ORDENES'!$AU770))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3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IF('ORDENES'!$A770="","",'ORDENES'!$AG770)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IF('ORDENES'!$A771="","",IF('ORDENES'!$AI771="","-",'ORDENES'!$AI771))</f>
        <v/>
      </c>
      <c r="D793" s="5">
        <f>IF('ORDENES'!$A771="","",IF('ORDENES'!$AA771="","-",'ORDENES'!$AA771))</f>
        <v/>
      </c>
      <c r="E793" s="5">
        <f>IF('ORDENES'!$A771="","",IF('ORDENES'!$Y771="","-",'ORDENES'!$Y771))</f>
        <v/>
      </c>
      <c r="F793" s="5">
        <f>IF('ORDENES'!$A771="","",IF('ORDENES'!$AB771="","-",'ORDENES'!$AB771))</f>
        <v/>
      </c>
      <c r="G793" s="5">
        <f>IF('ORDENES'!$A771="","",IF('ORDENES'!$Z771="","-",'ORDENES'!$Z771))</f>
        <v/>
      </c>
      <c r="H793" s="5">
        <f>IF('ORDENES'!$A771="","",IF('ORDENES'!$AH771="","-",'ORDENES'!$AH771))</f>
        <v/>
      </c>
      <c r="I793" s="5">
        <f>IF('ORDENES'!$A771="","",IF('ORDENES'!$AU771="","-",'ORDENES'!$AU771))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3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IF('ORDENES'!$A771="","",'ORDENES'!$AG771)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IF('ORDENES'!$A772="","",IF('ORDENES'!$AI772="","-",'ORDENES'!$AI772))</f>
        <v/>
      </c>
      <c r="D794" s="5">
        <f>IF('ORDENES'!$A772="","",IF('ORDENES'!$AA772="","-",'ORDENES'!$AA772))</f>
        <v/>
      </c>
      <c r="E794" s="5">
        <f>IF('ORDENES'!$A772="","",IF('ORDENES'!$Y772="","-",'ORDENES'!$Y772))</f>
        <v/>
      </c>
      <c r="F794" s="5">
        <f>IF('ORDENES'!$A772="","",IF('ORDENES'!$AB772="","-",'ORDENES'!$AB772))</f>
        <v/>
      </c>
      <c r="G794" s="5">
        <f>IF('ORDENES'!$A772="","",IF('ORDENES'!$Z772="","-",'ORDENES'!$Z772))</f>
        <v/>
      </c>
      <c r="H794" s="5">
        <f>IF('ORDENES'!$A772="","",IF('ORDENES'!$AH772="","-",'ORDENES'!$AH772))</f>
        <v/>
      </c>
      <c r="I794" s="5">
        <f>IF('ORDENES'!$A772="","",IF('ORDENES'!$AU772="","-",'ORDENES'!$AU772))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3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IF('ORDENES'!$A772="","",'ORDENES'!$AG772)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IF('ORDENES'!$A773="","",IF('ORDENES'!$AI773="","-",'ORDENES'!$AI773))</f>
        <v/>
      </c>
      <c r="D795" s="5">
        <f>IF('ORDENES'!$A773="","",IF('ORDENES'!$AA773="","-",'ORDENES'!$AA773))</f>
        <v/>
      </c>
      <c r="E795" s="5">
        <f>IF('ORDENES'!$A773="","",IF('ORDENES'!$Y773="","-",'ORDENES'!$Y773))</f>
        <v/>
      </c>
      <c r="F795" s="5">
        <f>IF('ORDENES'!$A773="","",IF('ORDENES'!$AB773="","-",'ORDENES'!$AB773))</f>
        <v/>
      </c>
      <c r="G795" s="5">
        <f>IF('ORDENES'!$A773="","",IF('ORDENES'!$Z773="","-",'ORDENES'!$Z773))</f>
        <v/>
      </c>
      <c r="H795" s="5">
        <f>IF('ORDENES'!$A773="","",IF('ORDENES'!$AH773="","-",'ORDENES'!$AH773))</f>
        <v/>
      </c>
      <c r="I795" s="5">
        <f>IF('ORDENES'!$A773="","",IF('ORDENES'!$AU773="","-",'ORDENES'!$AU773))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3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IF('ORDENES'!$A773="","",'ORDENES'!$AG773)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IF('ORDENES'!$A774="","",IF('ORDENES'!$AI774="","-",'ORDENES'!$AI774))</f>
        <v/>
      </c>
      <c r="D796" s="5">
        <f>IF('ORDENES'!$A774="","",IF('ORDENES'!$AA774="","-",'ORDENES'!$AA774))</f>
        <v/>
      </c>
      <c r="E796" s="5">
        <f>IF('ORDENES'!$A774="","",IF('ORDENES'!$Y774="","-",'ORDENES'!$Y774))</f>
        <v/>
      </c>
      <c r="F796" s="5">
        <f>IF('ORDENES'!$A774="","",IF('ORDENES'!$AB774="","-",'ORDENES'!$AB774))</f>
        <v/>
      </c>
      <c r="G796" s="5">
        <f>IF('ORDENES'!$A774="","",IF('ORDENES'!$Z774="","-",'ORDENES'!$Z774))</f>
        <v/>
      </c>
      <c r="H796" s="5">
        <f>IF('ORDENES'!$A774="","",IF('ORDENES'!$AH774="","-",'ORDENES'!$AH774))</f>
        <v/>
      </c>
      <c r="I796" s="5">
        <f>IF('ORDENES'!$A774="","",IF('ORDENES'!$AU774="","-",'ORDENES'!$AU774))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3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IF('ORDENES'!$A774="","",'ORDENES'!$AG774)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IF('ORDENES'!$A775="","",IF('ORDENES'!$AI775="","-",'ORDENES'!$AI775))</f>
        <v/>
      </c>
      <c r="D797" s="5">
        <f>IF('ORDENES'!$A775="","",IF('ORDENES'!$AA775="","-",'ORDENES'!$AA775))</f>
        <v/>
      </c>
      <c r="E797" s="5">
        <f>IF('ORDENES'!$A775="","",IF('ORDENES'!$Y775="","-",'ORDENES'!$Y775))</f>
        <v/>
      </c>
      <c r="F797" s="5">
        <f>IF('ORDENES'!$A775="","",IF('ORDENES'!$AB775="","-",'ORDENES'!$AB775))</f>
        <v/>
      </c>
      <c r="G797" s="5">
        <f>IF('ORDENES'!$A775="","",IF('ORDENES'!$Z775="","-",'ORDENES'!$Z775))</f>
        <v/>
      </c>
      <c r="H797" s="5">
        <f>IF('ORDENES'!$A775="","",IF('ORDENES'!$AH775="","-",'ORDENES'!$AH775))</f>
        <v/>
      </c>
      <c r="I797" s="5">
        <f>IF('ORDENES'!$A775="","",IF('ORDENES'!$AU775="","-",'ORDENES'!$AU775))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3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IF('ORDENES'!$A775="","",'ORDENES'!$AG775)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IF('ORDENES'!$A776="","",IF('ORDENES'!$AI776="","-",'ORDENES'!$AI776))</f>
        <v/>
      </c>
      <c r="D798" s="5">
        <f>IF('ORDENES'!$A776="","",IF('ORDENES'!$AA776="","-",'ORDENES'!$AA776))</f>
        <v/>
      </c>
      <c r="E798" s="5">
        <f>IF('ORDENES'!$A776="","",IF('ORDENES'!$Y776="","-",'ORDENES'!$Y776))</f>
        <v/>
      </c>
      <c r="F798" s="5">
        <f>IF('ORDENES'!$A776="","",IF('ORDENES'!$AB776="","-",'ORDENES'!$AB776))</f>
        <v/>
      </c>
      <c r="G798" s="5">
        <f>IF('ORDENES'!$A776="","",IF('ORDENES'!$Z776="","-",'ORDENES'!$Z776))</f>
        <v/>
      </c>
      <c r="H798" s="5">
        <f>IF('ORDENES'!$A776="","",IF('ORDENES'!$AH776="","-",'ORDENES'!$AH776))</f>
        <v/>
      </c>
      <c r="I798" s="5">
        <f>IF('ORDENES'!$A776="","",IF('ORDENES'!$AU776="","-",'ORDENES'!$AU776))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3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IF('ORDENES'!$A776="","",'ORDENES'!$AG776)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IF('ORDENES'!$A777="","",IF('ORDENES'!$AI777="","-",'ORDENES'!$AI777))</f>
        <v/>
      </c>
      <c r="D799" s="5">
        <f>IF('ORDENES'!$A777="","",IF('ORDENES'!$AA777="","-",'ORDENES'!$AA777))</f>
        <v/>
      </c>
      <c r="E799" s="5">
        <f>IF('ORDENES'!$A777="","",IF('ORDENES'!$Y777="","-",'ORDENES'!$Y777))</f>
        <v/>
      </c>
      <c r="F799" s="5">
        <f>IF('ORDENES'!$A777="","",IF('ORDENES'!$AB777="","-",'ORDENES'!$AB777))</f>
        <v/>
      </c>
      <c r="G799" s="5">
        <f>IF('ORDENES'!$A777="","",IF('ORDENES'!$Z777="","-",'ORDENES'!$Z777))</f>
        <v/>
      </c>
      <c r="H799" s="5">
        <f>IF('ORDENES'!$A777="","",IF('ORDENES'!$AH777="","-",'ORDENES'!$AH777))</f>
        <v/>
      </c>
      <c r="I799" s="5">
        <f>IF('ORDENES'!$A777="","",IF('ORDENES'!$AU777="","-",'ORDENES'!$AU777))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3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IF('ORDENES'!$A777="","",'ORDENES'!$AG777)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IF('ORDENES'!$A778="","",IF('ORDENES'!$AI778="","-",'ORDENES'!$AI778))</f>
        <v/>
      </c>
      <c r="D800" s="5">
        <f>IF('ORDENES'!$A778="","",IF('ORDENES'!$AA778="","-",'ORDENES'!$AA778))</f>
        <v/>
      </c>
      <c r="E800" s="5">
        <f>IF('ORDENES'!$A778="","",IF('ORDENES'!$Y778="","-",'ORDENES'!$Y778))</f>
        <v/>
      </c>
      <c r="F800" s="5">
        <f>IF('ORDENES'!$A778="","",IF('ORDENES'!$AB778="","-",'ORDENES'!$AB778))</f>
        <v/>
      </c>
      <c r="G800" s="5">
        <f>IF('ORDENES'!$A778="","",IF('ORDENES'!$Z778="","-",'ORDENES'!$Z778))</f>
        <v/>
      </c>
      <c r="H800" s="5">
        <f>IF('ORDENES'!$A778="","",IF('ORDENES'!$AH778="","-",'ORDENES'!$AH778))</f>
        <v/>
      </c>
      <c r="I800" s="5">
        <f>IF('ORDENES'!$A778="","",IF('ORDENES'!$AU778="","-",'ORDENES'!$AU778))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3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IF('ORDENES'!$A778="","",'ORDENES'!$AG778)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IF('ORDENES'!$A779="","",IF('ORDENES'!$AI779="","-",'ORDENES'!$AI779))</f>
        <v/>
      </c>
      <c r="D801" s="5">
        <f>IF('ORDENES'!$A779="","",IF('ORDENES'!$AA779="","-",'ORDENES'!$AA779))</f>
        <v/>
      </c>
      <c r="E801" s="5">
        <f>IF('ORDENES'!$A779="","",IF('ORDENES'!$Y779="","-",'ORDENES'!$Y779))</f>
        <v/>
      </c>
      <c r="F801" s="5">
        <f>IF('ORDENES'!$A779="","",IF('ORDENES'!$AB779="","-",'ORDENES'!$AB779))</f>
        <v/>
      </c>
      <c r="G801" s="5">
        <f>IF('ORDENES'!$A779="","",IF('ORDENES'!$Z779="","-",'ORDENES'!$Z779))</f>
        <v/>
      </c>
      <c r="H801" s="5">
        <f>IF('ORDENES'!$A779="","",IF('ORDENES'!$AH779="","-",'ORDENES'!$AH779))</f>
        <v/>
      </c>
      <c r="I801" s="5">
        <f>IF('ORDENES'!$A779="","",IF('ORDENES'!$AU779="","-",'ORDENES'!$AU779))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3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IF('ORDENES'!$A779="","",'ORDENES'!$AG779)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IF('ORDENES'!$A780="","",IF('ORDENES'!$AI780="","-",'ORDENES'!$AI780))</f>
        <v/>
      </c>
      <c r="D802" s="5">
        <f>IF('ORDENES'!$A780="","",IF('ORDENES'!$AA780="","-",'ORDENES'!$AA780))</f>
        <v/>
      </c>
      <c r="E802" s="5">
        <f>IF('ORDENES'!$A780="","",IF('ORDENES'!$Y780="","-",'ORDENES'!$Y780))</f>
        <v/>
      </c>
      <c r="F802" s="5">
        <f>IF('ORDENES'!$A780="","",IF('ORDENES'!$AB780="","-",'ORDENES'!$AB780))</f>
        <v/>
      </c>
      <c r="G802" s="5">
        <f>IF('ORDENES'!$A780="","",IF('ORDENES'!$Z780="","-",'ORDENES'!$Z780))</f>
        <v/>
      </c>
      <c r="H802" s="5">
        <f>IF('ORDENES'!$A780="","",IF('ORDENES'!$AH780="","-",'ORDENES'!$AH780))</f>
        <v/>
      </c>
      <c r="I802" s="5">
        <f>IF('ORDENES'!$A780="","",IF('ORDENES'!$AU780="","-",'ORDENES'!$AU780))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3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IF('ORDENES'!$A780="","",'ORDENES'!$AG780)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IF('ORDENES'!$A781="","",IF('ORDENES'!$AI781="","-",'ORDENES'!$AI781))</f>
        <v/>
      </c>
      <c r="D803" s="5">
        <f>IF('ORDENES'!$A781="","",IF('ORDENES'!$AA781="","-",'ORDENES'!$AA781))</f>
        <v/>
      </c>
      <c r="E803" s="5">
        <f>IF('ORDENES'!$A781="","",IF('ORDENES'!$Y781="","-",'ORDENES'!$Y781))</f>
        <v/>
      </c>
      <c r="F803" s="5">
        <f>IF('ORDENES'!$A781="","",IF('ORDENES'!$AB781="","-",'ORDENES'!$AB781))</f>
        <v/>
      </c>
      <c r="G803" s="5">
        <f>IF('ORDENES'!$A781="","",IF('ORDENES'!$Z781="","-",'ORDENES'!$Z781))</f>
        <v/>
      </c>
      <c r="H803" s="5">
        <f>IF('ORDENES'!$A781="","",IF('ORDENES'!$AH781="","-",'ORDENES'!$AH781))</f>
        <v/>
      </c>
      <c r="I803" s="5">
        <f>IF('ORDENES'!$A781="","",IF('ORDENES'!$AU781="","-",'ORDENES'!$AU781))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3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IF('ORDENES'!$A781="","",'ORDENES'!$AG781)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IF('ORDENES'!$A782="","",IF('ORDENES'!$AI782="","-",'ORDENES'!$AI782))</f>
        <v/>
      </c>
      <c r="D804" s="5">
        <f>IF('ORDENES'!$A782="","",IF('ORDENES'!$AA782="","-",'ORDENES'!$AA782))</f>
        <v/>
      </c>
      <c r="E804" s="5">
        <f>IF('ORDENES'!$A782="","",IF('ORDENES'!$Y782="","-",'ORDENES'!$Y782))</f>
        <v/>
      </c>
      <c r="F804" s="5">
        <f>IF('ORDENES'!$A782="","",IF('ORDENES'!$AB782="","-",'ORDENES'!$AB782))</f>
        <v/>
      </c>
      <c r="G804" s="5">
        <f>IF('ORDENES'!$A782="","",IF('ORDENES'!$Z782="","-",'ORDENES'!$Z782))</f>
        <v/>
      </c>
      <c r="H804" s="5">
        <f>IF('ORDENES'!$A782="","",IF('ORDENES'!$AH782="","-",'ORDENES'!$AH782))</f>
        <v/>
      </c>
      <c r="I804" s="5">
        <f>IF('ORDENES'!$A782="","",IF('ORDENES'!$AU782="","-",'ORDENES'!$AU782))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3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IF('ORDENES'!$A782="","",'ORDENES'!$AG782)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IF('ORDENES'!$A783="","",IF('ORDENES'!$AI783="","-",'ORDENES'!$AI783))</f>
        <v/>
      </c>
      <c r="D805" s="5">
        <f>IF('ORDENES'!$A783="","",IF('ORDENES'!$AA783="","-",'ORDENES'!$AA783))</f>
        <v/>
      </c>
      <c r="E805" s="5">
        <f>IF('ORDENES'!$A783="","",IF('ORDENES'!$Y783="","-",'ORDENES'!$Y783))</f>
        <v/>
      </c>
      <c r="F805" s="5">
        <f>IF('ORDENES'!$A783="","",IF('ORDENES'!$AB783="","-",'ORDENES'!$AB783))</f>
        <v/>
      </c>
      <c r="G805" s="5">
        <f>IF('ORDENES'!$A783="","",IF('ORDENES'!$Z783="","-",'ORDENES'!$Z783))</f>
        <v/>
      </c>
      <c r="H805" s="5">
        <f>IF('ORDENES'!$A783="","",IF('ORDENES'!$AH783="","-",'ORDENES'!$AH783))</f>
        <v/>
      </c>
      <c r="I805" s="5">
        <f>IF('ORDENES'!$A783="","",IF('ORDENES'!$AU783="","-",'ORDENES'!$AU783))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3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IF('ORDENES'!$A783="","",'ORDENES'!$AG783)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IF('ORDENES'!$A784="","",IF('ORDENES'!$AI784="","-",'ORDENES'!$AI784))</f>
        <v/>
      </c>
      <c r="D806" s="5">
        <f>IF('ORDENES'!$A784="","",IF('ORDENES'!$AA784="","-",'ORDENES'!$AA784))</f>
        <v/>
      </c>
      <c r="E806" s="5">
        <f>IF('ORDENES'!$A784="","",IF('ORDENES'!$Y784="","-",'ORDENES'!$Y784))</f>
        <v/>
      </c>
      <c r="F806" s="5">
        <f>IF('ORDENES'!$A784="","",IF('ORDENES'!$AB784="","-",'ORDENES'!$AB784))</f>
        <v/>
      </c>
      <c r="G806" s="5">
        <f>IF('ORDENES'!$A784="","",IF('ORDENES'!$Z784="","-",'ORDENES'!$Z784))</f>
        <v/>
      </c>
      <c r="H806" s="5">
        <f>IF('ORDENES'!$A784="","",IF('ORDENES'!$AH784="","-",'ORDENES'!$AH784))</f>
        <v/>
      </c>
      <c r="I806" s="5">
        <f>IF('ORDENES'!$A784="","",IF('ORDENES'!$AU784="","-",'ORDENES'!$AU784))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3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IF('ORDENES'!$A784="","",'ORDENES'!$AG784)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IF('ORDENES'!$A785="","",IF('ORDENES'!$AI785="","-",'ORDENES'!$AI785))</f>
        <v/>
      </c>
      <c r="D807" s="5">
        <f>IF('ORDENES'!$A785="","",IF('ORDENES'!$AA785="","-",'ORDENES'!$AA785))</f>
        <v/>
      </c>
      <c r="E807" s="5">
        <f>IF('ORDENES'!$A785="","",IF('ORDENES'!$Y785="","-",'ORDENES'!$Y785))</f>
        <v/>
      </c>
      <c r="F807" s="5">
        <f>IF('ORDENES'!$A785="","",IF('ORDENES'!$AB785="","-",'ORDENES'!$AB785))</f>
        <v/>
      </c>
      <c r="G807" s="5">
        <f>IF('ORDENES'!$A785="","",IF('ORDENES'!$Z785="","-",'ORDENES'!$Z785))</f>
        <v/>
      </c>
      <c r="H807" s="5">
        <f>IF('ORDENES'!$A785="","",IF('ORDENES'!$AH785="","-",'ORDENES'!$AH785))</f>
        <v/>
      </c>
      <c r="I807" s="5">
        <f>IF('ORDENES'!$A785="","",IF('ORDENES'!$AU785="","-",'ORDENES'!$AU785))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3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IF('ORDENES'!$A785="","",'ORDENES'!$AG785)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IF('ORDENES'!$A786="","",IF('ORDENES'!$AI786="","-",'ORDENES'!$AI786))</f>
        <v/>
      </c>
      <c r="D808" s="5">
        <f>IF('ORDENES'!$A786="","",IF('ORDENES'!$AA786="","-",'ORDENES'!$AA786))</f>
        <v/>
      </c>
      <c r="E808" s="5">
        <f>IF('ORDENES'!$A786="","",IF('ORDENES'!$Y786="","-",'ORDENES'!$Y786))</f>
        <v/>
      </c>
      <c r="F808" s="5">
        <f>IF('ORDENES'!$A786="","",IF('ORDENES'!$AB786="","-",'ORDENES'!$AB786))</f>
        <v/>
      </c>
      <c r="G808" s="5">
        <f>IF('ORDENES'!$A786="","",IF('ORDENES'!$Z786="","-",'ORDENES'!$Z786))</f>
        <v/>
      </c>
      <c r="H808" s="5">
        <f>IF('ORDENES'!$A786="","",IF('ORDENES'!$AH786="","-",'ORDENES'!$AH786))</f>
        <v/>
      </c>
      <c r="I808" s="5">
        <f>IF('ORDENES'!$A786="","",IF('ORDENES'!$AU786="","-",'ORDENES'!$AU786))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3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IF('ORDENES'!$A786="","",'ORDENES'!$AG786)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IF('ORDENES'!$A787="","",IF('ORDENES'!$AI787="","-",'ORDENES'!$AI787))</f>
        <v/>
      </c>
      <c r="D809" s="5">
        <f>IF('ORDENES'!$A787="","",IF('ORDENES'!$AA787="","-",'ORDENES'!$AA787))</f>
        <v/>
      </c>
      <c r="E809" s="5">
        <f>IF('ORDENES'!$A787="","",IF('ORDENES'!$Y787="","-",'ORDENES'!$Y787))</f>
        <v/>
      </c>
      <c r="F809" s="5">
        <f>IF('ORDENES'!$A787="","",IF('ORDENES'!$AB787="","-",'ORDENES'!$AB787))</f>
        <v/>
      </c>
      <c r="G809" s="5">
        <f>IF('ORDENES'!$A787="","",IF('ORDENES'!$Z787="","-",'ORDENES'!$Z787))</f>
        <v/>
      </c>
      <c r="H809" s="5">
        <f>IF('ORDENES'!$A787="","",IF('ORDENES'!$AH787="","-",'ORDENES'!$AH787))</f>
        <v/>
      </c>
      <c r="I809" s="5">
        <f>IF('ORDENES'!$A787="","",IF('ORDENES'!$AU787="","-",'ORDENES'!$AU787))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3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IF('ORDENES'!$A787="","",'ORDENES'!$AG787)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IF('ORDENES'!$A788="","",IF('ORDENES'!$AI788="","-",'ORDENES'!$AI788))</f>
        <v/>
      </c>
      <c r="D810" s="5">
        <f>IF('ORDENES'!$A788="","",IF('ORDENES'!$AA788="","-",'ORDENES'!$AA788))</f>
        <v/>
      </c>
      <c r="E810" s="5">
        <f>IF('ORDENES'!$A788="","",IF('ORDENES'!$Y788="","-",'ORDENES'!$Y788))</f>
        <v/>
      </c>
      <c r="F810" s="5">
        <f>IF('ORDENES'!$A788="","",IF('ORDENES'!$AB788="","-",'ORDENES'!$AB788))</f>
        <v/>
      </c>
      <c r="G810" s="5">
        <f>IF('ORDENES'!$A788="","",IF('ORDENES'!$Z788="","-",'ORDENES'!$Z788))</f>
        <v/>
      </c>
      <c r="H810" s="5">
        <f>IF('ORDENES'!$A788="","",IF('ORDENES'!$AH788="","-",'ORDENES'!$AH788))</f>
        <v/>
      </c>
      <c r="I810" s="5">
        <f>IF('ORDENES'!$A788="","",IF('ORDENES'!$AU788="","-",'ORDENES'!$AU788))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3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IF('ORDENES'!$A788="","",'ORDENES'!$AG788)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IF('ORDENES'!$A789="","",IF('ORDENES'!$AI789="","-",'ORDENES'!$AI789))</f>
        <v/>
      </c>
      <c r="D811" s="5">
        <f>IF('ORDENES'!$A789="","",IF('ORDENES'!$AA789="","-",'ORDENES'!$AA789))</f>
        <v/>
      </c>
      <c r="E811" s="5">
        <f>IF('ORDENES'!$A789="","",IF('ORDENES'!$Y789="","-",'ORDENES'!$Y789))</f>
        <v/>
      </c>
      <c r="F811" s="5">
        <f>IF('ORDENES'!$A789="","",IF('ORDENES'!$AB789="","-",'ORDENES'!$AB789))</f>
        <v/>
      </c>
      <c r="G811" s="5">
        <f>IF('ORDENES'!$A789="","",IF('ORDENES'!$Z789="","-",'ORDENES'!$Z789))</f>
        <v/>
      </c>
      <c r="H811" s="5">
        <f>IF('ORDENES'!$A789="","",IF('ORDENES'!$AH789="","-",'ORDENES'!$AH789))</f>
        <v/>
      </c>
      <c r="I811" s="5">
        <f>IF('ORDENES'!$A789="","",IF('ORDENES'!$AU789="","-",'ORDENES'!$AU789))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3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IF('ORDENES'!$A789="","",'ORDENES'!$AG789)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IF('ORDENES'!$A790="","",IF('ORDENES'!$AI790="","-",'ORDENES'!$AI790))</f>
        <v/>
      </c>
      <c r="D812" s="5">
        <f>IF('ORDENES'!$A790="","",IF('ORDENES'!$AA790="","-",'ORDENES'!$AA790))</f>
        <v/>
      </c>
      <c r="E812" s="5">
        <f>IF('ORDENES'!$A790="","",IF('ORDENES'!$Y790="","-",'ORDENES'!$Y790))</f>
        <v/>
      </c>
      <c r="F812" s="5">
        <f>IF('ORDENES'!$A790="","",IF('ORDENES'!$AB790="","-",'ORDENES'!$AB790))</f>
        <v/>
      </c>
      <c r="G812" s="5">
        <f>IF('ORDENES'!$A790="","",IF('ORDENES'!$Z790="","-",'ORDENES'!$Z790))</f>
        <v/>
      </c>
      <c r="H812" s="5">
        <f>IF('ORDENES'!$A790="","",IF('ORDENES'!$AH790="","-",'ORDENES'!$AH790))</f>
        <v/>
      </c>
      <c r="I812" s="5">
        <f>IF('ORDENES'!$A790="","",IF('ORDENES'!$AU790="","-",'ORDENES'!$AU790))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3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IF('ORDENES'!$A790="","",'ORDENES'!$AG790)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IF('ORDENES'!$A791="","",IF('ORDENES'!$AI791="","-",'ORDENES'!$AI791))</f>
        <v/>
      </c>
      <c r="D813" s="5">
        <f>IF('ORDENES'!$A791="","",IF('ORDENES'!$AA791="","-",'ORDENES'!$AA791))</f>
        <v/>
      </c>
      <c r="E813" s="5">
        <f>IF('ORDENES'!$A791="","",IF('ORDENES'!$Y791="","-",'ORDENES'!$Y791))</f>
        <v/>
      </c>
      <c r="F813" s="5">
        <f>IF('ORDENES'!$A791="","",IF('ORDENES'!$AB791="","-",'ORDENES'!$AB791))</f>
        <v/>
      </c>
      <c r="G813" s="5">
        <f>IF('ORDENES'!$A791="","",IF('ORDENES'!$Z791="","-",'ORDENES'!$Z791))</f>
        <v/>
      </c>
      <c r="H813" s="5">
        <f>IF('ORDENES'!$A791="","",IF('ORDENES'!$AH791="","-",'ORDENES'!$AH791))</f>
        <v/>
      </c>
      <c r="I813" s="5">
        <f>IF('ORDENES'!$A791="","",IF('ORDENES'!$AU791="","-",'ORDENES'!$AU791))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3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IF('ORDENES'!$A791="","",'ORDENES'!$AG791)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IF('ORDENES'!$A792="","",IF('ORDENES'!$AI792="","-",'ORDENES'!$AI792))</f>
        <v/>
      </c>
      <c r="D814" s="5">
        <f>IF('ORDENES'!$A792="","",IF('ORDENES'!$AA792="","-",'ORDENES'!$AA792))</f>
        <v/>
      </c>
      <c r="E814" s="5">
        <f>IF('ORDENES'!$A792="","",IF('ORDENES'!$Y792="","-",'ORDENES'!$Y792))</f>
        <v/>
      </c>
      <c r="F814" s="5">
        <f>IF('ORDENES'!$A792="","",IF('ORDENES'!$AB792="","-",'ORDENES'!$AB792))</f>
        <v/>
      </c>
      <c r="G814" s="5">
        <f>IF('ORDENES'!$A792="","",IF('ORDENES'!$Z792="","-",'ORDENES'!$Z792))</f>
        <v/>
      </c>
      <c r="H814" s="5">
        <f>IF('ORDENES'!$A792="","",IF('ORDENES'!$AH792="","-",'ORDENES'!$AH792))</f>
        <v/>
      </c>
      <c r="I814" s="5">
        <f>IF('ORDENES'!$A792="","",IF('ORDENES'!$AU792="","-",'ORDENES'!$AU792))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3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IF('ORDENES'!$A792="","",'ORDENES'!$AG792)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IF('ORDENES'!$A793="","",IF('ORDENES'!$AI793="","-",'ORDENES'!$AI793))</f>
        <v/>
      </c>
      <c r="D815" s="5">
        <f>IF('ORDENES'!$A793="","",IF('ORDENES'!$AA793="","-",'ORDENES'!$AA793))</f>
        <v/>
      </c>
      <c r="E815" s="5">
        <f>IF('ORDENES'!$A793="","",IF('ORDENES'!$Y793="","-",'ORDENES'!$Y793))</f>
        <v/>
      </c>
      <c r="F815" s="5">
        <f>IF('ORDENES'!$A793="","",IF('ORDENES'!$AB793="","-",'ORDENES'!$AB793))</f>
        <v/>
      </c>
      <c r="G815" s="5">
        <f>IF('ORDENES'!$A793="","",IF('ORDENES'!$Z793="","-",'ORDENES'!$Z793))</f>
        <v/>
      </c>
      <c r="H815" s="5">
        <f>IF('ORDENES'!$A793="","",IF('ORDENES'!$AH793="","-",'ORDENES'!$AH793))</f>
        <v/>
      </c>
      <c r="I815" s="5">
        <f>IF('ORDENES'!$A793="","",IF('ORDENES'!$AU793="","-",'ORDENES'!$AU793))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3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IF('ORDENES'!$A793="","",'ORDENES'!$AG793)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IF('ORDENES'!$A794="","",IF('ORDENES'!$AI794="","-",'ORDENES'!$AI794))</f>
        <v/>
      </c>
      <c r="D816" s="5">
        <f>IF('ORDENES'!$A794="","",IF('ORDENES'!$AA794="","-",'ORDENES'!$AA794))</f>
        <v/>
      </c>
      <c r="E816" s="5">
        <f>IF('ORDENES'!$A794="","",IF('ORDENES'!$Y794="","-",'ORDENES'!$Y794))</f>
        <v/>
      </c>
      <c r="F816" s="5">
        <f>IF('ORDENES'!$A794="","",IF('ORDENES'!$AB794="","-",'ORDENES'!$AB794))</f>
        <v/>
      </c>
      <c r="G816" s="5">
        <f>IF('ORDENES'!$A794="","",IF('ORDENES'!$Z794="","-",'ORDENES'!$Z794))</f>
        <v/>
      </c>
      <c r="H816" s="5">
        <f>IF('ORDENES'!$A794="","",IF('ORDENES'!$AH794="","-",'ORDENES'!$AH794))</f>
        <v/>
      </c>
      <c r="I816" s="5">
        <f>IF('ORDENES'!$A794="","",IF('ORDENES'!$AU794="","-",'ORDENES'!$AU794))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3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IF('ORDENES'!$A794="","",'ORDENES'!$AG794)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IF('ORDENES'!$A795="","",IF('ORDENES'!$AI795="","-",'ORDENES'!$AI795))</f>
        <v/>
      </c>
      <c r="D817" s="5">
        <f>IF('ORDENES'!$A795="","",IF('ORDENES'!$AA795="","-",'ORDENES'!$AA795))</f>
        <v/>
      </c>
      <c r="E817" s="5">
        <f>IF('ORDENES'!$A795="","",IF('ORDENES'!$Y795="","-",'ORDENES'!$Y795))</f>
        <v/>
      </c>
      <c r="F817" s="5">
        <f>IF('ORDENES'!$A795="","",IF('ORDENES'!$AB795="","-",'ORDENES'!$AB795))</f>
        <v/>
      </c>
      <c r="G817" s="5">
        <f>IF('ORDENES'!$A795="","",IF('ORDENES'!$Z795="","-",'ORDENES'!$Z795))</f>
        <v/>
      </c>
      <c r="H817" s="5">
        <f>IF('ORDENES'!$A795="","",IF('ORDENES'!$AH795="","-",'ORDENES'!$AH795))</f>
        <v/>
      </c>
      <c r="I817" s="5">
        <f>IF('ORDENES'!$A795="","",IF('ORDENES'!$AU795="","-",'ORDENES'!$AU795))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3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IF('ORDENES'!$A795="","",'ORDENES'!$AG795)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IF('ORDENES'!$A796="","",IF('ORDENES'!$AI796="","-",'ORDENES'!$AI796))</f>
        <v/>
      </c>
      <c r="D818" s="5">
        <f>IF('ORDENES'!$A796="","",IF('ORDENES'!$AA796="","-",'ORDENES'!$AA796))</f>
        <v/>
      </c>
      <c r="E818" s="5">
        <f>IF('ORDENES'!$A796="","",IF('ORDENES'!$Y796="","-",'ORDENES'!$Y796))</f>
        <v/>
      </c>
      <c r="F818" s="5">
        <f>IF('ORDENES'!$A796="","",IF('ORDENES'!$AB796="","-",'ORDENES'!$AB796))</f>
        <v/>
      </c>
      <c r="G818" s="5">
        <f>IF('ORDENES'!$A796="","",IF('ORDENES'!$Z796="","-",'ORDENES'!$Z796))</f>
        <v/>
      </c>
      <c r="H818" s="5">
        <f>IF('ORDENES'!$A796="","",IF('ORDENES'!$AH796="","-",'ORDENES'!$AH796))</f>
        <v/>
      </c>
      <c r="I818" s="5">
        <f>IF('ORDENES'!$A796="","",IF('ORDENES'!$AU796="","-",'ORDENES'!$AU796))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3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IF('ORDENES'!$A796="","",'ORDENES'!$AG796)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IF('ORDENES'!$A797="","",IF('ORDENES'!$AI797="","-",'ORDENES'!$AI797))</f>
        <v/>
      </c>
      <c r="D819" s="5">
        <f>IF('ORDENES'!$A797="","",IF('ORDENES'!$AA797="","-",'ORDENES'!$AA797))</f>
        <v/>
      </c>
      <c r="E819" s="5">
        <f>IF('ORDENES'!$A797="","",IF('ORDENES'!$Y797="","-",'ORDENES'!$Y797))</f>
        <v/>
      </c>
      <c r="F819" s="5">
        <f>IF('ORDENES'!$A797="","",IF('ORDENES'!$AB797="","-",'ORDENES'!$AB797))</f>
        <v/>
      </c>
      <c r="G819" s="5">
        <f>IF('ORDENES'!$A797="","",IF('ORDENES'!$Z797="","-",'ORDENES'!$Z797))</f>
        <v/>
      </c>
      <c r="H819" s="5">
        <f>IF('ORDENES'!$A797="","",IF('ORDENES'!$AH797="","-",'ORDENES'!$AH797))</f>
        <v/>
      </c>
      <c r="I819" s="5">
        <f>IF('ORDENES'!$A797="","",IF('ORDENES'!$AU797="","-",'ORDENES'!$AU797))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3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IF('ORDENES'!$A797="","",'ORDENES'!$AG797)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IF('ORDENES'!$A798="","",IF('ORDENES'!$AI798="","-",'ORDENES'!$AI798))</f>
        <v/>
      </c>
      <c r="D820" s="5">
        <f>IF('ORDENES'!$A798="","",IF('ORDENES'!$AA798="","-",'ORDENES'!$AA798))</f>
        <v/>
      </c>
      <c r="E820" s="5">
        <f>IF('ORDENES'!$A798="","",IF('ORDENES'!$Y798="","-",'ORDENES'!$Y798))</f>
        <v/>
      </c>
      <c r="F820" s="5">
        <f>IF('ORDENES'!$A798="","",IF('ORDENES'!$AB798="","-",'ORDENES'!$AB798))</f>
        <v/>
      </c>
      <c r="G820" s="5">
        <f>IF('ORDENES'!$A798="","",IF('ORDENES'!$Z798="","-",'ORDENES'!$Z798))</f>
        <v/>
      </c>
      <c r="H820" s="5">
        <f>IF('ORDENES'!$A798="","",IF('ORDENES'!$AH798="","-",'ORDENES'!$AH798))</f>
        <v/>
      </c>
      <c r="I820" s="5">
        <f>IF('ORDENES'!$A798="","",IF('ORDENES'!$AU798="","-",'ORDENES'!$AU798))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3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IF('ORDENES'!$A798="","",'ORDENES'!$AG798)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IF('ORDENES'!$A799="","",IF('ORDENES'!$AI799="","-",'ORDENES'!$AI799))</f>
        <v/>
      </c>
      <c r="D821" s="5">
        <f>IF('ORDENES'!$A799="","",IF('ORDENES'!$AA799="","-",'ORDENES'!$AA799))</f>
        <v/>
      </c>
      <c r="E821" s="5">
        <f>IF('ORDENES'!$A799="","",IF('ORDENES'!$Y799="","-",'ORDENES'!$Y799))</f>
        <v/>
      </c>
      <c r="F821" s="5">
        <f>IF('ORDENES'!$A799="","",IF('ORDENES'!$AB799="","-",'ORDENES'!$AB799))</f>
        <v/>
      </c>
      <c r="G821" s="5">
        <f>IF('ORDENES'!$A799="","",IF('ORDENES'!$Z799="","-",'ORDENES'!$Z799))</f>
        <v/>
      </c>
      <c r="H821" s="5">
        <f>IF('ORDENES'!$A799="","",IF('ORDENES'!$AH799="","-",'ORDENES'!$AH799))</f>
        <v/>
      </c>
      <c r="I821" s="5">
        <f>IF('ORDENES'!$A799="","",IF('ORDENES'!$AU799="","-",'ORDENES'!$AU799))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3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IF('ORDENES'!$A799="","",'ORDENES'!$AG799)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IF('ORDENES'!$A800="","",IF('ORDENES'!$AI800="","-",'ORDENES'!$AI800))</f>
        <v/>
      </c>
      <c r="D822" s="5">
        <f>IF('ORDENES'!$A800="","",IF('ORDENES'!$AA800="","-",'ORDENES'!$AA800))</f>
        <v/>
      </c>
      <c r="E822" s="5">
        <f>IF('ORDENES'!$A800="","",IF('ORDENES'!$Y800="","-",'ORDENES'!$Y800))</f>
        <v/>
      </c>
      <c r="F822" s="5">
        <f>IF('ORDENES'!$A800="","",IF('ORDENES'!$AB800="","-",'ORDENES'!$AB800))</f>
        <v/>
      </c>
      <c r="G822" s="5">
        <f>IF('ORDENES'!$A800="","",IF('ORDENES'!$Z800="","-",'ORDENES'!$Z800))</f>
        <v/>
      </c>
      <c r="H822" s="5">
        <f>IF('ORDENES'!$A800="","",IF('ORDENES'!$AH800="","-",'ORDENES'!$AH800))</f>
        <v/>
      </c>
      <c r="I822" s="5">
        <f>IF('ORDENES'!$A800="","",IF('ORDENES'!$AU800="","-",'ORDENES'!$AU800))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3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IF('ORDENES'!$A800="","",'ORDENES'!$AG800)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IF('ORDENES'!$A801="","",IF('ORDENES'!$AI801="","-",'ORDENES'!$AI801))</f>
        <v/>
      </c>
      <c r="D823" s="5">
        <f>IF('ORDENES'!$A801="","",IF('ORDENES'!$AA801="","-",'ORDENES'!$AA801))</f>
        <v/>
      </c>
      <c r="E823" s="5">
        <f>IF('ORDENES'!$A801="","",IF('ORDENES'!$Y801="","-",'ORDENES'!$Y801))</f>
        <v/>
      </c>
      <c r="F823" s="5">
        <f>IF('ORDENES'!$A801="","",IF('ORDENES'!$AB801="","-",'ORDENES'!$AB801))</f>
        <v/>
      </c>
      <c r="G823" s="5">
        <f>IF('ORDENES'!$A801="","",IF('ORDENES'!$Z801="","-",'ORDENES'!$Z801))</f>
        <v/>
      </c>
      <c r="H823" s="5">
        <f>IF('ORDENES'!$A801="","",IF('ORDENES'!$AH801="","-",'ORDENES'!$AH801))</f>
        <v/>
      </c>
      <c r="I823" s="5">
        <f>IF('ORDENES'!$A801="","",IF('ORDENES'!$AU801="","-",'ORDENES'!$AU801))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3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IF('ORDENES'!$A801="","",'ORDENES'!$AG801)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IF('ORDENES'!$A802="","",IF('ORDENES'!$AI802="","-",'ORDENES'!$AI802))</f>
        <v/>
      </c>
      <c r="D824" s="5">
        <f>IF('ORDENES'!$A802="","",IF('ORDENES'!$AA802="","-",'ORDENES'!$AA802))</f>
        <v/>
      </c>
      <c r="E824" s="5">
        <f>IF('ORDENES'!$A802="","",IF('ORDENES'!$Y802="","-",'ORDENES'!$Y802))</f>
        <v/>
      </c>
      <c r="F824" s="5">
        <f>IF('ORDENES'!$A802="","",IF('ORDENES'!$AB802="","-",'ORDENES'!$AB802))</f>
        <v/>
      </c>
      <c r="G824" s="5">
        <f>IF('ORDENES'!$A802="","",IF('ORDENES'!$Z802="","-",'ORDENES'!$Z802))</f>
        <v/>
      </c>
      <c r="H824" s="5">
        <f>IF('ORDENES'!$A802="","",IF('ORDENES'!$AH802="","-",'ORDENES'!$AH802))</f>
        <v/>
      </c>
      <c r="I824" s="5">
        <f>IF('ORDENES'!$A802="","",IF('ORDENES'!$AU802="","-",'ORDENES'!$AU802))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3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IF('ORDENES'!$A802="","",'ORDENES'!$AG802)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IF('ORDENES'!$A803="","",IF('ORDENES'!$AI803="","-",'ORDENES'!$AI803))</f>
        <v/>
      </c>
      <c r="D825" s="5">
        <f>IF('ORDENES'!$A803="","",IF('ORDENES'!$AA803="","-",'ORDENES'!$AA803))</f>
        <v/>
      </c>
      <c r="E825" s="5">
        <f>IF('ORDENES'!$A803="","",IF('ORDENES'!$Y803="","-",'ORDENES'!$Y803))</f>
        <v/>
      </c>
      <c r="F825" s="5">
        <f>IF('ORDENES'!$A803="","",IF('ORDENES'!$AB803="","-",'ORDENES'!$AB803))</f>
        <v/>
      </c>
      <c r="G825" s="5">
        <f>IF('ORDENES'!$A803="","",IF('ORDENES'!$Z803="","-",'ORDENES'!$Z803))</f>
        <v/>
      </c>
      <c r="H825" s="5">
        <f>IF('ORDENES'!$A803="","",IF('ORDENES'!$AH803="","-",'ORDENES'!$AH803))</f>
        <v/>
      </c>
      <c r="I825" s="5">
        <f>IF('ORDENES'!$A803="","",IF('ORDENES'!$AU803="","-",'ORDENES'!$AU803))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3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IF('ORDENES'!$A803="","",'ORDENES'!$AG803)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IF('ORDENES'!$A804="","",IF('ORDENES'!$AI804="","-",'ORDENES'!$AI804))</f>
        <v/>
      </c>
      <c r="D826" s="5">
        <f>IF('ORDENES'!$A804="","",IF('ORDENES'!$AA804="","-",'ORDENES'!$AA804))</f>
        <v/>
      </c>
      <c r="E826" s="5">
        <f>IF('ORDENES'!$A804="","",IF('ORDENES'!$Y804="","-",'ORDENES'!$Y804))</f>
        <v/>
      </c>
      <c r="F826" s="5">
        <f>IF('ORDENES'!$A804="","",IF('ORDENES'!$AB804="","-",'ORDENES'!$AB804))</f>
        <v/>
      </c>
      <c r="G826" s="5">
        <f>IF('ORDENES'!$A804="","",IF('ORDENES'!$Z804="","-",'ORDENES'!$Z804))</f>
        <v/>
      </c>
      <c r="H826" s="5">
        <f>IF('ORDENES'!$A804="","",IF('ORDENES'!$AH804="","-",'ORDENES'!$AH804))</f>
        <v/>
      </c>
      <c r="I826" s="5">
        <f>IF('ORDENES'!$A804="","",IF('ORDENES'!$AU804="","-",'ORDENES'!$AU804))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3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IF('ORDENES'!$A804="","",'ORDENES'!$AG804)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IF('ORDENES'!$A805="","",IF('ORDENES'!$AI805="","-",'ORDENES'!$AI805))</f>
        <v/>
      </c>
      <c r="D827" s="5">
        <f>IF('ORDENES'!$A805="","",IF('ORDENES'!$AA805="","-",'ORDENES'!$AA805))</f>
        <v/>
      </c>
      <c r="E827" s="5">
        <f>IF('ORDENES'!$A805="","",IF('ORDENES'!$Y805="","-",'ORDENES'!$Y805))</f>
        <v/>
      </c>
      <c r="F827" s="5">
        <f>IF('ORDENES'!$A805="","",IF('ORDENES'!$AB805="","-",'ORDENES'!$AB805))</f>
        <v/>
      </c>
      <c r="G827" s="5">
        <f>IF('ORDENES'!$A805="","",IF('ORDENES'!$Z805="","-",'ORDENES'!$Z805))</f>
        <v/>
      </c>
      <c r="H827" s="5">
        <f>IF('ORDENES'!$A805="","",IF('ORDENES'!$AH805="","-",'ORDENES'!$AH805))</f>
        <v/>
      </c>
      <c r="I827" s="5">
        <f>IF('ORDENES'!$A805="","",IF('ORDENES'!$AU805="","-",'ORDENES'!$AU805))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3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IF('ORDENES'!$A805="","",'ORDENES'!$AG805)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IF('ORDENES'!$A806="","",IF('ORDENES'!$AI806="","-",'ORDENES'!$AI806))</f>
        <v/>
      </c>
      <c r="D828" s="5">
        <f>IF('ORDENES'!$A806="","",IF('ORDENES'!$AA806="","-",'ORDENES'!$AA806))</f>
        <v/>
      </c>
      <c r="E828" s="5">
        <f>IF('ORDENES'!$A806="","",IF('ORDENES'!$Y806="","-",'ORDENES'!$Y806))</f>
        <v/>
      </c>
      <c r="F828" s="5">
        <f>IF('ORDENES'!$A806="","",IF('ORDENES'!$AB806="","-",'ORDENES'!$AB806))</f>
        <v/>
      </c>
      <c r="G828" s="5">
        <f>IF('ORDENES'!$A806="","",IF('ORDENES'!$Z806="","-",'ORDENES'!$Z806))</f>
        <v/>
      </c>
      <c r="H828" s="5">
        <f>IF('ORDENES'!$A806="","",IF('ORDENES'!$AH806="","-",'ORDENES'!$AH806))</f>
        <v/>
      </c>
      <c r="I828" s="5">
        <f>IF('ORDENES'!$A806="","",IF('ORDENES'!$AU806="","-",'ORDENES'!$AU806))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3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IF('ORDENES'!$A806="","",'ORDENES'!$AG806)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IF('ORDENES'!$A807="","",IF('ORDENES'!$AI807="","-",'ORDENES'!$AI807))</f>
        <v/>
      </c>
      <c r="D829" s="5">
        <f>IF('ORDENES'!$A807="","",IF('ORDENES'!$AA807="","-",'ORDENES'!$AA807))</f>
        <v/>
      </c>
      <c r="E829" s="5">
        <f>IF('ORDENES'!$A807="","",IF('ORDENES'!$Y807="","-",'ORDENES'!$Y807))</f>
        <v/>
      </c>
      <c r="F829" s="5">
        <f>IF('ORDENES'!$A807="","",IF('ORDENES'!$AB807="","-",'ORDENES'!$AB807))</f>
        <v/>
      </c>
      <c r="G829" s="5">
        <f>IF('ORDENES'!$A807="","",IF('ORDENES'!$Z807="","-",'ORDENES'!$Z807))</f>
        <v/>
      </c>
      <c r="H829" s="5">
        <f>IF('ORDENES'!$A807="","",IF('ORDENES'!$AH807="","-",'ORDENES'!$AH807))</f>
        <v/>
      </c>
      <c r="I829" s="5">
        <f>IF('ORDENES'!$A807="","",IF('ORDENES'!$AU807="","-",'ORDENES'!$AU807))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3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IF('ORDENES'!$A807="","",'ORDENES'!$AG807)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IF('ORDENES'!$A808="","",IF('ORDENES'!$AI808="","-",'ORDENES'!$AI808))</f>
        <v/>
      </c>
      <c r="D830" s="5">
        <f>IF('ORDENES'!$A808="","",IF('ORDENES'!$AA808="","-",'ORDENES'!$AA808))</f>
        <v/>
      </c>
      <c r="E830" s="5">
        <f>IF('ORDENES'!$A808="","",IF('ORDENES'!$Y808="","-",'ORDENES'!$Y808))</f>
        <v/>
      </c>
      <c r="F830" s="5">
        <f>IF('ORDENES'!$A808="","",IF('ORDENES'!$AB808="","-",'ORDENES'!$AB808))</f>
        <v/>
      </c>
      <c r="G830" s="5">
        <f>IF('ORDENES'!$A808="","",IF('ORDENES'!$Z808="","-",'ORDENES'!$Z808))</f>
        <v/>
      </c>
      <c r="H830" s="5">
        <f>IF('ORDENES'!$A808="","",IF('ORDENES'!$AH808="","-",'ORDENES'!$AH808))</f>
        <v/>
      </c>
      <c r="I830" s="5">
        <f>IF('ORDENES'!$A808="","",IF('ORDENES'!$AU808="","-",'ORDENES'!$AU808))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3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IF('ORDENES'!$A808="","",'ORDENES'!$AG808)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IF('ORDENES'!$A809="","",IF('ORDENES'!$AI809="","-",'ORDENES'!$AI809))</f>
        <v/>
      </c>
      <c r="D831" s="5">
        <f>IF('ORDENES'!$A809="","",IF('ORDENES'!$AA809="","-",'ORDENES'!$AA809))</f>
        <v/>
      </c>
      <c r="E831" s="5">
        <f>IF('ORDENES'!$A809="","",IF('ORDENES'!$Y809="","-",'ORDENES'!$Y809))</f>
        <v/>
      </c>
      <c r="F831" s="5">
        <f>IF('ORDENES'!$A809="","",IF('ORDENES'!$AB809="","-",'ORDENES'!$AB809))</f>
        <v/>
      </c>
      <c r="G831" s="5">
        <f>IF('ORDENES'!$A809="","",IF('ORDENES'!$Z809="","-",'ORDENES'!$Z809))</f>
        <v/>
      </c>
      <c r="H831" s="5">
        <f>IF('ORDENES'!$A809="","",IF('ORDENES'!$AH809="","-",'ORDENES'!$AH809))</f>
        <v/>
      </c>
      <c r="I831" s="5">
        <f>IF('ORDENES'!$A809="","",IF('ORDENES'!$AU809="","-",'ORDENES'!$AU809))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3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IF('ORDENES'!$A809="","",'ORDENES'!$AG809)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IF('ORDENES'!$A810="","",IF('ORDENES'!$AI810="","-",'ORDENES'!$AI810))</f>
        <v/>
      </c>
      <c r="D832" s="5">
        <f>IF('ORDENES'!$A810="","",IF('ORDENES'!$AA810="","-",'ORDENES'!$AA810))</f>
        <v/>
      </c>
      <c r="E832" s="5">
        <f>IF('ORDENES'!$A810="","",IF('ORDENES'!$Y810="","-",'ORDENES'!$Y810))</f>
        <v/>
      </c>
      <c r="F832" s="5">
        <f>IF('ORDENES'!$A810="","",IF('ORDENES'!$AB810="","-",'ORDENES'!$AB810))</f>
        <v/>
      </c>
      <c r="G832" s="5">
        <f>IF('ORDENES'!$A810="","",IF('ORDENES'!$Z810="","-",'ORDENES'!$Z810))</f>
        <v/>
      </c>
      <c r="H832" s="5">
        <f>IF('ORDENES'!$A810="","",IF('ORDENES'!$AH810="","-",'ORDENES'!$AH810))</f>
        <v/>
      </c>
      <c r="I832" s="5">
        <f>IF('ORDENES'!$A810="","",IF('ORDENES'!$AU810="","-",'ORDENES'!$AU810))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3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IF('ORDENES'!$A810="","",'ORDENES'!$AG810)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IF('ORDENES'!$A811="","",IF('ORDENES'!$AI811="","-",'ORDENES'!$AI811))</f>
        <v/>
      </c>
      <c r="D833" s="5">
        <f>IF('ORDENES'!$A811="","",IF('ORDENES'!$AA811="","-",'ORDENES'!$AA811))</f>
        <v/>
      </c>
      <c r="E833" s="5">
        <f>IF('ORDENES'!$A811="","",IF('ORDENES'!$Y811="","-",'ORDENES'!$Y811))</f>
        <v/>
      </c>
      <c r="F833" s="5">
        <f>IF('ORDENES'!$A811="","",IF('ORDENES'!$AB811="","-",'ORDENES'!$AB811))</f>
        <v/>
      </c>
      <c r="G833" s="5">
        <f>IF('ORDENES'!$A811="","",IF('ORDENES'!$Z811="","-",'ORDENES'!$Z811))</f>
        <v/>
      </c>
      <c r="H833" s="5">
        <f>IF('ORDENES'!$A811="","",IF('ORDENES'!$AH811="","-",'ORDENES'!$AH811))</f>
        <v/>
      </c>
      <c r="I833" s="5">
        <f>IF('ORDENES'!$A811="","",IF('ORDENES'!$AU811="","-",'ORDENES'!$AU811))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3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IF('ORDENES'!$A811="","",'ORDENES'!$AG811)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IF('ORDENES'!$A812="","",IF('ORDENES'!$AI812="","-",'ORDENES'!$AI812))</f>
        <v/>
      </c>
      <c r="D834" s="5">
        <f>IF('ORDENES'!$A812="","",IF('ORDENES'!$AA812="","-",'ORDENES'!$AA812))</f>
        <v/>
      </c>
      <c r="E834" s="5">
        <f>IF('ORDENES'!$A812="","",IF('ORDENES'!$Y812="","-",'ORDENES'!$Y812))</f>
        <v/>
      </c>
      <c r="F834" s="5">
        <f>IF('ORDENES'!$A812="","",IF('ORDENES'!$AB812="","-",'ORDENES'!$AB812))</f>
        <v/>
      </c>
      <c r="G834" s="5">
        <f>IF('ORDENES'!$A812="","",IF('ORDENES'!$Z812="","-",'ORDENES'!$Z812))</f>
        <v/>
      </c>
      <c r="H834" s="5">
        <f>IF('ORDENES'!$A812="","",IF('ORDENES'!$AH812="","-",'ORDENES'!$AH812))</f>
        <v/>
      </c>
      <c r="I834" s="5">
        <f>IF('ORDENES'!$A812="","",IF('ORDENES'!$AU812="","-",'ORDENES'!$AU812))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3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IF('ORDENES'!$A812="","",'ORDENES'!$AG812)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IF('ORDENES'!$A813="","",IF('ORDENES'!$AI813="","-",'ORDENES'!$AI813))</f>
        <v/>
      </c>
      <c r="D835" s="5">
        <f>IF('ORDENES'!$A813="","",IF('ORDENES'!$AA813="","-",'ORDENES'!$AA813))</f>
        <v/>
      </c>
      <c r="E835" s="5">
        <f>IF('ORDENES'!$A813="","",IF('ORDENES'!$Y813="","-",'ORDENES'!$Y813))</f>
        <v/>
      </c>
      <c r="F835" s="5">
        <f>IF('ORDENES'!$A813="","",IF('ORDENES'!$AB813="","-",'ORDENES'!$AB813))</f>
        <v/>
      </c>
      <c r="G835" s="5">
        <f>IF('ORDENES'!$A813="","",IF('ORDENES'!$Z813="","-",'ORDENES'!$Z813))</f>
        <v/>
      </c>
      <c r="H835" s="5">
        <f>IF('ORDENES'!$A813="","",IF('ORDENES'!$AH813="","-",'ORDENES'!$AH813))</f>
        <v/>
      </c>
      <c r="I835" s="5">
        <f>IF('ORDENES'!$A813="","",IF('ORDENES'!$AU813="","-",'ORDENES'!$AU813))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3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IF('ORDENES'!$A813="","",'ORDENES'!$AG813)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IF('ORDENES'!$A814="","",IF('ORDENES'!$AI814="","-",'ORDENES'!$AI814))</f>
        <v/>
      </c>
      <c r="D836" s="5">
        <f>IF('ORDENES'!$A814="","",IF('ORDENES'!$AA814="","-",'ORDENES'!$AA814))</f>
        <v/>
      </c>
      <c r="E836" s="5">
        <f>IF('ORDENES'!$A814="","",IF('ORDENES'!$Y814="","-",'ORDENES'!$Y814))</f>
        <v/>
      </c>
      <c r="F836" s="5">
        <f>IF('ORDENES'!$A814="","",IF('ORDENES'!$AB814="","-",'ORDENES'!$AB814))</f>
        <v/>
      </c>
      <c r="G836" s="5">
        <f>IF('ORDENES'!$A814="","",IF('ORDENES'!$Z814="","-",'ORDENES'!$Z814))</f>
        <v/>
      </c>
      <c r="H836" s="5">
        <f>IF('ORDENES'!$A814="","",IF('ORDENES'!$AH814="","-",'ORDENES'!$AH814))</f>
        <v/>
      </c>
      <c r="I836" s="5">
        <f>IF('ORDENES'!$A814="","",IF('ORDENES'!$AU814="","-",'ORDENES'!$AU814))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3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IF('ORDENES'!$A814="","",'ORDENES'!$AG814)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IF('ORDENES'!$A815="","",IF('ORDENES'!$AI815="","-",'ORDENES'!$AI815))</f>
        <v/>
      </c>
      <c r="D837" s="5">
        <f>IF('ORDENES'!$A815="","",IF('ORDENES'!$AA815="","-",'ORDENES'!$AA815))</f>
        <v/>
      </c>
      <c r="E837" s="5">
        <f>IF('ORDENES'!$A815="","",IF('ORDENES'!$Y815="","-",'ORDENES'!$Y815))</f>
        <v/>
      </c>
      <c r="F837" s="5">
        <f>IF('ORDENES'!$A815="","",IF('ORDENES'!$AB815="","-",'ORDENES'!$AB815))</f>
        <v/>
      </c>
      <c r="G837" s="5">
        <f>IF('ORDENES'!$A815="","",IF('ORDENES'!$Z815="","-",'ORDENES'!$Z815))</f>
        <v/>
      </c>
      <c r="H837" s="5">
        <f>IF('ORDENES'!$A815="","",IF('ORDENES'!$AH815="","-",'ORDENES'!$AH815))</f>
        <v/>
      </c>
      <c r="I837" s="5">
        <f>IF('ORDENES'!$A815="","",IF('ORDENES'!$AU815="","-",'ORDENES'!$AU815))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3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IF('ORDENES'!$A815="","",'ORDENES'!$AG815)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IF('ORDENES'!$A816="","",IF('ORDENES'!$AI816="","-",'ORDENES'!$AI816))</f>
        <v/>
      </c>
      <c r="D838" s="5">
        <f>IF('ORDENES'!$A816="","",IF('ORDENES'!$AA816="","-",'ORDENES'!$AA816))</f>
        <v/>
      </c>
      <c r="E838" s="5">
        <f>IF('ORDENES'!$A816="","",IF('ORDENES'!$Y816="","-",'ORDENES'!$Y816))</f>
        <v/>
      </c>
      <c r="F838" s="5">
        <f>IF('ORDENES'!$A816="","",IF('ORDENES'!$AB816="","-",'ORDENES'!$AB816))</f>
        <v/>
      </c>
      <c r="G838" s="5">
        <f>IF('ORDENES'!$A816="","",IF('ORDENES'!$Z816="","-",'ORDENES'!$Z816))</f>
        <v/>
      </c>
      <c r="H838" s="5">
        <f>IF('ORDENES'!$A816="","",IF('ORDENES'!$AH816="","-",'ORDENES'!$AH816))</f>
        <v/>
      </c>
      <c r="I838" s="5">
        <f>IF('ORDENES'!$A816="","",IF('ORDENES'!$AU816="","-",'ORDENES'!$AU816))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3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IF('ORDENES'!$A816="","",'ORDENES'!$AG816)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IF('ORDENES'!$A817="","",IF('ORDENES'!$AI817="","-",'ORDENES'!$AI817))</f>
        <v/>
      </c>
      <c r="D839" s="5">
        <f>IF('ORDENES'!$A817="","",IF('ORDENES'!$AA817="","-",'ORDENES'!$AA817))</f>
        <v/>
      </c>
      <c r="E839" s="5">
        <f>IF('ORDENES'!$A817="","",IF('ORDENES'!$Y817="","-",'ORDENES'!$Y817))</f>
        <v/>
      </c>
      <c r="F839" s="5">
        <f>IF('ORDENES'!$A817="","",IF('ORDENES'!$AB817="","-",'ORDENES'!$AB817))</f>
        <v/>
      </c>
      <c r="G839" s="5">
        <f>IF('ORDENES'!$A817="","",IF('ORDENES'!$Z817="","-",'ORDENES'!$Z817))</f>
        <v/>
      </c>
      <c r="H839" s="5">
        <f>IF('ORDENES'!$A817="","",IF('ORDENES'!$AH817="","-",'ORDENES'!$AH817))</f>
        <v/>
      </c>
      <c r="I839" s="5">
        <f>IF('ORDENES'!$A817="","",IF('ORDENES'!$AU817="","-",'ORDENES'!$AU817))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3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IF('ORDENES'!$A817="","",'ORDENES'!$AG817)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IF('ORDENES'!$A818="","",IF('ORDENES'!$AI818="","-",'ORDENES'!$AI818))</f>
        <v/>
      </c>
      <c r="D840" s="5">
        <f>IF('ORDENES'!$A818="","",IF('ORDENES'!$AA818="","-",'ORDENES'!$AA818))</f>
        <v/>
      </c>
      <c r="E840" s="5">
        <f>IF('ORDENES'!$A818="","",IF('ORDENES'!$Y818="","-",'ORDENES'!$Y818))</f>
        <v/>
      </c>
      <c r="F840" s="5">
        <f>IF('ORDENES'!$A818="","",IF('ORDENES'!$AB818="","-",'ORDENES'!$AB818))</f>
        <v/>
      </c>
      <c r="G840" s="5">
        <f>IF('ORDENES'!$A818="","",IF('ORDENES'!$Z818="","-",'ORDENES'!$Z818))</f>
        <v/>
      </c>
      <c r="H840" s="5">
        <f>IF('ORDENES'!$A818="","",IF('ORDENES'!$AH818="","-",'ORDENES'!$AH818))</f>
        <v/>
      </c>
      <c r="I840" s="5">
        <f>IF('ORDENES'!$A818="","",IF('ORDENES'!$AU818="","-",'ORDENES'!$AU818))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3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IF('ORDENES'!$A818="","",'ORDENES'!$AG818)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IF('ORDENES'!$A819="","",IF('ORDENES'!$AI819="","-",'ORDENES'!$AI819))</f>
        <v/>
      </c>
      <c r="D841" s="5">
        <f>IF('ORDENES'!$A819="","",IF('ORDENES'!$AA819="","-",'ORDENES'!$AA819))</f>
        <v/>
      </c>
      <c r="E841" s="5">
        <f>IF('ORDENES'!$A819="","",IF('ORDENES'!$Y819="","-",'ORDENES'!$Y819))</f>
        <v/>
      </c>
      <c r="F841" s="5">
        <f>IF('ORDENES'!$A819="","",IF('ORDENES'!$AB819="","-",'ORDENES'!$AB819))</f>
        <v/>
      </c>
      <c r="G841" s="5">
        <f>IF('ORDENES'!$A819="","",IF('ORDENES'!$Z819="","-",'ORDENES'!$Z819))</f>
        <v/>
      </c>
      <c r="H841" s="5">
        <f>IF('ORDENES'!$A819="","",IF('ORDENES'!$AH819="","-",'ORDENES'!$AH819))</f>
        <v/>
      </c>
      <c r="I841" s="5">
        <f>IF('ORDENES'!$A819="","",IF('ORDENES'!$AU819="","-",'ORDENES'!$AU819))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3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IF('ORDENES'!$A819="","",'ORDENES'!$AG819)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IF('ORDENES'!$A820="","",IF('ORDENES'!$AI820="","-",'ORDENES'!$AI820))</f>
        <v/>
      </c>
      <c r="D842" s="5">
        <f>IF('ORDENES'!$A820="","",IF('ORDENES'!$AA820="","-",'ORDENES'!$AA820))</f>
        <v/>
      </c>
      <c r="E842" s="5">
        <f>IF('ORDENES'!$A820="","",IF('ORDENES'!$Y820="","-",'ORDENES'!$Y820))</f>
        <v/>
      </c>
      <c r="F842" s="5">
        <f>IF('ORDENES'!$A820="","",IF('ORDENES'!$AB820="","-",'ORDENES'!$AB820))</f>
        <v/>
      </c>
      <c r="G842" s="5">
        <f>IF('ORDENES'!$A820="","",IF('ORDENES'!$Z820="","-",'ORDENES'!$Z820))</f>
        <v/>
      </c>
      <c r="H842" s="5">
        <f>IF('ORDENES'!$A820="","",IF('ORDENES'!$AH820="","-",'ORDENES'!$AH820))</f>
        <v/>
      </c>
      <c r="I842" s="5">
        <f>IF('ORDENES'!$A820="","",IF('ORDENES'!$AU820="","-",'ORDENES'!$AU820))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3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IF('ORDENES'!$A820="","",'ORDENES'!$AG820)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IF('ORDENES'!$A821="","",IF('ORDENES'!$AI821="","-",'ORDENES'!$AI821))</f>
        <v/>
      </c>
      <c r="D843" s="5">
        <f>IF('ORDENES'!$A821="","",IF('ORDENES'!$AA821="","-",'ORDENES'!$AA821))</f>
        <v/>
      </c>
      <c r="E843" s="5">
        <f>IF('ORDENES'!$A821="","",IF('ORDENES'!$Y821="","-",'ORDENES'!$Y821))</f>
        <v/>
      </c>
      <c r="F843" s="5">
        <f>IF('ORDENES'!$A821="","",IF('ORDENES'!$AB821="","-",'ORDENES'!$AB821))</f>
        <v/>
      </c>
      <c r="G843" s="5">
        <f>IF('ORDENES'!$A821="","",IF('ORDENES'!$Z821="","-",'ORDENES'!$Z821))</f>
        <v/>
      </c>
      <c r="H843" s="5">
        <f>IF('ORDENES'!$A821="","",IF('ORDENES'!$AH821="","-",'ORDENES'!$AH821))</f>
        <v/>
      </c>
      <c r="I843" s="5">
        <f>IF('ORDENES'!$A821="","",IF('ORDENES'!$AU821="","-",'ORDENES'!$AU821))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3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IF('ORDENES'!$A821="","",'ORDENES'!$AG821)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IF('ORDENES'!$A822="","",IF('ORDENES'!$AI822="","-",'ORDENES'!$AI822))</f>
        <v/>
      </c>
      <c r="D844" s="5">
        <f>IF('ORDENES'!$A822="","",IF('ORDENES'!$AA822="","-",'ORDENES'!$AA822))</f>
        <v/>
      </c>
      <c r="E844" s="5">
        <f>IF('ORDENES'!$A822="","",IF('ORDENES'!$Y822="","-",'ORDENES'!$Y822))</f>
        <v/>
      </c>
      <c r="F844" s="5">
        <f>IF('ORDENES'!$A822="","",IF('ORDENES'!$AB822="","-",'ORDENES'!$AB822))</f>
        <v/>
      </c>
      <c r="G844" s="5">
        <f>IF('ORDENES'!$A822="","",IF('ORDENES'!$Z822="","-",'ORDENES'!$Z822))</f>
        <v/>
      </c>
      <c r="H844" s="5">
        <f>IF('ORDENES'!$A822="","",IF('ORDENES'!$AH822="","-",'ORDENES'!$AH822))</f>
        <v/>
      </c>
      <c r="I844" s="5">
        <f>IF('ORDENES'!$A822="","",IF('ORDENES'!$AU822="","-",'ORDENES'!$AU822))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3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IF('ORDENES'!$A822="","",'ORDENES'!$AG822)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IF('ORDENES'!$A823="","",IF('ORDENES'!$AI823="","-",'ORDENES'!$AI823))</f>
        <v/>
      </c>
      <c r="D845" s="5">
        <f>IF('ORDENES'!$A823="","",IF('ORDENES'!$AA823="","-",'ORDENES'!$AA823))</f>
        <v/>
      </c>
      <c r="E845" s="5">
        <f>IF('ORDENES'!$A823="","",IF('ORDENES'!$Y823="","-",'ORDENES'!$Y823))</f>
        <v/>
      </c>
      <c r="F845" s="5">
        <f>IF('ORDENES'!$A823="","",IF('ORDENES'!$AB823="","-",'ORDENES'!$AB823))</f>
        <v/>
      </c>
      <c r="G845" s="5">
        <f>IF('ORDENES'!$A823="","",IF('ORDENES'!$Z823="","-",'ORDENES'!$Z823))</f>
        <v/>
      </c>
      <c r="H845" s="5">
        <f>IF('ORDENES'!$A823="","",IF('ORDENES'!$AH823="","-",'ORDENES'!$AH823))</f>
        <v/>
      </c>
      <c r="I845" s="5">
        <f>IF('ORDENES'!$A823="","",IF('ORDENES'!$AU823="","-",'ORDENES'!$AU823))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3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IF('ORDENES'!$A823="","",'ORDENES'!$AG823)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IF('ORDENES'!$A824="","",IF('ORDENES'!$AI824="","-",'ORDENES'!$AI824))</f>
        <v/>
      </c>
      <c r="D846" s="5">
        <f>IF('ORDENES'!$A824="","",IF('ORDENES'!$AA824="","-",'ORDENES'!$AA824))</f>
        <v/>
      </c>
      <c r="E846" s="5">
        <f>IF('ORDENES'!$A824="","",IF('ORDENES'!$Y824="","-",'ORDENES'!$Y824))</f>
        <v/>
      </c>
      <c r="F846" s="5">
        <f>IF('ORDENES'!$A824="","",IF('ORDENES'!$AB824="","-",'ORDENES'!$AB824))</f>
        <v/>
      </c>
      <c r="G846" s="5">
        <f>IF('ORDENES'!$A824="","",IF('ORDENES'!$Z824="","-",'ORDENES'!$Z824))</f>
        <v/>
      </c>
      <c r="H846" s="5">
        <f>IF('ORDENES'!$A824="","",IF('ORDENES'!$AH824="","-",'ORDENES'!$AH824))</f>
        <v/>
      </c>
      <c r="I846" s="5">
        <f>IF('ORDENES'!$A824="","",IF('ORDENES'!$AU824="","-",'ORDENES'!$AU824))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3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IF('ORDENES'!$A824="","",'ORDENES'!$AG824)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IF('ORDENES'!$A825="","",IF('ORDENES'!$AI825="","-",'ORDENES'!$AI825))</f>
        <v/>
      </c>
      <c r="D847" s="5">
        <f>IF('ORDENES'!$A825="","",IF('ORDENES'!$AA825="","-",'ORDENES'!$AA825))</f>
        <v/>
      </c>
      <c r="E847" s="5">
        <f>IF('ORDENES'!$A825="","",IF('ORDENES'!$Y825="","-",'ORDENES'!$Y825))</f>
        <v/>
      </c>
      <c r="F847" s="5">
        <f>IF('ORDENES'!$A825="","",IF('ORDENES'!$AB825="","-",'ORDENES'!$AB825))</f>
        <v/>
      </c>
      <c r="G847" s="5">
        <f>IF('ORDENES'!$A825="","",IF('ORDENES'!$Z825="","-",'ORDENES'!$Z825))</f>
        <v/>
      </c>
      <c r="H847" s="5">
        <f>IF('ORDENES'!$A825="","",IF('ORDENES'!$AH825="","-",'ORDENES'!$AH825))</f>
        <v/>
      </c>
      <c r="I847" s="5">
        <f>IF('ORDENES'!$A825="","",IF('ORDENES'!$AU825="","-",'ORDENES'!$AU825))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3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IF('ORDENES'!$A825="","",'ORDENES'!$AG825)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IF('ORDENES'!$A826="","",IF('ORDENES'!$AI826="","-",'ORDENES'!$AI826))</f>
        <v/>
      </c>
      <c r="D848" s="5">
        <f>IF('ORDENES'!$A826="","",IF('ORDENES'!$AA826="","-",'ORDENES'!$AA826))</f>
        <v/>
      </c>
      <c r="E848" s="5">
        <f>IF('ORDENES'!$A826="","",IF('ORDENES'!$Y826="","-",'ORDENES'!$Y826))</f>
        <v/>
      </c>
      <c r="F848" s="5">
        <f>IF('ORDENES'!$A826="","",IF('ORDENES'!$AB826="","-",'ORDENES'!$AB826))</f>
        <v/>
      </c>
      <c r="G848" s="5">
        <f>IF('ORDENES'!$A826="","",IF('ORDENES'!$Z826="","-",'ORDENES'!$Z826))</f>
        <v/>
      </c>
      <c r="H848" s="5">
        <f>IF('ORDENES'!$A826="","",IF('ORDENES'!$AH826="","-",'ORDENES'!$AH826))</f>
        <v/>
      </c>
      <c r="I848" s="5">
        <f>IF('ORDENES'!$A826="","",IF('ORDENES'!$AU826="","-",'ORDENES'!$AU826))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3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IF('ORDENES'!$A826="","",'ORDENES'!$AG826)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IF('ORDENES'!$A827="","",IF('ORDENES'!$AI827="","-",'ORDENES'!$AI827))</f>
        <v/>
      </c>
      <c r="D849" s="5">
        <f>IF('ORDENES'!$A827="","",IF('ORDENES'!$AA827="","-",'ORDENES'!$AA827))</f>
        <v/>
      </c>
      <c r="E849" s="5">
        <f>IF('ORDENES'!$A827="","",IF('ORDENES'!$Y827="","-",'ORDENES'!$Y827))</f>
        <v/>
      </c>
      <c r="F849" s="5">
        <f>IF('ORDENES'!$A827="","",IF('ORDENES'!$AB827="","-",'ORDENES'!$AB827))</f>
        <v/>
      </c>
      <c r="G849" s="5">
        <f>IF('ORDENES'!$A827="","",IF('ORDENES'!$Z827="","-",'ORDENES'!$Z827))</f>
        <v/>
      </c>
      <c r="H849" s="5">
        <f>IF('ORDENES'!$A827="","",IF('ORDENES'!$AH827="","-",'ORDENES'!$AH827))</f>
        <v/>
      </c>
      <c r="I849" s="5">
        <f>IF('ORDENES'!$A827="","",IF('ORDENES'!$AU827="","-",'ORDENES'!$AU827))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3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IF('ORDENES'!$A827="","",'ORDENES'!$AG827)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IF('ORDENES'!$A828="","",IF('ORDENES'!$AI828="","-",'ORDENES'!$AI828))</f>
        <v/>
      </c>
      <c r="D850" s="5">
        <f>IF('ORDENES'!$A828="","",IF('ORDENES'!$AA828="","-",'ORDENES'!$AA828))</f>
        <v/>
      </c>
      <c r="E850" s="5">
        <f>IF('ORDENES'!$A828="","",IF('ORDENES'!$Y828="","-",'ORDENES'!$Y828))</f>
        <v/>
      </c>
      <c r="F850" s="5">
        <f>IF('ORDENES'!$A828="","",IF('ORDENES'!$AB828="","-",'ORDENES'!$AB828))</f>
        <v/>
      </c>
      <c r="G850" s="5">
        <f>IF('ORDENES'!$A828="","",IF('ORDENES'!$Z828="","-",'ORDENES'!$Z828))</f>
        <v/>
      </c>
      <c r="H850" s="5">
        <f>IF('ORDENES'!$A828="","",IF('ORDENES'!$AH828="","-",'ORDENES'!$AH828))</f>
        <v/>
      </c>
      <c r="I850" s="5">
        <f>IF('ORDENES'!$A828="","",IF('ORDENES'!$AU828="","-",'ORDENES'!$AU828))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3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IF('ORDENES'!$A828="","",'ORDENES'!$AG828)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IF('ORDENES'!$A829="","",IF('ORDENES'!$AI829="","-",'ORDENES'!$AI829))</f>
        <v/>
      </c>
      <c r="D851" s="5">
        <f>IF('ORDENES'!$A829="","",IF('ORDENES'!$AA829="","-",'ORDENES'!$AA829))</f>
        <v/>
      </c>
      <c r="E851" s="5">
        <f>IF('ORDENES'!$A829="","",IF('ORDENES'!$Y829="","-",'ORDENES'!$Y829))</f>
        <v/>
      </c>
      <c r="F851" s="5">
        <f>IF('ORDENES'!$A829="","",IF('ORDENES'!$AB829="","-",'ORDENES'!$AB829))</f>
        <v/>
      </c>
      <c r="G851" s="5">
        <f>IF('ORDENES'!$A829="","",IF('ORDENES'!$Z829="","-",'ORDENES'!$Z829))</f>
        <v/>
      </c>
      <c r="H851" s="5">
        <f>IF('ORDENES'!$A829="","",IF('ORDENES'!$AH829="","-",'ORDENES'!$AH829))</f>
        <v/>
      </c>
      <c r="I851" s="5">
        <f>IF('ORDENES'!$A829="","",IF('ORDENES'!$AU829="","-",'ORDENES'!$AU829))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3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IF('ORDENES'!$A829="","",'ORDENES'!$AG829)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IF('ORDENES'!$A830="","",IF('ORDENES'!$AI830="","-",'ORDENES'!$AI830))</f>
        <v/>
      </c>
      <c r="D852" s="5">
        <f>IF('ORDENES'!$A830="","",IF('ORDENES'!$AA830="","-",'ORDENES'!$AA830))</f>
        <v/>
      </c>
      <c r="E852" s="5">
        <f>IF('ORDENES'!$A830="","",IF('ORDENES'!$Y830="","-",'ORDENES'!$Y830))</f>
        <v/>
      </c>
      <c r="F852" s="5">
        <f>IF('ORDENES'!$A830="","",IF('ORDENES'!$AB830="","-",'ORDENES'!$AB830))</f>
        <v/>
      </c>
      <c r="G852" s="5">
        <f>IF('ORDENES'!$A830="","",IF('ORDENES'!$Z830="","-",'ORDENES'!$Z830))</f>
        <v/>
      </c>
      <c r="H852" s="5">
        <f>IF('ORDENES'!$A830="","",IF('ORDENES'!$AH830="","-",'ORDENES'!$AH830))</f>
        <v/>
      </c>
      <c r="I852" s="5">
        <f>IF('ORDENES'!$A830="","",IF('ORDENES'!$AU830="","-",'ORDENES'!$AU830))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3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IF('ORDENES'!$A830="","",'ORDENES'!$AG830)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IF('ORDENES'!$A831="","",IF('ORDENES'!$AI831="","-",'ORDENES'!$AI831))</f>
        <v/>
      </c>
      <c r="D853" s="5">
        <f>IF('ORDENES'!$A831="","",IF('ORDENES'!$AA831="","-",'ORDENES'!$AA831))</f>
        <v/>
      </c>
      <c r="E853" s="5">
        <f>IF('ORDENES'!$A831="","",IF('ORDENES'!$Y831="","-",'ORDENES'!$Y831))</f>
        <v/>
      </c>
      <c r="F853" s="5">
        <f>IF('ORDENES'!$A831="","",IF('ORDENES'!$AB831="","-",'ORDENES'!$AB831))</f>
        <v/>
      </c>
      <c r="G853" s="5">
        <f>IF('ORDENES'!$A831="","",IF('ORDENES'!$Z831="","-",'ORDENES'!$Z831))</f>
        <v/>
      </c>
      <c r="H853" s="5">
        <f>IF('ORDENES'!$A831="","",IF('ORDENES'!$AH831="","-",'ORDENES'!$AH831))</f>
        <v/>
      </c>
      <c r="I853" s="5">
        <f>IF('ORDENES'!$A831="","",IF('ORDENES'!$AU831="","-",'ORDENES'!$AU831))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3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IF('ORDENES'!$A831="","",'ORDENES'!$AG831)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IF('ORDENES'!$A832="","",IF('ORDENES'!$AI832="","-",'ORDENES'!$AI832))</f>
        <v/>
      </c>
      <c r="D854" s="5">
        <f>IF('ORDENES'!$A832="","",IF('ORDENES'!$AA832="","-",'ORDENES'!$AA832))</f>
        <v/>
      </c>
      <c r="E854" s="5">
        <f>IF('ORDENES'!$A832="","",IF('ORDENES'!$Y832="","-",'ORDENES'!$Y832))</f>
        <v/>
      </c>
      <c r="F854" s="5">
        <f>IF('ORDENES'!$A832="","",IF('ORDENES'!$AB832="","-",'ORDENES'!$AB832))</f>
        <v/>
      </c>
      <c r="G854" s="5">
        <f>IF('ORDENES'!$A832="","",IF('ORDENES'!$Z832="","-",'ORDENES'!$Z832))</f>
        <v/>
      </c>
      <c r="H854" s="5">
        <f>IF('ORDENES'!$A832="","",IF('ORDENES'!$AH832="","-",'ORDENES'!$AH832))</f>
        <v/>
      </c>
      <c r="I854" s="5">
        <f>IF('ORDENES'!$A832="","",IF('ORDENES'!$AU832="","-",'ORDENES'!$AU832))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3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IF('ORDENES'!$A832="","",'ORDENES'!$AG832)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IF('ORDENES'!$A833="","",IF('ORDENES'!$AI833="","-",'ORDENES'!$AI833))</f>
        <v/>
      </c>
      <c r="D855" s="5">
        <f>IF('ORDENES'!$A833="","",IF('ORDENES'!$AA833="","-",'ORDENES'!$AA833))</f>
        <v/>
      </c>
      <c r="E855" s="5">
        <f>IF('ORDENES'!$A833="","",IF('ORDENES'!$Y833="","-",'ORDENES'!$Y833))</f>
        <v/>
      </c>
      <c r="F855" s="5">
        <f>IF('ORDENES'!$A833="","",IF('ORDENES'!$AB833="","-",'ORDENES'!$AB833))</f>
        <v/>
      </c>
      <c r="G855" s="5">
        <f>IF('ORDENES'!$A833="","",IF('ORDENES'!$Z833="","-",'ORDENES'!$Z833))</f>
        <v/>
      </c>
      <c r="H855" s="5">
        <f>IF('ORDENES'!$A833="","",IF('ORDENES'!$AH833="","-",'ORDENES'!$AH833))</f>
        <v/>
      </c>
      <c r="I855" s="5">
        <f>IF('ORDENES'!$A833="","",IF('ORDENES'!$AU833="","-",'ORDENES'!$AU833))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3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IF('ORDENES'!$A833="","",'ORDENES'!$AG833)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IF('ORDENES'!$A834="","",IF('ORDENES'!$AI834="","-",'ORDENES'!$AI834))</f>
        <v/>
      </c>
      <c r="D856" s="5">
        <f>IF('ORDENES'!$A834="","",IF('ORDENES'!$AA834="","-",'ORDENES'!$AA834))</f>
        <v/>
      </c>
      <c r="E856" s="5">
        <f>IF('ORDENES'!$A834="","",IF('ORDENES'!$Y834="","-",'ORDENES'!$Y834))</f>
        <v/>
      </c>
      <c r="F856" s="5">
        <f>IF('ORDENES'!$A834="","",IF('ORDENES'!$AB834="","-",'ORDENES'!$AB834))</f>
        <v/>
      </c>
      <c r="G856" s="5">
        <f>IF('ORDENES'!$A834="","",IF('ORDENES'!$Z834="","-",'ORDENES'!$Z834))</f>
        <v/>
      </c>
      <c r="H856" s="5">
        <f>IF('ORDENES'!$A834="","",IF('ORDENES'!$AH834="","-",'ORDENES'!$AH834))</f>
        <v/>
      </c>
      <c r="I856" s="5">
        <f>IF('ORDENES'!$A834="","",IF('ORDENES'!$AU834="","-",'ORDENES'!$AU834))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3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IF('ORDENES'!$A834="","",'ORDENES'!$AG834)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IF('ORDENES'!$A835="","",IF('ORDENES'!$AI835="","-",'ORDENES'!$AI835))</f>
        <v/>
      </c>
      <c r="D857" s="5">
        <f>IF('ORDENES'!$A835="","",IF('ORDENES'!$AA835="","-",'ORDENES'!$AA835))</f>
        <v/>
      </c>
      <c r="E857" s="5">
        <f>IF('ORDENES'!$A835="","",IF('ORDENES'!$Y835="","-",'ORDENES'!$Y835))</f>
        <v/>
      </c>
      <c r="F857" s="5">
        <f>IF('ORDENES'!$A835="","",IF('ORDENES'!$AB835="","-",'ORDENES'!$AB835))</f>
        <v/>
      </c>
      <c r="G857" s="5">
        <f>IF('ORDENES'!$A835="","",IF('ORDENES'!$Z835="","-",'ORDENES'!$Z835))</f>
        <v/>
      </c>
      <c r="H857" s="5">
        <f>IF('ORDENES'!$A835="","",IF('ORDENES'!$AH835="","-",'ORDENES'!$AH835))</f>
        <v/>
      </c>
      <c r="I857" s="5">
        <f>IF('ORDENES'!$A835="","",IF('ORDENES'!$AU835="","-",'ORDENES'!$AU835))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3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IF('ORDENES'!$A835="","",'ORDENES'!$AG835)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IF('ORDENES'!$A836="","",IF('ORDENES'!$AI836="","-",'ORDENES'!$AI836))</f>
        <v/>
      </c>
      <c r="D858" s="5">
        <f>IF('ORDENES'!$A836="","",IF('ORDENES'!$AA836="","-",'ORDENES'!$AA836))</f>
        <v/>
      </c>
      <c r="E858" s="5">
        <f>IF('ORDENES'!$A836="","",IF('ORDENES'!$Y836="","-",'ORDENES'!$Y836))</f>
        <v/>
      </c>
      <c r="F858" s="5">
        <f>IF('ORDENES'!$A836="","",IF('ORDENES'!$AB836="","-",'ORDENES'!$AB836))</f>
        <v/>
      </c>
      <c r="G858" s="5">
        <f>IF('ORDENES'!$A836="","",IF('ORDENES'!$Z836="","-",'ORDENES'!$Z836))</f>
        <v/>
      </c>
      <c r="H858" s="5">
        <f>IF('ORDENES'!$A836="","",IF('ORDENES'!$AH836="","-",'ORDENES'!$AH836))</f>
        <v/>
      </c>
      <c r="I858" s="5">
        <f>IF('ORDENES'!$A836="","",IF('ORDENES'!$AU836="","-",'ORDENES'!$AU836))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3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IF('ORDENES'!$A836="","",'ORDENES'!$AG836)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IF('ORDENES'!$A837="","",IF('ORDENES'!$AI837="","-",'ORDENES'!$AI837))</f>
        <v/>
      </c>
      <c r="D859" s="5">
        <f>IF('ORDENES'!$A837="","",IF('ORDENES'!$AA837="","-",'ORDENES'!$AA837))</f>
        <v/>
      </c>
      <c r="E859" s="5">
        <f>IF('ORDENES'!$A837="","",IF('ORDENES'!$Y837="","-",'ORDENES'!$Y837))</f>
        <v/>
      </c>
      <c r="F859" s="5">
        <f>IF('ORDENES'!$A837="","",IF('ORDENES'!$AB837="","-",'ORDENES'!$AB837))</f>
        <v/>
      </c>
      <c r="G859" s="5">
        <f>IF('ORDENES'!$A837="","",IF('ORDENES'!$Z837="","-",'ORDENES'!$Z837))</f>
        <v/>
      </c>
      <c r="H859" s="5">
        <f>IF('ORDENES'!$A837="","",IF('ORDENES'!$AH837="","-",'ORDENES'!$AH837))</f>
        <v/>
      </c>
      <c r="I859" s="5">
        <f>IF('ORDENES'!$A837="","",IF('ORDENES'!$AU837="","-",'ORDENES'!$AU837))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3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IF('ORDENES'!$A837="","",'ORDENES'!$AG837)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IF('ORDENES'!$A838="","",IF('ORDENES'!$AI838="","-",'ORDENES'!$AI838))</f>
        <v/>
      </c>
      <c r="D860" s="5">
        <f>IF('ORDENES'!$A838="","",IF('ORDENES'!$AA838="","-",'ORDENES'!$AA838))</f>
        <v/>
      </c>
      <c r="E860" s="5">
        <f>IF('ORDENES'!$A838="","",IF('ORDENES'!$Y838="","-",'ORDENES'!$Y838))</f>
        <v/>
      </c>
      <c r="F860" s="5">
        <f>IF('ORDENES'!$A838="","",IF('ORDENES'!$AB838="","-",'ORDENES'!$AB838))</f>
        <v/>
      </c>
      <c r="G860" s="5">
        <f>IF('ORDENES'!$A838="","",IF('ORDENES'!$Z838="","-",'ORDENES'!$Z838))</f>
        <v/>
      </c>
      <c r="H860" s="5">
        <f>IF('ORDENES'!$A838="","",IF('ORDENES'!$AH838="","-",'ORDENES'!$AH838))</f>
        <v/>
      </c>
      <c r="I860" s="5">
        <f>IF('ORDENES'!$A838="","",IF('ORDENES'!$AU838="","-",'ORDENES'!$AU838))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3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IF('ORDENES'!$A838="","",'ORDENES'!$AG838)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IF('ORDENES'!$A839="","",IF('ORDENES'!$AI839="","-",'ORDENES'!$AI839))</f>
        <v/>
      </c>
      <c r="D861" s="5">
        <f>IF('ORDENES'!$A839="","",IF('ORDENES'!$AA839="","-",'ORDENES'!$AA839))</f>
        <v/>
      </c>
      <c r="E861" s="5">
        <f>IF('ORDENES'!$A839="","",IF('ORDENES'!$Y839="","-",'ORDENES'!$Y839))</f>
        <v/>
      </c>
      <c r="F861" s="5">
        <f>IF('ORDENES'!$A839="","",IF('ORDENES'!$AB839="","-",'ORDENES'!$AB839))</f>
        <v/>
      </c>
      <c r="G861" s="5">
        <f>IF('ORDENES'!$A839="","",IF('ORDENES'!$Z839="","-",'ORDENES'!$Z839))</f>
        <v/>
      </c>
      <c r="H861" s="5">
        <f>IF('ORDENES'!$A839="","",IF('ORDENES'!$AH839="","-",'ORDENES'!$AH839))</f>
        <v/>
      </c>
      <c r="I861" s="5">
        <f>IF('ORDENES'!$A839="","",IF('ORDENES'!$AU839="","-",'ORDENES'!$AU839))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3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IF('ORDENES'!$A839="","",'ORDENES'!$AG839)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IF('ORDENES'!$A840="","",IF('ORDENES'!$AI840="","-",'ORDENES'!$AI840))</f>
        <v/>
      </c>
      <c r="D862" s="5">
        <f>IF('ORDENES'!$A840="","",IF('ORDENES'!$AA840="","-",'ORDENES'!$AA840))</f>
        <v/>
      </c>
      <c r="E862" s="5">
        <f>IF('ORDENES'!$A840="","",IF('ORDENES'!$Y840="","-",'ORDENES'!$Y840))</f>
        <v/>
      </c>
      <c r="F862" s="5">
        <f>IF('ORDENES'!$A840="","",IF('ORDENES'!$AB840="","-",'ORDENES'!$AB840))</f>
        <v/>
      </c>
      <c r="G862" s="5">
        <f>IF('ORDENES'!$A840="","",IF('ORDENES'!$Z840="","-",'ORDENES'!$Z840))</f>
        <v/>
      </c>
      <c r="H862" s="5">
        <f>IF('ORDENES'!$A840="","",IF('ORDENES'!$AH840="","-",'ORDENES'!$AH840))</f>
        <v/>
      </c>
      <c r="I862" s="5">
        <f>IF('ORDENES'!$A840="","",IF('ORDENES'!$AU840="","-",'ORDENES'!$AU840))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3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IF('ORDENES'!$A840="","",'ORDENES'!$AG840)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IF('ORDENES'!$A841="","",IF('ORDENES'!$AI841="","-",'ORDENES'!$AI841))</f>
        <v/>
      </c>
      <c r="D863" s="5">
        <f>IF('ORDENES'!$A841="","",IF('ORDENES'!$AA841="","-",'ORDENES'!$AA841))</f>
        <v/>
      </c>
      <c r="E863" s="5">
        <f>IF('ORDENES'!$A841="","",IF('ORDENES'!$Y841="","-",'ORDENES'!$Y841))</f>
        <v/>
      </c>
      <c r="F863" s="5">
        <f>IF('ORDENES'!$A841="","",IF('ORDENES'!$AB841="","-",'ORDENES'!$AB841))</f>
        <v/>
      </c>
      <c r="G863" s="5">
        <f>IF('ORDENES'!$A841="","",IF('ORDENES'!$Z841="","-",'ORDENES'!$Z841))</f>
        <v/>
      </c>
      <c r="H863" s="5">
        <f>IF('ORDENES'!$A841="","",IF('ORDENES'!$AH841="","-",'ORDENES'!$AH841))</f>
        <v/>
      </c>
      <c r="I863" s="5">
        <f>IF('ORDENES'!$A841="","",IF('ORDENES'!$AU841="","-",'ORDENES'!$AU841))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3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IF('ORDENES'!$A841="","",'ORDENES'!$AG841)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IF('ORDENES'!$A842="","",IF('ORDENES'!$AI842="","-",'ORDENES'!$AI842))</f>
        <v/>
      </c>
      <c r="D864" s="5">
        <f>IF('ORDENES'!$A842="","",IF('ORDENES'!$AA842="","-",'ORDENES'!$AA842))</f>
        <v/>
      </c>
      <c r="E864" s="5">
        <f>IF('ORDENES'!$A842="","",IF('ORDENES'!$Y842="","-",'ORDENES'!$Y842))</f>
        <v/>
      </c>
      <c r="F864" s="5">
        <f>IF('ORDENES'!$A842="","",IF('ORDENES'!$AB842="","-",'ORDENES'!$AB842))</f>
        <v/>
      </c>
      <c r="G864" s="5">
        <f>IF('ORDENES'!$A842="","",IF('ORDENES'!$Z842="","-",'ORDENES'!$Z842))</f>
        <v/>
      </c>
      <c r="H864" s="5">
        <f>IF('ORDENES'!$A842="","",IF('ORDENES'!$AH842="","-",'ORDENES'!$AH842))</f>
        <v/>
      </c>
      <c r="I864" s="5">
        <f>IF('ORDENES'!$A842="","",IF('ORDENES'!$AU842="","-",'ORDENES'!$AU842))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3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IF('ORDENES'!$A842="","",'ORDENES'!$AG842)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IF('ORDENES'!$A843="","",IF('ORDENES'!$AI843="","-",'ORDENES'!$AI843))</f>
        <v/>
      </c>
      <c r="D865" s="5">
        <f>IF('ORDENES'!$A843="","",IF('ORDENES'!$AA843="","-",'ORDENES'!$AA843))</f>
        <v/>
      </c>
      <c r="E865" s="5">
        <f>IF('ORDENES'!$A843="","",IF('ORDENES'!$Y843="","-",'ORDENES'!$Y843))</f>
        <v/>
      </c>
      <c r="F865" s="5">
        <f>IF('ORDENES'!$A843="","",IF('ORDENES'!$AB843="","-",'ORDENES'!$AB843))</f>
        <v/>
      </c>
      <c r="G865" s="5">
        <f>IF('ORDENES'!$A843="","",IF('ORDENES'!$Z843="","-",'ORDENES'!$Z843))</f>
        <v/>
      </c>
      <c r="H865" s="5">
        <f>IF('ORDENES'!$A843="","",IF('ORDENES'!$AH843="","-",'ORDENES'!$AH843))</f>
        <v/>
      </c>
      <c r="I865" s="5">
        <f>IF('ORDENES'!$A843="","",IF('ORDENES'!$AU843="","-",'ORDENES'!$AU843))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3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IF('ORDENES'!$A843="","",'ORDENES'!$AG843)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IF('ORDENES'!$A844="","",IF('ORDENES'!$AI844="","-",'ORDENES'!$AI844))</f>
        <v/>
      </c>
      <c r="D866" s="5">
        <f>IF('ORDENES'!$A844="","",IF('ORDENES'!$AA844="","-",'ORDENES'!$AA844))</f>
        <v/>
      </c>
      <c r="E866" s="5">
        <f>IF('ORDENES'!$A844="","",IF('ORDENES'!$Y844="","-",'ORDENES'!$Y844))</f>
        <v/>
      </c>
      <c r="F866" s="5">
        <f>IF('ORDENES'!$A844="","",IF('ORDENES'!$AB844="","-",'ORDENES'!$AB844))</f>
        <v/>
      </c>
      <c r="G866" s="5">
        <f>IF('ORDENES'!$A844="","",IF('ORDENES'!$Z844="","-",'ORDENES'!$Z844))</f>
        <v/>
      </c>
      <c r="H866" s="5">
        <f>IF('ORDENES'!$A844="","",IF('ORDENES'!$AH844="","-",'ORDENES'!$AH844))</f>
        <v/>
      </c>
      <c r="I866" s="5">
        <f>IF('ORDENES'!$A844="","",IF('ORDENES'!$AU844="","-",'ORDENES'!$AU844))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3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IF('ORDENES'!$A844="","",'ORDENES'!$AG844)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IF('ORDENES'!$A845="","",IF('ORDENES'!$AI845="","-",'ORDENES'!$AI845))</f>
        <v/>
      </c>
      <c r="D867" s="5">
        <f>IF('ORDENES'!$A845="","",IF('ORDENES'!$AA845="","-",'ORDENES'!$AA845))</f>
        <v/>
      </c>
      <c r="E867" s="5">
        <f>IF('ORDENES'!$A845="","",IF('ORDENES'!$Y845="","-",'ORDENES'!$Y845))</f>
        <v/>
      </c>
      <c r="F867" s="5">
        <f>IF('ORDENES'!$A845="","",IF('ORDENES'!$AB845="","-",'ORDENES'!$AB845))</f>
        <v/>
      </c>
      <c r="G867" s="5">
        <f>IF('ORDENES'!$A845="","",IF('ORDENES'!$Z845="","-",'ORDENES'!$Z845))</f>
        <v/>
      </c>
      <c r="H867" s="5">
        <f>IF('ORDENES'!$A845="","",IF('ORDENES'!$AH845="","-",'ORDENES'!$AH845))</f>
        <v/>
      </c>
      <c r="I867" s="5">
        <f>IF('ORDENES'!$A845="","",IF('ORDENES'!$AU845="","-",'ORDENES'!$AU845))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3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IF('ORDENES'!$A845="","",'ORDENES'!$AG845)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IF('ORDENES'!$A846="","",IF('ORDENES'!$AI846="","-",'ORDENES'!$AI846))</f>
        <v/>
      </c>
      <c r="D868" s="5">
        <f>IF('ORDENES'!$A846="","",IF('ORDENES'!$AA846="","-",'ORDENES'!$AA846))</f>
        <v/>
      </c>
      <c r="E868" s="5">
        <f>IF('ORDENES'!$A846="","",IF('ORDENES'!$Y846="","-",'ORDENES'!$Y846))</f>
        <v/>
      </c>
      <c r="F868" s="5">
        <f>IF('ORDENES'!$A846="","",IF('ORDENES'!$AB846="","-",'ORDENES'!$AB846))</f>
        <v/>
      </c>
      <c r="G868" s="5">
        <f>IF('ORDENES'!$A846="","",IF('ORDENES'!$Z846="","-",'ORDENES'!$Z846))</f>
        <v/>
      </c>
      <c r="H868" s="5">
        <f>IF('ORDENES'!$A846="","",IF('ORDENES'!$AH846="","-",'ORDENES'!$AH846))</f>
        <v/>
      </c>
      <c r="I868" s="5">
        <f>IF('ORDENES'!$A846="","",IF('ORDENES'!$AU846="","-",'ORDENES'!$AU846))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3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IF('ORDENES'!$A846="","",'ORDENES'!$AG846)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IF('ORDENES'!$A847="","",IF('ORDENES'!$AI847="","-",'ORDENES'!$AI847))</f>
        <v/>
      </c>
      <c r="D869" s="5">
        <f>IF('ORDENES'!$A847="","",IF('ORDENES'!$AA847="","-",'ORDENES'!$AA847))</f>
        <v/>
      </c>
      <c r="E869" s="5">
        <f>IF('ORDENES'!$A847="","",IF('ORDENES'!$Y847="","-",'ORDENES'!$Y847))</f>
        <v/>
      </c>
      <c r="F869" s="5">
        <f>IF('ORDENES'!$A847="","",IF('ORDENES'!$AB847="","-",'ORDENES'!$AB847))</f>
        <v/>
      </c>
      <c r="G869" s="5">
        <f>IF('ORDENES'!$A847="","",IF('ORDENES'!$Z847="","-",'ORDENES'!$Z847))</f>
        <v/>
      </c>
      <c r="H869" s="5">
        <f>IF('ORDENES'!$A847="","",IF('ORDENES'!$AH847="","-",'ORDENES'!$AH847))</f>
        <v/>
      </c>
      <c r="I869" s="5">
        <f>IF('ORDENES'!$A847="","",IF('ORDENES'!$AU847="","-",'ORDENES'!$AU847))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3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IF('ORDENES'!$A847="","",'ORDENES'!$AG847)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IF('ORDENES'!$A848="","",IF('ORDENES'!$AI848="","-",'ORDENES'!$AI848))</f>
        <v/>
      </c>
      <c r="D870" s="5">
        <f>IF('ORDENES'!$A848="","",IF('ORDENES'!$AA848="","-",'ORDENES'!$AA848))</f>
        <v/>
      </c>
      <c r="E870" s="5">
        <f>IF('ORDENES'!$A848="","",IF('ORDENES'!$Y848="","-",'ORDENES'!$Y848))</f>
        <v/>
      </c>
      <c r="F870" s="5">
        <f>IF('ORDENES'!$A848="","",IF('ORDENES'!$AB848="","-",'ORDENES'!$AB848))</f>
        <v/>
      </c>
      <c r="G870" s="5">
        <f>IF('ORDENES'!$A848="","",IF('ORDENES'!$Z848="","-",'ORDENES'!$Z848))</f>
        <v/>
      </c>
      <c r="H870" s="5">
        <f>IF('ORDENES'!$A848="","",IF('ORDENES'!$AH848="","-",'ORDENES'!$AH848))</f>
        <v/>
      </c>
      <c r="I870" s="5">
        <f>IF('ORDENES'!$A848="","",IF('ORDENES'!$AU848="","-",'ORDENES'!$AU848))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3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IF('ORDENES'!$A848="","",'ORDENES'!$AG848)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IF('ORDENES'!$A849="","",IF('ORDENES'!$AI849="","-",'ORDENES'!$AI849))</f>
        <v/>
      </c>
      <c r="D871" s="5">
        <f>IF('ORDENES'!$A849="","",IF('ORDENES'!$AA849="","-",'ORDENES'!$AA849))</f>
        <v/>
      </c>
      <c r="E871" s="5">
        <f>IF('ORDENES'!$A849="","",IF('ORDENES'!$Y849="","-",'ORDENES'!$Y849))</f>
        <v/>
      </c>
      <c r="F871" s="5">
        <f>IF('ORDENES'!$A849="","",IF('ORDENES'!$AB849="","-",'ORDENES'!$AB849))</f>
        <v/>
      </c>
      <c r="G871" s="5">
        <f>IF('ORDENES'!$A849="","",IF('ORDENES'!$Z849="","-",'ORDENES'!$Z849))</f>
        <v/>
      </c>
      <c r="H871" s="5">
        <f>IF('ORDENES'!$A849="","",IF('ORDENES'!$AH849="","-",'ORDENES'!$AH849))</f>
        <v/>
      </c>
      <c r="I871" s="5">
        <f>IF('ORDENES'!$A849="","",IF('ORDENES'!$AU849="","-",'ORDENES'!$AU849))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3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IF('ORDENES'!$A849="","",'ORDENES'!$AG849)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IF('ORDENES'!$A850="","",IF('ORDENES'!$AI850="","-",'ORDENES'!$AI850))</f>
        <v/>
      </c>
      <c r="D872" s="5">
        <f>IF('ORDENES'!$A850="","",IF('ORDENES'!$AA850="","-",'ORDENES'!$AA850))</f>
        <v/>
      </c>
      <c r="E872" s="5">
        <f>IF('ORDENES'!$A850="","",IF('ORDENES'!$Y850="","-",'ORDENES'!$Y850))</f>
        <v/>
      </c>
      <c r="F872" s="5">
        <f>IF('ORDENES'!$A850="","",IF('ORDENES'!$AB850="","-",'ORDENES'!$AB850))</f>
        <v/>
      </c>
      <c r="G872" s="5">
        <f>IF('ORDENES'!$A850="","",IF('ORDENES'!$Z850="","-",'ORDENES'!$Z850))</f>
        <v/>
      </c>
      <c r="H872" s="5">
        <f>IF('ORDENES'!$A850="","",IF('ORDENES'!$AH850="","-",'ORDENES'!$AH850))</f>
        <v/>
      </c>
      <c r="I872" s="5">
        <f>IF('ORDENES'!$A850="","",IF('ORDENES'!$AU850="","-",'ORDENES'!$AU850))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3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IF('ORDENES'!$A850="","",'ORDENES'!$AG850)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IF('ORDENES'!$A851="","",IF('ORDENES'!$AI851="","-",'ORDENES'!$AI851))</f>
        <v/>
      </c>
      <c r="D873" s="5">
        <f>IF('ORDENES'!$A851="","",IF('ORDENES'!$AA851="","-",'ORDENES'!$AA851))</f>
        <v/>
      </c>
      <c r="E873" s="5">
        <f>IF('ORDENES'!$A851="","",IF('ORDENES'!$Y851="","-",'ORDENES'!$Y851))</f>
        <v/>
      </c>
      <c r="F873" s="5">
        <f>IF('ORDENES'!$A851="","",IF('ORDENES'!$AB851="","-",'ORDENES'!$AB851))</f>
        <v/>
      </c>
      <c r="G873" s="5">
        <f>IF('ORDENES'!$A851="","",IF('ORDENES'!$Z851="","-",'ORDENES'!$Z851))</f>
        <v/>
      </c>
      <c r="H873" s="5">
        <f>IF('ORDENES'!$A851="","",IF('ORDENES'!$AH851="","-",'ORDENES'!$AH851))</f>
        <v/>
      </c>
      <c r="I873" s="5">
        <f>IF('ORDENES'!$A851="","",IF('ORDENES'!$AU851="","-",'ORDENES'!$AU851))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3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IF('ORDENES'!$A851="","",'ORDENES'!$AG851)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IF('ORDENES'!$A852="","",IF('ORDENES'!$AI852="","-",'ORDENES'!$AI852))</f>
        <v/>
      </c>
      <c r="D874" s="5">
        <f>IF('ORDENES'!$A852="","",IF('ORDENES'!$AA852="","-",'ORDENES'!$AA852))</f>
        <v/>
      </c>
      <c r="E874" s="5">
        <f>IF('ORDENES'!$A852="","",IF('ORDENES'!$Y852="","-",'ORDENES'!$Y852))</f>
        <v/>
      </c>
      <c r="F874" s="5">
        <f>IF('ORDENES'!$A852="","",IF('ORDENES'!$AB852="","-",'ORDENES'!$AB852))</f>
        <v/>
      </c>
      <c r="G874" s="5">
        <f>IF('ORDENES'!$A852="","",IF('ORDENES'!$Z852="","-",'ORDENES'!$Z852))</f>
        <v/>
      </c>
      <c r="H874" s="5">
        <f>IF('ORDENES'!$A852="","",IF('ORDENES'!$AH852="","-",'ORDENES'!$AH852))</f>
        <v/>
      </c>
      <c r="I874" s="5">
        <f>IF('ORDENES'!$A852="","",IF('ORDENES'!$AU852="","-",'ORDENES'!$AU852))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3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IF('ORDENES'!$A852="","",'ORDENES'!$AG852)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IF('ORDENES'!$A853="","",IF('ORDENES'!$AI853="","-",'ORDENES'!$AI853))</f>
        <v/>
      </c>
      <c r="D875" s="5">
        <f>IF('ORDENES'!$A853="","",IF('ORDENES'!$AA853="","-",'ORDENES'!$AA853))</f>
        <v/>
      </c>
      <c r="E875" s="5">
        <f>IF('ORDENES'!$A853="","",IF('ORDENES'!$Y853="","-",'ORDENES'!$Y853))</f>
        <v/>
      </c>
      <c r="F875" s="5">
        <f>IF('ORDENES'!$A853="","",IF('ORDENES'!$AB853="","-",'ORDENES'!$AB853))</f>
        <v/>
      </c>
      <c r="G875" s="5">
        <f>IF('ORDENES'!$A853="","",IF('ORDENES'!$Z853="","-",'ORDENES'!$Z853))</f>
        <v/>
      </c>
      <c r="H875" s="5">
        <f>IF('ORDENES'!$A853="","",IF('ORDENES'!$AH853="","-",'ORDENES'!$AH853))</f>
        <v/>
      </c>
      <c r="I875" s="5">
        <f>IF('ORDENES'!$A853="","",IF('ORDENES'!$AU853="","-",'ORDENES'!$AU853))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3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IF('ORDENES'!$A853="","",'ORDENES'!$AG853)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IF('ORDENES'!$A854="","",IF('ORDENES'!$AI854="","-",'ORDENES'!$AI854))</f>
        <v/>
      </c>
      <c r="D876" s="5">
        <f>IF('ORDENES'!$A854="","",IF('ORDENES'!$AA854="","-",'ORDENES'!$AA854))</f>
        <v/>
      </c>
      <c r="E876" s="5">
        <f>IF('ORDENES'!$A854="","",IF('ORDENES'!$Y854="","-",'ORDENES'!$Y854))</f>
        <v/>
      </c>
      <c r="F876" s="5">
        <f>IF('ORDENES'!$A854="","",IF('ORDENES'!$AB854="","-",'ORDENES'!$AB854))</f>
        <v/>
      </c>
      <c r="G876" s="5">
        <f>IF('ORDENES'!$A854="","",IF('ORDENES'!$Z854="","-",'ORDENES'!$Z854))</f>
        <v/>
      </c>
      <c r="H876" s="5">
        <f>IF('ORDENES'!$A854="","",IF('ORDENES'!$AH854="","-",'ORDENES'!$AH854))</f>
        <v/>
      </c>
      <c r="I876" s="5">
        <f>IF('ORDENES'!$A854="","",IF('ORDENES'!$AU854="","-",'ORDENES'!$AU854))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3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IF('ORDENES'!$A854="","",'ORDENES'!$AG854)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IF('ORDENES'!$A855="","",IF('ORDENES'!$AI855="","-",'ORDENES'!$AI855))</f>
        <v/>
      </c>
      <c r="D877" s="5">
        <f>IF('ORDENES'!$A855="","",IF('ORDENES'!$AA855="","-",'ORDENES'!$AA855))</f>
        <v/>
      </c>
      <c r="E877" s="5">
        <f>IF('ORDENES'!$A855="","",IF('ORDENES'!$Y855="","-",'ORDENES'!$Y855))</f>
        <v/>
      </c>
      <c r="F877" s="5">
        <f>IF('ORDENES'!$A855="","",IF('ORDENES'!$AB855="","-",'ORDENES'!$AB855))</f>
        <v/>
      </c>
      <c r="G877" s="5">
        <f>IF('ORDENES'!$A855="","",IF('ORDENES'!$Z855="","-",'ORDENES'!$Z855))</f>
        <v/>
      </c>
      <c r="H877" s="5">
        <f>IF('ORDENES'!$A855="","",IF('ORDENES'!$AH855="","-",'ORDENES'!$AH855))</f>
        <v/>
      </c>
      <c r="I877" s="5">
        <f>IF('ORDENES'!$A855="","",IF('ORDENES'!$AU855="","-",'ORDENES'!$AU855))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3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IF('ORDENES'!$A855="","",'ORDENES'!$AG855)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IF('ORDENES'!$A856="","",IF('ORDENES'!$AI856="","-",'ORDENES'!$AI856))</f>
        <v/>
      </c>
      <c r="D878" s="5">
        <f>IF('ORDENES'!$A856="","",IF('ORDENES'!$AA856="","-",'ORDENES'!$AA856))</f>
        <v/>
      </c>
      <c r="E878" s="5">
        <f>IF('ORDENES'!$A856="","",IF('ORDENES'!$Y856="","-",'ORDENES'!$Y856))</f>
        <v/>
      </c>
      <c r="F878" s="5">
        <f>IF('ORDENES'!$A856="","",IF('ORDENES'!$AB856="","-",'ORDENES'!$AB856))</f>
        <v/>
      </c>
      <c r="G878" s="5">
        <f>IF('ORDENES'!$A856="","",IF('ORDENES'!$Z856="","-",'ORDENES'!$Z856))</f>
        <v/>
      </c>
      <c r="H878" s="5">
        <f>IF('ORDENES'!$A856="","",IF('ORDENES'!$AH856="","-",'ORDENES'!$AH856))</f>
        <v/>
      </c>
      <c r="I878" s="5">
        <f>IF('ORDENES'!$A856="","",IF('ORDENES'!$AU856="","-",'ORDENES'!$AU856))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3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IF('ORDENES'!$A856="","",'ORDENES'!$AG856)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IF('ORDENES'!$A857="","",IF('ORDENES'!$AI857="","-",'ORDENES'!$AI857))</f>
        <v/>
      </c>
      <c r="D879" s="5">
        <f>IF('ORDENES'!$A857="","",IF('ORDENES'!$AA857="","-",'ORDENES'!$AA857))</f>
        <v/>
      </c>
      <c r="E879" s="5">
        <f>IF('ORDENES'!$A857="","",IF('ORDENES'!$Y857="","-",'ORDENES'!$Y857))</f>
        <v/>
      </c>
      <c r="F879" s="5">
        <f>IF('ORDENES'!$A857="","",IF('ORDENES'!$AB857="","-",'ORDENES'!$AB857))</f>
        <v/>
      </c>
      <c r="G879" s="5">
        <f>IF('ORDENES'!$A857="","",IF('ORDENES'!$Z857="","-",'ORDENES'!$Z857))</f>
        <v/>
      </c>
      <c r="H879" s="5">
        <f>IF('ORDENES'!$A857="","",IF('ORDENES'!$AH857="","-",'ORDENES'!$AH857))</f>
        <v/>
      </c>
      <c r="I879" s="5">
        <f>IF('ORDENES'!$A857="","",IF('ORDENES'!$AU857="","-",'ORDENES'!$AU857))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3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IF('ORDENES'!$A857="","",'ORDENES'!$AG857)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IF('ORDENES'!$A858="","",IF('ORDENES'!$AI858="","-",'ORDENES'!$AI858))</f>
        <v/>
      </c>
      <c r="D880" s="5">
        <f>IF('ORDENES'!$A858="","",IF('ORDENES'!$AA858="","-",'ORDENES'!$AA858))</f>
        <v/>
      </c>
      <c r="E880" s="5">
        <f>IF('ORDENES'!$A858="","",IF('ORDENES'!$Y858="","-",'ORDENES'!$Y858))</f>
        <v/>
      </c>
      <c r="F880" s="5">
        <f>IF('ORDENES'!$A858="","",IF('ORDENES'!$AB858="","-",'ORDENES'!$AB858))</f>
        <v/>
      </c>
      <c r="G880" s="5">
        <f>IF('ORDENES'!$A858="","",IF('ORDENES'!$Z858="","-",'ORDENES'!$Z858))</f>
        <v/>
      </c>
      <c r="H880" s="5">
        <f>IF('ORDENES'!$A858="","",IF('ORDENES'!$AH858="","-",'ORDENES'!$AH858))</f>
        <v/>
      </c>
      <c r="I880" s="5">
        <f>IF('ORDENES'!$A858="","",IF('ORDENES'!$AU858="","-",'ORDENES'!$AU858))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3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IF('ORDENES'!$A858="","",'ORDENES'!$AG858)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IF('ORDENES'!$A859="","",IF('ORDENES'!$AI859="","-",'ORDENES'!$AI859))</f>
        <v/>
      </c>
      <c r="D881" s="5">
        <f>IF('ORDENES'!$A859="","",IF('ORDENES'!$AA859="","-",'ORDENES'!$AA859))</f>
        <v/>
      </c>
      <c r="E881" s="5">
        <f>IF('ORDENES'!$A859="","",IF('ORDENES'!$Y859="","-",'ORDENES'!$Y859))</f>
        <v/>
      </c>
      <c r="F881" s="5">
        <f>IF('ORDENES'!$A859="","",IF('ORDENES'!$AB859="","-",'ORDENES'!$AB859))</f>
        <v/>
      </c>
      <c r="G881" s="5">
        <f>IF('ORDENES'!$A859="","",IF('ORDENES'!$Z859="","-",'ORDENES'!$Z859))</f>
        <v/>
      </c>
      <c r="H881" s="5">
        <f>IF('ORDENES'!$A859="","",IF('ORDENES'!$AH859="","-",'ORDENES'!$AH859))</f>
        <v/>
      </c>
      <c r="I881" s="5">
        <f>IF('ORDENES'!$A859="","",IF('ORDENES'!$AU859="","-",'ORDENES'!$AU859))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3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IF('ORDENES'!$A859="","",'ORDENES'!$AG859)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IF('ORDENES'!$A860="","",IF('ORDENES'!$AI860="","-",'ORDENES'!$AI860))</f>
        <v/>
      </c>
      <c r="D882" s="5">
        <f>IF('ORDENES'!$A860="","",IF('ORDENES'!$AA860="","-",'ORDENES'!$AA860))</f>
        <v/>
      </c>
      <c r="E882" s="5">
        <f>IF('ORDENES'!$A860="","",IF('ORDENES'!$Y860="","-",'ORDENES'!$Y860))</f>
        <v/>
      </c>
      <c r="F882" s="5">
        <f>IF('ORDENES'!$A860="","",IF('ORDENES'!$AB860="","-",'ORDENES'!$AB860))</f>
        <v/>
      </c>
      <c r="G882" s="5">
        <f>IF('ORDENES'!$A860="","",IF('ORDENES'!$Z860="","-",'ORDENES'!$Z860))</f>
        <v/>
      </c>
      <c r="H882" s="5">
        <f>IF('ORDENES'!$A860="","",IF('ORDENES'!$AH860="","-",'ORDENES'!$AH860))</f>
        <v/>
      </c>
      <c r="I882" s="5">
        <f>IF('ORDENES'!$A860="","",IF('ORDENES'!$AU860="","-",'ORDENES'!$AU860))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3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IF('ORDENES'!$A860="","",'ORDENES'!$AG860)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IF('ORDENES'!$A861="","",IF('ORDENES'!$AI861="","-",'ORDENES'!$AI861))</f>
        <v/>
      </c>
      <c r="D883" s="5">
        <f>IF('ORDENES'!$A861="","",IF('ORDENES'!$AA861="","-",'ORDENES'!$AA861))</f>
        <v/>
      </c>
      <c r="E883" s="5">
        <f>IF('ORDENES'!$A861="","",IF('ORDENES'!$Y861="","-",'ORDENES'!$Y861))</f>
        <v/>
      </c>
      <c r="F883" s="5">
        <f>IF('ORDENES'!$A861="","",IF('ORDENES'!$AB861="","-",'ORDENES'!$AB861))</f>
        <v/>
      </c>
      <c r="G883" s="5">
        <f>IF('ORDENES'!$A861="","",IF('ORDENES'!$Z861="","-",'ORDENES'!$Z861))</f>
        <v/>
      </c>
      <c r="H883" s="5">
        <f>IF('ORDENES'!$A861="","",IF('ORDENES'!$AH861="","-",'ORDENES'!$AH861))</f>
        <v/>
      </c>
      <c r="I883" s="5">
        <f>IF('ORDENES'!$A861="","",IF('ORDENES'!$AU861="","-",'ORDENES'!$AU861))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3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IF('ORDENES'!$A861="","",'ORDENES'!$AG861)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IF('ORDENES'!$A862="","",IF('ORDENES'!$AI862="","-",'ORDENES'!$AI862))</f>
        <v/>
      </c>
      <c r="D884" s="5">
        <f>IF('ORDENES'!$A862="","",IF('ORDENES'!$AA862="","-",'ORDENES'!$AA862))</f>
        <v/>
      </c>
      <c r="E884" s="5">
        <f>IF('ORDENES'!$A862="","",IF('ORDENES'!$Y862="","-",'ORDENES'!$Y862))</f>
        <v/>
      </c>
      <c r="F884" s="5">
        <f>IF('ORDENES'!$A862="","",IF('ORDENES'!$AB862="","-",'ORDENES'!$AB862))</f>
        <v/>
      </c>
      <c r="G884" s="5">
        <f>IF('ORDENES'!$A862="","",IF('ORDENES'!$Z862="","-",'ORDENES'!$Z862))</f>
        <v/>
      </c>
      <c r="H884" s="5">
        <f>IF('ORDENES'!$A862="","",IF('ORDENES'!$AH862="","-",'ORDENES'!$AH862))</f>
        <v/>
      </c>
      <c r="I884" s="5">
        <f>IF('ORDENES'!$A862="","",IF('ORDENES'!$AU862="","-",'ORDENES'!$AU862))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3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IF('ORDENES'!$A862="","",'ORDENES'!$AG862)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IF('ORDENES'!$A863="","",IF('ORDENES'!$AI863="","-",'ORDENES'!$AI863))</f>
        <v/>
      </c>
      <c r="D885" s="5">
        <f>IF('ORDENES'!$A863="","",IF('ORDENES'!$AA863="","-",'ORDENES'!$AA863))</f>
        <v/>
      </c>
      <c r="E885" s="5">
        <f>IF('ORDENES'!$A863="","",IF('ORDENES'!$Y863="","-",'ORDENES'!$Y863))</f>
        <v/>
      </c>
      <c r="F885" s="5">
        <f>IF('ORDENES'!$A863="","",IF('ORDENES'!$AB863="","-",'ORDENES'!$AB863))</f>
        <v/>
      </c>
      <c r="G885" s="5">
        <f>IF('ORDENES'!$A863="","",IF('ORDENES'!$Z863="","-",'ORDENES'!$Z863))</f>
        <v/>
      </c>
      <c r="H885" s="5">
        <f>IF('ORDENES'!$A863="","",IF('ORDENES'!$AH863="","-",'ORDENES'!$AH863))</f>
        <v/>
      </c>
      <c r="I885" s="5">
        <f>IF('ORDENES'!$A863="","",IF('ORDENES'!$AU863="","-",'ORDENES'!$AU863))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3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IF('ORDENES'!$A863="","",'ORDENES'!$AG863)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IF('ORDENES'!$A864="","",IF('ORDENES'!$AI864="","-",'ORDENES'!$AI864))</f>
        <v/>
      </c>
      <c r="D886" s="5">
        <f>IF('ORDENES'!$A864="","",IF('ORDENES'!$AA864="","-",'ORDENES'!$AA864))</f>
        <v/>
      </c>
      <c r="E886" s="5">
        <f>IF('ORDENES'!$A864="","",IF('ORDENES'!$Y864="","-",'ORDENES'!$Y864))</f>
        <v/>
      </c>
      <c r="F886" s="5">
        <f>IF('ORDENES'!$A864="","",IF('ORDENES'!$AB864="","-",'ORDENES'!$AB864))</f>
        <v/>
      </c>
      <c r="G886" s="5">
        <f>IF('ORDENES'!$A864="","",IF('ORDENES'!$Z864="","-",'ORDENES'!$Z864))</f>
        <v/>
      </c>
      <c r="H886" s="5">
        <f>IF('ORDENES'!$A864="","",IF('ORDENES'!$AH864="","-",'ORDENES'!$AH864))</f>
        <v/>
      </c>
      <c r="I886" s="5">
        <f>IF('ORDENES'!$A864="","",IF('ORDENES'!$AU864="","-",'ORDENES'!$AU864))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3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IF('ORDENES'!$A864="","",'ORDENES'!$AG864)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IF('ORDENES'!$A865="","",IF('ORDENES'!$AI865="","-",'ORDENES'!$AI865))</f>
        <v/>
      </c>
      <c r="D887" s="5">
        <f>IF('ORDENES'!$A865="","",IF('ORDENES'!$AA865="","-",'ORDENES'!$AA865))</f>
        <v/>
      </c>
      <c r="E887" s="5">
        <f>IF('ORDENES'!$A865="","",IF('ORDENES'!$Y865="","-",'ORDENES'!$Y865))</f>
        <v/>
      </c>
      <c r="F887" s="5">
        <f>IF('ORDENES'!$A865="","",IF('ORDENES'!$AB865="","-",'ORDENES'!$AB865))</f>
        <v/>
      </c>
      <c r="G887" s="5">
        <f>IF('ORDENES'!$A865="","",IF('ORDENES'!$Z865="","-",'ORDENES'!$Z865))</f>
        <v/>
      </c>
      <c r="H887" s="5">
        <f>IF('ORDENES'!$A865="","",IF('ORDENES'!$AH865="","-",'ORDENES'!$AH865))</f>
        <v/>
      </c>
      <c r="I887" s="5">
        <f>IF('ORDENES'!$A865="","",IF('ORDENES'!$AU865="","-",'ORDENES'!$AU865))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3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IF('ORDENES'!$A865="","",'ORDENES'!$AG865)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IF('ORDENES'!$A866="","",IF('ORDENES'!$AI866="","-",'ORDENES'!$AI866))</f>
        <v/>
      </c>
      <c r="D888" s="5">
        <f>IF('ORDENES'!$A866="","",IF('ORDENES'!$AA866="","-",'ORDENES'!$AA866))</f>
        <v/>
      </c>
      <c r="E888" s="5">
        <f>IF('ORDENES'!$A866="","",IF('ORDENES'!$Y866="","-",'ORDENES'!$Y866))</f>
        <v/>
      </c>
      <c r="F888" s="5">
        <f>IF('ORDENES'!$A866="","",IF('ORDENES'!$AB866="","-",'ORDENES'!$AB866))</f>
        <v/>
      </c>
      <c r="G888" s="5">
        <f>IF('ORDENES'!$A866="","",IF('ORDENES'!$Z866="","-",'ORDENES'!$Z866))</f>
        <v/>
      </c>
      <c r="H888" s="5">
        <f>IF('ORDENES'!$A866="","",IF('ORDENES'!$AH866="","-",'ORDENES'!$AH866))</f>
        <v/>
      </c>
      <c r="I888" s="5">
        <f>IF('ORDENES'!$A866="","",IF('ORDENES'!$AU866="","-",'ORDENES'!$AU866))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3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IF('ORDENES'!$A866="","",'ORDENES'!$AG866)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IF('ORDENES'!$A867="","",IF('ORDENES'!$AI867="","-",'ORDENES'!$AI867))</f>
        <v/>
      </c>
      <c r="D889" s="5">
        <f>IF('ORDENES'!$A867="","",IF('ORDENES'!$AA867="","-",'ORDENES'!$AA867))</f>
        <v/>
      </c>
      <c r="E889" s="5">
        <f>IF('ORDENES'!$A867="","",IF('ORDENES'!$Y867="","-",'ORDENES'!$Y867))</f>
        <v/>
      </c>
      <c r="F889" s="5">
        <f>IF('ORDENES'!$A867="","",IF('ORDENES'!$AB867="","-",'ORDENES'!$AB867))</f>
        <v/>
      </c>
      <c r="G889" s="5">
        <f>IF('ORDENES'!$A867="","",IF('ORDENES'!$Z867="","-",'ORDENES'!$Z867))</f>
        <v/>
      </c>
      <c r="H889" s="5">
        <f>IF('ORDENES'!$A867="","",IF('ORDENES'!$AH867="","-",'ORDENES'!$AH867))</f>
        <v/>
      </c>
      <c r="I889" s="5">
        <f>IF('ORDENES'!$A867="","",IF('ORDENES'!$AU867="","-",'ORDENES'!$AU867))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3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IF('ORDENES'!$A867="","",'ORDENES'!$AG867)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IF('ORDENES'!$A868="","",IF('ORDENES'!$AI868="","-",'ORDENES'!$AI868))</f>
        <v/>
      </c>
      <c r="D890" s="5">
        <f>IF('ORDENES'!$A868="","",IF('ORDENES'!$AA868="","-",'ORDENES'!$AA868))</f>
        <v/>
      </c>
      <c r="E890" s="5">
        <f>IF('ORDENES'!$A868="","",IF('ORDENES'!$Y868="","-",'ORDENES'!$Y868))</f>
        <v/>
      </c>
      <c r="F890" s="5">
        <f>IF('ORDENES'!$A868="","",IF('ORDENES'!$AB868="","-",'ORDENES'!$AB868))</f>
        <v/>
      </c>
      <c r="G890" s="5">
        <f>IF('ORDENES'!$A868="","",IF('ORDENES'!$Z868="","-",'ORDENES'!$Z868))</f>
        <v/>
      </c>
      <c r="H890" s="5">
        <f>IF('ORDENES'!$A868="","",IF('ORDENES'!$AH868="","-",'ORDENES'!$AH868))</f>
        <v/>
      </c>
      <c r="I890" s="5">
        <f>IF('ORDENES'!$A868="","",IF('ORDENES'!$AU868="","-",'ORDENES'!$AU868))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3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IF('ORDENES'!$A868="","",'ORDENES'!$AG868)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IF('ORDENES'!$A869="","",IF('ORDENES'!$AI869="","-",'ORDENES'!$AI869))</f>
        <v/>
      </c>
      <c r="D891" s="5">
        <f>IF('ORDENES'!$A869="","",IF('ORDENES'!$AA869="","-",'ORDENES'!$AA869))</f>
        <v/>
      </c>
      <c r="E891" s="5">
        <f>IF('ORDENES'!$A869="","",IF('ORDENES'!$Y869="","-",'ORDENES'!$Y869))</f>
        <v/>
      </c>
      <c r="F891" s="5">
        <f>IF('ORDENES'!$A869="","",IF('ORDENES'!$AB869="","-",'ORDENES'!$AB869))</f>
        <v/>
      </c>
      <c r="G891" s="5">
        <f>IF('ORDENES'!$A869="","",IF('ORDENES'!$Z869="","-",'ORDENES'!$Z869))</f>
        <v/>
      </c>
      <c r="H891" s="5">
        <f>IF('ORDENES'!$A869="","",IF('ORDENES'!$AH869="","-",'ORDENES'!$AH869))</f>
        <v/>
      </c>
      <c r="I891" s="5">
        <f>IF('ORDENES'!$A869="","",IF('ORDENES'!$AU869="","-",'ORDENES'!$AU869))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3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IF('ORDENES'!$A869="","",'ORDENES'!$AG869)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IF('ORDENES'!$A870="","",IF('ORDENES'!$AI870="","-",'ORDENES'!$AI870))</f>
        <v/>
      </c>
      <c r="D892" s="5">
        <f>IF('ORDENES'!$A870="","",IF('ORDENES'!$AA870="","-",'ORDENES'!$AA870))</f>
        <v/>
      </c>
      <c r="E892" s="5">
        <f>IF('ORDENES'!$A870="","",IF('ORDENES'!$Y870="","-",'ORDENES'!$Y870))</f>
        <v/>
      </c>
      <c r="F892" s="5">
        <f>IF('ORDENES'!$A870="","",IF('ORDENES'!$AB870="","-",'ORDENES'!$AB870))</f>
        <v/>
      </c>
      <c r="G892" s="5">
        <f>IF('ORDENES'!$A870="","",IF('ORDENES'!$Z870="","-",'ORDENES'!$Z870))</f>
        <v/>
      </c>
      <c r="H892" s="5">
        <f>IF('ORDENES'!$A870="","",IF('ORDENES'!$AH870="","-",'ORDENES'!$AH870))</f>
        <v/>
      </c>
      <c r="I892" s="5">
        <f>IF('ORDENES'!$A870="","",IF('ORDENES'!$AU870="","-",'ORDENES'!$AU870))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3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IF('ORDENES'!$A870="","",'ORDENES'!$AG870)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IF('ORDENES'!$A871="","",IF('ORDENES'!$AI871="","-",'ORDENES'!$AI871))</f>
        <v/>
      </c>
      <c r="D893" s="5">
        <f>IF('ORDENES'!$A871="","",IF('ORDENES'!$AA871="","-",'ORDENES'!$AA871))</f>
        <v/>
      </c>
      <c r="E893" s="5">
        <f>IF('ORDENES'!$A871="","",IF('ORDENES'!$Y871="","-",'ORDENES'!$Y871))</f>
        <v/>
      </c>
      <c r="F893" s="5">
        <f>IF('ORDENES'!$A871="","",IF('ORDENES'!$AB871="","-",'ORDENES'!$AB871))</f>
        <v/>
      </c>
      <c r="G893" s="5">
        <f>IF('ORDENES'!$A871="","",IF('ORDENES'!$Z871="","-",'ORDENES'!$Z871))</f>
        <v/>
      </c>
      <c r="H893" s="5">
        <f>IF('ORDENES'!$A871="","",IF('ORDENES'!$AH871="","-",'ORDENES'!$AH871))</f>
        <v/>
      </c>
      <c r="I893" s="5">
        <f>IF('ORDENES'!$A871="","",IF('ORDENES'!$AU871="","-",'ORDENES'!$AU871))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3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IF('ORDENES'!$A871="","",'ORDENES'!$AG871)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IF('ORDENES'!$A872="","",IF('ORDENES'!$AI872="","-",'ORDENES'!$AI872))</f>
        <v/>
      </c>
      <c r="D894" s="5">
        <f>IF('ORDENES'!$A872="","",IF('ORDENES'!$AA872="","-",'ORDENES'!$AA872))</f>
        <v/>
      </c>
      <c r="E894" s="5">
        <f>IF('ORDENES'!$A872="","",IF('ORDENES'!$Y872="","-",'ORDENES'!$Y872))</f>
        <v/>
      </c>
      <c r="F894" s="5">
        <f>IF('ORDENES'!$A872="","",IF('ORDENES'!$AB872="","-",'ORDENES'!$AB872))</f>
        <v/>
      </c>
      <c r="G894" s="5">
        <f>IF('ORDENES'!$A872="","",IF('ORDENES'!$Z872="","-",'ORDENES'!$Z872))</f>
        <v/>
      </c>
      <c r="H894" s="5">
        <f>IF('ORDENES'!$A872="","",IF('ORDENES'!$AH872="","-",'ORDENES'!$AH872))</f>
        <v/>
      </c>
      <c r="I894" s="5">
        <f>IF('ORDENES'!$A872="","",IF('ORDENES'!$AU872="","-",'ORDENES'!$AU872))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3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IF('ORDENES'!$A872="","",'ORDENES'!$AG872)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IF('ORDENES'!$A873="","",IF('ORDENES'!$AI873="","-",'ORDENES'!$AI873))</f>
        <v/>
      </c>
      <c r="D895" s="5">
        <f>IF('ORDENES'!$A873="","",IF('ORDENES'!$AA873="","-",'ORDENES'!$AA873))</f>
        <v/>
      </c>
      <c r="E895" s="5">
        <f>IF('ORDENES'!$A873="","",IF('ORDENES'!$Y873="","-",'ORDENES'!$Y873))</f>
        <v/>
      </c>
      <c r="F895" s="5">
        <f>IF('ORDENES'!$A873="","",IF('ORDENES'!$AB873="","-",'ORDENES'!$AB873))</f>
        <v/>
      </c>
      <c r="G895" s="5">
        <f>IF('ORDENES'!$A873="","",IF('ORDENES'!$Z873="","-",'ORDENES'!$Z873))</f>
        <v/>
      </c>
      <c r="H895" s="5">
        <f>IF('ORDENES'!$A873="","",IF('ORDENES'!$AH873="","-",'ORDENES'!$AH873))</f>
        <v/>
      </c>
      <c r="I895" s="5">
        <f>IF('ORDENES'!$A873="","",IF('ORDENES'!$AU873="","-",'ORDENES'!$AU873))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3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IF('ORDENES'!$A873="","",'ORDENES'!$AG873)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IF('ORDENES'!$A874="","",IF('ORDENES'!$AI874="","-",'ORDENES'!$AI874))</f>
        <v/>
      </c>
      <c r="D896" s="5">
        <f>IF('ORDENES'!$A874="","",IF('ORDENES'!$AA874="","-",'ORDENES'!$AA874))</f>
        <v/>
      </c>
      <c r="E896" s="5">
        <f>IF('ORDENES'!$A874="","",IF('ORDENES'!$Y874="","-",'ORDENES'!$Y874))</f>
        <v/>
      </c>
      <c r="F896" s="5">
        <f>IF('ORDENES'!$A874="","",IF('ORDENES'!$AB874="","-",'ORDENES'!$AB874))</f>
        <v/>
      </c>
      <c r="G896" s="5">
        <f>IF('ORDENES'!$A874="","",IF('ORDENES'!$Z874="","-",'ORDENES'!$Z874))</f>
        <v/>
      </c>
      <c r="H896" s="5">
        <f>IF('ORDENES'!$A874="","",IF('ORDENES'!$AH874="","-",'ORDENES'!$AH874))</f>
        <v/>
      </c>
      <c r="I896" s="5">
        <f>IF('ORDENES'!$A874="","",IF('ORDENES'!$AU874="","-",'ORDENES'!$AU874))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3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IF('ORDENES'!$A874="","",'ORDENES'!$AG874)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IF('ORDENES'!$A875="","",IF('ORDENES'!$AI875="","-",'ORDENES'!$AI875))</f>
        <v/>
      </c>
      <c r="D897" s="5">
        <f>IF('ORDENES'!$A875="","",IF('ORDENES'!$AA875="","-",'ORDENES'!$AA875))</f>
        <v/>
      </c>
      <c r="E897" s="5">
        <f>IF('ORDENES'!$A875="","",IF('ORDENES'!$Y875="","-",'ORDENES'!$Y875))</f>
        <v/>
      </c>
      <c r="F897" s="5">
        <f>IF('ORDENES'!$A875="","",IF('ORDENES'!$AB875="","-",'ORDENES'!$AB875))</f>
        <v/>
      </c>
      <c r="G897" s="5">
        <f>IF('ORDENES'!$A875="","",IF('ORDENES'!$Z875="","-",'ORDENES'!$Z875))</f>
        <v/>
      </c>
      <c r="H897" s="5">
        <f>IF('ORDENES'!$A875="","",IF('ORDENES'!$AH875="","-",'ORDENES'!$AH875))</f>
        <v/>
      </c>
      <c r="I897" s="5">
        <f>IF('ORDENES'!$A875="","",IF('ORDENES'!$AU875="","-",'ORDENES'!$AU875))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3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IF('ORDENES'!$A875="","",'ORDENES'!$AG875)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IF('ORDENES'!$A876="","",IF('ORDENES'!$AI876="","-",'ORDENES'!$AI876))</f>
        <v/>
      </c>
      <c r="D898" s="5">
        <f>IF('ORDENES'!$A876="","",IF('ORDENES'!$AA876="","-",'ORDENES'!$AA876))</f>
        <v/>
      </c>
      <c r="E898" s="5">
        <f>IF('ORDENES'!$A876="","",IF('ORDENES'!$Y876="","-",'ORDENES'!$Y876))</f>
        <v/>
      </c>
      <c r="F898" s="5">
        <f>IF('ORDENES'!$A876="","",IF('ORDENES'!$AB876="","-",'ORDENES'!$AB876))</f>
        <v/>
      </c>
      <c r="G898" s="5">
        <f>IF('ORDENES'!$A876="","",IF('ORDENES'!$Z876="","-",'ORDENES'!$Z876))</f>
        <v/>
      </c>
      <c r="H898" s="5">
        <f>IF('ORDENES'!$A876="","",IF('ORDENES'!$AH876="","-",'ORDENES'!$AH876))</f>
        <v/>
      </c>
      <c r="I898" s="5">
        <f>IF('ORDENES'!$A876="","",IF('ORDENES'!$AU876="","-",'ORDENES'!$AU876))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3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IF('ORDENES'!$A876="","",'ORDENES'!$AG876)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IF('ORDENES'!$A877="","",IF('ORDENES'!$AI877="","-",'ORDENES'!$AI877))</f>
        <v/>
      </c>
      <c r="D899" s="5">
        <f>IF('ORDENES'!$A877="","",IF('ORDENES'!$AA877="","-",'ORDENES'!$AA877))</f>
        <v/>
      </c>
      <c r="E899" s="5">
        <f>IF('ORDENES'!$A877="","",IF('ORDENES'!$Y877="","-",'ORDENES'!$Y877))</f>
        <v/>
      </c>
      <c r="F899" s="5">
        <f>IF('ORDENES'!$A877="","",IF('ORDENES'!$AB877="","-",'ORDENES'!$AB877))</f>
        <v/>
      </c>
      <c r="G899" s="5">
        <f>IF('ORDENES'!$A877="","",IF('ORDENES'!$Z877="","-",'ORDENES'!$Z877))</f>
        <v/>
      </c>
      <c r="H899" s="5">
        <f>IF('ORDENES'!$A877="","",IF('ORDENES'!$AH877="","-",'ORDENES'!$AH877))</f>
        <v/>
      </c>
      <c r="I899" s="5">
        <f>IF('ORDENES'!$A877="","",IF('ORDENES'!$AU877="","-",'ORDENES'!$AU877))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3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IF('ORDENES'!$A877="","",'ORDENES'!$AG877)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IF('ORDENES'!$A878="","",IF('ORDENES'!$AI878="","-",'ORDENES'!$AI878))</f>
        <v/>
      </c>
      <c r="D900" s="5">
        <f>IF('ORDENES'!$A878="","",IF('ORDENES'!$AA878="","-",'ORDENES'!$AA878))</f>
        <v/>
      </c>
      <c r="E900" s="5">
        <f>IF('ORDENES'!$A878="","",IF('ORDENES'!$Y878="","-",'ORDENES'!$Y878))</f>
        <v/>
      </c>
      <c r="F900" s="5">
        <f>IF('ORDENES'!$A878="","",IF('ORDENES'!$AB878="","-",'ORDENES'!$AB878))</f>
        <v/>
      </c>
      <c r="G900" s="5">
        <f>IF('ORDENES'!$A878="","",IF('ORDENES'!$Z878="","-",'ORDENES'!$Z878))</f>
        <v/>
      </c>
      <c r="H900" s="5">
        <f>IF('ORDENES'!$A878="","",IF('ORDENES'!$AH878="","-",'ORDENES'!$AH878))</f>
        <v/>
      </c>
      <c r="I900" s="5">
        <f>IF('ORDENES'!$A878="","",IF('ORDENES'!$AU878="","-",'ORDENES'!$AU878))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3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IF('ORDENES'!$A878="","",'ORDENES'!$AG878)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IF('ORDENES'!$A879="","",IF('ORDENES'!$AI879="","-",'ORDENES'!$AI879))</f>
        <v/>
      </c>
      <c r="D901" s="5">
        <f>IF('ORDENES'!$A879="","",IF('ORDENES'!$AA879="","-",'ORDENES'!$AA879))</f>
        <v/>
      </c>
      <c r="E901" s="5">
        <f>IF('ORDENES'!$A879="","",IF('ORDENES'!$Y879="","-",'ORDENES'!$Y879))</f>
        <v/>
      </c>
      <c r="F901" s="5">
        <f>IF('ORDENES'!$A879="","",IF('ORDENES'!$AB879="","-",'ORDENES'!$AB879))</f>
        <v/>
      </c>
      <c r="G901" s="5">
        <f>IF('ORDENES'!$A879="","",IF('ORDENES'!$Z879="","-",'ORDENES'!$Z879))</f>
        <v/>
      </c>
      <c r="H901" s="5">
        <f>IF('ORDENES'!$A879="","",IF('ORDENES'!$AH879="","-",'ORDENES'!$AH879))</f>
        <v/>
      </c>
      <c r="I901" s="5">
        <f>IF('ORDENES'!$A879="","",IF('ORDENES'!$AU879="","-",'ORDENES'!$AU879))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3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IF('ORDENES'!$A879="","",'ORDENES'!$AG879)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IF('ORDENES'!$A880="","",IF('ORDENES'!$AI880="","-",'ORDENES'!$AI880))</f>
        <v/>
      </c>
      <c r="D902" s="5">
        <f>IF('ORDENES'!$A880="","",IF('ORDENES'!$AA880="","-",'ORDENES'!$AA880))</f>
        <v/>
      </c>
      <c r="E902" s="5">
        <f>IF('ORDENES'!$A880="","",IF('ORDENES'!$Y880="","-",'ORDENES'!$Y880))</f>
        <v/>
      </c>
      <c r="F902" s="5">
        <f>IF('ORDENES'!$A880="","",IF('ORDENES'!$AB880="","-",'ORDENES'!$AB880))</f>
        <v/>
      </c>
      <c r="G902" s="5">
        <f>IF('ORDENES'!$A880="","",IF('ORDENES'!$Z880="","-",'ORDENES'!$Z880))</f>
        <v/>
      </c>
      <c r="H902" s="5">
        <f>IF('ORDENES'!$A880="","",IF('ORDENES'!$AH880="","-",'ORDENES'!$AH880))</f>
        <v/>
      </c>
      <c r="I902" s="5">
        <f>IF('ORDENES'!$A880="","",IF('ORDENES'!$AU880="","-",'ORDENES'!$AU880))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3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IF('ORDENES'!$A880="","",'ORDENES'!$AG880)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IF('ORDENES'!$A881="","",IF('ORDENES'!$AI881="","-",'ORDENES'!$AI881))</f>
        <v/>
      </c>
      <c r="D903" s="5">
        <f>IF('ORDENES'!$A881="","",IF('ORDENES'!$AA881="","-",'ORDENES'!$AA881))</f>
        <v/>
      </c>
      <c r="E903" s="5">
        <f>IF('ORDENES'!$A881="","",IF('ORDENES'!$Y881="","-",'ORDENES'!$Y881))</f>
        <v/>
      </c>
      <c r="F903" s="5">
        <f>IF('ORDENES'!$A881="","",IF('ORDENES'!$AB881="","-",'ORDENES'!$AB881))</f>
        <v/>
      </c>
      <c r="G903" s="5">
        <f>IF('ORDENES'!$A881="","",IF('ORDENES'!$Z881="","-",'ORDENES'!$Z881))</f>
        <v/>
      </c>
      <c r="H903" s="5">
        <f>IF('ORDENES'!$A881="","",IF('ORDENES'!$AH881="","-",'ORDENES'!$AH881))</f>
        <v/>
      </c>
      <c r="I903" s="5">
        <f>IF('ORDENES'!$A881="","",IF('ORDENES'!$AU881="","-",'ORDENES'!$AU881))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3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IF('ORDENES'!$A881="","",'ORDENES'!$AG881)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IF('ORDENES'!$A882="","",IF('ORDENES'!$AI882="","-",'ORDENES'!$AI882))</f>
        <v/>
      </c>
      <c r="D904" s="5">
        <f>IF('ORDENES'!$A882="","",IF('ORDENES'!$AA882="","-",'ORDENES'!$AA882))</f>
        <v/>
      </c>
      <c r="E904" s="5">
        <f>IF('ORDENES'!$A882="","",IF('ORDENES'!$Y882="","-",'ORDENES'!$Y882))</f>
        <v/>
      </c>
      <c r="F904" s="5">
        <f>IF('ORDENES'!$A882="","",IF('ORDENES'!$AB882="","-",'ORDENES'!$AB882))</f>
        <v/>
      </c>
      <c r="G904" s="5">
        <f>IF('ORDENES'!$A882="","",IF('ORDENES'!$Z882="","-",'ORDENES'!$Z882))</f>
        <v/>
      </c>
      <c r="H904" s="5">
        <f>IF('ORDENES'!$A882="","",IF('ORDENES'!$AH882="","-",'ORDENES'!$AH882))</f>
        <v/>
      </c>
      <c r="I904" s="5">
        <f>IF('ORDENES'!$A882="","",IF('ORDENES'!$AU882="","-",'ORDENES'!$AU882))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3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IF('ORDENES'!$A882="","",'ORDENES'!$AG882)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IF('ORDENES'!$A883="","",IF('ORDENES'!$AI883="","-",'ORDENES'!$AI883))</f>
        <v/>
      </c>
      <c r="D905" s="5">
        <f>IF('ORDENES'!$A883="","",IF('ORDENES'!$AA883="","-",'ORDENES'!$AA883))</f>
        <v/>
      </c>
      <c r="E905" s="5">
        <f>IF('ORDENES'!$A883="","",IF('ORDENES'!$Y883="","-",'ORDENES'!$Y883))</f>
        <v/>
      </c>
      <c r="F905" s="5">
        <f>IF('ORDENES'!$A883="","",IF('ORDENES'!$AB883="","-",'ORDENES'!$AB883))</f>
        <v/>
      </c>
      <c r="G905" s="5">
        <f>IF('ORDENES'!$A883="","",IF('ORDENES'!$Z883="","-",'ORDENES'!$Z883))</f>
        <v/>
      </c>
      <c r="H905" s="5">
        <f>IF('ORDENES'!$A883="","",IF('ORDENES'!$AH883="","-",'ORDENES'!$AH883))</f>
        <v/>
      </c>
      <c r="I905" s="5">
        <f>IF('ORDENES'!$A883="","",IF('ORDENES'!$AU883="","-",'ORDENES'!$AU883))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3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IF('ORDENES'!$A883="","",'ORDENES'!$AG883)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IF('ORDENES'!$A884="","",IF('ORDENES'!$AI884="","-",'ORDENES'!$AI884))</f>
        <v/>
      </c>
      <c r="D906" s="5">
        <f>IF('ORDENES'!$A884="","",IF('ORDENES'!$AA884="","-",'ORDENES'!$AA884))</f>
        <v/>
      </c>
      <c r="E906" s="5">
        <f>IF('ORDENES'!$A884="","",IF('ORDENES'!$Y884="","-",'ORDENES'!$Y884))</f>
        <v/>
      </c>
      <c r="F906" s="5">
        <f>IF('ORDENES'!$A884="","",IF('ORDENES'!$AB884="","-",'ORDENES'!$AB884))</f>
        <v/>
      </c>
      <c r="G906" s="5">
        <f>IF('ORDENES'!$A884="","",IF('ORDENES'!$Z884="","-",'ORDENES'!$Z884))</f>
        <v/>
      </c>
      <c r="H906" s="5">
        <f>IF('ORDENES'!$A884="","",IF('ORDENES'!$AH884="","-",'ORDENES'!$AH884))</f>
        <v/>
      </c>
      <c r="I906" s="5">
        <f>IF('ORDENES'!$A884="","",IF('ORDENES'!$AU884="","-",'ORDENES'!$AU884))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3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IF('ORDENES'!$A884="","",'ORDENES'!$AG884)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IF('ORDENES'!$A885="","",IF('ORDENES'!$AI885="","-",'ORDENES'!$AI885))</f>
        <v/>
      </c>
      <c r="D907" s="5">
        <f>IF('ORDENES'!$A885="","",IF('ORDENES'!$AA885="","-",'ORDENES'!$AA885))</f>
        <v/>
      </c>
      <c r="E907" s="5">
        <f>IF('ORDENES'!$A885="","",IF('ORDENES'!$Y885="","-",'ORDENES'!$Y885))</f>
        <v/>
      </c>
      <c r="F907" s="5">
        <f>IF('ORDENES'!$A885="","",IF('ORDENES'!$AB885="","-",'ORDENES'!$AB885))</f>
        <v/>
      </c>
      <c r="G907" s="5">
        <f>IF('ORDENES'!$A885="","",IF('ORDENES'!$Z885="","-",'ORDENES'!$Z885))</f>
        <v/>
      </c>
      <c r="H907" s="5">
        <f>IF('ORDENES'!$A885="","",IF('ORDENES'!$AH885="","-",'ORDENES'!$AH885))</f>
        <v/>
      </c>
      <c r="I907" s="5">
        <f>IF('ORDENES'!$A885="","",IF('ORDENES'!$AU885="","-",'ORDENES'!$AU885))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3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IF('ORDENES'!$A885="","",'ORDENES'!$AG885)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IF('ORDENES'!$A886="","",IF('ORDENES'!$AI886="","-",'ORDENES'!$AI886))</f>
        <v/>
      </c>
      <c r="D908" s="5">
        <f>IF('ORDENES'!$A886="","",IF('ORDENES'!$AA886="","-",'ORDENES'!$AA886))</f>
        <v/>
      </c>
      <c r="E908" s="5">
        <f>IF('ORDENES'!$A886="","",IF('ORDENES'!$Y886="","-",'ORDENES'!$Y886))</f>
        <v/>
      </c>
      <c r="F908" s="5">
        <f>IF('ORDENES'!$A886="","",IF('ORDENES'!$AB886="","-",'ORDENES'!$AB886))</f>
        <v/>
      </c>
      <c r="G908" s="5">
        <f>IF('ORDENES'!$A886="","",IF('ORDENES'!$Z886="","-",'ORDENES'!$Z886))</f>
        <v/>
      </c>
      <c r="H908" s="5">
        <f>IF('ORDENES'!$A886="","",IF('ORDENES'!$AH886="","-",'ORDENES'!$AH886))</f>
        <v/>
      </c>
      <c r="I908" s="5">
        <f>IF('ORDENES'!$A886="","",IF('ORDENES'!$AU886="","-",'ORDENES'!$AU886))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3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IF('ORDENES'!$A886="","",'ORDENES'!$AG886)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IF('ORDENES'!$A887="","",IF('ORDENES'!$AI887="","-",'ORDENES'!$AI887))</f>
        <v/>
      </c>
      <c r="D909" s="5">
        <f>IF('ORDENES'!$A887="","",IF('ORDENES'!$AA887="","-",'ORDENES'!$AA887))</f>
        <v/>
      </c>
      <c r="E909" s="5">
        <f>IF('ORDENES'!$A887="","",IF('ORDENES'!$Y887="","-",'ORDENES'!$Y887))</f>
        <v/>
      </c>
      <c r="F909" s="5">
        <f>IF('ORDENES'!$A887="","",IF('ORDENES'!$AB887="","-",'ORDENES'!$AB887))</f>
        <v/>
      </c>
      <c r="G909" s="5">
        <f>IF('ORDENES'!$A887="","",IF('ORDENES'!$Z887="","-",'ORDENES'!$Z887))</f>
        <v/>
      </c>
      <c r="H909" s="5">
        <f>IF('ORDENES'!$A887="","",IF('ORDENES'!$AH887="","-",'ORDENES'!$AH887))</f>
        <v/>
      </c>
      <c r="I909" s="5">
        <f>IF('ORDENES'!$A887="","",IF('ORDENES'!$AU887="","-",'ORDENES'!$AU887))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3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IF('ORDENES'!$A887="","",'ORDENES'!$AG887)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IF('ORDENES'!$A888="","",IF('ORDENES'!$AI888="","-",'ORDENES'!$AI888))</f>
        <v/>
      </c>
      <c r="D910" s="5">
        <f>IF('ORDENES'!$A888="","",IF('ORDENES'!$AA888="","-",'ORDENES'!$AA888))</f>
        <v/>
      </c>
      <c r="E910" s="5">
        <f>IF('ORDENES'!$A888="","",IF('ORDENES'!$Y888="","-",'ORDENES'!$Y888))</f>
        <v/>
      </c>
      <c r="F910" s="5">
        <f>IF('ORDENES'!$A888="","",IF('ORDENES'!$AB888="","-",'ORDENES'!$AB888))</f>
        <v/>
      </c>
      <c r="G910" s="5">
        <f>IF('ORDENES'!$A888="","",IF('ORDENES'!$Z888="","-",'ORDENES'!$Z888))</f>
        <v/>
      </c>
      <c r="H910" s="5">
        <f>IF('ORDENES'!$A888="","",IF('ORDENES'!$AH888="","-",'ORDENES'!$AH888))</f>
        <v/>
      </c>
      <c r="I910" s="5">
        <f>IF('ORDENES'!$A888="","",IF('ORDENES'!$AU888="","-",'ORDENES'!$AU888))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3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IF('ORDENES'!$A888="","",'ORDENES'!$AG888)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IF('ORDENES'!$A889="","",IF('ORDENES'!$AI889="","-",'ORDENES'!$AI889))</f>
        <v/>
      </c>
      <c r="D911" s="5">
        <f>IF('ORDENES'!$A889="","",IF('ORDENES'!$AA889="","-",'ORDENES'!$AA889))</f>
        <v/>
      </c>
      <c r="E911" s="5">
        <f>IF('ORDENES'!$A889="","",IF('ORDENES'!$Y889="","-",'ORDENES'!$Y889))</f>
        <v/>
      </c>
      <c r="F911" s="5">
        <f>IF('ORDENES'!$A889="","",IF('ORDENES'!$AB889="","-",'ORDENES'!$AB889))</f>
        <v/>
      </c>
      <c r="G911" s="5">
        <f>IF('ORDENES'!$A889="","",IF('ORDENES'!$Z889="","-",'ORDENES'!$Z889))</f>
        <v/>
      </c>
      <c r="H911" s="5">
        <f>IF('ORDENES'!$A889="","",IF('ORDENES'!$AH889="","-",'ORDENES'!$AH889))</f>
        <v/>
      </c>
      <c r="I911" s="5">
        <f>IF('ORDENES'!$A889="","",IF('ORDENES'!$AU889="","-",'ORDENES'!$AU889))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3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IF('ORDENES'!$A889="","",'ORDENES'!$AG889)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IF('ORDENES'!$A890="","",IF('ORDENES'!$AI890="","-",'ORDENES'!$AI890))</f>
        <v/>
      </c>
      <c r="D912" s="5">
        <f>IF('ORDENES'!$A890="","",IF('ORDENES'!$AA890="","-",'ORDENES'!$AA890))</f>
        <v/>
      </c>
      <c r="E912" s="5">
        <f>IF('ORDENES'!$A890="","",IF('ORDENES'!$Y890="","-",'ORDENES'!$Y890))</f>
        <v/>
      </c>
      <c r="F912" s="5">
        <f>IF('ORDENES'!$A890="","",IF('ORDENES'!$AB890="","-",'ORDENES'!$AB890))</f>
        <v/>
      </c>
      <c r="G912" s="5">
        <f>IF('ORDENES'!$A890="","",IF('ORDENES'!$Z890="","-",'ORDENES'!$Z890))</f>
        <v/>
      </c>
      <c r="H912" s="5">
        <f>IF('ORDENES'!$A890="","",IF('ORDENES'!$AH890="","-",'ORDENES'!$AH890))</f>
        <v/>
      </c>
      <c r="I912" s="5">
        <f>IF('ORDENES'!$A890="","",IF('ORDENES'!$AU890="","-",'ORDENES'!$AU890))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3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IF('ORDENES'!$A890="","",'ORDENES'!$AG890)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IF('ORDENES'!$A891="","",IF('ORDENES'!$AI891="","-",'ORDENES'!$AI891))</f>
        <v/>
      </c>
      <c r="D913" s="5">
        <f>IF('ORDENES'!$A891="","",IF('ORDENES'!$AA891="","-",'ORDENES'!$AA891))</f>
        <v/>
      </c>
      <c r="E913" s="5">
        <f>IF('ORDENES'!$A891="","",IF('ORDENES'!$Y891="","-",'ORDENES'!$Y891))</f>
        <v/>
      </c>
      <c r="F913" s="5">
        <f>IF('ORDENES'!$A891="","",IF('ORDENES'!$AB891="","-",'ORDENES'!$AB891))</f>
        <v/>
      </c>
      <c r="G913" s="5">
        <f>IF('ORDENES'!$A891="","",IF('ORDENES'!$Z891="","-",'ORDENES'!$Z891))</f>
        <v/>
      </c>
      <c r="H913" s="5">
        <f>IF('ORDENES'!$A891="","",IF('ORDENES'!$AH891="","-",'ORDENES'!$AH891))</f>
        <v/>
      </c>
      <c r="I913" s="5">
        <f>IF('ORDENES'!$A891="","",IF('ORDENES'!$AU891="","-",'ORDENES'!$AU891))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3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IF('ORDENES'!$A891="","",'ORDENES'!$AG891)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IF('ORDENES'!$A892="","",IF('ORDENES'!$AI892="","-",'ORDENES'!$AI892))</f>
        <v/>
      </c>
      <c r="D914" s="5">
        <f>IF('ORDENES'!$A892="","",IF('ORDENES'!$AA892="","-",'ORDENES'!$AA892))</f>
        <v/>
      </c>
      <c r="E914" s="5">
        <f>IF('ORDENES'!$A892="","",IF('ORDENES'!$Y892="","-",'ORDENES'!$Y892))</f>
        <v/>
      </c>
      <c r="F914" s="5">
        <f>IF('ORDENES'!$A892="","",IF('ORDENES'!$AB892="","-",'ORDENES'!$AB892))</f>
        <v/>
      </c>
      <c r="G914" s="5">
        <f>IF('ORDENES'!$A892="","",IF('ORDENES'!$Z892="","-",'ORDENES'!$Z892))</f>
        <v/>
      </c>
      <c r="H914" s="5">
        <f>IF('ORDENES'!$A892="","",IF('ORDENES'!$AH892="","-",'ORDENES'!$AH892))</f>
        <v/>
      </c>
      <c r="I914" s="5">
        <f>IF('ORDENES'!$A892="","",IF('ORDENES'!$AU892="","-",'ORDENES'!$AU892))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3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IF('ORDENES'!$A892="","",'ORDENES'!$AG892)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IF('ORDENES'!$A893="","",IF('ORDENES'!$AI893="","-",'ORDENES'!$AI893))</f>
        <v/>
      </c>
      <c r="D915" s="5">
        <f>IF('ORDENES'!$A893="","",IF('ORDENES'!$AA893="","-",'ORDENES'!$AA893))</f>
        <v/>
      </c>
      <c r="E915" s="5">
        <f>IF('ORDENES'!$A893="","",IF('ORDENES'!$Y893="","-",'ORDENES'!$Y893))</f>
        <v/>
      </c>
      <c r="F915" s="5">
        <f>IF('ORDENES'!$A893="","",IF('ORDENES'!$AB893="","-",'ORDENES'!$AB893))</f>
        <v/>
      </c>
      <c r="G915" s="5">
        <f>IF('ORDENES'!$A893="","",IF('ORDENES'!$Z893="","-",'ORDENES'!$Z893))</f>
        <v/>
      </c>
      <c r="H915" s="5">
        <f>IF('ORDENES'!$A893="","",IF('ORDENES'!$AH893="","-",'ORDENES'!$AH893))</f>
        <v/>
      </c>
      <c r="I915" s="5">
        <f>IF('ORDENES'!$A893="","",IF('ORDENES'!$AU893="","-",'ORDENES'!$AU893))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3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IF('ORDENES'!$A893="","",'ORDENES'!$AG893)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IF('ORDENES'!$A894="","",IF('ORDENES'!$AI894="","-",'ORDENES'!$AI894))</f>
        <v/>
      </c>
      <c r="D916" s="5">
        <f>IF('ORDENES'!$A894="","",IF('ORDENES'!$AA894="","-",'ORDENES'!$AA894))</f>
        <v/>
      </c>
      <c r="E916" s="5">
        <f>IF('ORDENES'!$A894="","",IF('ORDENES'!$Y894="","-",'ORDENES'!$Y894))</f>
        <v/>
      </c>
      <c r="F916" s="5">
        <f>IF('ORDENES'!$A894="","",IF('ORDENES'!$AB894="","-",'ORDENES'!$AB894))</f>
        <v/>
      </c>
      <c r="G916" s="5">
        <f>IF('ORDENES'!$A894="","",IF('ORDENES'!$Z894="","-",'ORDENES'!$Z894))</f>
        <v/>
      </c>
      <c r="H916" s="5">
        <f>IF('ORDENES'!$A894="","",IF('ORDENES'!$AH894="","-",'ORDENES'!$AH894))</f>
        <v/>
      </c>
      <c r="I916" s="5">
        <f>IF('ORDENES'!$A894="","",IF('ORDENES'!$AU894="","-",'ORDENES'!$AU894))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3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IF('ORDENES'!$A894="","",'ORDENES'!$AG894)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IF('ORDENES'!$A895="","",IF('ORDENES'!$AI895="","-",'ORDENES'!$AI895))</f>
        <v/>
      </c>
      <c r="D917" s="5">
        <f>IF('ORDENES'!$A895="","",IF('ORDENES'!$AA895="","-",'ORDENES'!$AA895))</f>
        <v/>
      </c>
      <c r="E917" s="5">
        <f>IF('ORDENES'!$A895="","",IF('ORDENES'!$Y895="","-",'ORDENES'!$Y895))</f>
        <v/>
      </c>
      <c r="F917" s="5">
        <f>IF('ORDENES'!$A895="","",IF('ORDENES'!$AB895="","-",'ORDENES'!$AB895))</f>
        <v/>
      </c>
      <c r="G917" s="5">
        <f>IF('ORDENES'!$A895="","",IF('ORDENES'!$Z895="","-",'ORDENES'!$Z895))</f>
        <v/>
      </c>
      <c r="H917" s="5">
        <f>IF('ORDENES'!$A895="","",IF('ORDENES'!$AH895="","-",'ORDENES'!$AH895))</f>
        <v/>
      </c>
      <c r="I917" s="5">
        <f>IF('ORDENES'!$A895="","",IF('ORDENES'!$AU895="","-",'ORDENES'!$AU895))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3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IF('ORDENES'!$A895="","",'ORDENES'!$AG895)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IF('ORDENES'!$A896="","",IF('ORDENES'!$AI896="","-",'ORDENES'!$AI896))</f>
        <v/>
      </c>
      <c r="D918" s="5">
        <f>IF('ORDENES'!$A896="","",IF('ORDENES'!$AA896="","-",'ORDENES'!$AA896))</f>
        <v/>
      </c>
      <c r="E918" s="5">
        <f>IF('ORDENES'!$A896="","",IF('ORDENES'!$Y896="","-",'ORDENES'!$Y896))</f>
        <v/>
      </c>
      <c r="F918" s="5">
        <f>IF('ORDENES'!$A896="","",IF('ORDENES'!$AB896="","-",'ORDENES'!$AB896))</f>
        <v/>
      </c>
      <c r="G918" s="5">
        <f>IF('ORDENES'!$A896="","",IF('ORDENES'!$Z896="","-",'ORDENES'!$Z896))</f>
        <v/>
      </c>
      <c r="H918" s="5">
        <f>IF('ORDENES'!$A896="","",IF('ORDENES'!$AH896="","-",'ORDENES'!$AH896))</f>
        <v/>
      </c>
      <c r="I918" s="5">
        <f>IF('ORDENES'!$A896="","",IF('ORDENES'!$AU896="","-",'ORDENES'!$AU896))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3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IF('ORDENES'!$A896="","",'ORDENES'!$AG896)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IF('ORDENES'!$A897="","",IF('ORDENES'!$AI897="","-",'ORDENES'!$AI897))</f>
        <v/>
      </c>
      <c r="D919" s="5">
        <f>IF('ORDENES'!$A897="","",IF('ORDENES'!$AA897="","-",'ORDENES'!$AA897))</f>
        <v/>
      </c>
      <c r="E919" s="5">
        <f>IF('ORDENES'!$A897="","",IF('ORDENES'!$Y897="","-",'ORDENES'!$Y897))</f>
        <v/>
      </c>
      <c r="F919" s="5">
        <f>IF('ORDENES'!$A897="","",IF('ORDENES'!$AB897="","-",'ORDENES'!$AB897))</f>
        <v/>
      </c>
      <c r="G919" s="5">
        <f>IF('ORDENES'!$A897="","",IF('ORDENES'!$Z897="","-",'ORDENES'!$Z897))</f>
        <v/>
      </c>
      <c r="H919" s="5">
        <f>IF('ORDENES'!$A897="","",IF('ORDENES'!$AH897="","-",'ORDENES'!$AH897))</f>
        <v/>
      </c>
      <c r="I919" s="5">
        <f>IF('ORDENES'!$A897="","",IF('ORDENES'!$AU897="","-",'ORDENES'!$AU897))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3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IF('ORDENES'!$A897="","",'ORDENES'!$AG897)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IF('ORDENES'!$A898="","",IF('ORDENES'!$AI898="","-",'ORDENES'!$AI898))</f>
        <v/>
      </c>
      <c r="D920" s="5">
        <f>IF('ORDENES'!$A898="","",IF('ORDENES'!$AA898="","-",'ORDENES'!$AA898))</f>
        <v/>
      </c>
      <c r="E920" s="5">
        <f>IF('ORDENES'!$A898="","",IF('ORDENES'!$Y898="","-",'ORDENES'!$Y898))</f>
        <v/>
      </c>
      <c r="F920" s="5">
        <f>IF('ORDENES'!$A898="","",IF('ORDENES'!$AB898="","-",'ORDENES'!$AB898))</f>
        <v/>
      </c>
      <c r="G920" s="5">
        <f>IF('ORDENES'!$A898="","",IF('ORDENES'!$Z898="","-",'ORDENES'!$Z898))</f>
        <v/>
      </c>
      <c r="H920" s="5">
        <f>IF('ORDENES'!$A898="","",IF('ORDENES'!$AH898="","-",'ORDENES'!$AH898))</f>
        <v/>
      </c>
      <c r="I920" s="5">
        <f>IF('ORDENES'!$A898="","",IF('ORDENES'!$AU898="","-",'ORDENES'!$AU898))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3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IF('ORDENES'!$A898="","",'ORDENES'!$AG898)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IF('ORDENES'!$A899="","",IF('ORDENES'!$AI899="","-",'ORDENES'!$AI899))</f>
        <v/>
      </c>
      <c r="D921" s="5">
        <f>IF('ORDENES'!$A899="","",IF('ORDENES'!$AA899="","-",'ORDENES'!$AA899))</f>
        <v/>
      </c>
      <c r="E921" s="5">
        <f>IF('ORDENES'!$A899="","",IF('ORDENES'!$Y899="","-",'ORDENES'!$Y899))</f>
        <v/>
      </c>
      <c r="F921" s="5">
        <f>IF('ORDENES'!$A899="","",IF('ORDENES'!$AB899="","-",'ORDENES'!$AB899))</f>
        <v/>
      </c>
      <c r="G921" s="5">
        <f>IF('ORDENES'!$A899="","",IF('ORDENES'!$Z899="","-",'ORDENES'!$Z899))</f>
        <v/>
      </c>
      <c r="H921" s="5">
        <f>IF('ORDENES'!$A899="","",IF('ORDENES'!$AH899="","-",'ORDENES'!$AH899))</f>
        <v/>
      </c>
      <c r="I921" s="5">
        <f>IF('ORDENES'!$A899="","",IF('ORDENES'!$AU899="","-",'ORDENES'!$AU899))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3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IF('ORDENES'!$A899="","",'ORDENES'!$AG899)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IF('ORDENES'!$A900="","",IF('ORDENES'!$AI900="","-",'ORDENES'!$AI900))</f>
        <v/>
      </c>
      <c r="D922" s="5">
        <f>IF('ORDENES'!$A900="","",IF('ORDENES'!$AA900="","-",'ORDENES'!$AA900))</f>
        <v/>
      </c>
      <c r="E922" s="5">
        <f>IF('ORDENES'!$A900="","",IF('ORDENES'!$Y900="","-",'ORDENES'!$Y900))</f>
        <v/>
      </c>
      <c r="F922" s="5">
        <f>IF('ORDENES'!$A900="","",IF('ORDENES'!$AB900="","-",'ORDENES'!$AB900))</f>
        <v/>
      </c>
      <c r="G922" s="5">
        <f>IF('ORDENES'!$A900="","",IF('ORDENES'!$Z900="","-",'ORDENES'!$Z900))</f>
        <v/>
      </c>
      <c r="H922" s="5">
        <f>IF('ORDENES'!$A900="","",IF('ORDENES'!$AH900="","-",'ORDENES'!$AH900))</f>
        <v/>
      </c>
      <c r="I922" s="5">
        <f>IF('ORDENES'!$A900="","",IF('ORDENES'!$AU900="","-",'ORDENES'!$AU900))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3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IF('ORDENES'!$A900="","",'ORDENES'!$AG900)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IF('ORDENES'!$A901="","",IF('ORDENES'!$AI901="","-",'ORDENES'!$AI901))</f>
        <v/>
      </c>
      <c r="D923" s="5">
        <f>IF('ORDENES'!$A901="","",IF('ORDENES'!$AA901="","-",'ORDENES'!$AA901))</f>
        <v/>
      </c>
      <c r="E923" s="5">
        <f>IF('ORDENES'!$A901="","",IF('ORDENES'!$Y901="","-",'ORDENES'!$Y901))</f>
        <v/>
      </c>
      <c r="F923" s="5">
        <f>IF('ORDENES'!$A901="","",IF('ORDENES'!$AB901="","-",'ORDENES'!$AB901))</f>
        <v/>
      </c>
      <c r="G923" s="5">
        <f>IF('ORDENES'!$A901="","",IF('ORDENES'!$Z901="","-",'ORDENES'!$Z901))</f>
        <v/>
      </c>
      <c r="H923" s="5">
        <f>IF('ORDENES'!$A901="","",IF('ORDENES'!$AH901="","-",'ORDENES'!$AH901))</f>
        <v/>
      </c>
      <c r="I923" s="5">
        <f>IF('ORDENES'!$A901="","",IF('ORDENES'!$AU901="","-",'ORDENES'!$AU901))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3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IF('ORDENES'!$A901="","",'ORDENES'!$AG901)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IF('ORDENES'!$A902="","",IF('ORDENES'!$AI902="","-",'ORDENES'!$AI902))</f>
        <v/>
      </c>
      <c r="D924" s="5">
        <f>IF('ORDENES'!$A902="","",IF('ORDENES'!$AA902="","-",'ORDENES'!$AA902))</f>
        <v/>
      </c>
      <c r="E924" s="5">
        <f>IF('ORDENES'!$A902="","",IF('ORDENES'!$Y902="","-",'ORDENES'!$Y902))</f>
        <v/>
      </c>
      <c r="F924" s="5">
        <f>IF('ORDENES'!$A902="","",IF('ORDENES'!$AB902="","-",'ORDENES'!$AB902))</f>
        <v/>
      </c>
      <c r="G924" s="5">
        <f>IF('ORDENES'!$A902="","",IF('ORDENES'!$Z902="","-",'ORDENES'!$Z902))</f>
        <v/>
      </c>
      <c r="H924" s="5">
        <f>IF('ORDENES'!$A902="","",IF('ORDENES'!$AH902="","-",'ORDENES'!$AH902))</f>
        <v/>
      </c>
      <c r="I924" s="5">
        <f>IF('ORDENES'!$A902="","",IF('ORDENES'!$AU902="","-",'ORDENES'!$AU902))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3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IF('ORDENES'!$A902="","",'ORDENES'!$AG902)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IF('ORDENES'!$A903="","",IF('ORDENES'!$AI903="","-",'ORDENES'!$AI903))</f>
        <v/>
      </c>
      <c r="D925" s="5">
        <f>IF('ORDENES'!$A903="","",IF('ORDENES'!$AA903="","-",'ORDENES'!$AA903))</f>
        <v/>
      </c>
      <c r="E925" s="5">
        <f>IF('ORDENES'!$A903="","",IF('ORDENES'!$Y903="","-",'ORDENES'!$Y903))</f>
        <v/>
      </c>
      <c r="F925" s="5">
        <f>IF('ORDENES'!$A903="","",IF('ORDENES'!$AB903="","-",'ORDENES'!$AB903))</f>
        <v/>
      </c>
      <c r="G925" s="5">
        <f>IF('ORDENES'!$A903="","",IF('ORDENES'!$Z903="","-",'ORDENES'!$Z903))</f>
        <v/>
      </c>
      <c r="H925" s="5">
        <f>IF('ORDENES'!$A903="","",IF('ORDENES'!$AH903="","-",'ORDENES'!$AH903))</f>
        <v/>
      </c>
      <c r="I925" s="5">
        <f>IF('ORDENES'!$A903="","",IF('ORDENES'!$AU903="","-",'ORDENES'!$AU903))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3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IF('ORDENES'!$A903="","",'ORDENES'!$AG903)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IF('ORDENES'!$A904="","",IF('ORDENES'!$AI904="","-",'ORDENES'!$AI904))</f>
        <v/>
      </c>
      <c r="D926" s="5">
        <f>IF('ORDENES'!$A904="","",IF('ORDENES'!$AA904="","-",'ORDENES'!$AA904))</f>
        <v/>
      </c>
      <c r="E926" s="5">
        <f>IF('ORDENES'!$A904="","",IF('ORDENES'!$Y904="","-",'ORDENES'!$Y904))</f>
        <v/>
      </c>
      <c r="F926" s="5">
        <f>IF('ORDENES'!$A904="","",IF('ORDENES'!$AB904="","-",'ORDENES'!$AB904))</f>
        <v/>
      </c>
      <c r="G926" s="5">
        <f>IF('ORDENES'!$A904="","",IF('ORDENES'!$Z904="","-",'ORDENES'!$Z904))</f>
        <v/>
      </c>
      <c r="H926" s="5">
        <f>IF('ORDENES'!$A904="","",IF('ORDENES'!$AH904="","-",'ORDENES'!$AH904))</f>
        <v/>
      </c>
      <c r="I926" s="5">
        <f>IF('ORDENES'!$A904="","",IF('ORDENES'!$AU904="","-",'ORDENES'!$AU904))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3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IF('ORDENES'!$A904="","",'ORDENES'!$AG904)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IF('ORDENES'!$A905="","",IF('ORDENES'!$AI905="","-",'ORDENES'!$AI905))</f>
        <v/>
      </c>
      <c r="D927" s="5">
        <f>IF('ORDENES'!$A905="","",IF('ORDENES'!$AA905="","-",'ORDENES'!$AA905))</f>
        <v/>
      </c>
      <c r="E927" s="5">
        <f>IF('ORDENES'!$A905="","",IF('ORDENES'!$Y905="","-",'ORDENES'!$Y905))</f>
        <v/>
      </c>
      <c r="F927" s="5">
        <f>IF('ORDENES'!$A905="","",IF('ORDENES'!$AB905="","-",'ORDENES'!$AB905))</f>
        <v/>
      </c>
      <c r="G927" s="5">
        <f>IF('ORDENES'!$A905="","",IF('ORDENES'!$Z905="","-",'ORDENES'!$Z905))</f>
        <v/>
      </c>
      <c r="H927" s="5">
        <f>IF('ORDENES'!$A905="","",IF('ORDENES'!$AH905="","-",'ORDENES'!$AH905))</f>
        <v/>
      </c>
      <c r="I927" s="5">
        <f>IF('ORDENES'!$A905="","",IF('ORDENES'!$AU905="","-",'ORDENES'!$AU905))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3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IF('ORDENES'!$A905="","",'ORDENES'!$AG905)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IF('ORDENES'!$A906="","",IF('ORDENES'!$AI906="","-",'ORDENES'!$AI906))</f>
        <v/>
      </c>
      <c r="D928" s="5">
        <f>IF('ORDENES'!$A906="","",IF('ORDENES'!$AA906="","-",'ORDENES'!$AA906))</f>
        <v/>
      </c>
      <c r="E928" s="5">
        <f>IF('ORDENES'!$A906="","",IF('ORDENES'!$Y906="","-",'ORDENES'!$Y906))</f>
        <v/>
      </c>
      <c r="F928" s="5">
        <f>IF('ORDENES'!$A906="","",IF('ORDENES'!$AB906="","-",'ORDENES'!$AB906))</f>
        <v/>
      </c>
      <c r="G928" s="5">
        <f>IF('ORDENES'!$A906="","",IF('ORDENES'!$Z906="","-",'ORDENES'!$Z906))</f>
        <v/>
      </c>
      <c r="H928" s="5">
        <f>IF('ORDENES'!$A906="","",IF('ORDENES'!$AH906="","-",'ORDENES'!$AH906))</f>
        <v/>
      </c>
      <c r="I928" s="5">
        <f>IF('ORDENES'!$A906="","",IF('ORDENES'!$AU906="","-",'ORDENES'!$AU906))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3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IF('ORDENES'!$A906="","",'ORDENES'!$AG906)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IF('ORDENES'!$A907="","",IF('ORDENES'!$AI907="","-",'ORDENES'!$AI907))</f>
        <v/>
      </c>
      <c r="D929" s="5">
        <f>IF('ORDENES'!$A907="","",IF('ORDENES'!$AA907="","-",'ORDENES'!$AA907))</f>
        <v/>
      </c>
      <c r="E929" s="5">
        <f>IF('ORDENES'!$A907="","",IF('ORDENES'!$Y907="","-",'ORDENES'!$Y907))</f>
        <v/>
      </c>
      <c r="F929" s="5">
        <f>IF('ORDENES'!$A907="","",IF('ORDENES'!$AB907="","-",'ORDENES'!$AB907))</f>
        <v/>
      </c>
      <c r="G929" s="5">
        <f>IF('ORDENES'!$A907="","",IF('ORDENES'!$Z907="","-",'ORDENES'!$Z907))</f>
        <v/>
      </c>
      <c r="H929" s="5">
        <f>IF('ORDENES'!$A907="","",IF('ORDENES'!$AH907="","-",'ORDENES'!$AH907))</f>
        <v/>
      </c>
      <c r="I929" s="5">
        <f>IF('ORDENES'!$A907="","",IF('ORDENES'!$AU907="","-",'ORDENES'!$AU907))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3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IF('ORDENES'!$A907="","",'ORDENES'!$AG907)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IF('ORDENES'!$A908="","",IF('ORDENES'!$AI908="","-",'ORDENES'!$AI908))</f>
        <v/>
      </c>
      <c r="D930" s="5">
        <f>IF('ORDENES'!$A908="","",IF('ORDENES'!$AA908="","-",'ORDENES'!$AA908))</f>
        <v/>
      </c>
      <c r="E930" s="5">
        <f>IF('ORDENES'!$A908="","",IF('ORDENES'!$Y908="","-",'ORDENES'!$Y908))</f>
        <v/>
      </c>
      <c r="F930" s="5">
        <f>IF('ORDENES'!$A908="","",IF('ORDENES'!$AB908="","-",'ORDENES'!$AB908))</f>
        <v/>
      </c>
      <c r="G930" s="5">
        <f>IF('ORDENES'!$A908="","",IF('ORDENES'!$Z908="","-",'ORDENES'!$Z908))</f>
        <v/>
      </c>
      <c r="H930" s="5">
        <f>IF('ORDENES'!$A908="","",IF('ORDENES'!$AH908="","-",'ORDENES'!$AH908))</f>
        <v/>
      </c>
      <c r="I930" s="5">
        <f>IF('ORDENES'!$A908="","",IF('ORDENES'!$AU908="","-",'ORDENES'!$AU908))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3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IF('ORDENES'!$A908="","",'ORDENES'!$AG908)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IF('ORDENES'!$A909="","",IF('ORDENES'!$AI909="","-",'ORDENES'!$AI909))</f>
        <v/>
      </c>
      <c r="D931" s="5">
        <f>IF('ORDENES'!$A909="","",IF('ORDENES'!$AA909="","-",'ORDENES'!$AA909))</f>
        <v/>
      </c>
      <c r="E931" s="5">
        <f>IF('ORDENES'!$A909="","",IF('ORDENES'!$Y909="","-",'ORDENES'!$Y909))</f>
        <v/>
      </c>
      <c r="F931" s="5">
        <f>IF('ORDENES'!$A909="","",IF('ORDENES'!$AB909="","-",'ORDENES'!$AB909))</f>
        <v/>
      </c>
      <c r="G931" s="5">
        <f>IF('ORDENES'!$A909="","",IF('ORDENES'!$Z909="","-",'ORDENES'!$Z909))</f>
        <v/>
      </c>
      <c r="H931" s="5">
        <f>IF('ORDENES'!$A909="","",IF('ORDENES'!$AH909="","-",'ORDENES'!$AH909))</f>
        <v/>
      </c>
      <c r="I931" s="5">
        <f>IF('ORDENES'!$A909="","",IF('ORDENES'!$AU909="","-",'ORDENES'!$AU909))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3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IF('ORDENES'!$A909="","",'ORDENES'!$AG909)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IF('ORDENES'!$A910="","",IF('ORDENES'!$AI910="","-",'ORDENES'!$AI910))</f>
        <v/>
      </c>
      <c r="D932" s="5">
        <f>IF('ORDENES'!$A910="","",IF('ORDENES'!$AA910="","-",'ORDENES'!$AA910))</f>
        <v/>
      </c>
      <c r="E932" s="5">
        <f>IF('ORDENES'!$A910="","",IF('ORDENES'!$Y910="","-",'ORDENES'!$Y910))</f>
        <v/>
      </c>
      <c r="F932" s="5">
        <f>IF('ORDENES'!$A910="","",IF('ORDENES'!$AB910="","-",'ORDENES'!$AB910))</f>
        <v/>
      </c>
      <c r="G932" s="5">
        <f>IF('ORDENES'!$A910="","",IF('ORDENES'!$Z910="","-",'ORDENES'!$Z910))</f>
        <v/>
      </c>
      <c r="H932" s="5">
        <f>IF('ORDENES'!$A910="","",IF('ORDENES'!$AH910="","-",'ORDENES'!$AH910))</f>
        <v/>
      </c>
      <c r="I932" s="5">
        <f>IF('ORDENES'!$A910="","",IF('ORDENES'!$AU910="","-",'ORDENES'!$AU910))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3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IF('ORDENES'!$A910="","",'ORDENES'!$AG910)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IF('ORDENES'!$A911="","",IF('ORDENES'!$AI911="","-",'ORDENES'!$AI911))</f>
        <v/>
      </c>
      <c r="D933" s="5">
        <f>IF('ORDENES'!$A911="","",IF('ORDENES'!$AA911="","-",'ORDENES'!$AA911))</f>
        <v/>
      </c>
      <c r="E933" s="5">
        <f>IF('ORDENES'!$A911="","",IF('ORDENES'!$Y911="","-",'ORDENES'!$Y911))</f>
        <v/>
      </c>
      <c r="F933" s="5">
        <f>IF('ORDENES'!$A911="","",IF('ORDENES'!$AB911="","-",'ORDENES'!$AB911))</f>
        <v/>
      </c>
      <c r="G933" s="5">
        <f>IF('ORDENES'!$A911="","",IF('ORDENES'!$Z911="","-",'ORDENES'!$Z911))</f>
        <v/>
      </c>
      <c r="H933" s="5">
        <f>IF('ORDENES'!$A911="","",IF('ORDENES'!$AH911="","-",'ORDENES'!$AH911))</f>
        <v/>
      </c>
      <c r="I933" s="5">
        <f>IF('ORDENES'!$A911="","",IF('ORDENES'!$AU911="","-",'ORDENES'!$AU911))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3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IF('ORDENES'!$A911="","",'ORDENES'!$AG911)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IF('ORDENES'!$A912="","",IF('ORDENES'!$AI912="","-",'ORDENES'!$AI912))</f>
        <v/>
      </c>
      <c r="D934" s="5">
        <f>IF('ORDENES'!$A912="","",IF('ORDENES'!$AA912="","-",'ORDENES'!$AA912))</f>
        <v/>
      </c>
      <c r="E934" s="5">
        <f>IF('ORDENES'!$A912="","",IF('ORDENES'!$Y912="","-",'ORDENES'!$Y912))</f>
        <v/>
      </c>
      <c r="F934" s="5">
        <f>IF('ORDENES'!$A912="","",IF('ORDENES'!$AB912="","-",'ORDENES'!$AB912))</f>
        <v/>
      </c>
      <c r="G934" s="5">
        <f>IF('ORDENES'!$A912="","",IF('ORDENES'!$Z912="","-",'ORDENES'!$Z912))</f>
        <v/>
      </c>
      <c r="H934" s="5">
        <f>IF('ORDENES'!$A912="","",IF('ORDENES'!$AH912="","-",'ORDENES'!$AH912))</f>
        <v/>
      </c>
      <c r="I934" s="5">
        <f>IF('ORDENES'!$A912="","",IF('ORDENES'!$AU912="","-",'ORDENES'!$AU912))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3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IF('ORDENES'!$A912="","",'ORDENES'!$AG912)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IF('ORDENES'!$A913="","",IF('ORDENES'!$AI913="","-",'ORDENES'!$AI913))</f>
        <v/>
      </c>
      <c r="D935" s="5">
        <f>IF('ORDENES'!$A913="","",IF('ORDENES'!$AA913="","-",'ORDENES'!$AA913))</f>
        <v/>
      </c>
      <c r="E935" s="5">
        <f>IF('ORDENES'!$A913="","",IF('ORDENES'!$Y913="","-",'ORDENES'!$Y913))</f>
        <v/>
      </c>
      <c r="F935" s="5">
        <f>IF('ORDENES'!$A913="","",IF('ORDENES'!$AB913="","-",'ORDENES'!$AB913))</f>
        <v/>
      </c>
      <c r="G935" s="5">
        <f>IF('ORDENES'!$A913="","",IF('ORDENES'!$Z913="","-",'ORDENES'!$Z913))</f>
        <v/>
      </c>
      <c r="H935" s="5">
        <f>IF('ORDENES'!$A913="","",IF('ORDENES'!$AH913="","-",'ORDENES'!$AH913))</f>
        <v/>
      </c>
      <c r="I935" s="5">
        <f>IF('ORDENES'!$A913="","",IF('ORDENES'!$AU913="","-",'ORDENES'!$AU913))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3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IF('ORDENES'!$A913="","",'ORDENES'!$AG913)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IF('ORDENES'!$A914="","",IF('ORDENES'!$AI914="","-",'ORDENES'!$AI914))</f>
        <v/>
      </c>
      <c r="D936" s="5">
        <f>IF('ORDENES'!$A914="","",IF('ORDENES'!$AA914="","-",'ORDENES'!$AA914))</f>
        <v/>
      </c>
      <c r="E936" s="5">
        <f>IF('ORDENES'!$A914="","",IF('ORDENES'!$Y914="","-",'ORDENES'!$Y914))</f>
        <v/>
      </c>
      <c r="F936" s="5">
        <f>IF('ORDENES'!$A914="","",IF('ORDENES'!$AB914="","-",'ORDENES'!$AB914))</f>
        <v/>
      </c>
      <c r="G936" s="5">
        <f>IF('ORDENES'!$A914="","",IF('ORDENES'!$Z914="","-",'ORDENES'!$Z914))</f>
        <v/>
      </c>
      <c r="H936" s="5">
        <f>IF('ORDENES'!$A914="","",IF('ORDENES'!$AH914="","-",'ORDENES'!$AH914))</f>
        <v/>
      </c>
      <c r="I936" s="5">
        <f>IF('ORDENES'!$A914="","",IF('ORDENES'!$AU914="","-",'ORDENES'!$AU914))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3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IF('ORDENES'!$A914="","",'ORDENES'!$AG914)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IF('ORDENES'!$A915="","",IF('ORDENES'!$AI915="","-",'ORDENES'!$AI915))</f>
        <v/>
      </c>
      <c r="D937" s="5">
        <f>IF('ORDENES'!$A915="","",IF('ORDENES'!$AA915="","-",'ORDENES'!$AA915))</f>
        <v/>
      </c>
      <c r="E937" s="5">
        <f>IF('ORDENES'!$A915="","",IF('ORDENES'!$Y915="","-",'ORDENES'!$Y915))</f>
        <v/>
      </c>
      <c r="F937" s="5">
        <f>IF('ORDENES'!$A915="","",IF('ORDENES'!$AB915="","-",'ORDENES'!$AB915))</f>
        <v/>
      </c>
      <c r="G937" s="5">
        <f>IF('ORDENES'!$A915="","",IF('ORDENES'!$Z915="","-",'ORDENES'!$Z915))</f>
        <v/>
      </c>
      <c r="H937" s="5">
        <f>IF('ORDENES'!$A915="","",IF('ORDENES'!$AH915="","-",'ORDENES'!$AH915))</f>
        <v/>
      </c>
      <c r="I937" s="5">
        <f>IF('ORDENES'!$A915="","",IF('ORDENES'!$AU915="","-",'ORDENES'!$AU915))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3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IF('ORDENES'!$A915="","",'ORDENES'!$AG915)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IF('ORDENES'!$A916="","",IF('ORDENES'!$AI916="","-",'ORDENES'!$AI916))</f>
        <v/>
      </c>
      <c r="D938" s="5">
        <f>IF('ORDENES'!$A916="","",IF('ORDENES'!$AA916="","-",'ORDENES'!$AA916))</f>
        <v/>
      </c>
      <c r="E938" s="5">
        <f>IF('ORDENES'!$A916="","",IF('ORDENES'!$Y916="","-",'ORDENES'!$Y916))</f>
        <v/>
      </c>
      <c r="F938" s="5">
        <f>IF('ORDENES'!$A916="","",IF('ORDENES'!$AB916="","-",'ORDENES'!$AB916))</f>
        <v/>
      </c>
      <c r="G938" s="5">
        <f>IF('ORDENES'!$A916="","",IF('ORDENES'!$Z916="","-",'ORDENES'!$Z916))</f>
        <v/>
      </c>
      <c r="H938" s="5">
        <f>IF('ORDENES'!$A916="","",IF('ORDENES'!$AH916="","-",'ORDENES'!$AH916))</f>
        <v/>
      </c>
      <c r="I938" s="5">
        <f>IF('ORDENES'!$A916="","",IF('ORDENES'!$AU916="","-",'ORDENES'!$AU916))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3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IF('ORDENES'!$A916="","",'ORDENES'!$AG916)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IF('ORDENES'!$A917="","",IF('ORDENES'!$AI917="","-",'ORDENES'!$AI917))</f>
        <v/>
      </c>
      <c r="D939" s="5">
        <f>IF('ORDENES'!$A917="","",IF('ORDENES'!$AA917="","-",'ORDENES'!$AA917))</f>
        <v/>
      </c>
      <c r="E939" s="5">
        <f>IF('ORDENES'!$A917="","",IF('ORDENES'!$Y917="","-",'ORDENES'!$Y917))</f>
        <v/>
      </c>
      <c r="F939" s="5">
        <f>IF('ORDENES'!$A917="","",IF('ORDENES'!$AB917="","-",'ORDENES'!$AB917))</f>
        <v/>
      </c>
      <c r="G939" s="5">
        <f>IF('ORDENES'!$A917="","",IF('ORDENES'!$Z917="","-",'ORDENES'!$Z917))</f>
        <v/>
      </c>
      <c r="H939" s="5">
        <f>IF('ORDENES'!$A917="","",IF('ORDENES'!$AH917="","-",'ORDENES'!$AH917))</f>
        <v/>
      </c>
      <c r="I939" s="5">
        <f>IF('ORDENES'!$A917="","",IF('ORDENES'!$AU917="","-",'ORDENES'!$AU917))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3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IF('ORDENES'!$A917="","",'ORDENES'!$AG917)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IF('ORDENES'!$A918="","",IF('ORDENES'!$AI918="","-",'ORDENES'!$AI918))</f>
        <v/>
      </c>
      <c r="D940" s="5">
        <f>IF('ORDENES'!$A918="","",IF('ORDENES'!$AA918="","-",'ORDENES'!$AA918))</f>
        <v/>
      </c>
      <c r="E940" s="5">
        <f>IF('ORDENES'!$A918="","",IF('ORDENES'!$Y918="","-",'ORDENES'!$Y918))</f>
        <v/>
      </c>
      <c r="F940" s="5">
        <f>IF('ORDENES'!$A918="","",IF('ORDENES'!$AB918="","-",'ORDENES'!$AB918))</f>
        <v/>
      </c>
      <c r="G940" s="5">
        <f>IF('ORDENES'!$A918="","",IF('ORDENES'!$Z918="","-",'ORDENES'!$Z918))</f>
        <v/>
      </c>
      <c r="H940" s="5">
        <f>IF('ORDENES'!$A918="","",IF('ORDENES'!$AH918="","-",'ORDENES'!$AH918))</f>
        <v/>
      </c>
      <c r="I940" s="5">
        <f>IF('ORDENES'!$A918="","",IF('ORDENES'!$AU918="","-",'ORDENES'!$AU918))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3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IF('ORDENES'!$A918="","",'ORDENES'!$AG918)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IF('ORDENES'!$A919="","",IF('ORDENES'!$AI919="","-",'ORDENES'!$AI919))</f>
        <v/>
      </c>
      <c r="D941" s="5">
        <f>IF('ORDENES'!$A919="","",IF('ORDENES'!$AA919="","-",'ORDENES'!$AA919))</f>
        <v/>
      </c>
      <c r="E941" s="5">
        <f>IF('ORDENES'!$A919="","",IF('ORDENES'!$Y919="","-",'ORDENES'!$Y919))</f>
        <v/>
      </c>
      <c r="F941" s="5">
        <f>IF('ORDENES'!$A919="","",IF('ORDENES'!$AB919="","-",'ORDENES'!$AB919))</f>
        <v/>
      </c>
      <c r="G941" s="5">
        <f>IF('ORDENES'!$A919="","",IF('ORDENES'!$Z919="","-",'ORDENES'!$Z919))</f>
        <v/>
      </c>
      <c r="H941" s="5">
        <f>IF('ORDENES'!$A919="","",IF('ORDENES'!$AH919="","-",'ORDENES'!$AH919))</f>
        <v/>
      </c>
      <c r="I941" s="5">
        <f>IF('ORDENES'!$A919="","",IF('ORDENES'!$AU919="","-",'ORDENES'!$AU919))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3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IF('ORDENES'!$A919="","",'ORDENES'!$AG919)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IF('ORDENES'!$A920="","",IF('ORDENES'!$AI920="","-",'ORDENES'!$AI920))</f>
        <v/>
      </c>
      <c r="D942" s="5">
        <f>IF('ORDENES'!$A920="","",IF('ORDENES'!$AA920="","-",'ORDENES'!$AA920))</f>
        <v/>
      </c>
      <c r="E942" s="5">
        <f>IF('ORDENES'!$A920="","",IF('ORDENES'!$Y920="","-",'ORDENES'!$Y920))</f>
        <v/>
      </c>
      <c r="F942" s="5">
        <f>IF('ORDENES'!$A920="","",IF('ORDENES'!$AB920="","-",'ORDENES'!$AB920))</f>
        <v/>
      </c>
      <c r="G942" s="5">
        <f>IF('ORDENES'!$A920="","",IF('ORDENES'!$Z920="","-",'ORDENES'!$Z920))</f>
        <v/>
      </c>
      <c r="H942" s="5">
        <f>IF('ORDENES'!$A920="","",IF('ORDENES'!$AH920="","-",'ORDENES'!$AH920))</f>
        <v/>
      </c>
      <c r="I942" s="5">
        <f>IF('ORDENES'!$A920="","",IF('ORDENES'!$AU920="","-",'ORDENES'!$AU920))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3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IF('ORDENES'!$A920="","",'ORDENES'!$AG920)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IF('ORDENES'!$A921="","",IF('ORDENES'!$AI921="","-",'ORDENES'!$AI921))</f>
        <v/>
      </c>
      <c r="D943" s="5">
        <f>IF('ORDENES'!$A921="","",IF('ORDENES'!$AA921="","-",'ORDENES'!$AA921))</f>
        <v/>
      </c>
      <c r="E943" s="5">
        <f>IF('ORDENES'!$A921="","",IF('ORDENES'!$Y921="","-",'ORDENES'!$Y921))</f>
        <v/>
      </c>
      <c r="F943" s="5">
        <f>IF('ORDENES'!$A921="","",IF('ORDENES'!$AB921="","-",'ORDENES'!$AB921))</f>
        <v/>
      </c>
      <c r="G943" s="5">
        <f>IF('ORDENES'!$A921="","",IF('ORDENES'!$Z921="","-",'ORDENES'!$Z921))</f>
        <v/>
      </c>
      <c r="H943" s="5">
        <f>IF('ORDENES'!$A921="","",IF('ORDENES'!$AH921="","-",'ORDENES'!$AH921))</f>
        <v/>
      </c>
      <c r="I943" s="5">
        <f>IF('ORDENES'!$A921="","",IF('ORDENES'!$AU921="","-",'ORDENES'!$AU921))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3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IF('ORDENES'!$A921="","",'ORDENES'!$AG921)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IF('ORDENES'!$A922="","",IF('ORDENES'!$AI922="","-",'ORDENES'!$AI922))</f>
        <v/>
      </c>
      <c r="D944" s="5">
        <f>IF('ORDENES'!$A922="","",IF('ORDENES'!$AA922="","-",'ORDENES'!$AA922))</f>
        <v/>
      </c>
      <c r="E944" s="5">
        <f>IF('ORDENES'!$A922="","",IF('ORDENES'!$Y922="","-",'ORDENES'!$Y922))</f>
        <v/>
      </c>
      <c r="F944" s="5">
        <f>IF('ORDENES'!$A922="","",IF('ORDENES'!$AB922="","-",'ORDENES'!$AB922))</f>
        <v/>
      </c>
      <c r="G944" s="5">
        <f>IF('ORDENES'!$A922="","",IF('ORDENES'!$Z922="","-",'ORDENES'!$Z922))</f>
        <v/>
      </c>
      <c r="H944" s="5">
        <f>IF('ORDENES'!$A922="","",IF('ORDENES'!$AH922="","-",'ORDENES'!$AH922))</f>
        <v/>
      </c>
      <c r="I944" s="5">
        <f>IF('ORDENES'!$A922="","",IF('ORDENES'!$AU922="","-",'ORDENES'!$AU922))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3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IF('ORDENES'!$A922="","",'ORDENES'!$AG922)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IF('ORDENES'!$A923="","",IF('ORDENES'!$AI923="","-",'ORDENES'!$AI923))</f>
        <v/>
      </c>
      <c r="D945" s="5">
        <f>IF('ORDENES'!$A923="","",IF('ORDENES'!$AA923="","-",'ORDENES'!$AA923))</f>
        <v/>
      </c>
      <c r="E945" s="5">
        <f>IF('ORDENES'!$A923="","",IF('ORDENES'!$Y923="","-",'ORDENES'!$Y923))</f>
        <v/>
      </c>
      <c r="F945" s="5">
        <f>IF('ORDENES'!$A923="","",IF('ORDENES'!$AB923="","-",'ORDENES'!$AB923))</f>
        <v/>
      </c>
      <c r="G945" s="5">
        <f>IF('ORDENES'!$A923="","",IF('ORDENES'!$Z923="","-",'ORDENES'!$Z923))</f>
        <v/>
      </c>
      <c r="H945" s="5">
        <f>IF('ORDENES'!$A923="","",IF('ORDENES'!$AH923="","-",'ORDENES'!$AH923))</f>
        <v/>
      </c>
      <c r="I945" s="5">
        <f>IF('ORDENES'!$A923="","",IF('ORDENES'!$AU923="","-",'ORDENES'!$AU923))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3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IF('ORDENES'!$A923="","",'ORDENES'!$AG923)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IF('ORDENES'!$A924="","",IF('ORDENES'!$AI924="","-",'ORDENES'!$AI924))</f>
        <v/>
      </c>
      <c r="D946" s="5">
        <f>IF('ORDENES'!$A924="","",IF('ORDENES'!$AA924="","-",'ORDENES'!$AA924))</f>
        <v/>
      </c>
      <c r="E946" s="5">
        <f>IF('ORDENES'!$A924="","",IF('ORDENES'!$Y924="","-",'ORDENES'!$Y924))</f>
        <v/>
      </c>
      <c r="F946" s="5">
        <f>IF('ORDENES'!$A924="","",IF('ORDENES'!$AB924="","-",'ORDENES'!$AB924))</f>
        <v/>
      </c>
      <c r="G946" s="5">
        <f>IF('ORDENES'!$A924="","",IF('ORDENES'!$Z924="","-",'ORDENES'!$Z924))</f>
        <v/>
      </c>
      <c r="H946" s="5">
        <f>IF('ORDENES'!$A924="","",IF('ORDENES'!$AH924="","-",'ORDENES'!$AH924))</f>
        <v/>
      </c>
      <c r="I946" s="5">
        <f>IF('ORDENES'!$A924="","",IF('ORDENES'!$AU924="","-",'ORDENES'!$AU924))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3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IF('ORDENES'!$A924="","",'ORDENES'!$AG924)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IF('ORDENES'!$A925="","",IF('ORDENES'!$AI925="","-",'ORDENES'!$AI925))</f>
        <v/>
      </c>
      <c r="D947" s="5">
        <f>IF('ORDENES'!$A925="","",IF('ORDENES'!$AA925="","-",'ORDENES'!$AA925))</f>
        <v/>
      </c>
      <c r="E947" s="5">
        <f>IF('ORDENES'!$A925="","",IF('ORDENES'!$Y925="","-",'ORDENES'!$Y925))</f>
        <v/>
      </c>
      <c r="F947" s="5">
        <f>IF('ORDENES'!$A925="","",IF('ORDENES'!$AB925="","-",'ORDENES'!$AB925))</f>
        <v/>
      </c>
      <c r="G947" s="5">
        <f>IF('ORDENES'!$A925="","",IF('ORDENES'!$Z925="","-",'ORDENES'!$Z925))</f>
        <v/>
      </c>
      <c r="H947" s="5">
        <f>IF('ORDENES'!$A925="","",IF('ORDENES'!$AH925="","-",'ORDENES'!$AH925))</f>
        <v/>
      </c>
      <c r="I947" s="5">
        <f>IF('ORDENES'!$A925="","",IF('ORDENES'!$AU925="","-",'ORDENES'!$AU925))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3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IF('ORDENES'!$A925="","",'ORDENES'!$AG925)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IF('ORDENES'!$A926="","",IF('ORDENES'!$AI926="","-",'ORDENES'!$AI926))</f>
        <v/>
      </c>
      <c r="D948" s="5">
        <f>IF('ORDENES'!$A926="","",IF('ORDENES'!$AA926="","-",'ORDENES'!$AA926))</f>
        <v/>
      </c>
      <c r="E948" s="5">
        <f>IF('ORDENES'!$A926="","",IF('ORDENES'!$Y926="","-",'ORDENES'!$Y926))</f>
        <v/>
      </c>
      <c r="F948" s="5">
        <f>IF('ORDENES'!$A926="","",IF('ORDENES'!$AB926="","-",'ORDENES'!$AB926))</f>
        <v/>
      </c>
      <c r="G948" s="5">
        <f>IF('ORDENES'!$A926="","",IF('ORDENES'!$Z926="","-",'ORDENES'!$Z926))</f>
        <v/>
      </c>
      <c r="H948" s="5">
        <f>IF('ORDENES'!$A926="","",IF('ORDENES'!$AH926="","-",'ORDENES'!$AH926))</f>
        <v/>
      </c>
      <c r="I948" s="5">
        <f>IF('ORDENES'!$A926="","",IF('ORDENES'!$AU926="","-",'ORDENES'!$AU926))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3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IF('ORDENES'!$A926="","",'ORDENES'!$AG926)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IF('ORDENES'!$A927="","",IF('ORDENES'!$AI927="","-",'ORDENES'!$AI927))</f>
        <v/>
      </c>
      <c r="D949" s="5">
        <f>IF('ORDENES'!$A927="","",IF('ORDENES'!$AA927="","-",'ORDENES'!$AA927))</f>
        <v/>
      </c>
      <c r="E949" s="5">
        <f>IF('ORDENES'!$A927="","",IF('ORDENES'!$Y927="","-",'ORDENES'!$Y927))</f>
        <v/>
      </c>
      <c r="F949" s="5">
        <f>IF('ORDENES'!$A927="","",IF('ORDENES'!$AB927="","-",'ORDENES'!$AB927))</f>
        <v/>
      </c>
      <c r="G949" s="5">
        <f>IF('ORDENES'!$A927="","",IF('ORDENES'!$Z927="","-",'ORDENES'!$Z927))</f>
        <v/>
      </c>
      <c r="H949" s="5">
        <f>IF('ORDENES'!$A927="","",IF('ORDENES'!$AH927="","-",'ORDENES'!$AH927))</f>
        <v/>
      </c>
      <c r="I949" s="5">
        <f>IF('ORDENES'!$A927="","",IF('ORDENES'!$AU927="","-",'ORDENES'!$AU927))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3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IF('ORDENES'!$A927="","",'ORDENES'!$AG927)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IF('ORDENES'!$A928="","",IF('ORDENES'!$AI928="","-",'ORDENES'!$AI928))</f>
        <v/>
      </c>
      <c r="D950" s="5">
        <f>IF('ORDENES'!$A928="","",IF('ORDENES'!$AA928="","-",'ORDENES'!$AA928))</f>
        <v/>
      </c>
      <c r="E950" s="5">
        <f>IF('ORDENES'!$A928="","",IF('ORDENES'!$Y928="","-",'ORDENES'!$Y928))</f>
        <v/>
      </c>
      <c r="F950" s="5">
        <f>IF('ORDENES'!$A928="","",IF('ORDENES'!$AB928="","-",'ORDENES'!$AB928))</f>
        <v/>
      </c>
      <c r="G950" s="5">
        <f>IF('ORDENES'!$A928="","",IF('ORDENES'!$Z928="","-",'ORDENES'!$Z928))</f>
        <v/>
      </c>
      <c r="H950" s="5">
        <f>IF('ORDENES'!$A928="","",IF('ORDENES'!$AH928="","-",'ORDENES'!$AH928))</f>
        <v/>
      </c>
      <c r="I950" s="5">
        <f>IF('ORDENES'!$A928="","",IF('ORDENES'!$AU928="","-",'ORDENES'!$AU928))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3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IF('ORDENES'!$A928="","",'ORDENES'!$AG928)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IF('ORDENES'!$A929="","",IF('ORDENES'!$AI929="","-",'ORDENES'!$AI929))</f>
        <v/>
      </c>
      <c r="D951" s="5">
        <f>IF('ORDENES'!$A929="","",IF('ORDENES'!$AA929="","-",'ORDENES'!$AA929))</f>
        <v/>
      </c>
      <c r="E951" s="5">
        <f>IF('ORDENES'!$A929="","",IF('ORDENES'!$Y929="","-",'ORDENES'!$Y929))</f>
        <v/>
      </c>
      <c r="F951" s="5">
        <f>IF('ORDENES'!$A929="","",IF('ORDENES'!$AB929="","-",'ORDENES'!$AB929))</f>
        <v/>
      </c>
      <c r="G951" s="5">
        <f>IF('ORDENES'!$A929="","",IF('ORDENES'!$Z929="","-",'ORDENES'!$Z929))</f>
        <v/>
      </c>
      <c r="H951" s="5">
        <f>IF('ORDENES'!$A929="","",IF('ORDENES'!$AH929="","-",'ORDENES'!$AH929))</f>
        <v/>
      </c>
      <c r="I951" s="5">
        <f>IF('ORDENES'!$A929="","",IF('ORDENES'!$AU929="","-",'ORDENES'!$AU929))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3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IF('ORDENES'!$A929="","",'ORDENES'!$AG929)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IF('ORDENES'!$A930="","",IF('ORDENES'!$AI930="","-",'ORDENES'!$AI930))</f>
        <v/>
      </c>
      <c r="D952" s="5">
        <f>IF('ORDENES'!$A930="","",IF('ORDENES'!$AA930="","-",'ORDENES'!$AA930))</f>
        <v/>
      </c>
      <c r="E952" s="5">
        <f>IF('ORDENES'!$A930="","",IF('ORDENES'!$Y930="","-",'ORDENES'!$Y930))</f>
        <v/>
      </c>
      <c r="F952" s="5">
        <f>IF('ORDENES'!$A930="","",IF('ORDENES'!$AB930="","-",'ORDENES'!$AB930))</f>
        <v/>
      </c>
      <c r="G952" s="5">
        <f>IF('ORDENES'!$A930="","",IF('ORDENES'!$Z930="","-",'ORDENES'!$Z930))</f>
        <v/>
      </c>
      <c r="H952" s="5">
        <f>IF('ORDENES'!$A930="","",IF('ORDENES'!$AH930="","-",'ORDENES'!$AH930))</f>
        <v/>
      </c>
      <c r="I952" s="5">
        <f>IF('ORDENES'!$A930="","",IF('ORDENES'!$AU930="","-",'ORDENES'!$AU930))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3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IF('ORDENES'!$A930="","",'ORDENES'!$AG930)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IF('ORDENES'!$A931="","",IF('ORDENES'!$AI931="","-",'ORDENES'!$AI931))</f>
        <v/>
      </c>
      <c r="D953" s="5">
        <f>IF('ORDENES'!$A931="","",IF('ORDENES'!$AA931="","-",'ORDENES'!$AA931))</f>
        <v/>
      </c>
      <c r="E953" s="5">
        <f>IF('ORDENES'!$A931="","",IF('ORDENES'!$Y931="","-",'ORDENES'!$Y931))</f>
        <v/>
      </c>
      <c r="F953" s="5">
        <f>IF('ORDENES'!$A931="","",IF('ORDENES'!$AB931="","-",'ORDENES'!$AB931))</f>
        <v/>
      </c>
      <c r="G953" s="5">
        <f>IF('ORDENES'!$A931="","",IF('ORDENES'!$Z931="","-",'ORDENES'!$Z931))</f>
        <v/>
      </c>
      <c r="H953" s="5">
        <f>IF('ORDENES'!$A931="","",IF('ORDENES'!$AH931="","-",'ORDENES'!$AH931))</f>
        <v/>
      </c>
      <c r="I953" s="5">
        <f>IF('ORDENES'!$A931="","",IF('ORDENES'!$AU931="","-",'ORDENES'!$AU931))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3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IF('ORDENES'!$A931="","",'ORDENES'!$AG931)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IF('ORDENES'!$A932="","",IF('ORDENES'!$AI932="","-",'ORDENES'!$AI932))</f>
        <v/>
      </c>
      <c r="D954" s="5">
        <f>IF('ORDENES'!$A932="","",IF('ORDENES'!$AA932="","-",'ORDENES'!$AA932))</f>
        <v/>
      </c>
      <c r="E954" s="5">
        <f>IF('ORDENES'!$A932="","",IF('ORDENES'!$Y932="","-",'ORDENES'!$Y932))</f>
        <v/>
      </c>
      <c r="F954" s="5">
        <f>IF('ORDENES'!$A932="","",IF('ORDENES'!$AB932="","-",'ORDENES'!$AB932))</f>
        <v/>
      </c>
      <c r="G954" s="5">
        <f>IF('ORDENES'!$A932="","",IF('ORDENES'!$Z932="","-",'ORDENES'!$Z932))</f>
        <v/>
      </c>
      <c r="H954" s="5">
        <f>IF('ORDENES'!$A932="","",IF('ORDENES'!$AH932="","-",'ORDENES'!$AH932))</f>
        <v/>
      </c>
      <c r="I954" s="5">
        <f>IF('ORDENES'!$A932="","",IF('ORDENES'!$AU932="","-",'ORDENES'!$AU932))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3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IF('ORDENES'!$A932="","",'ORDENES'!$AG932)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IF('ORDENES'!$A933="","",IF('ORDENES'!$AI933="","-",'ORDENES'!$AI933))</f>
        <v/>
      </c>
      <c r="D955" s="5">
        <f>IF('ORDENES'!$A933="","",IF('ORDENES'!$AA933="","-",'ORDENES'!$AA933))</f>
        <v/>
      </c>
      <c r="E955" s="5">
        <f>IF('ORDENES'!$A933="","",IF('ORDENES'!$Y933="","-",'ORDENES'!$Y933))</f>
        <v/>
      </c>
      <c r="F955" s="5">
        <f>IF('ORDENES'!$A933="","",IF('ORDENES'!$AB933="","-",'ORDENES'!$AB933))</f>
        <v/>
      </c>
      <c r="G955" s="5">
        <f>IF('ORDENES'!$A933="","",IF('ORDENES'!$Z933="","-",'ORDENES'!$Z933))</f>
        <v/>
      </c>
      <c r="H955" s="5">
        <f>IF('ORDENES'!$A933="","",IF('ORDENES'!$AH933="","-",'ORDENES'!$AH933))</f>
        <v/>
      </c>
      <c r="I955" s="5">
        <f>IF('ORDENES'!$A933="","",IF('ORDENES'!$AU933="","-",'ORDENES'!$AU933))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3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IF('ORDENES'!$A933="","",'ORDENES'!$AG933)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IF('ORDENES'!$A934="","",IF('ORDENES'!$AI934="","-",'ORDENES'!$AI934))</f>
        <v/>
      </c>
      <c r="D956" s="5">
        <f>IF('ORDENES'!$A934="","",IF('ORDENES'!$AA934="","-",'ORDENES'!$AA934))</f>
        <v/>
      </c>
      <c r="E956" s="5">
        <f>IF('ORDENES'!$A934="","",IF('ORDENES'!$Y934="","-",'ORDENES'!$Y934))</f>
        <v/>
      </c>
      <c r="F956" s="5">
        <f>IF('ORDENES'!$A934="","",IF('ORDENES'!$AB934="","-",'ORDENES'!$AB934))</f>
        <v/>
      </c>
      <c r="G956" s="5">
        <f>IF('ORDENES'!$A934="","",IF('ORDENES'!$Z934="","-",'ORDENES'!$Z934))</f>
        <v/>
      </c>
      <c r="H956" s="5">
        <f>IF('ORDENES'!$A934="","",IF('ORDENES'!$AH934="","-",'ORDENES'!$AH934))</f>
        <v/>
      </c>
      <c r="I956" s="5">
        <f>IF('ORDENES'!$A934="","",IF('ORDENES'!$AU934="","-",'ORDENES'!$AU934))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3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IF('ORDENES'!$A934="","",'ORDENES'!$AG934)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IF('ORDENES'!$A935="","",IF('ORDENES'!$AI935="","-",'ORDENES'!$AI935))</f>
        <v/>
      </c>
      <c r="D957" s="5">
        <f>IF('ORDENES'!$A935="","",IF('ORDENES'!$AA935="","-",'ORDENES'!$AA935))</f>
        <v/>
      </c>
      <c r="E957" s="5">
        <f>IF('ORDENES'!$A935="","",IF('ORDENES'!$Y935="","-",'ORDENES'!$Y935))</f>
        <v/>
      </c>
      <c r="F957" s="5">
        <f>IF('ORDENES'!$A935="","",IF('ORDENES'!$AB935="","-",'ORDENES'!$AB935))</f>
        <v/>
      </c>
      <c r="G957" s="5">
        <f>IF('ORDENES'!$A935="","",IF('ORDENES'!$Z935="","-",'ORDENES'!$Z935))</f>
        <v/>
      </c>
      <c r="H957" s="5">
        <f>IF('ORDENES'!$A935="","",IF('ORDENES'!$AH935="","-",'ORDENES'!$AH935))</f>
        <v/>
      </c>
      <c r="I957" s="5">
        <f>IF('ORDENES'!$A935="","",IF('ORDENES'!$AU935="","-",'ORDENES'!$AU935))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3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IF('ORDENES'!$A935="","",'ORDENES'!$AG935)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IF('ORDENES'!$A936="","",IF('ORDENES'!$AI936="","-",'ORDENES'!$AI936))</f>
        <v/>
      </c>
      <c r="D958" s="5">
        <f>IF('ORDENES'!$A936="","",IF('ORDENES'!$AA936="","-",'ORDENES'!$AA936))</f>
        <v/>
      </c>
      <c r="E958" s="5">
        <f>IF('ORDENES'!$A936="","",IF('ORDENES'!$Y936="","-",'ORDENES'!$Y936))</f>
        <v/>
      </c>
      <c r="F958" s="5">
        <f>IF('ORDENES'!$A936="","",IF('ORDENES'!$AB936="","-",'ORDENES'!$AB936))</f>
        <v/>
      </c>
      <c r="G958" s="5">
        <f>IF('ORDENES'!$A936="","",IF('ORDENES'!$Z936="","-",'ORDENES'!$Z936))</f>
        <v/>
      </c>
      <c r="H958" s="5">
        <f>IF('ORDENES'!$A936="","",IF('ORDENES'!$AH936="","-",'ORDENES'!$AH936))</f>
        <v/>
      </c>
      <c r="I958" s="5">
        <f>IF('ORDENES'!$A936="","",IF('ORDENES'!$AU936="","-",'ORDENES'!$AU936))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3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IF('ORDENES'!$A936="","",'ORDENES'!$AG936)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IF('ORDENES'!$A937="","",IF('ORDENES'!$AI937="","-",'ORDENES'!$AI937))</f>
        <v/>
      </c>
      <c r="D959" s="5">
        <f>IF('ORDENES'!$A937="","",IF('ORDENES'!$AA937="","-",'ORDENES'!$AA937))</f>
        <v/>
      </c>
      <c r="E959" s="5">
        <f>IF('ORDENES'!$A937="","",IF('ORDENES'!$Y937="","-",'ORDENES'!$Y937))</f>
        <v/>
      </c>
      <c r="F959" s="5">
        <f>IF('ORDENES'!$A937="","",IF('ORDENES'!$AB937="","-",'ORDENES'!$AB937))</f>
        <v/>
      </c>
      <c r="G959" s="5">
        <f>IF('ORDENES'!$A937="","",IF('ORDENES'!$Z937="","-",'ORDENES'!$Z937))</f>
        <v/>
      </c>
      <c r="H959" s="5">
        <f>IF('ORDENES'!$A937="","",IF('ORDENES'!$AH937="","-",'ORDENES'!$AH937))</f>
        <v/>
      </c>
      <c r="I959" s="5">
        <f>IF('ORDENES'!$A937="","",IF('ORDENES'!$AU937="","-",'ORDENES'!$AU937))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3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IF('ORDENES'!$A937="","",'ORDENES'!$AG937)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IF('ORDENES'!$A938="","",IF('ORDENES'!$AI938="","-",'ORDENES'!$AI938))</f>
        <v/>
      </c>
      <c r="D960" s="5">
        <f>IF('ORDENES'!$A938="","",IF('ORDENES'!$AA938="","-",'ORDENES'!$AA938))</f>
        <v/>
      </c>
      <c r="E960" s="5">
        <f>IF('ORDENES'!$A938="","",IF('ORDENES'!$Y938="","-",'ORDENES'!$Y938))</f>
        <v/>
      </c>
      <c r="F960" s="5">
        <f>IF('ORDENES'!$A938="","",IF('ORDENES'!$AB938="","-",'ORDENES'!$AB938))</f>
        <v/>
      </c>
      <c r="G960" s="5">
        <f>IF('ORDENES'!$A938="","",IF('ORDENES'!$Z938="","-",'ORDENES'!$Z938))</f>
        <v/>
      </c>
      <c r="H960" s="5">
        <f>IF('ORDENES'!$A938="","",IF('ORDENES'!$AH938="","-",'ORDENES'!$AH938))</f>
        <v/>
      </c>
      <c r="I960" s="5">
        <f>IF('ORDENES'!$A938="","",IF('ORDENES'!$AU938="","-",'ORDENES'!$AU938))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3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IF('ORDENES'!$A938="","",'ORDENES'!$AG938)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IF('ORDENES'!$A939="","",IF('ORDENES'!$AI939="","-",'ORDENES'!$AI939))</f>
        <v/>
      </c>
      <c r="D961" s="5">
        <f>IF('ORDENES'!$A939="","",IF('ORDENES'!$AA939="","-",'ORDENES'!$AA939))</f>
        <v/>
      </c>
      <c r="E961" s="5">
        <f>IF('ORDENES'!$A939="","",IF('ORDENES'!$Y939="","-",'ORDENES'!$Y939))</f>
        <v/>
      </c>
      <c r="F961" s="5">
        <f>IF('ORDENES'!$A939="","",IF('ORDENES'!$AB939="","-",'ORDENES'!$AB939))</f>
        <v/>
      </c>
      <c r="G961" s="5">
        <f>IF('ORDENES'!$A939="","",IF('ORDENES'!$Z939="","-",'ORDENES'!$Z939))</f>
        <v/>
      </c>
      <c r="H961" s="5">
        <f>IF('ORDENES'!$A939="","",IF('ORDENES'!$AH939="","-",'ORDENES'!$AH939))</f>
        <v/>
      </c>
      <c r="I961" s="5">
        <f>IF('ORDENES'!$A939="","",IF('ORDENES'!$AU939="","-",'ORDENES'!$AU939))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3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IF('ORDENES'!$A939="","",'ORDENES'!$AG939)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IF('ORDENES'!$A940="","",IF('ORDENES'!$AI940="","-",'ORDENES'!$AI940))</f>
        <v/>
      </c>
      <c r="D962" s="5">
        <f>IF('ORDENES'!$A940="","",IF('ORDENES'!$AA940="","-",'ORDENES'!$AA940))</f>
        <v/>
      </c>
      <c r="E962" s="5">
        <f>IF('ORDENES'!$A940="","",IF('ORDENES'!$Y940="","-",'ORDENES'!$Y940))</f>
        <v/>
      </c>
      <c r="F962" s="5">
        <f>IF('ORDENES'!$A940="","",IF('ORDENES'!$AB940="","-",'ORDENES'!$AB940))</f>
        <v/>
      </c>
      <c r="G962" s="5">
        <f>IF('ORDENES'!$A940="","",IF('ORDENES'!$Z940="","-",'ORDENES'!$Z940))</f>
        <v/>
      </c>
      <c r="H962" s="5">
        <f>IF('ORDENES'!$A940="","",IF('ORDENES'!$AH940="","-",'ORDENES'!$AH940))</f>
        <v/>
      </c>
      <c r="I962" s="5">
        <f>IF('ORDENES'!$A940="","",IF('ORDENES'!$AU940="","-",'ORDENES'!$AU940))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3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IF('ORDENES'!$A940="","",'ORDENES'!$AG940)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IF('ORDENES'!$A941="","",IF('ORDENES'!$AI941="","-",'ORDENES'!$AI941))</f>
        <v/>
      </c>
      <c r="D963" s="5">
        <f>IF('ORDENES'!$A941="","",IF('ORDENES'!$AA941="","-",'ORDENES'!$AA941))</f>
        <v/>
      </c>
      <c r="E963" s="5">
        <f>IF('ORDENES'!$A941="","",IF('ORDENES'!$Y941="","-",'ORDENES'!$Y941))</f>
        <v/>
      </c>
      <c r="F963" s="5">
        <f>IF('ORDENES'!$A941="","",IF('ORDENES'!$AB941="","-",'ORDENES'!$AB941))</f>
        <v/>
      </c>
      <c r="G963" s="5">
        <f>IF('ORDENES'!$A941="","",IF('ORDENES'!$Z941="","-",'ORDENES'!$Z941))</f>
        <v/>
      </c>
      <c r="H963" s="5">
        <f>IF('ORDENES'!$A941="","",IF('ORDENES'!$AH941="","-",'ORDENES'!$AH941))</f>
        <v/>
      </c>
      <c r="I963" s="5">
        <f>IF('ORDENES'!$A941="","",IF('ORDENES'!$AU941="","-",'ORDENES'!$AU941))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3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IF('ORDENES'!$A941="","",'ORDENES'!$AG941)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IF('ORDENES'!$A942="","",IF('ORDENES'!$AI942="","-",'ORDENES'!$AI942))</f>
        <v/>
      </c>
      <c r="D964" s="5">
        <f>IF('ORDENES'!$A942="","",IF('ORDENES'!$AA942="","-",'ORDENES'!$AA942))</f>
        <v/>
      </c>
      <c r="E964" s="5">
        <f>IF('ORDENES'!$A942="","",IF('ORDENES'!$Y942="","-",'ORDENES'!$Y942))</f>
        <v/>
      </c>
      <c r="F964" s="5">
        <f>IF('ORDENES'!$A942="","",IF('ORDENES'!$AB942="","-",'ORDENES'!$AB942))</f>
        <v/>
      </c>
      <c r="G964" s="5">
        <f>IF('ORDENES'!$A942="","",IF('ORDENES'!$Z942="","-",'ORDENES'!$Z942))</f>
        <v/>
      </c>
      <c r="H964" s="5">
        <f>IF('ORDENES'!$A942="","",IF('ORDENES'!$AH942="","-",'ORDENES'!$AH942))</f>
        <v/>
      </c>
      <c r="I964" s="5">
        <f>IF('ORDENES'!$A942="","",IF('ORDENES'!$AU942="","-",'ORDENES'!$AU942))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3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IF('ORDENES'!$A942="","",'ORDENES'!$AG942)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IF('ORDENES'!$A943="","",IF('ORDENES'!$AI943="","-",'ORDENES'!$AI943))</f>
        <v/>
      </c>
      <c r="D965" s="5">
        <f>IF('ORDENES'!$A943="","",IF('ORDENES'!$AA943="","-",'ORDENES'!$AA943))</f>
        <v/>
      </c>
      <c r="E965" s="5">
        <f>IF('ORDENES'!$A943="","",IF('ORDENES'!$Y943="","-",'ORDENES'!$Y943))</f>
        <v/>
      </c>
      <c r="F965" s="5">
        <f>IF('ORDENES'!$A943="","",IF('ORDENES'!$AB943="","-",'ORDENES'!$AB943))</f>
        <v/>
      </c>
      <c r="G965" s="5">
        <f>IF('ORDENES'!$A943="","",IF('ORDENES'!$Z943="","-",'ORDENES'!$Z943))</f>
        <v/>
      </c>
      <c r="H965" s="5">
        <f>IF('ORDENES'!$A943="","",IF('ORDENES'!$AH943="","-",'ORDENES'!$AH943))</f>
        <v/>
      </c>
      <c r="I965" s="5">
        <f>IF('ORDENES'!$A943="","",IF('ORDENES'!$AU943="","-",'ORDENES'!$AU943))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3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IF('ORDENES'!$A943="","",'ORDENES'!$AG943)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IF('ORDENES'!$A944="","",IF('ORDENES'!$AI944="","-",'ORDENES'!$AI944))</f>
        <v/>
      </c>
      <c r="D966" s="5">
        <f>IF('ORDENES'!$A944="","",IF('ORDENES'!$AA944="","-",'ORDENES'!$AA944))</f>
        <v/>
      </c>
      <c r="E966" s="5">
        <f>IF('ORDENES'!$A944="","",IF('ORDENES'!$Y944="","-",'ORDENES'!$Y944))</f>
        <v/>
      </c>
      <c r="F966" s="5">
        <f>IF('ORDENES'!$A944="","",IF('ORDENES'!$AB944="","-",'ORDENES'!$AB944))</f>
        <v/>
      </c>
      <c r="G966" s="5">
        <f>IF('ORDENES'!$A944="","",IF('ORDENES'!$Z944="","-",'ORDENES'!$Z944))</f>
        <v/>
      </c>
      <c r="H966" s="5">
        <f>IF('ORDENES'!$A944="","",IF('ORDENES'!$AH944="","-",'ORDENES'!$AH944))</f>
        <v/>
      </c>
      <c r="I966" s="5">
        <f>IF('ORDENES'!$A944="","",IF('ORDENES'!$AU944="","-",'ORDENES'!$AU944))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3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IF('ORDENES'!$A944="","",'ORDENES'!$AG944)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IF('ORDENES'!$A945="","",IF('ORDENES'!$AI945="","-",'ORDENES'!$AI945))</f>
        <v/>
      </c>
      <c r="D967" s="5">
        <f>IF('ORDENES'!$A945="","",IF('ORDENES'!$AA945="","-",'ORDENES'!$AA945))</f>
        <v/>
      </c>
      <c r="E967" s="5">
        <f>IF('ORDENES'!$A945="","",IF('ORDENES'!$Y945="","-",'ORDENES'!$Y945))</f>
        <v/>
      </c>
      <c r="F967" s="5">
        <f>IF('ORDENES'!$A945="","",IF('ORDENES'!$AB945="","-",'ORDENES'!$AB945))</f>
        <v/>
      </c>
      <c r="G967" s="5">
        <f>IF('ORDENES'!$A945="","",IF('ORDENES'!$Z945="","-",'ORDENES'!$Z945))</f>
        <v/>
      </c>
      <c r="H967" s="5">
        <f>IF('ORDENES'!$A945="","",IF('ORDENES'!$AH945="","-",'ORDENES'!$AH945))</f>
        <v/>
      </c>
      <c r="I967" s="5">
        <f>IF('ORDENES'!$A945="","",IF('ORDENES'!$AU945="","-",'ORDENES'!$AU945))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3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IF('ORDENES'!$A945="","",'ORDENES'!$AG945)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IF('ORDENES'!$A946="","",IF('ORDENES'!$AI946="","-",'ORDENES'!$AI946))</f>
        <v/>
      </c>
      <c r="D968" s="5">
        <f>IF('ORDENES'!$A946="","",IF('ORDENES'!$AA946="","-",'ORDENES'!$AA946))</f>
        <v/>
      </c>
      <c r="E968" s="5">
        <f>IF('ORDENES'!$A946="","",IF('ORDENES'!$Y946="","-",'ORDENES'!$Y946))</f>
        <v/>
      </c>
      <c r="F968" s="5">
        <f>IF('ORDENES'!$A946="","",IF('ORDENES'!$AB946="","-",'ORDENES'!$AB946))</f>
        <v/>
      </c>
      <c r="G968" s="5">
        <f>IF('ORDENES'!$A946="","",IF('ORDENES'!$Z946="","-",'ORDENES'!$Z946))</f>
        <v/>
      </c>
      <c r="H968" s="5">
        <f>IF('ORDENES'!$A946="","",IF('ORDENES'!$AH946="","-",'ORDENES'!$AH946))</f>
        <v/>
      </c>
      <c r="I968" s="5">
        <f>IF('ORDENES'!$A946="","",IF('ORDENES'!$AU946="","-",'ORDENES'!$AU946))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3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IF('ORDENES'!$A946="","",'ORDENES'!$AG946)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IF('ORDENES'!$A947="","",IF('ORDENES'!$AI947="","-",'ORDENES'!$AI947))</f>
        <v/>
      </c>
      <c r="D969" s="5">
        <f>IF('ORDENES'!$A947="","",IF('ORDENES'!$AA947="","-",'ORDENES'!$AA947))</f>
        <v/>
      </c>
      <c r="E969" s="5">
        <f>IF('ORDENES'!$A947="","",IF('ORDENES'!$Y947="","-",'ORDENES'!$Y947))</f>
        <v/>
      </c>
      <c r="F969" s="5">
        <f>IF('ORDENES'!$A947="","",IF('ORDENES'!$AB947="","-",'ORDENES'!$AB947))</f>
        <v/>
      </c>
      <c r="G969" s="5">
        <f>IF('ORDENES'!$A947="","",IF('ORDENES'!$Z947="","-",'ORDENES'!$Z947))</f>
        <v/>
      </c>
      <c r="H969" s="5">
        <f>IF('ORDENES'!$A947="","",IF('ORDENES'!$AH947="","-",'ORDENES'!$AH947))</f>
        <v/>
      </c>
      <c r="I969" s="5">
        <f>IF('ORDENES'!$A947="","",IF('ORDENES'!$AU947="","-",'ORDENES'!$AU947))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3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IF('ORDENES'!$A947="","",'ORDENES'!$AG947)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IF('ORDENES'!$A948="","",IF('ORDENES'!$AI948="","-",'ORDENES'!$AI948))</f>
        <v/>
      </c>
      <c r="D970" s="5">
        <f>IF('ORDENES'!$A948="","",IF('ORDENES'!$AA948="","-",'ORDENES'!$AA948))</f>
        <v/>
      </c>
      <c r="E970" s="5">
        <f>IF('ORDENES'!$A948="","",IF('ORDENES'!$Y948="","-",'ORDENES'!$Y948))</f>
        <v/>
      </c>
      <c r="F970" s="5">
        <f>IF('ORDENES'!$A948="","",IF('ORDENES'!$AB948="","-",'ORDENES'!$AB948))</f>
        <v/>
      </c>
      <c r="G970" s="5">
        <f>IF('ORDENES'!$A948="","",IF('ORDENES'!$Z948="","-",'ORDENES'!$Z948))</f>
        <v/>
      </c>
      <c r="H970" s="5">
        <f>IF('ORDENES'!$A948="","",IF('ORDENES'!$AH948="","-",'ORDENES'!$AH948))</f>
        <v/>
      </c>
      <c r="I970" s="5">
        <f>IF('ORDENES'!$A948="","",IF('ORDENES'!$AU948="","-",'ORDENES'!$AU948))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3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IF('ORDENES'!$A948="","",'ORDENES'!$AG948)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IF('ORDENES'!$A949="","",IF('ORDENES'!$AI949="","-",'ORDENES'!$AI949))</f>
        <v/>
      </c>
      <c r="D971" s="5">
        <f>IF('ORDENES'!$A949="","",IF('ORDENES'!$AA949="","-",'ORDENES'!$AA949))</f>
        <v/>
      </c>
      <c r="E971" s="5">
        <f>IF('ORDENES'!$A949="","",IF('ORDENES'!$Y949="","-",'ORDENES'!$Y949))</f>
        <v/>
      </c>
      <c r="F971" s="5">
        <f>IF('ORDENES'!$A949="","",IF('ORDENES'!$AB949="","-",'ORDENES'!$AB949))</f>
        <v/>
      </c>
      <c r="G971" s="5">
        <f>IF('ORDENES'!$A949="","",IF('ORDENES'!$Z949="","-",'ORDENES'!$Z949))</f>
        <v/>
      </c>
      <c r="H971" s="5">
        <f>IF('ORDENES'!$A949="","",IF('ORDENES'!$AH949="","-",'ORDENES'!$AH949))</f>
        <v/>
      </c>
      <c r="I971" s="5">
        <f>IF('ORDENES'!$A949="","",IF('ORDENES'!$AU949="","-",'ORDENES'!$AU949))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3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IF('ORDENES'!$A949="","",'ORDENES'!$AG949)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IF('ORDENES'!$A950="","",IF('ORDENES'!$AI950="","-",'ORDENES'!$AI950))</f>
        <v/>
      </c>
      <c r="D972" s="5">
        <f>IF('ORDENES'!$A950="","",IF('ORDENES'!$AA950="","-",'ORDENES'!$AA950))</f>
        <v/>
      </c>
      <c r="E972" s="5">
        <f>IF('ORDENES'!$A950="","",IF('ORDENES'!$Y950="","-",'ORDENES'!$Y950))</f>
        <v/>
      </c>
      <c r="F972" s="5">
        <f>IF('ORDENES'!$A950="","",IF('ORDENES'!$AB950="","-",'ORDENES'!$AB950))</f>
        <v/>
      </c>
      <c r="G972" s="5">
        <f>IF('ORDENES'!$A950="","",IF('ORDENES'!$Z950="","-",'ORDENES'!$Z950))</f>
        <v/>
      </c>
      <c r="H972" s="5">
        <f>IF('ORDENES'!$A950="","",IF('ORDENES'!$AH950="","-",'ORDENES'!$AH950))</f>
        <v/>
      </c>
      <c r="I972" s="5">
        <f>IF('ORDENES'!$A950="","",IF('ORDENES'!$AU950="","-",'ORDENES'!$AU950))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3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IF('ORDENES'!$A950="","",'ORDENES'!$AG950)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IF('ORDENES'!$A951="","",IF('ORDENES'!$AI951="","-",'ORDENES'!$AI951))</f>
        <v/>
      </c>
      <c r="D973" s="5">
        <f>IF('ORDENES'!$A951="","",IF('ORDENES'!$AA951="","-",'ORDENES'!$AA951))</f>
        <v/>
      </c>
      <c r="E973" s="5">
        <f>IF('ORDENES'!$A951="","",IF('ORDENES'!$Y951="","-",'ORDENES'!$Y951))</f>
        <v/>
      </c>
      <c r="F973" s="5">
        <f>IF('ORDENES'!$A951="","",IF('ORDENES'!$AB951="","-",'ORDENES'!$AB951))</f>
        <v/>
      </c>
      <c r="G973" s="5">
        <f>IF('ORDENES'!$A951="","",IF('ORDENES'!$Z951="","-",'ORDENES'!$Z951))</f>
        <v/>
      </c>
      <c r="H973" s="5">
        <f>IF('ORDENES'!$A951="","",IF('ORDENES'!$AH951="","-",'ORDENES'!$AH951))</f>
        <v/>
      </c>
      <c r="I973" s="5">
        <f>IF('ORDENES'!$A951="","",IF('ORDENES'!$AU951="","-",'ORDENES'!$AU951))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3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IF('ORDENES'!$A951="","",'ORDENES'!$AG951)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IF('ORDENES'!$A952="","",IF('ORDENES'!$AI952="","-",'ORDENES'!$AI952))</f>
        <v/>
      </c>
      <c r="D974" s="5">
        <f>IF('ORDENES'!$A952="","",IF('ORDENES'!$AA952="","-",'ORDENES'!$AA952))</f>
        <v/>
      </c>
      <c r="E974" s="5">
        <f>IF('ORDENES'!$A952="","",IF('ORDENES'!$Y952="","-",'ORDENES'!$Y952))</f>
        <v/>
      </c>
      <c r="F974" s="5">
        <f>IF('ORDENES'!$A952="","",IF('ORDENES'!$AB952="","-",'ORDENES'!$AB952))</f>
        <v/>
      </c>
      <c r="G974" s="5">
        <f>IF('ORDENES'!$A952="","",IF('ORDENES'!$Z952="","-",'ORDENES'!$Z952))</f>
        <v/>
      </c>
      <c r="H974" s="5">
        <f>IF('ORDENES'!$A952="","",IF('ORDENES'!$AH952="","-",'ORDENES'!$AH952))</f>
        <v/>
      </c>
      <c r="I974" s="5">
        <f>IF('ORDENES'!$A952="","",IF('ORDENES'!$AU952="","-",'ORDENES'!$AU952))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3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IF('ORDENES'!$A952="","",'ORDENES'!$AG952)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IF('ORDENES'!$A953="","",IF('ORDENES'!$AI953="","-",'ORDENES'!$AI953))</f>
        <v/>
      </c>
      <c r="D975" s="5">
        <f>IF('ORDENES'!$A953="","",IF('ORDENES'!$AA953="","-",'ORDENES'!$AA953))</f>
        <v/>
      </c>
      <c r="E975" s="5">
        <f>IF('ORDENES'!$A953="","",IF('ORDENES'!$Y953="","-",'ORDENES'!$Y953))</f>
        <v/>
      </c>
      <c r="F975" s="5">
        <f>IF('ORDENES'!$A953="","",IF('ORDENES'!$AB953="","-",'ORDENES'!$AB953))</f>
        <v/>
      </c>
      <c r="G975" s="5">
        <f>IF('ORDENES'!$A953="","",IF('ORDENES'!$Z953="","-",'ORDENES'!$Z953))</f>
        <v/>
      </c>
      <c r="H975" s="5">
        <f>IF('ORDENES'!$A953="","",IF('ORDENES'!$AH953="","-",'ORDENES'!$AH953))</f>
        <v/>
      </c>
      <c r="I975" s="5">
        <f>IF('ORDENES'!$A953="","",IF('ORDENES'!$AU953="","-",'ORDENES'!$AU953))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3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IF('ORDENES'!$A953="","",'ORDENES'!$AG953)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IF('ORDENES'!$A954="","",IF('ORDENES'!$AI954="","-",'ORDENES'!$AI954))</f>
        <v/>
      </c>
      <c r="D976" s="5">
        <f>IF('ORDENES'!$A954="","",IF('ORDENES'!$AA954="","-",'ORDENES'!$AA954))</f>
        <v/>
      </c>
      <c r="E976" s="5">
        <f>IF('ORDENES'!$A954="","",IF('ORDENES'!$Y954="","-",'ORDENES'!$Y954))</f>
        <v/>
      </c>
      <c r="F976" s="5">
        <f>IF('ORDENES'!$A954="","",IF('ORDENES'!$AB954="","-",'ORDENES'!$AB954))</f>
        <v/>
      </c>
      <c r="G976" s="5">
        <f>IF('ORDENES'!$A954="","",IF('ORDENES'!$Z954="","-",'ORDENES'!$Z954))</f>
        <v/>
      </c>
      <c r="H976" s="5">
        <f>IF('ORDENES'!$A954="","",IF('ORDENES'!$AH954="","-",'ORDENES'!$AH954))</f>
        <v/>
      </c>
      <c r="I976" s="5">
        <f>IF('ORDENES'!$A954="","",IF('ORDENES'!$AU954="","-",'ORDENES'!$AU954))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3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IF('ORDENES'!$A954="","",'ORDENES'!$AG954)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IF('ORDENES'!$A955="","",IF('ORDENES'!$AI955="","-",'ORDENES'!$AI955))</f>
        <v/>
      </c>
      <c r="D977" s="5">
        <f>IF('ORDENES'!$A955="","",IF('ORDENES'!$AA955="","-",'ORDENES'!$AA955))</f>
        <v/>
      </c>
      <c r="E977" s="5">
        <f>IF('ORDENES'!$A955="","",IF('ORDENES'!$Y955="","-",'ORDENES'!$Y955))</f>
        <v/>
      </c>
      <c r="F977" s="5">
        <f>IF('ORDENES'!$A955="","",IF('ORDENES'!$AB955="","-",'ORDENES'!$AB955))</f>
        <v/>
      </c>
      <c r="G977" s="5">
        <f>IF('ORDENES'!$A955="","",IF('ORDENES'!$Z955="","-",'ORDENES'!$Z955))</f>
        <v/>
      </c>
      <c r="H977" s="5">
        <f>IF('ORDENES'!$A955="","",IF('ORDENES'!$AH955="","-",'ORDENES'!$AH955))</f>
        <v/>
      </c>
      <c r="I977" s="5">
        <f>IF('ORDENES'!$A955="","",IF('ORDENES'!$AU955="","-",'ORDENES'!$AU955))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3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IF('ORDENES'!$A955="","",'ORDENES'!$AG955)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IF('ORDENES'!$A956="","",IF('ORDENES'!$AI956="","-",'ORDENES'!$AI956))</f>
        <v/>
      </c>
      <c r="D978" s="5">
        <f>IF('ORDENES'!$A956="","",IF('ORDENES'!$AA956="","-",'ORDENES'!$AA956))</f>
        <v/>
      </c>
      <c r="E978" s="5">
        <f>IF('ORDENES'!$A956="","",IF('ORDENES'!$Y956="","-",'ORDENES'!$Y956))</f>
        <v/>
      </c>
      <c r="F978" s="5">
        <f>IF('ORDENES'!$A956="","",IF('ORDENES'!$AB956="","-",'ORDENES'!$AB956))</f>
        <v/>
      </c>
      <c r="G978" s="5">
        <f>IF('ORDENES'!$A956="","",IF('ORDENES'!$Z956="","-",'ORDENES'!$Z956))</f>
        <v/>
      </c>
      <c r="H978" s="5">
        <f>IF('ORDENES'!$A956="","",IF('ORDENES'!$AH956="","-",'ORDENES'!$AH956))</f>
        <v/>
      </c>
      <c r="I978" s="5">
        <f>IF('ORDENES'!$A956="","",IF('ORDENES'!$AU956="","-",'ORDENES'!$AU956))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3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IF('ORDENES'!$A956="","",'ORDENES'!$AG956)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IF('ORDENES'!$A957="","",IF('ORDENES'!$AI957="","-",'ORDENES'!$AI957))</f>
        <v/>
      </c>
      <c r="D979" s="5">
        <f>IF('ORDENES'!$A957="","",IF('ORDENES'!$AA957="","-",'ORDENES'!$AA957))</f>
        <v/>
      </c>
      <c r="E979" s="5">
        <f>IF('ORDENES'!$A957="","",IF('ORDENES'!$Y957="","-",'ORDENES'!$Y957))</f>
        <v/>
      </c>
      <c r="F979" s="5">
        <f>IF('ORDENES'!$A957="","",IF('ORDENES'!$AB957="","-",'ORDENES'!$AB957))</f>
        <v/>
      </c>
      <c r="G979" s="5">
        <f>IF('ORDENES'!$A957="","",IF('ORDENES'!$Z957="","-",'ORDENES'!$Z957))</f>
        <v/>
      </c>
      <c r="H979" s="5">
        <f>IF('ORDENES'!$A957="","",IF('ORDENES'!$AH957="","-",'ORDENES'!$AH957))</f>
        <v/>
      </c>
      <c r="I979" s="5">
        <f>IF('ORDENES'!$A957="","",IF('ORDENES'!$AU957="","-",'ORDENES'!$AU957))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3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IF('ORDENES'!$A957="","",'ORDENES'!$AG957)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IF('ORDENES'!$A958="","",IF('ORDENES'!$AI958="","-",'ORDENES'!$AI958))</f>
        <v/>
      </c>
      <c r="D980" s="5">
        <f>IF('ORDENES'!$A958="","",IF('ORDENES'!$AA958="","-",'ORDENES'!$AA958))</f>
        <v/>
      </c>
      <c r="E980" s="5">
        <f>IF('ORDENES'!$A958="","",IF('ORDENES'!$Y958="","-",'ORDENES'!$Y958))</f>
        <v/>
      </c>
      <c r="F980" s="5">
        <f>IF('ORDENES'!$A958="","",IF('ORDENES'!$AB958="","-",'ORDENES'!$AB958))</f>
        <v/>
      </c>
      <c r="G980" s="5">
        <f>IF('ORDENES'!$A958="","",IF('ORDENES'!$Z958="","-",'ORDENES'!$Z958))</f>
        <v/>
      </c>
      <c r="H980" s="5">
        <f>IF('ORDENES'!$A958="","",IF('ORDENES'!$AH958="","-",'ORDENES'!$AH958))</f>
        <v/>
      </c>
      <c r="I980" s="5">
        <f>IF('ORDENES'!$A958="","",IF('ORDENES'!$AU958="","-",'ORDENES'!$AU958))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3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IF('ORDENES'!$A958="","",'ORDENES'!$AG958)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IF('ORDENES'!$A959="","",IF('ORDENES'!$AI959="","-",'ORDENES'!$AI959))</f>
        <v/>
      </c>
      <c r="D981" s="5">
        <f>IF('ORDENES'!$A959="","",IF('ORDENES'!$AA959="","-",'ORDENES'!$AA959))</f>
        <v/>
      </c>
      <c r="E981" s="5">
        <f>IF('ORDENES'!$A959="","",IF('ORDENES'!$Y959="","-",'ORDENES'!$Y959))</f>
        <v/>
      </c>
      <c r="F981" s="5">
        <f>IF('ORDENES'!$A959="","",IF('ORDENES'!$AB959="","-",'ORDENES'!$AB959))</f>
        <v/>
      </c>
      <c r="G981" s="5">
        <f>IF('ORDENES'!$A959="","",IF('ORDENES'!$Z959="","-",'ORDENES'!$Z959))</f>
        <v/>
      </c>
      <c r="H981" s="5">
        <f>IF('ORDENES'!$A959="","",IF('ORDENES'!$AH959="","-",'ORDENES'!$AH959))</f>
        <v/>
      </c>
      <c r="I981" s="5">
        <f>IF('ORDENES'!$A959="","",IF('ORDENES'!$AU959="","-",'ORDENES'!$AU959))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3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IF('ORDENES'!$A959="","",'ORDENES'!$AG959)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IF('ORDENES'!$A960="","",IF('ORDENES'!$AI960="","-",'ORDENES'!$AI960))</f>
        <v/>
      </c>
      <c r="D982" s="5">
        <f>IF('ORDENES'!$A960="","",IF('ORDENES'!$AA960="","-",'ORDENES'!$AA960))</f>
        <v/>
      </c>
      <c r="E982" s="5">
        <f>IF('ORDENES'!$A960="","",IF('ORDENES'!$Y960="","-",'ORDENES'!$Y960))</f>
        <v/>
      </c>
      <c r="F982" s="5">
        <f>IF('ORDENES'!$A960="","",IF('ORDENES'!$AB960="","-",'ORDENES'!$AB960))</f>
        <v/>
      </c>
      <c r="G982" s="5">
        <f>IF('ORDENES'!$A960="","",IF('ORDENES'!$Z960="","-",'ORDENES'!$Z960))</f>
        <v/>
      </c>
      <c r="H982" s="5">
        <f>IF('ORDENES'!$A960="","",IF('ORDENES'!$AH960="","-",'ORDENES'!$AH960))</f>
        <v/>
      </c>
      <c r="I982" s="5">
        <f>IF('ORDENES'!$A960="","",IF('ORDENES'!$AU960="","-",'ORDENES'!$AU960))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3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IF('ORDENES'!$A960="","",'ORDENES'!$AG960)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IF('ORDENES'!$A961="","",IF('ORDENES'!$AI961="","-",'ORDENES'!$AI961))</f>
        <v/>
      </c>
      <c r="D983" s="5">
        <f>IF('ORDENES'!$A961="","",IF('ORDENES'!$AA961="","-",'ORDENES'!$AA961))</f>
        <v/>
      </c>
      <c r="E983" s="5">
        <f>IF('ORDENES'!$A961="","",IF('ORDENES'!$Y961="","-",'ORDENES'!$Y961))</f>
        <v/>
      </c>
      <c r="F983" s="5">
        <f>IF('ORDENES'!$A961="","",IF('ORDENES'!$AB961="","-",'ORDENES'!$AB961))</f>
        <v/>
      </c>
      <c r="G983" s="5">
        <f>IF('ORDENES'!$A961="","",IF('ORDENES'!$Z961="","-",'ORDENES'!$Z961))</f>
        <v/>
      </c>
      <c r="H983" s="5">
        <f>IF('ORDENES'!$A961="","",IF('ORDENES'!$AH961="","-",'ORDENES'!$AH961))</f>
        <v/>
      </c>
      <c r="I983" s="5">
        <f>IF('ORDENES'!$A961="","",IF('ORDENES'!$AU961="","-",'ORDENES'!$AU961))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3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IF('ORDENES'!$A961="","",'ORDENES'!$AG961)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IF('ORDENES'!$A962="","",IF('ORDENES'!$AI962="","-",'ORDENES'!$AI962))</f>
        <v/>
      </c>
      <c r="D984" s="5">
        <f>IF('ORDENES'!$A962="","",IF('ORDENES'!$AA962="","-",'ORDENES'!$AA962))</f>
        <v/>
      </c>
      <c r="E984" s="5">
        <f>IF('ORDENES'!$A962="","",IF('ORDENES'!$Y962="","-",'ORDENES'!$Y962))</f>
        <v/>
      </c>
      <c r="F984" s="5">
        <f>IF('ORDENES'!$A962="","",IF('ORDENES'!$AB962="","-",'ORDENES'!$AB962))</f>
        <v/>
      </c>
      <c r="G984" s="5">
        <f>IF('ORDENES'!$A962="","",IF('ORDENES'!$Z962="","-",'ORDENES'!$Z962))</f>
        <v/>
      </c>
      <c r="H984" s="5">
        <f>IF('ORDENES'!$A962="","",IF('ORDENES'!$AH962="","-",'ORDENES'!$AH962))</f>
        <v/>
      </c>
      <c r="I984" s="5">
        <f>IF('ORDENES'!$A962="","",IF('ORDENES'!$AU962="","-",'ORDENES'!$AU962))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3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IF('ORDENES'!$A962="","",'ORDENES'!$AG962)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IF('ORDENES'!$A963="","",IF('ORDENES'!$AI963="","-",'ORDENES'!$AI963))</f>
        <v/>
      </c>
      <c r="D985" s="5">
        <f>IF('ORDENES'!$A963="","",IF('ORDENES'!$AA963="","-",'ORDENES'!$AA963))</f>
        <v/>
      </c>
      <c r="E985" s="5">
        <f>IF('ORDENES'!$A963="","",IF('ORDENES'!$Y963="","-",'ORDENES'!$Y963))</f>
        <v/>
      </c>
      <c r="F985" s="5">
        <f>IF('ORDENES'!$A963="","",IF('ORDENES'!$AB963="","-",'ORDENES'!$AB963))</f>
        <v/>
      </c>
      <c r="G985" s="5">
        <f>IF('ORDENES'!$A963="","",IF('ORDENES'!$Z963="","-",'ORDENES'!$Z963))</f>
        <v/>
      </c>
      <c r="H985" s="5">
        <f>IF('ORDENES'!$A963="","",IF('ORDENES'!$AH963="","-",'ORDENES'!$AH963))</f>
        <v/>
      </c>
      <c r="I985" s="5">
        <f>IF('ORDENES'!$A963="","",IF('ORDENES'!$AU963="","-",'ORDENES'!$AU963))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3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IF('ORDENES'!$A963="","",'ORDENES'!$AG963)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IF('ORDENES'!$A964="","",IF('ORDENES'!$AI964="","-",'ORDENES'!$AI964))</f>
        <v/>
      </c>
      <c r="D986" s="5">
        <f>IF('ORDENES'!$A964="","",IF('ORDENES'!$AA964="","-",'ORDENES'!$AA964))</f>
        <v/>
      </c>
      <c r="E986" s="5">
        <f>IF('ORDENES'!$A964="","",IF('ORDENES'!$Y964="","-",'ORDENES'!$Y964))</f>
        <v/>
      </c>
      <c r="F986" s="5">
        <f>IF('ORDENES'!$A964="","",IF('ORDENES'!$AB964="","-",'ORDENES'!$AB964))</f>
        <v/>
      </c>
      <c r="G986" s="5">
        <f>IF('ORDENES'!$A964="","",IF('ORDENES'!$Z964="","-",'ORDENES'!$Z964))</f>
        <v/>
      </c>
      <c r="H986" s="5">
        <f>IF('ORDENES'!$A964="","",IF('ORDENES'!$AH964="","-",'ORDENES'!$AH964))</f>
        <v/>
      </c>
      <c r="I986" s="5">
        <f>IF('ORDENES'!$A964="","",IF('ORDENES'!$AU964="","-",'ORDENES'!$AU964))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3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IF('ORDENES'!$A964="","",'ORDENES'!$AG964)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IF('ORDENES'!$A965="","",IF('ORDENES'!$AI965="","-",'ORDENES'!$AI965))</f>
        <v/>
      </c>
      <c r="D987" s="5">
        <f>IF('ORDENES'!$A965="","",IF('ORDENES'!$AA965="","-",'ORDENES'!$AA965))</f>
        <v/>
      </c>
      <c r="E987" s="5">
        <f>IF('ORDENES'!$A965="","",IF('ORDENES'!$Y965="","-",'ORDENES'!$Y965))</f>
        <v/>
      </c>
      <c r="F987" s="5">
        <f>IF('ORDENES'!$A965="","",IF('ORDENES'!$AB965="","-",'ORDENES'!$AB965))</f>
        <v/>
      </c>
      <c r="G987" s="5">
        <f>IF('ORDENES'!$A965="","",IF('ORDENES'!$Z965="","-",'ORDENES'!$Z965))</f>
        <v/>
      </c>
      <c r="H987" s="5">
        <f>IF('ORDENES'!$A965="","",IF('ORDENES'!$AH965="","-",'ORDENES'!$AH965))</f>
        <v/>
      </c>
      <c r="I987" s="5">
        <f>IF('ORDENES'!$A965="","",IF('ORDENES'!$AU965="","-",'ORDENES'!$AU965))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3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IF('ORDENES'!$A965="","",'ORDENES'!$AG965)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IF('ORDENES'!$A966="","",IF('ORDENES'!$AI966="","-",'ORDENES'!$AI966))</f>
        <v/>
      </c>
      <c r="D988" s="5">
        <f>IF('ORDENES'!$A966="","",IF('ORDENES'!$AA966="","-",'ORDENES'!$AA966))</f>
        <v/>
      </c>
      <c r="E988" s="5">
        <f>IF('ORDENES'!$A966="","",IF('ORDENES'!$Y966="","-",'ORDENES'!$Y966))</f>
        <v/>
      </c>
      <c r="F988" s="5">
        <f>IF('ORDENES'!$A966="","",IF('ORDENES'!$AB966="","-",'ORDENES'!$AB966))</f>
        <v/>
      </c>
      <c r="G988" s="5">
        <f>IF('ORDENES'!$A966="","",IF('ORDENES'!$Z966="","-",'ORDENES'!$Z966))</f>
        <v/>
      </c>
      <c r="H988" s="5">
        <f>IF('ORDENES'!$A966="","",IF('ORDENES'!$AH966="","-",'ORDENES'!$AH966))</f>
        <v/>
      </c>
      <c r="I988" s="5">
        <f>IF('ORDENES'!$A966="","",IF('ORDENES'!$AU966="","-",'ORDENES'!$AU966))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3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IF('ORDENES'!$A966="","",'ORDENES'!$AG966)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IF('ORDENES'!$A967="","",IF('ORDENES'!$AI967="","-",'ORDENES'!$AI967))</f>
        <v/>
      </c>
      <c r="D989" s="5">
        <f>IF('ORDENES'!$A967="","",IF('ORDENES'!$AA967="","-",'ORDENES'!$AA967))</f>
        <v/>
      </c>
      <c r="E989" s="5">
        <f>IF('ORDENES'!$A967="","",IF('ORDENES'!$Y967="","-",'ORDENES'!$Y967))</f>
        <v/>
      </c>
      <c r="F989" s="5">
        <f>IF('ORDENES'!$A967="","",IF('ORDENES'!$AB967="","-",'ORDENES'!$AB967))</f>
        <v/>
      </c>
      <c r="G989" s="5">
        <f>IF('ORDENES'!$A967="","",IF('ORDENES'!$Z967="","-",'ORDENES'!$Z967))</f>
        <v/>
      </c>
      <c r="H989" s="5">
        <f>IF('ORDENES'!$A967="","",IF('ORDENES'!$AH967="","-",'ORDENES'!$AH967))</f>
        <v/>
      </c>
      <c r="I989" s="5">
        <f>IF('ORDENES'!$A967="","",IF('ORDENES'!$AU967="","-",'ORDENES'!$AU967))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3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IF('ORDENES'!$A967="","",'ORDENES'!$AG967)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IF('ORDENES'!$A968="","",IF('ORDENES'!$AI968="","-",'ORDENES'!$AI968))</f>
        <v/>
      </c>
      <c r="D990" s="5">
        <f>IF('ORDENES'!$A968="","",IF('ORDENES'!$AA968="","-",'ORDENES'!$AA968))</f>
        <v/>
      </c>
      <c r="E990" s="5">
        <f>IF('ORDENES'!$A968="","",IF('ORDENES'!$Y968="","-",'ORDENES'!$Y968))</f>
        <v/>
      </c>
      <c r="F990" s="5">
        <f>IF('ORDENES'!$A968="","",IF('ORDENES'!$AB968="","-",'ORDENES'!$AB968))</f>
        <v/>
      </c>
      <c r="G990" s="5">
        <f>IF('ORDENES'!$A968="","",IF('ORDENES'!$Z968="","-",'ORDENES'!$Z968))</f>
        <v/>
      </c>
      <c r="H990" s="5">
        <f>IF('ORDENES'!$A968="","",IF('ORDENES'!$AH968="","-",'ORDENES'!$AH968))</f>
        <v/>
      </c>
      <c r="I990" s="5">
        <f>IF('ORDENES'!$A968="","",IF('ORDENES'!$AU968="","-",'ORDENES'!$AU968))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3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IF('ORDENES'!$A968="","",'ORDENES'!$AG968)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IF('ORDENES'!$A969="","",IF('ORDENES'!$AI969="","-",'ORDENES'!$AI969))</f>
        <v/>
      </c>
      <c r="D991" s="5">
        <f>IF('ORDENES'!$A969="","",IF('ORDENES'!$AA969="","-",'ORDENES'!$AA969))</f>
        <v/>
      </c>
      <c r="E991" s="5">
        <f>IF('ORDENES'!$A969="","",IF('ORDENES'!$Y969="","-",'ORDENES'!$Y969))</f>
        <v/>
      </c>
      <c r="F991" s="5">
        <f>IF('ORDENES'!$A969="","",IF('ORDENES'!$AB969="","-",'ORDENES'!$AB969))</f>
        <v/>
      </c>
      <c r="G991" s="5">
        <f>IF('ORDENES'!$A969="","",IF('ORDENES'!$Z969="","-",'ORDENES'!$Z969))</f>
        <v/>
      </c>
      <c r="H991" s="5">
        <f>IF('ORDENES'!$A969="","",IF('ORDENES'!$AH969="","-",'ORDENES'!$AH969))</f>
        <v/>
      </c>
      <c r="I991" s="5">
        <f>IF('ORDENES'!$A969="","",IF('ORDENES'!$AU969="","-",'ORDENES'!$AU969))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3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IF('ORDENES'!$A969="","",'ORDENES'!$AG969)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IF('ORDENES'!$A970="","",IF('ORDENES'!$AI970="","-",'ORDENES'!$AI970))</f>
        <v/>
      </c>
      <c r="D992" s="5">
        <f>IF('ORDENES'!$A970="","",IF('ORDENES'!$AA970="","-",'ORDENES'!$AA970))</f>
        <v/>
      </c>
      <c r="E992" s="5">
        <f>IF('ORDENES'!$A970="","",IF('ORDENES'!$Y970="","-",'ORDENES'!$Y970))</f>
        <v/>
      </c>
      <c r="F992" s="5">
        <f>IF('ORDENES'!$A970="","",IF('ORDENES'!$AB970="","-",'ORDENES'!$AB970))</f>
        <v/>
      </c>
      <c r="G992" s="5">
        <f>IF('ORDENES'!$A970="","",IF('ORDENES'!$Z970="","-",'ORDENES'!$Z970))</f>
        <v/>
      </c>
      <c r="H992" s="5">
        <f>IF('ORDENES'!$A970="","",IF('ORDENES'!$AH970="","-",'ORDENES'!$AH970))</f>
        <v/>
      </c>
      <c r="I992" s="5">
        <f>IF('ORDENES'!$A970="","",IF('ORDENES'!$AU970="","-",'ORDENES'!$AU970))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3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IF('ORDENES'!$A970="","",'ORDENES'!$AG970)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IF('ORDENES'!$A971="","",IF('ORDENES'!$AI971="","-",'ORDENES'!$AI971))</f>
        <v/>
      </c>
      <c r="D993" s="5">
        <f>IF('ORDENES'!$A971="","",IF('ORDENES'!$AA971="","-",'ORDENES'!$AA971))</f>
        <v/>
      </c>
      <c r="E993" s="5">
        <f>IF('ORDENES'!$A971="","",IF('ORDENES'!$Y971="","-",'ORDENES'!$Y971))</f>
        <v/>
      </c>
      <c r="F993" s="5">
        <f>IF('ORDENES'!$A971="","",IF('ORDENES'!$AB971="","-",'ORDENES'!$AB971))</f>
        <v/>
      </c>
      <c r="G993" s="5">
        <f>IF('ORDENES'!$A971="","",IF('ORDENES'!$Z971="","-",'ORDENES'!$Z971))</f>
        <v/>
      </c>
      <c r="H993" s="5">
        <f>IF('ORDENES'!$A971="","",IF('ORDENES'!$AH971="","-",'ORDENES'!$AH971))</f>
        <v/>
      </c>
      <c r="I993" s="5">
        <f>IF('ORDENES'!$A971="","",IF('ORDENES'!$AU971="","-",'ORDENES'!$AU971))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3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IF('ORDENES'!$A971="","",'ORDENES'!$AG971)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IF('ORDENES'!$A972="","",IF('ORDENES'!$AI972="","-",'ORDENES'!$AI972))</f>
        <v/>
      </c>
      <c r="D994" s="5">
        <f>IF('ORDENES'!$A972="","",IF('ORDENES'!$AA972="","-",'ORDENES'!$AA972))</f>
        <v/>
      </c>
      <c r="E994" s="5">
        <f>IF('ORDENES'!$A972="","",IF('ORDENES'!$Y972="","-",'ORDENES'!$Y972))</f>
        <v/>
      </c>
      <c r="F994" s="5">
        <f>IF('ORDENES'!$A972="","",IF('ORDENES'!$AB972="","-",'ORDENES'!$AB972))</f>
        <v/>
      </c>
      <c r="G994" s="5">
        <f>IF('ORDENES'!$A972="","",IF('ORDENES'!$Z972="","-",'ORDENES'!$Z972))</f>
        <v/>
      </c>
      <c r="H994" s="5">
        <f>IF('ORDENES'!$A972="","",IF('ORDENES'!$AH972="","-",'ORDENES'!$AH972))</f>
        <v/>
      </c>
      <c r="I994" s="5">
        <f>IF('ORDENES'!$A972="","",IF('ORDENES'!$AU972="","-",'ORDENES'!$AU972))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3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IF('ORDENES'!$A972="","",'ORDENES'!$AG972)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IF('ORDENES'!$A973="","",IF('ORDENES'!$AI973="","-",'ORDENES'!$AI973))</f>
        <v/>
      </c>
      <c r="D995" s="5">
        <f>IF('ORDENES'!$A973="","",IF('ORDENES'!$AA973="","-",'ORDENES'!$AA973))</f>
        <v/>
      </c>
      <c r="E995" s="5">
        <f>IF('ORDENES'!$A973="","",IF('ORDENES'!$Y973="","-",'ORDENES'!$Y973))</f>
        <v/>
      </c>
      <c r="F995" s="5">
        <f>IF('ORDENES'!$A973="","",IF('ORDENES'!$AB973="","-",'ORDENES'!$AB973))</f>
        <v/>
      </c>
      <c r="G995" s="5">
        <f>IF('ORDENES'!$A973="","",IF('ORDENES'!$Z973="","-",'ORDENES'!$Z973))</f>
        <v/>
      </c>
      <c r="H995" s="5">
        <f>IF('ORDENES'!$A973="","",IF('ORDENES'!$AH973="","-",'ORDENES'!$AH973))</f>
        <v/>
      </c>
      <c r="I995" s="5">
        <f>IF('ORDENES'!$A973="","",IF('ORDENES'!$AU973="","-",'ORDENES'!$AU973))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3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IF('ORDENES'!$A973="","",'ORDENES'!$AG973)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IF('ORDENES'!$A974="","",IF('ORDENES'!$AI974="","-",'ORDENES'!$AI974))</f>
        <v/>
      </c>
      <c r="D996" s="5">
        <f>IF('ORDENES'!$A974="","",IF('ORDENES'!$AA974="","-",'ORDENES'!$AA974))</f>
        <v/>
      </c>
      <c r="E996" s="5">
        <f>IF('ORDENES'!$A974="","",IF('ORDENES'!$Y974="","-",'ORDENES'!$Y974))</f>
        <v/>
      </c>
      <c r="F996" s="5">
        <f>IF('ORDENES'!$A974="","",IF('ORDENES'!$AB974="","-",'ORDENES'!$AB974))</f>
        <v/>
      </c>
      <c r="G996" s="5">
        <f>IF('ORDENES'!$A974="","",IF('ORDENES'!$Z974="","-",'ORDENES'!$Z974))</f>
        <v/>
      </c>
      <c r="H996" s="5">
        <f>IF('ORDENES'!$A974="","",IF('ORDENES'!$AH974="","-",'ORDENES'!$AH974))</f>
        <v/>
      </c>
      <c r="I996" s="5">
        <f>IF('ORDENES'!$A974="","",IF('ORDENES'!$AU974="","-",'ORDENES'!$AU974))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3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IF('ORDENES'!$A974="","",'ORDENES'!$AG974)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IF('ORDENES'!$A975="","",IF('ORDENES'!$AI975="","-",'ORDENES'!$AI975))</f>
        <v/>
      </c>
      <c r="D997" s="5">
        <f>IF('ORDENES'!$A975="","",IF('ORDENES'!$AA975="","-",'ORDENES'!$AA975))</f>
        <v/>
      </c>
      <c r="E997" s="5">
        <f>IF('ORDENES'!$A975="","",IF('ORDENES'!$Y975="","-",'ORDENES'!$Y975))</f>
        <v/>
      </c>
      <c r="F997" s="5">
        <f>IF('ORDENES'!$A975="","",IF('ORDENES'!$AB975="","-",'ORDENES'!$AB975))</f>
        <v/>
      </c>
      <c r="G997" s="5">
        <f>IF('ORDENES'!$A975="","",IF('ORDENES'!$Z975="","-",'ORDENES'!$Z975))</f>
        <v/>
      </c>
      <c r="H997" s="5">
        <f>IF('ORDENES'!$A975="","",IF('ORDENES'!$AH975="","-",'ORDENES'!$AH975))</f>
        <v/>
      </c>
      <c r="I997" s="5">
        <f>IF('ORDENES'!$A975="","",IF('ORDENES'!$AU975="","-",'ORDENES'!$AU975))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3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IF('ORDENES'!$A975="","",'ORDENES'!$AG975)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IF('ORDENES'!$A976="","",IF('ORDENES'!$AI976="","-",'ORDENES'!$AI976))</f>
        <v/>
      </c>
      <c r="D998" s="5">
        <f>IF('ORDENES'!$A976="","",IF('ORDENES'!$AA976="","-",'ORDENES'!$AA976))</f>
        <v/>
      </c>
      <c r="E998" s="5">
        <f>IF('ORDENES'!$A976="","",IF('ORDENES'!$Y976="","-",'ORDENES'!$Y976))</f>
        <v/>
      </c>
      <c r="F998" s="5">
        <f>IF('ORDENES'!$A976="","",IF('ORDENES'!$AB976="","-",'ORDENES'!$AB976))</f>
        <v/>
      </c>
      <c r="G998" s="5">
        <f>IF('ORDENES'!$A976="","",IF('ORDENES'!$Z976="","-",'ORDENES'!$Z976))</f>
        <v/>
      </c>
      <c r="H998" s="5">
        <f>IF('ORDENES'!$A976="","",IF('ORDENES'!$AH976="","-",'ORDENES'!$AH976))</f>
        <v/>
      </c>
      <c r="I998" s="5">
        <f>IF('ORDENES'!$A976="","",IF('ORDENES'!$AU976="","-",'ORDENES'!$AU976))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3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IF('ORDENES'!$A976="","",'ORDENES'!$AG976)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IF('ORDENES'!$A977="","",IF('ORDENES'!$AI977="","-",'ORDENES'!$AI977))</f>
        <v/>
      </c>
      <c r="D999" s="5">
        <f>IF('ORDENES'!$A977="","",IF('ORDENES'!$AA977="","-",'ORDENES'!$AA977))</f>
        <v/>
      </c>
      <c r="E999" s="5">
        <f>IF('ORDENES'!$A977="","",IF('ORDENES'!$Y977="","-",'ORDENES'!$Y977))</f>
        <v/>
      </c>
      <c r="F999" s="5">
        <f>IF('ORDENES'!$A977="","",IF('ORDENES'!$AB977="","-",'ORDENES'!$AB977))</f>
        <v/>
      </c>
      <c r="G999" s="5">
        <f>IF('ORDENES'!$A977="","",IF('ORDENES'!$Z977="","-",'ORDENES'!$Z977))</f>
        <v/>
      </c>
      <c r="H999" s="5">
        <f>IF('ORDENES'!$A977="","",IF('ORDENES'!$AH977="","-",'ORDENES'!$AH977))</f>
        <v/>
      </c>
      <c r="I999" s="5">
        <f>IF('ORDENES'!$A977="","",IF('ORDENES'!$AU977="","-",'ORDENES'!$AU977))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3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IF('ORDENES'!$A977="","",'ORDENES'!$AG977)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IF('ORDENES'!$A978="","",IF('ORDENES'!$AI978="","-",'ORDENES'!$AI978))</f>
        <v/>
      </c>
      <c r="D1000" s="5">
        <f>IF('ORDENES'!$A978="","",IF('ORDENES'!$AA978="","-",'ORDENES'!$AA978))</f>
        <v/>
      </c>
      <c r="E1000" s="5">
        <f>IF('ORDENES'!$A978="","",IF('ORDENES'!$Y978="","-",'ORDENES'!$Y978))</f>
        <v/>
      </c>
      <c r="F1000" s="5">
        <f>IF('ORDENES'!$A978="","",IF('ORDENES'!$AB978="","-",'ORDENES'!$AB978))</f>
        <v/>
      </c>
      <c r="G1000" s="5">
        <f>IF('ORDENES'!$A978="","",IF('ORDENES'!$Z978="","-",'ORDENES'!$Z978))</f>
        <v/>
      </c>
      <c r="H1000" s="5">
        <f>IF('ORDENES'!$A978="","",IF('ORDENES'!$AH978="","-",'ORDENES'!$AH978))</f>
        <v/>
      </c>
      <c r="I1000" s="5">
        <f>IF('ORDENES'!$A978="","",IF('ORDENES'!$AU978="","-",'ORDENES'!$AU978))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3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IF('ORDENES'!$A978="","",'ORDENES'!$AG978)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IF('ORDENES'!$A979="","",IF('ORDENES'!$AI979="","-",'ORDENES'!$AI979))</f>
        <v/>
      </c>
      <c r="D1001" s="5">
        <f>IF('ORDENES'!$A979="","",IF('ORDENES'!$AA979="","-",'ORDENES'!$AA979))</f>
        <v/>
      </c>
      <c r="E1001" s="5">
        <f>IF('ORDENES'!$A979="","",IF('ORDENES'!$Y979="","-",'ORDENES'!$Y979))</f>
        <v/>
      </c>
      <c r="F1001" s="5">
        <f>IF('ORDENES'!$A979="","",IF('ORDENES'!$AB979="","-",'ORDENES'!$AB979))</f>
        <v/>
      </c>
      <c r="G1001" s="5">
        <f>IF('ORDENES'!$A979="","",IF('ORDENES'!$Z979="","-",'ORDENES'!$Z979))</f>
        <v/>
      </c>
      <c r="H1001" s="5">
        <f>IF('ORDENES'!$A979="","",IF('ORDENES'!$AH979="","-",'ORDENES'!$AH979))</f>
        <v/>
      </c>
      <c r="I1001" s="5">
        <f>IF('ORDENES'!$A979="","",IF('ORDENES'!$AU979="","-",'ORDENES'!$AU979))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3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IF('ORDENES'!$A979="","",'ORDENES'!$AG979)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IF('ORDENES'!$A980="","",IF('ORDENES'!$AI980="","-",'ORDENES'!$AI980))</f>
        <v/>
      </c>
      <c r="D1002" s="5">
        <f>IF('ORDENES'!$A980="","",IF('ORDENES'!$AA980="","-",'ORDENES'!$AA980))</f>
        <v/>
      </c>
      <c r="E1002" s="5">
        <f>IF('ORDENES'!$A980="","",IF('ORDENES'!$Y980="","-",'ORDENES'!$Y980))</f>
        <v/>
      </c>
      <c r="F1002" s="5">
        <f>IF('ORDENES'!$A980="","",IF('ORDENES'!$AB980="","-",'ORDENES'!$AB980))</f>
        <v/>
      </c>
      <c r="G1002" s="5">
        <f>IF('ORDENES'!$A980="","",IF('ORDENES'!$Z980="","-",'ORDENES'!$Z980))</f>
        <v/>
      </c>
      <c r="H1002" s="5">
        <f>IF('ORDENES'!$A980="","",IF('ORDENES'!$AH980="","-",'ORDENES'!$AH980))</f>
        <v/>
      </c>
      <c r="I1002" s="5">
        <f>IF('ORDENES'!$A980="","",IF('ORDENES'!$AU980="","-",'ORDENES'!$AU980))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3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IF('ORDENES'!$A980="","",'ORDENES'!$AG980)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IF('ORDENES'!$A981="","",IF('ORDENES'!$AI981="","-",'ORDENES'!$AI981))</f>
        <v/>
      </c>
      <c r="D1003" s="5">
        <f>IF('ORDENES'!$A981="","",IF('ORDENES'!$AA981="","-",'ORDENES'!$AA981))</f>
        <v/>
      </c>
      <c r="E1003" s="5">
        <f>IF('ORDENES'!$A981="","",IF('ORDENES'!$Y981="","-",'ORDENES'!$Y981))</f>
        <v/>
      </c>
      <c r="F1003" s="5">
        <f>IF('ORDENES'!$A981="","",IF('ORDENES'!$AB981="","-",'ORDENES'!$AB981))</f>
        <v/>
      </c>
      <c r="G1003" s="5">
        <f>IF('ORDENES'!$A981="","",IF('ORDENES'!$Z981="","-",'ORDENES'!$Z981))</f>
        <v/>
      </c>
      <c r="H1003" s="5">
        <f>IF('ORDENES'!$A981="","",IF('ORDENES'!$AH981="","-",'ORDENES'!$AH981))</f>
        <v/>
      </c>
      <c r="I1003" s="5">
        <f>IF('ORDENES'!$A981="","",IF('ORDENES'!$AU981="","-",'ORDENES'!$AU981))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3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IF('ORDENES'!$A981="","",'ORDENES'!$AG981)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IF('ORDENES'!$A982="","",IF('ORDENES'!$AI982="","-",'ORDENES'!$AI982))</f>
        <v/>
      </c>
      <c r="D1004" s="5">
        <f>IF('ORDENES'!$A982="","",IF('ORDENES'!$AA982="","-",'ORDENES'!$AA982))</f>
        <v/>
      </c>
      <c r="E1004" s="5">
        <f>IF('ORDENES'!$A982="","",IF('ORDENES'!$Y982="","-",'ORDENES'!$Y982))</f>
        <v/>
      </c>
      <c r="F1004" s="5">
        <f>IF('ORDENES'!$A982="","",IF('ORDENES'!$AB982="","-",'ORDENES'!$AB982))</f>
        <v/>
      </c>
      <c r="G1004" s="5">
        <f>IF('ORDENES'!$A982="","",IF('ORDENES'!$Z982="","-",'ORDENES'!$Z982))</f>
        <v/>
      </c>
      <c r="H1004" s="5">
        <f>IF('ORDENES'!$A982="","",IF('ORDENES'!$AH982="","-",'ORDENES'!$AH982))</f>
        <v/>
      </c>
      <c r="I1004" s="5">
        <f>IF('ORDENES'!$A982="","",IF('ORDENES'!$AU982="","-",'ORDENES'!$AU982))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3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IF('ORDENES'!$A982="","",'ORDENES'!$AG982)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IF('ORDENES'!$A983="","",IF('ORDENES'!$AI983="","-",'ORDENES'!$AI983))</f>
        <v/>
      </c>
      <c r="D1005" s="5">
        <f>IF('ORDENES'!$A983="","",IF('ORDENES'!$AA983="","-",'ORDENES'!$AA983))</f>
        <v/>
      </c>
      <c r="E1005" s="5">
        <f>IF('ORDENES'!$A983="","",IF('ORDENES'!$Y983="","-",'ORDENES'!$Y983))</f>
        <v/>
      </c>
      <c r="F1005" s="5">
        <f>IF('ORDENES'!$A983="","",IF('ORDENES'!$AB983="","-",'ORDENES'!$AB983))</f>
        <v/>
      </c>
      <c r="G1005" s="5">
        <f>IF('ORDENES'!$A983="","",IF('ORDENES'!$Z983="","-",'ORDENES'!$Z983))</f>
        <v/>
      </c>
      <c r="H1005" s="5">
        <f>IF('ORDENES'!$A983="","",IF('ORDENES'!$AH983="","-",'ORDENES'!$AH983))</f>
        <v/>
      </c>
      <c r="I1005" s="5">
        <f>IF('ORDENES'!$A983="","",IF('ORDENES'!$AU983="","-",'ORDENES'!$AU983))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3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IF('ORDENES'!$A983="","",'ORDENES'!$AG983)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IF('ORDENES'!$A984="","",IF('ORDENES'!$AI984="","-",'ORDENES'!$AI984))</f>
        <v/>
      </c>
      <c r="D1006" s="5">
        <f>IF('ORDENES'!$A984="","",IF('ORDENES'!$AA984="","-",'ORDENES'!$AA984))</f>
        <v/>
      </c>
      <c r="E1006" s="5">
        <f>IF('ORDENES'!$A984="","",IF('ORDENES'!$Y984="","-",'ORDENES'!$Y984))</f>
        <v/>
      </c>
      <c r="F1006" s="5">
        <f>IF('ORDENES'!$A984="","",IF('ORDENES'!$AB984="","-",'ORDENES'!$AB984))</f>
        <v/>
      </c>
      <c r="G1006" s="5">
        <f>IF('ORDENES'!$A984="","",IF('ORDENES'!$Z984="","-",'ORDENES'!$Z984))</f>
        <v/>
      </c>
      <c r="H1006" s="5">
        <f>IF('ORDENES'!$A984="","",IF('ORDENES'!$AH984="","-",'ORDENES'!$AH984))</f>
        <v/>
      </c>
      <c r="I1006" s="5">
        <f>IF('ORDENES'!$A984="","",IF('ORDENES'!$AU984="","-",'ORDENES'!$AU984))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3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IF('ORDENES'!$A984="","",'ORDENES'!$AG984)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IF('ORDENES'!$A985="","",IF('ORDENES'!$AI985="","-",'ORDENES'!$AI985))</f>
        <v/>
      </c>
      <c r="D1007" s="5">
        <f>IF('ORDENES'!$A985="","",IF('ORDENES'!$AA985="","-",'ORDENES'!$AA985))</f>
        <v/>
      </c>
      <c r="E1007" s="5">
        <f>IF('ORDENES'!$A985="","",IF('ORDENES'!$Y985="","-",'ORDENES'!$Y985))</f>
        <v/>
      </c>
      <c r="F1007" s="5">
        <f>IF('ORDENES'!$A985="","",IF('ORDENES'!$AB985="","-",'ORDENES'!$AB985))</f>
        <v/>
      </c>
      <c r="G1007" s="5">
        <f>IF('ORDENES'!$A985="","",IF('ORDENES'!$Z985="","-",'ORDENES'!$Z985))</f>
        <v/>
      </c>
      <c r="H1007" s="5">
        <f>IF('ORDENES'!$A985="","",IF('ORDENES'!$AH985="","-",'ORDENES'!$AH985))</f>
        <v/>
      </c>
      <c r="I1007" s="5">
        <f>IF('ORDENES'!$A985="","",IF('ORDENES'!$AU985="","-",'ORDENES'!$AU985))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3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IF('ORDENES'!$A985="","",'ORDENES'!$AG985)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IF('ORDENES'!$A986="","",IF('ORDENES'!$AI986="","-",'ORDENES'!$AI986))</f>
        <v/>
      </c>
      <c r="D1008" s="5">
        <f>IF('ORDENES'!$A986="","",IF('ORDENES'!$AA986="","-",'ORDENES'!$AA986))</f>
        <v/>
      </c>
      <c r="E1008" s="5">
        <f>IF('ORDENES'!$A986="","",IF('ORDENES'!$Y986="","-",'ORDENES'!$Y986))</f>
        <v/>
      </c>
      <c r="F1008" s="5">
        <f>IF('ORDENES'!$A986="","",IF('ORDENES'!$AB986="","-",'ORDENES'!$AB986))</f>
        <v/>
      </c>
      <c r="G1008" s="5">
        <f>IF('ORDENES'!$A986="","",IF('ORDENES'!$Z986="","-",'ORDENES'!$Z986))</f>
        <v/>
      </c>
      <c r="H1008" s="5">
        <f>IF('ORDENES'!$A986="","",IF('ORDENES'!$AH986="","-",'ORDENES'!$AH986))</f>
        <v/>
      </c>
      <c r="I1008" s="5">
        <f>IF('ORDENES'!$A986="","",IF('ORDENES'!$AU986="","-",'ORDENES'!$AU986))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3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IF('ORDENES'!$A986="","",'ORDENES'!$AG986)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IF('ORDENES'!$A987="","",IF('ORDENES'!$AI987="","-",'ORDENES'!$AI987))</f>
        <v/>
      </c>
      <c r="D1009" s="5">
        <f>IF('ORDENES'!$A987="","",IF('ORDENES'!$AA987="","-",'ORDENES'!$AA987))</f>
        <v/>
      </c>
      <c r="E1009" s="5">
        <f>IF('ORDENES'!$A987="","",IF('ORDENES'!$Y987="","-",'ORDENES'!$Y987))</f>
        <v/>
      </c>
      <c r="F1009" s="5">
        <f>IF('ORDENES'!$A987="","",IF('ORDENES'!$AB987="","-",'ORDENES'!$AB987))</f>
        <v/>
      </c>
      <c r="G1009" s="5">
        <f>IF('ORDENES'!$A987="","",IF('ORDENES'!$Z987="","-",'ORDENES'!$Z987))</f>
        <v/>
      </c>
      <c r="H1009" s="5">
        <f>IF('ORDENES'!$A987="","",IF('ORDENES'!$AH987="","-",'ORDENES'!$AH987))</f>
        <v/>
      </c>
      <c r="I1009" s="5">
        <f>IF('ORDENES'!$A987="","",IF('ORDENES'!$AU987="","-",'ORDENES'!$AU987))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3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IF('ORDENES'!$A987="","",'ORDENES'!$AG987)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IF('ORDENES'!$A988="","",IF('ORDENES'!$AI988="","-",'ORDENES'!$AI988))</f>
        <v/>
      </c>
      <c r="D1010" s="5">
        <f>IF('ORDENES'!$A988="","",IF('ORDENES'!$AA988="","-",'ORDENES'!$AA988))</f>
        <v/>
      </c>
      <c r="E1010" s="5">
        <f>IF('ORDENES'!$A988="","",IF('ORDENES'!$Y988="","-",'ORDENES'!$Y988))</f>
        <v/>
      </c>
      <c r="F1010" s="5">
        <f>IF('ORDENES'!$A988="","",IF('ORDENES'!$AB988="","-",'ORDENES'!$AB988))</f>
        <v/>
      </c>
      <c r="G1010" s="5">
        <f>IF('ORDENES'!$A988="","",IF('ORDENES'!$Z988="","-",'ORDENES'!$Z988))</f>
        <v/>
      </c>
      <c r="H1010" s="5">
        <f>IF('ORDENES'!$A988="","",IF('ORDENES'!$AH988="","-",'ORDENES'!$AH988))</f>
        <v/>
      </c>
      <c r="I1010" s="5">
        <f>IF('ORDENES'!$A988="","",IF('ORDENES'!$AU988="","-",'ORDENES'!$AU988))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3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IF('ORDENES'!$A988="","",'ORDENES'!$AG988)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IF('ORDENES'!$A989="","",IF('ORDENES'!$AI989="","-",'ORDENES'!$AI989))</f>
        <v/>
      </c>
      <c r="D1011" s="5">
        <f>IF('ORDENES'!$A989="","",IF('ORDENES'!$AA989="","-",'ORDENES'!$AA989))</f>
        <v/>
      </c>
      <c r="E1011" s="5">
        <f>IF('ORDENES'!$A989="","",IF('ORDENES'!$Y989="","-",'ORDENES'!$Y989))</f>
        <v/>
      </c>
      <c r="F1011" s="5">
        <f>IF('ORDENES'!$A989="","",IF('ORDENES'!$AB989="","-",'ORDENES'!$AB989))</f>
        <v/>
      </c>
      <c r="G1011" s="5">
        <f>IF('ORDENES'!$A989="","",IF('ORDENES'!$Z989="","-",'ORDENES'!$Z989))</f>
        <v/>
      </c>
      <c r="H1011" s="5">
        <f>IF('ORDENES'!$A989="","",IF('ORDENES'!$AH989="","-",'ORDENES'!$AH989))</f>
        <v/>
      </c>
      <c r="I1011" s="5">
        <f>IF('ORDENES'!$A989="","",IF('ORDENES'!$AU989="","-",'ORDENES'!$AU989))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3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IF('ORDENES'!$A989="","",'ORDENES'!$AG989)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IF('ORDENES'!$A990="","",IF('ORDENES'!$AI990="","-",'ORDENES'!$AI990))</f>
        <v/>
      </c>
      <c r="D1012" s="5">
        <f>IF('ORDENES'!$A990="","",IF('ORDENES'!$AA990="","-",'ORDENES'!$AA990))</f>
        <v/>
      </c>
      <c r="E1012" s="5">
        <f>IF('ORDENES'!$A990="","",IF('ORDENES'!$Y990="","-",'ORDENES'!$Y990))</f>
        <v/>
      </c>
      <c r="F1012" s="5">
        <f>IF('ORDENES'!$A990="","",IF('ORDENES'!$AB990="","-",'ORDENES'!$AB990))</f>
        <v/>
      </c>
      <c r="G1012" s="5">
        <f>IF('ORDENES'!$A990="","",IF('ORDENES'!$Z990="","-",'ORDENES'!$Z990))</f>
        <v/>
      </c>
      <c r="H1012" s="5">
        <f>IF('ORDENES'!$A990="","",IF('ORDENES'!$AH990="","-",'ORDENES'!$AH990))</f>
        <v/>
      </c>
      <c r="I1012" s="5">
        <f>IF('ORDENES'!$A990="","",IF('ORDENES'!$AU990="","-",'ORDENES'!$AU990))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3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IF('ORDENES'!$A990="","",'ORDENES'!$AG990)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IF('ORDENES'!$A991="","",IF('ORDENES'!$AI991="","-",'ORDENES'!$AI991))</f>
        <v/>
      </c>
      <c r="D1013" s="5">
        <f>IF('ORDENES'!$A991="","",IF('ORDENES'!$AA991="","-",'ORDENES'!$AA991))</f>
        <v/>
      </c>
      <c r="E1013" s="5">
        <f>IF('ORDENES'!$A991="","",IF('ORDENES'!$Y991="","-",'ORDENES'!$Y991))</f>
        <v/>
      </c>
      <c r="F1013" s="5">
        <f>IF('ORDENES'!$A991="","",IF('ORDENES'!$AB991="","-",'ORDENES'!$AB991))</f>
        <v/>
      </c>
      <c r="G1013" s="5">
        <f>IF('ORDENES'!$A991="","",IF('ORDENES'!$Z991="","-",'ORDENES'!$Z991))</f>
        <v/>
      </c>
      <c r="H1013" s="5">
        <f>IF('ORDENES'!$A991="","",IF('ORDENES'!$AH991="","-",'ORDENES'!$AH991))</f>
        <v/>
      </c>
      <c r="I1013" s="5">
        <f>IF('ORDENES'!$A991="","",IF('ORDENES'!$AU991="","-",'ORDENES'!$AU991))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3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IF('ORDENES'!$A991="","",'ORDENES'!$AG991)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IF('ORDENES'!$A992="","",IF('ORDENES'!$AI992="","-",'ORDENES'!$AI992))</f>
        <v/>
      </c>
      <c r="D1014" s="5">
        <f>IF('ORDENES'!$A992="","",IF('ORDENES'!$AA992="","-",'ORDENES'!$AA992))</f>
        <v/>
      </c>
      <c r="E1014" s="5">
        <f>IF('ORDENES'!$A992="","",IF('ORDENES'!$Y992="","-",'ORDENES'!$Y992))</f>
        <v/>
      </c>
      <c r="F1014" s="5">
        <f>IF('ORDENES'!$A992="","",IF('ORDENES'!$AB992="","-",'ORDENES'!$AB992))</f>
        <v/>
      </c>
      <c r="G1014" s="5">
        <f>IF('ORDENES'!$A992="","",IF('ORDENES'!$Z992="","-",'ORDENES'!$Z992))</f>
        <v/>
      </c>
      <c r="H1014" s="5">
        <f>IF('ORDENES'!$A992="","",IF('ORDENES'!$AH992="","-",'ORDENES'!$AH992))</f>
        <v/>
      </c>
      <c r="I1014" s="5">
        <f>IF('ORDENES'!$A992="","",IF('ORDENES'!$AU992="","-",'ORDENES'!$AU992))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3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IF('ORDENES'!$A992="","",'ORDENES'!$AG992)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IF('ORDENES'!$A993="","",IF('ORDENES'!$AI993="","-",'ORDENES'!$AI993))</f>
        <v/>
      </c>
      <c r="D1015" s="5">
        <f>IF('ORDENES'!$A993="","",IF('ORDENES'!$AA993="","-",'ORDENES'!$AA993))</f>
        <v/>
      </c>
      <c r="E1015" s="5">
        <f>IF('ORDENES'!$A993="","",IF('ORDENES'!$Y993="","-",'ORDENES'!$Y993))</f>
        <v/>
      </c>
      <c r="F1015" s="5">
        <f>IF('ORDENES'!$A993="","",IF('ORDENES'!$AB993="","-",'ORDENES'!$AB993))</f>
        <v/>
      </c>
      <c r="G1015" s="5">
        <f>IF('ORDENES'!$A993="","",IF('ORDENES'!$Z993="","-",'ORDENES'!$Z993))</f>
        <v/>
      </c>
      <c r="H1015" s="5">
        <f>IF('ORDENES'!$A993="","",IF('ORDENES'!$AH993="","-",'ORDENES'!$AH993))</f>
        <v/>
      </c>
      <c r="I1015" s="5">
        <f>IF('ORDENES'!$A993="","",IF('ORDENES'!$AU993="","-",'ORDENES'!$AU993))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3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IF('ORDENES'!$A993="","",'ORDENES'!$AG993)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IF('ORDENES'!$A994="","",IF('ORDENES'!$AI994="","-",'ORDENES'!$AI994))</f>
        <v/>
      </c>
      <c r="D1016" s="5">
        <f>IF('ORDENES'!$A994="","",IF('ORDENES'!$AA994="","-",'ORDENES'!$AA994))</f>
        <v/>
      </c>
      <c r="E1016" s="5">
        <f>IF('ORDENES'!$A994="","",IF('ORDENES'!$Y994="","-",'ORDENES'!$Y994))</f>
        <v/>
      </c>
      <c r="F1016" s="5">
        <f>IF('ORDENES'!$A994="","",IF('ORDENES'!$AB994="","-",'ORDENES'!$AB994))</f>
        <v/>
      </c>
      <c r="G1016" s="5">
        <f>IF('ORDENES'!$A994="","",IF('ORDENES'!$Z994="","-",'ORDENES'!$Z994))</f>
        <v/>
      </c>
      <c r="H1016" s="5">
        <f>IF('ORDENES'!$A994="","",IF('ORDENES'!$AH994="","-",'ORDENES'!$AH994))</f>
        <v/>
      </c>
      <c r="I1016" s="5">
        <f>IF('ORDENES'!$A994="","",IF('ORDENES'!$AU994="","-",'ORDENES'!$AU994))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3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IF('ORDENES'!$A994="","",'ORDENES'!$AG994)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IF('ORDENES'!$A995="","",IF('ORDENES'!$AI995="","-",'ORDENES'!$AI995))</f>
        <v/>
      </c>
      <c r="D1017" s="5">
        <f>IF('ORDENES'!$A995="","",IF('ORDENES'!$AA995="","-",'ORDENES'!$AA995))</f>
        <v/>
      </c>
      <c r="E1017" s="5">
        <f>IF('ORDENES'!$A995="","",IF('ORDENES'!$Y995="","-",'ORDENES'!$Y995))</f>
        <v/>
      </c>
      <c r="F1017" s="5">
        <f>IF('ORDENES'!$A995="","",IF('ORDENES'!$AB995="","-",'ORDENES'!$AB995))</f>
        <v/>
      </c>
      <c r="G1017" s="5">
        <f>IF('ORDENES'!$A995="","",IF('ORDENES'!$Z995="","-",'ORDENES'!$Z995))</f>
        <v/>
      </c>
      <c r="H1017" s="5">
        <f>IF('ORDENES'!$A995="","",IF('ORDENES'!$AH995="","-",'ORDENES'!$AH995))</f>
        <v/>
      </c>
      <c r="I1017" s="5">
        <f>IF('ORDENES'!$A995="","",IF('ORDENES'!$AU995="","-",'ORDENES'!$AU995))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3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IF('ORDENES'!$A995="","",'ORDENES'!$AG995)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IF('ORDENES'!$A996="","",IF('ORDENES'!$AI996="","-",'ORDENES'!$AI996))</f>
        <v/>
      </c>
      <c r="D1018" s="5">
        <f>IF('ORDENES'!$A996="","",IF('ORDENES'!$AA996="","-",'ORDENES'!$AA996))</f>
        <v/>
      </c>
      <c r="E1018" s="5">
        <f>IF('ORDENES'!$A996="","",IF('ORDENES'!$Y996="","-",'ORDENES'!$Y996))</f>
        <v/>
      </c>
      <c r="F1018" s="5">
        <f>IF('ORDENES'!$A996="","",IF('ORDENES'!$AB996="","-",'ORDENES'!$AB996))</f>
        <v/>
      </c>
      <c r="G1018" s="5">
        <f>IF('ORDENES'!$A996="","",IF('ORDENES'!$Z996="","-",'ORDENES'!$Z996))</f>
        <v/>
      </c>
      <c r="H1018" s="5">
        <f>IF('ORDENES'!$A996="","",IF('ORDENES'!$AH996="","-",'ORDENES'!$AH996))</f>
        <v/>
      </c>
      <c r="I1018" s="5">
        <f>IF('ORDENES'!$A996="","",IF('ORDENES'!$AU996="","-",'ORDENES'!$AU996))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3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IF('ORDENES'!$A996="","",'ORDENES'!$AG996)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IF('ORDENES'!$A997="","",IF('ORDENES'!$AI997="","-",'ORDENES'!$AI997))</f>
        <v/>
      </c>
      <c r="D1019" s="5">
        <f>IF('ORDENES'!$A997="","",IF('ORDENES'!$AA997="","-",'ORDENES'!$AA997))</f>
        <v/>
      </c>
      <c r="E1019" s="5">
        <f>IF('ORDENES'!$A997="","",IF('ORDENES'!$Y997="","-",'ORDENES'!$Y997))</f>
        <v/>
      </c>
      <c r="F1019" s="5">
        <f>IF('ORDENES'!$A997="","",IF('ORDENES'!$AB997="","-",'ORDENES'!$AB997))</f>
        <v/>
      </c>
      <c r="G1019" s="5">
        <f>IF('ORDENES'!$A997="","",IF('ORDENES'!$Z997="","-",'ORDENES'!$Z997))</f>
        <v/>
      </c>
      <c r="H1019" s="5">
        <f>IF('ORDENES'!$A997="","",IF('ORDENES'!$AH997="","-",'ORDENES'!$AH997))</f>
        <v/>
      </c>
      <c r="I1019" s="5">
        <f>IF('ORDENES'!$A997="","",IF('ORDENES'!$AU997="","-",'ORDENES'!$AU997))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3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IF('ORDENES'!$A997="","",'ORDENES'!$AG997)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IF('ORDENES'!$A998="","",IF('ORDENES'!$AI998="","-",'ORDENES'!$AI998))</f>
        <v/>
      </c>
      <c r="D1020" s="5">
        <f>IF('ORDENES'!$A998="","",IF('ORDENES'!$AA998="","-",'ORDENES'!$AA998))</f>
        <v/>
      </c>
      <c r="E1020" s="5">
        <f>IF('ORDENES'!$A998="","",IF('ORDENES'!$Y998="","-",'ORDENES'!$Y998))</f>
        <v/>
      </c>
      <c r="F1020" s="5">
        <f>IF('ORDENES'!$A998="","",IF('ORDENES'!$AB998="","-",'ORDENES'!$AB998))</f>
        <v/>
      </c>
      <c r="G1020" s="5">
        <f>IF('ORDENES'!$A998="","",IF('ORDENES'!$Z998="","-",'ORDENES'!$Z998))</f>
        <v/>
      </c>
      <c r="H1020" s="5">
        <f>IF('ORDENES'!$A998="","",IF('ORDENES'!$AH998="","-",'ORDENES'!$AH998))</f>
        <v/>
      </c>
      <c r="I1020" s="5">
        <f>IF('ORDENES'!$A998="","",IF('ORDENES'!$AU998="","-",'ORDENES'!$AU998))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3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IF('ORDENES'!$A998="","",'ORDENES'!$AG998)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IF('ORDENES'!$A999="","",IF('ORDENES'!$AI999="","-",'ORDENES'!$AI999))</f>
        <v/>
      </c>
      <c r="D1021" s="5">
        <f>IF('ORDENES'!$A999="","",IF('ORDENES'!$AA999="","-",'ORDENES'!$AA999))</f>
        <v/>
      </c>
      <c r="E1021" s="5">
        <f>IF('ORDENES'!$A999="","",IF('ORDENES'!$Y999="","-",'ORDENES'!$Y999))</f>
        <v/>
      </c>
      <c r="F1021" s="5">
        <f>IF('ORDENES'!$A999="","",IF('ORDENES'!$AB999="","-",'ORDENES'!$AB999))</f>
        <v/>
      </c>
      <c r="G1021" s="5">
        <f>IF('ORDENES'!$A999="","",IF('ORDENES'!$Z999="","-",'ORDENES'!$Z999))</f>
        <v/>
      </c>
      <c r="H1021" s="5">
        <f>IF('ORDENES'!$A999="","",IF('ORDENES'!$AH999="","-",'ORDENES'!$AH999))</f>
        <v/>
      </c>
      <c r="I1021" s="5">
        <f>IF('ORDENES'!$A999="","",IF('ORDENES'!$AU999="","-",'ORDENES'!$AU999))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3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IF('ORDENES'!$A999="","",'ORDENES'!$AG999)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IF('ORDENES'!$A1000="","",IF('ORDENES'!$AI1000="","-",'ORDENES'!$AI1000))</f>
        <v/>
      </c>
      <c r="D1022" s="5">
        <f>IF('ORDENES'!$A1000="","",IF('ORDENES'!$AA1000="","-",'ORDENES'!$AA1000))</f>
        <v/>
      </c>
      <c r="E1022" s="5">
        <f>IF('ORDENES'!$A1000="","",IF('ORDENES'!$Y1000="","-",'ORDENES'!$Y1000))</f>
        <v/>
      </c>
      <c r="F1022" s="5">
        <f>IF('ORDENES'!$A1000="","",IF('ORDENES'!$AB1000="","-",'ORDENES'!$AB1000))</f>
        <v/>
      </c>
      <c r="G1022" s="5">
        <f>IF('ORDENES'!$A1000="","",IF('ORDENES'!$Z1000="","-",'ORDENES'!$Z1000))</f>
        <v/>
      </c>
      <c r="H1022" s="5">
        <f>IF('ORDENES'!$A1000="","",IF('ORDENES'!$AH1000="","-",'ORDENES'!$AH1000))</f>
        <v/>
      </c>
      <c r="I1022" s="5">
        <f>IF('ORDENES'!$A1000="","",IF('ORDENES'!$AU1000="","-",'ORDENES'!$AU1000))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3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IF('ORDENES'!$A1000="","",'ORDENES'!$AG1000)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IF('ORDENES'!$A1001="","",IF('ORDENES'!$AI1001="","-",'ORDENES'!$AI1001))</f>
        <v/>
      </c>
      <c r="D1023" s="5">
        <f>IF('ORDENES'!$A1001="","",IF('ORDENES'!$AA1001="","-",'ORDENES'!$AA1001))</f>
        <v/>
      </c>
      <c r="E1023" s="5">
        <f>IF('ORDENES'!$A1001="","",IF('ORDENES'!$Y1001="","-",'ORDENES'!$Y1001))</f>
        <v/>
      </c>
      <c r="F1023" s="5">
        <f>IF('ORDENES'!$A1001="","",IF('ORDENES'!$AB1001="","-",'ORDENES'!$AB1001))</f>
        <v/>
      </c>
      <c r="G1023" s="5">
        <f>IF('ORDENES'!$A1001="","",IF('ORDENES'!$Z1001="","-",'ORDENES'!$Z1001))</f>
        <v/>
      </c>
      <c r="H1023" s="5">
        <f>IF('ORDENES'!$A1001="","",IF('ORDENES'!$AH1001="","-",'ORDENES'!$AH1001))</f>
        <v/>
      </c>
      <c r="I1023" s="5">
        <f>IF('ORDENES'!$A1001="","",IF('ORDENES'!$AU1001="","-",'ORDENES'!$AU1001))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3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IF('ORDENES'!$A1001="","",'ORDENES'!$AG1001)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IF('ORDENES'!$A1002="","",IF('ORDENES'!$AI1002="","-",'ORDENES'!$AI1002))</f>
        <v/>
      </c>
      <c r="D1024" s="5">
        <f>IF('ORDENES'!$A1002="","",IF('ORDENES'!$AA1002="","-",'ORDENES'!$AA1002))</f>
        <v/>
      </c>
      <c r="E1024" s="5">
        <f>IF('ORDENES'!$A1002="","",IF('ORDENES'!$Y1002="","-",'ORDENES'!$Y1002))</f>
        <v/>
      </c>
      <c r="F1024" s="5">
        <f>IF('ORDENES'!$A1002="","",IF('ORDENES'!$AB1002="","-",'ORDENES'!$AB1002))</f>
        <v/>
      </c>
      <c r="G1024" s="5">
        <f>IF('ORDENES'!$A1002="","",IF('ORDENES'!$Z1002="","-",'ORDENES'!$Z1002))</f>
        <v/>
      </c>
      <c r="H1024" s="5">
        <f>IF('ORDENES'!$A1002="","",IF('ORDENES'!$AH1002="","-",'ORDENES'!$AH1002))</f>
        <v/>
      </c>
      <c r="I1024" s="5">
        <f>IF('ORDENES'!$A1002="","",IF('ORDENES'!$AU1002="","-",'ORDENES'!$AU1002))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3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IF('ORDENES'!$A1002="","",'ORDENES'!$AG1002)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IF('ORDENES'!$A1003="","",IF('ORDENES'!$AI1003="","-",'ORDENES'!$AI1003))</f>
        <v/>
      </c>
      <c r="D1025" s="5">
        <f>IF('ORDENES'!$A1003="","",IF('ORDENES'!$AA1003="","-",'ORDENES'!$AA1003))</f>
        <v/>
      </c>
      <c r="E1025" s="5">
        <f>IF('ORDENES'!$A1003="","",IF('ORDENES'!$Y1003="","-",'ORDENES'!$Y1003))</f>
        <v/>
      </c>
      <c r="F1025" s="5">
        <f>IF('ORDENES'!$A1003="","",IF('ORDENES'!$AB1003="","-",'ORDENES'!$AB1003))</f>
        <v/>
      </c>
      <c r="G1025" s="5">
        <f>IF('ORDENES'!$A1003="","",IF('ORDENES'!$Z1003="","-",'ORDENES'!$Z1003))</f>
        <v/>
      </c>
      <c r="H1025" s="5">
        <f>IF('ORDENES'!$A1003="","",IF('ORDENES'!$AH1003="","-",'ORDENES'!$AH1003))</f>
        <v/>
      </c>
      <c r="I1025" s="5">
        <f>IF('ORDENES'!$A1003="","",IF('ORDENES'!$AU1003="","-",'ORDENES'!$AU1003))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3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IF('ORDENES'!$A1003="","",'ORDENES'!$AG1003)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IF('ORDENES'!$A1004="","",IF('ORDENES'!$AI1004="","-",'ORDENES'!$AI1004))</f>
        <v/>
      </c>
      <c r="D1026" s="5">
        <f>IF('ORDENES'!$A1004="","",IF('ORDENES'!$AA1004="","-",'ORDENES'!$AA1004))</f>
        <v/>
      </c>
      <c r="E1026" s="5">
        <f>IF('ORDENES'!$A1004="","",IF('ORDENES'!$Y1004="","-",'ORDENES'!$Y1004))</f>
        <v/>
      </c>
      <c r="F1026" s="5">
        <f>IF('ORDENES'!$A1004="","",IF('ORDENES'!$AB1004="","-",'ORDENES'!$AB1004))</f>
        <v/>
      </c>
      <c r="G1026" s="5">
        <f>IF('ORDENES'!$A1004="","",IF('ORDENES'!$Z1004="","-",'ORDENES'!$Z1004))</f>
        <v/>
      </c>
      <c r="H1026" s="5">
        <f>IF('ORDENES'!$A1004="","",IF('ORDENES'!$AH1004="","-",'ORDENES'!$AH1004))</f>
        <v/>
      </c>
      <c r="I1026" s="5">
        <f>IF('ORDENES'!$A1004="","",IF('ORDENES'!$AU1004="","-",'ORDENES'!$AU1004))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3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IF('ORDENES'!$A1004="","",'ORDENES'!$AG1004)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IF('ORDENES'!$A1005="","",IF('ORDENES'!$AI1005="","-",'ORDENES'!$AI1005))</f>
        <v/>
      </c>
      <c r="D1027" s="5">
        <f>IF('ORDENES'!$A1005="","",IF('ORDENES'!$AA1005="","-",'ORDENES'!$AA1005))</f>
        <v/>
      </c>
      <c r="E1027" s="5">
        <f>IF('ORDENES'!$A1005="","",IF('ORDENES'!$Y1005="","-",'ORDENES'!$Y1005))</f>
        <v/>
      </c>
      <c r="F1027" s="5">
        <f>IF('ORDENES'!$A1005="","",IF('ORDENES'!$AB1005="","-",'ORDENES'!$AB1005))</f>
        <v/>
      </c>
      <c r="G1027" s="5">
        <f>IF('ORDENES'!$A1005="","",IF('ORDENES'!$Z1005="","-",'ORDENES'!$Z1005))</f>
        <v/>
      </c>
      <c r="H1027" s="5">
        <f>IF('ORDENES'!$A1005="","",IF('ORDENES'!$AH1005="","-",'ORDENES'!$AH1005))</f>
        <v/>
      </c>
      <c r="I1027" s="5">
        <f>IF('ORDENES'!$A1005="","",IF('ORDENES'!$AU1005="","-",'ORDENES'!$AU1005))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3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IF('ORDENES'!$A1005="","",'ORDENES'!$AG1005)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IF('ORDENES'!$A1006="","",IF('ORDENES'!$AI1006="","-",'ORDENES'!$AI1006))</f>
        <v/>
      </c>
      <c r="D1028" s="5">
        <f>IF('ORDENES'!$A1006="","",IF('ORDENES'!$AA1006="","-",'ORDENES'!$AA1006))</f>
        <v/>
      </c>
      <c r="E1028" s="5">
        <f>IF('ORDENES'!$A1006="","",IF('ORDENES'!$Y1006="","-",'ORDENES'!$Y1006))</f>
        <v/>
      </c>
      <c r="F1028" s="5">
        <f>IF('ORDENES'!$A1006="","",IF('ORDENES'!$AB1006="","-",'ORDENES'!$AB1006))</f>
        <v/>
      </c>
      <c r="G1028" s="5">
        <f>IF('ORDENES'!$A1006="","",IF('ORDENES'!$Z1006="","-",'ORDENES'!$Z1006))</f>
        <v/>
      </c>
      <c r="H1028" s="5">
        <f>IF('ORDENES'!$A1006="","",IF('ORDENES'!$AH1006="","-",'ORDENES'!$AH1006))</f>
        <v/>
      </c>
      <c r="I1028" s="5">
        <f>IF('ORDENES'!$A1006="","",IF('ORDENES'!$AU1006="","-",'ORDENES'!$AU1006))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3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IF('ORDENES'!$A1006="","",'ORDENES'!$AG1006)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IF('ORDENES'!$A1007="","",IF('ORDENES'!$AI1007="","-",'ORDENES'!$AI1007))</f>
        <v/>
      </c>
      <c r="D1029" s="5">
        <f>IF('ORDENES'!$A1007="","",IF('ORDENES'!$AA1007="","-",'ORDENES'!$AA1007))</f>
        <v/>
      </c>
      <c r="E1029" s="5">
        <f>IF('ORDENES'!$A1007="","",IF('ORDENES'!$Y1007="","-",'ORDENES'!$Y1007))</f>
        <v/>
      </c>
      <c r="F1029" s="5">
        <f>IF('ORDENES'!$A1007="","",IF('ORDENES'!$AB1007="","-",'ORDENES'!$AB1007))</f>
        <v/>
      </c>
      <c r="G1029" s="5">
        <f>IF('ORDENES'!$A1007="","",IF('ORDENES'!$Z1007="","-",'ORDENES'!$Z1007))</f>
        <v/>
      </c>
      <c r="H1029" s="5">
        <f>IF('ORDENES'!$A1007="","",IF('ORDENES'!$AH1007="","-",'ORDENES'!$AH1007))</f>
        <v/>
      </c>
      <c r="I1029" s="5">
        <f>IF('ORDENES'!$A1007="","",IF('ORDENES'!$AU1007="","-",'ORDENES'!$AU1007))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3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IF('ORDENES'!$A1007="","",'ORDENES'!$AG1007)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IF('ORDENES'!$A1008="","",IF('ORDENES'!$AI1008="","-",'ORDENES'!$AI1008))</f>
        <v/>
      </c>
      <c r="D1030" s="5">
        <f>IF('ORDENES'!$A1008="","",IF('ORDENES'!$AA1008="","-",'ORDENES'!$AA1008))</f>
        <v/>
      </c>
      <c r="E1030" s="5">
        <f>IF('ORDENES'!$A1008="","",IF('ORDENES'!$Y1008="","-",'ORDENES'!$Y1008))</f>
        <v/>
      </c>
      <c r="F1030" s="5">
        <f>IF('ORDENES'!$A1008="","",IF('ORDENES'!$AB1008="","-",'ORDENES'!$AB1008))</f>
        <v/>
      </c>
      <c r="G1030" s="5">
        <f>IF('ORDENES'!$A1008="","",IF('ORDENES'!$Z1008="","-",'ORDENES'!$Z1008))</f>
        <v/>
      </c>
      <c r="H1030" s="5">
        <f>IF('ORDENES'!$A1008="","",IF('ORDENES'!$AH1008="","-",'ORDENES'!$AH1008))</f>
        <v/>
      </c>
      <c r="I1030" s="5">
        <f>IF('ORDENES'!$A1008="","",IF('ORDENES'!$AU1008="","-",'ORDENES'!$AU1008))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3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IF('ORDENES'!$A1008="","",'ORDENES'!$AG1008)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IF('ORDENES'!$A1009="","",IF('ORDENES'!$AI1009="","-",'ORDENES'!$AI1009))</f>
        <v/>
      </c>
      <c r="D1031" s="5">
        <f>IF('ORDENES'!$A1009="","",IF('ORDENES'!$AA1009="","-",'ORDENES'!$AA1009))</f>
        <v/>
      </c>
      <c r="E1031" s="5">
        <f>IF('ORDENES'!$A1009="","",IF('ORDENES'!$Y1009="","-",'ORDENES'!$Y1009))</f>
        <v/>
      </c>
      <c r="F1031" s="5">
        <f>IF('ORDENES'!$A1009="","",IF('ORDENES'!$AB1009="","-",'ORDENES'!$AB1009))</f>
        <v/>
      </c>
      <c r="G1031" s="5">
        <f>IF('ORDENES'!$A1009="","",IF('ORDENES'!$Z1009="","-",'ORDENES'!$Z1009))</f>
        <v/>
      </c>
      <c r="H1031" s="5">
        <f>IF('ORDENES'!$A1009="","",IF('ORDENES'!$AH1009="","-",'ORDENES'!$AH1009))</f>
        <v/>
      </c>
      <c r="I1031" s="5">
        <f>IF('ORDENES'!$A1009="","",IF('ORDENES'!$AU1009="","-",'ORDENES'!$AU1009))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3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IF('ORDENES'!$A1009="","",'ORDENES'!$AG1009)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IF('ORDENES'!$A1010="","",IF('ORDENES'!$AI1010="","-",'ORDENES'!$AI1010))</f>
        <v/>
      </c>
      <c r="D1032" s="5">
        <f>IF('ORDENES'!$A1010="","",IF('ORDENES'!$AA1010="","-",'ORDENES'!$AA1010))</f>
        <v/>
      </c>
      <c r="E1032" s="5">
        <f>IF('ORDENES'!$A1010="","",IF('ORDENES'!$Y1010="","-",'ORDENES'!$Y1010))</f>
        <v/>
      </c>
      <c r="F1032" s="5">
        <f>IF('ORDENES'!$A1010="","",IF('ORDENES'!$AB1010="","-",'ORDENES'!$AB1010))</f>
        <v/>
      </c>
      <c r="G1032" s="5">
        <f>IF('ORDENES'!$A1010="","",IF('ORDENES'!$Z1010="","-",'ORDENES'!$Z1010))</f>
        <v/>
      </c>
      <c r="H1032" s="5">
        <f>IF('ORDENES'!$A1010="","",IF('ORDENES'!$AH1010="","-",'ORDENES'!$AH1010))</f>
        <v/>
      </c>
      <c r="I1032" s="5">
        <f>IF('ORDENES'!$A1010="","",IF('ORDENES'!$AU1010="","-",'ORDENES'!$AU1010))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3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IF('ORDENES'!$A1010="","",'ORDENES'!$AG1010)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IF('ORDENES'!$A1011="","",IF('ORDENES'!$AI1011="","-",'ORDENES'!$AI1011))</f>
        <v/>
      </c>
      <c r="D1033" s="5">
        <f>IF('ORDENES'!$A1011="","",IF('ORDENES'!$AA1011="","-",'ORDENES'!$AA1011))</f>
        <v/>
      </c>
      <c r="E1033" s="5">
        <f>IF('ORDENES'!$A1011="","",IF('ORDENES'!$Y1011="","-",'ORDENES'!$Y1011))</f>
        <v/>
      </c>
      <c r="F1033" s="5">
        <f>IF('ORDENES'!$A1011="","",IF('ORDENES'!$AB1011="","-",'ORDENES'!$AB1011))</f>
        <v/>
      </c>
      <c r="G1033" s="5">
        <f>IF('ORDENES'!$A1011="","",IF('ORDENES'!$Z1011="","-",'ORDENES'!$Z1011))</f>
        <v/>
      </c>
      <c r="H1033" s="5">
        <f>IF('ORDENES'!$A1011="","",IF('ORDENES'!$AH1011="","-",'ORDENES'!$AH1011))</f>
        <v/>
      </c>
      <c r="I1033" s="5">
        <f>IF('ORDENES'!$A1011="","",IF('ORDENES'!$AU1011="","-",'ORDENES'!$AU1011))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3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IF('ORDENES'!$A1011="","",'ORDENES'!$AG1011)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IF('ORDENES'!$A1012="","",IF('ORDENES'!$AI1012="","-",'ORDENES'!$AI1012))</f>
        <v/>
      </c>
      <c r="D1034" s="5">
        <f>IF('ORDENES'!$A1012="","",IF('ORDENES'!$AA1012="","-",'ORDENES'!$AA1012))</f>
        <v/>
      </c>
      <c r="E1034" s="5">
        <f>IF('ORDENES'!$A1012="","",IF('ORDENES'!$Y1012="","-",'ORDENES'!$Y1012))</f>
        <v/>
      </c>
      <c r="F1034" s="5">
        <f>IF('ORDENES'!$A1012="","",IF('ORDENES'!$AB1012="","-",'ORDENES'!$AB1012))</f>
        <v/>
      </c>
      <c r="G1034" s="5">
        <f>IF('ORDENES'!$A1012="","",IF('ORDENES'!$Z1012="","-",'ORDENES'!$Z1012))</f>
        <v/>
      </c>
      <c r="H1034" s="5">
        <f>IF('ORDENES'!$A1012="","",IF('ORDENES'!$AH1012="","-",'ORDENES'!$AH1012))</f>
        <v/>
      </c>
      <c r="I1034" s="5">
        <f>IF('ORDENES'!$A1012="","",IF('ORDENES'!$AU1012="","-",'ORDENES'!$AU1012))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3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IF('ORDENES'!$A1012="","",'ORDENES'!$AG1012)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IF('ORDENES'!$A1013="","",IF('ORDENES'!$AI1013="","-",'ORDENES'!$AI1013))</f>
        <v/>
      </c>
      <c r="D1035" s="5">
        <f>IF('ORDENES'!$A1013="","",IF('ORDENES'!$AA1013="","-",'ORDENES'!$AA1013))</f>
        <v/>
      </c>
      <c r="E1035" s="5">
        <f>IF('ORDENES'!$A1013="","",IF('ORDENES'!$Y1013="","-",'ORDENES'!$Y1013))</f>
        <v/>
      </c>
      <c r="F1035" s="5">
        <f>IF('ORDENES'!$A1013="","",IF('ORDENES'!$AB1013="","-",'ORDENES'!$AB1013))</f>
        <v/>
      </c>
      <c r="G1035" s="5">
        <f>IF('ORDENES'!$A1013="","",IF('ORDENES'!$Z1013="","-",'ORDENES'!$Z1013))</f>
        <v/>
      </c>
      <c r="H1035" s="5">
        <f>IF('ORDENES'!$A1013="","",IF('ORDENES'!$AH1013="","-",'ORDENES'!$AH1013))</f>
        <v/>
      </c>
      <c r="I1035" s="5">
        <f>IF('ORDENES'!$A1013="","",IF('ORDENES'!$AU1013="","-",'ORDENES'!$AU1013))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3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IF('ORDENES'!$A1013="","",'ORDENES'!$AG1013)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IF('ORDENES'!$A1014="","",IF('ORDENES'!$AI1014="","-",'ORDENES'!$AI1014))</f>
        <v/>
      </c>
      <c r="D1036" s="5">
        <f>IF('ORDENES'!$A1014="","",IF('ORDENES'!$AA1014="","-",'ORDENES'!$AA1014))</f>
        <v/>
      </c>
      <c r="E1036" s="5">
        <f>IF('ORDENES'!$A1014="","",IF('ORDENES'!$Y1014="","-",'ORDENES'!$Y1014))</f>
        <v/>
      </c>
      <c r="F1036" s="5">
        <f>IF('ORDENES'!$A1014="","",IF('ORDENES'!$AB1014="","-",'ORDENES'!$AB1014))</f>
        <v/>
      </c>
      <c r="G1036" s="5">
        <f>IF('ORDENES'!$A1014="","",IF('ORDENES'!$Z1014="","-",'ORDENES'!$Z1014))</f>
        <v/>
      </c>
      <c r="H1036" s="5">
        <f>IF('ORDENES'!$A1014="","",IF('ORDENES'!$AH1014="","-",'ORDENES'!$AH1014))</f>
        <v/>
      </c>
      <c r="I1036" s="5">
        <f>IF('ORDENES'!$A1014="","",IF('ORDENES'!$AU1014="","-",'ORDENES'!$AU1014))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3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IF('ORDENES'!$A1014="","",'ORDENES'!$AG1014)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IF('ORDENES'!$A1015="","",IF('ORDENES'!$AI1015="","-",'ORDENES'!$AI1015))</f>
        <v/>
      </c>
      <c r="D1037" s="5">
        <f>IF('ORDENES'!$A1015="","",IF('ORDENES'!$AA1015="","-",'ORDENES'!$AA1015))</f>
        <v/>
      </c>
      <c r="E1037" s="5">
        <f>IF('ORDENES'!$A1015="","",IF('ORDENES'!$Y1015="","-",'ORDENES'!$Y1015))</f>
        <v/>
      </c>
      <c r="F1037" s="5">
        <f>IF('ORDENES'!$A1015="","",IF('ORDENES'!$AB1015="","-",'ORDENES'!$AB1015))</f>
        <v/>
      </c>
      <c r="G1037" s="5">
        <f>IF('ORDENES'!$A1015="","",IF('ORDENES'!$Z1015="","-",'ORDENES'!$Z1015))</f>
        <v/>
      </c>
      <c r="H1037" s="5">
        <f>IF('ORDENES'!$A1015="","",IF('ORDENES'!$AH1015="","-",'ORDENES'!$AH1015))</f>
        <v/>
      </c>
      <c r="I1037" s="5">
        <f>IF('ORDENES'!$A1015="","",IF('ORDENES'!$AU1015="","-",'ORDENES'!$AU1015))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3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IF('ORDENES'!$A1015="","",'ORDENES'!$AG1015)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IF('ORDENES'!$A1016="","",IF('ORDENES'!$AI1016="","-",'ORDENES'!$AI1016))</f>
        <v/>
      </c>
      <c r="D1038" s="5">
        <f>IF('ORDENES'!$A1016="","",IF('ORDENES'!$AA1016="","-",'ORDENES'!$AA1016))</f>
        <v/>
      </c>
      <c r="E1038" s="5">
        <f>IF('ORDENES'!$A1016="","",IF('ORDENES'!$Y1016="","-",'ORDENES'!$Y1016))</f>
        <v/>
      </c>
      <c r="F1038" s="5">
        <f>IF('ORDENES'!$A1016="","",IF('ORDENES'!$AB1016="","-",'ORDENES'!$AB1016))</f>
        <v/>
      </c>
      <c r="G1038" s="5">
        <f>IF('ORDENES'!$A1016="","",IF('ORDENES'!$Z1016="","-",'ORDENES'!$Z1016))</f>
        <v/>
      </c>
      <c r="H1038" s="5">
        <f>IF('ORDENES'!$A1016="","",IF('ORDENES'!$AH1016="","-",'ORDENES'!$AH1016))</f>
        <v/>
      </c>
      <c r="I1038" s="5">
        <f>IF('ORDENES'!$A1016="","",IF('ORDENES'!$AU1016="","-",'ORDENES'!$AU1016))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3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IF('ORDENES'!$A1016="","",'ORDENES'!$AG1016)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IF('ORDENES'!$A1017="","",IF('ORDENES'!$AI1017="","-",'ORDENES'!$AI1017))</f>
        <v/>
      </c>
      <c r="D1039" s="5">
        <f>IF('ORDENES'!$A1017="","",IF('ORDENES'!$AA1017="","-",'ORDENES'!$AA1017))</f>
        <v/>
      </c>
      <c r="E1039" s="5">
        <f>IF('ORDENES'!$A1017="","",IF('ORDENES'!$Y1017="","-",'ORDENES'!$Y1017))</f>
        <v/>
      </c>
      <c r="F1039" s="5">
        <f>IF('ORDENES'!$A1017="","",IF('ORDENES'!$AB1017="","-",'ORDENES'!$AB1017))</f>
        <v/>
      </c>
      <c r="G1039" s="5">
        <f>IF('ORDENES'!$A1017="","",IF('ORDENES'!$Z1017="","-",'ORDENES'!$Z1017))</f>
        <v/>
      </c>
      <c r="H1039" s="5">
        <f>IF('ORDENES'!$A1017="","",IF('ORDENES'!$AH1017="","-",'ORDENES'!$AH1017))</f>
        <v/>
      </c>
      <c r="I1039" s="5">
        <f>IF('ORDENES'!$A1017="","",IF('ORDENES'!$AU1017="","-",'ORDENES'!$AU1017))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3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IF('ORDENES'!$A1017="","",'ORDENES'!$AG1017)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IF('ORDENES'!$A1018="","",IF('ORDENES'!$AI1018="","-",'ORDENES'!$AI1018))</f>
        <v/>
      </c>
      <c r="D1040" s="5">
        <f>IF('ORDENES'!$A1018="","",IF('ORDENES'!$AA1018="","-",'ORDENES'!$AA1018))</f>
        <v/>
      </c>
      <c r="E1040" s="5">
        <f>IF('ORDENES'!$A1018="","",IF('ORDENES'!$Y1018="","-",'ORDENES'!$Y1018))</f>
        <v/>
      </c>
      <c r="F1040" s="5">
        <f>IF('ORDENES'!$A1018="","",IF('ORDENES'!$AB1018="","-",'ORDENES'!$AB1018))</f>
        <v/>
      </c>
      <c r="G1040" s="5">
        <f>IF('ORDENES'!$A1018="","",IF('ORDENES'!$Z1018="","-",'ORDENES'!$Z1018))</f>
        <v/>
      </c>
      <c r="H1040" s="5">
        <f>IF('ORDENES'!$A1018="","",IF('ORDENES'!$AH1018="","-",'ORDENES'!$AH1018))</f>
        <v/>
      </c>
      <c r="I1040" s="5">
        <f>IF('ORDENES'!$A1018="","",IF('ORDENES'!$AU1018="","-",'ORDENES'!$AU1018))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3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IF('ORDENES'!$A1018="","",'ORDENES'!$AG1018)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IF('ORDENES'!$A1019="","",IF('ORDENES'!$AI1019="","-",'ORDENES'!$AI1019))</f>
        <v/>
      </c>
      <c r="D1041" s="5">
        <f>IF('ORDENES'!$A1019="","",IF('ORDENES'!$AA1019="","-",'ORDENES'!$AA1019))</f>
        <v/>
      </c>
      <c r="E1041" s="5">
        <f>IF('ORDENES'!$A1019="","",IF('ORDENES'!$Y1019="","-",'ORDENES'!$Y1019))</f>
        <v/>
      </c>
      <c r="F1041" s="5">
        <f>IF('ORDENES'!$A1019="","",IF('ORDENES'!$AB1019="","-",'ORDENES'!$AB1019))</f>
        <v/>
      </c>
      <c r="G1041" s="5">
        <f>IF('ORDENES'!$A1019="","",IF('ORDENES'!$Z1019="","-",'ORDENES'!$Z1019))</f>
        <v/>
      </c>
      <c r="H1041" s="5">
        <f>IF('ORDENES'!$A1019="","",IF('ORDENES'!$AH1019="","-",'ORDENES'!$AH1019))</f>
        <v/>
      </c>
      <c r="I1041" s="5">
        <f>IF('ORDENES'!$A1019="","",IF('ORDENES'!$AU1019="","-",'ORDENES'!$AU1019))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3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IF('ORDENES'!$A1019="","",'ORDENES'!$AG1019)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IF('ORDENES'!$A1020="","",IF('ORDENES'!$AI1020="","-",'ORDENES'!$AI1020))</f>
        <v/>
      </c>
      <c r="D1042" s="5">
        <f>IF('ORDENES'!$A1020="","",IF('ORDENES'!$AA1020="","-",'ORDENES'!$AA1020))</f>
        <v/>
      </c>
      <c r="E1042" s="5">
        <f>IF('ORDENES'!$A1020="","",IF('ORDENES'!$Y1020="","-",'ORDENES'!$Y1020))</f>
        <v/>
      </c>
      <c r="F1042" s="5">
        <f>IF('ORDENES'!$A1020="","",IF('ORDENES'!$AB1020="","-",'ORDENES'!$AB1020))</f>
        <v/>
      </c>
      <c r="G1042" s="5">
        <f>IF('ORDENES'!$A1020="","",IF('ORDENES'!$Z1020="","-",'ORDENES'!$Z1020))</f>
        <v/>
      </c>
      <c r="H1042" s="5">
        <f>IF('ORDENES'!$A1020="","",IF('ORDENES'!$AH1020="","-",'ORDENES'!$AH1020))</f>
        <v/>
      </c>
      <c r="I1042" s="5">
        <f>IF('ORDENES'!$A1020="","",IF('ORDENES'!$AU1020="","-",'ORDENES'!$AU1020))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3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IF('ORDENES'!$A1020="","",'ORDENES'!$AG1020)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IF('ORDENES'!$A1021="","",IF('ORDENES'!$AI1021="","-",'ORDENES'!$AI1021))</f>
        <v/>
      </c>
      <c r="D1043" s="5">
        <f>IF('ORDENES'!$A1021="","",IF('ORDENES'!$AA1021="","-",'ORDENES'!$AA1021))</f>
        <v/>
      </c>
      <c r="E1043" s="5">
        <f>IF('ORDENES'!$A1021="","",IF('ORDENES'!$Y1021="","-",'ORDENES'!$Y1021))</f>
        <v/>
      </c>
      <c r="F1043" s="5">
        <f>IF('ORDENES'!$A1021="","",IF('ORDENES'!$AB1021="","-",'ORDENES'!$AB1021))</f>
        <v/>
      </c>
      <c r="G1043" s="5">
        <f>IF('ORDENES'!$A1021="","",IF('ORDENES'!$Z1021="","-",'ORDENES'!$Z1021))</f>
        <v/>
      </c>
      <c r="H1043" s="5">
        <f>IF('ORDENES'!$A1021="","",IF('ORDENES'!$AH1021="","-",'ORDENES'!$AH1021))</f>
        <v/>
      </c>
      <c r="I1043" s="5">
        <f>IF('ORDENES'!$A1021="","",IF('ORDENES'!$AU1021="","-",'ORDENES'!$AU1021))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3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IF('ORDENES'!$A1021="","",'ORDENES'!$AG1021)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IF('ORDENES'!$A1022="","",IF('ORDENES'!$AI1022="","-",'ORDENES'!$AI1022))</f>
        <v/>
      </c>
      <c r="D1044" s="5">
        <f>IF('ORDENES'!$A1022="","",IF('ORDENES'!$AA1022="","-",'ORDENES'!$AA1022))</f>
        <v/>
      </c>
      <c r="E1044" s="5">
        <f>IF('ORDENES'!$A1022="","",IF('ORDENES'!$Y1022="","-",'ORDENES'!$Y1022))</f>
        <v/>
      </c>
      <c r="F1044" s="5">
        <f>IF('ORDENES'!$A1022="","",IF('ORDENES'!$AB1022="","-",'ORDENES'!$AB1022))</f>
        <v/>
      </c>
      <c r="G1044" s="5">
        <f>IF('ORDENES'!$A1022="","",IF('ORDENES'!$Z1022="","-",'ORDENES'!$Z1022))</f>
        <v/>
      </c>
      <c r="H1044" s="5">
        <f>IF('ORDENES'!$A1022="","",IF('ORDENES'!$AH1022="","-",'ORDENES'!$AH1022))</f>
        <v/>
      </c>
      <c r="I1044" s="5">
        <f>IF('ORDENES'!$A1022="","",IF('ORDENES'!$AU1022="","-",'ORDENES'!$AU1022))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3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IF('ORDENES'!$A1022="","",'ORDENES'!$AG1022)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IF('ORDENES'!$A1023="","",IF('ORDENES'!$AI1023="","-",'ORDENES'!$AI1023))</f>
        <v/>
      </c>
      <c r="D1045" s="5">
        <f>IF('ORDENES'!$A1023="","",IF('ORDENES'!$AA1023="","-",'ORDENES'!$AA1023))</f>
        <v/>
      </c>
      <c r="E1045" s="5">
        <f>IF('ORDENES'!$A1023="","",IF('ORDENES'!$Y1023="","-",'ORDENES'!$Y1023))</f>
        <v/>
      </c>
      <c r="F1045" s="5">
        <f>IF('ORDENES'!$A1023="","",IF('ORDENES'!$AB1023="","-",'ORDENES'!$AB1023))</f>
        <v/>
      </c>
      <c r="G1045" s="5">
        <f>IF('ORDENES'!$A1023="","",IF('ORDENES'!$Z1023="","-",'ORDENES'!$Z1023))</f>
        <v/>
      </c>
      <c r="H1045" s="5">
        <f>IF('ORDENES'!$A1023="","",IF('ORDENES'!$AH1023="","-",'ORDENES'!$AH1023))</f>
        <v/>
      </c>
      <c r="I1045" s="5">
        <f>IF('ORDENES'!$A1023="","",IF('ORDENES'!$AU1023="","-",'ORDENES'!$AU1023))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3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IF('ORDENES'!$A1023="","",'ORDENES'!$AG1023)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IF('ORDENES'!$A1024="","",IF('ORDENES'!$AI1024="","-",'ORDENES'!$AI1024))</f>
        <v/>
      </c>
      <c r="D1046" s="5">
        <f>IF('ORDENES'!$A1024="","",IF('ORDENES'!$AA1024="","-",'ORDENES'!$AA1024))</f>
        <v/>
      </c>
      <c r="E1046" s="5">
        <f>IF('ORDENES'!$A1024="","",IF('ORDENES'!$Y1024="","-",'ORDENES'!$Y1024))</f>
        <v/>
      </c>
      <c r="F1046" s="5">
        <f>IF('ORDENES'!$A1024="","",IF('ORDENES'!$AB1024="","-",'ORDENES'!$AB1024))</f>
        <v/>
      </c>
      <c r="G1046" s="5">
        <f>IF('ORDENES'!$A1024="","",IF('ORDENES'!$Z1024="","-",'ORDENES'!$Z1024))</f>
        <v/>
      </c>
      <c r="H1046" s="5">
        <f>IF('ORDENES'!$A1024="","",IF('ORDENES'!$AH1024="","-",'ORDENES'!$AH1024))</f>
        <v/>
      </c>
      <c r="I1046" s="5">
        <f>IF('ORDENES'!$A1024="","",IF('ORDENES'!$AU1024="","-",'ORDENES'!$AU1024))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3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IF('ORDENES'!$A1024="","",'ORDENES'!$AG1024)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IF('ORDENES'!$A1025="","",IF('ORDENES'!$AI1025="","-",'ORDENES'!$AI1025))</f>
        <v/>
      </c>
      <c r="D1047" s="5">
        <f>IF('ORDENES'!$A1025="","",IF('ORDENES'!$AA1025="","-",'ORDENES'!$AA1025))</f>
        <v/>
      </c>
      <c r="E1047" s="5">
        <f>IF('ORDENES'!$A1025="","",IF('ORDENES'!$Y1025="","-",'ORDENES'!$Y1025))</f>
        <v/>
      </c>
      <c r="F1047" s="5">
        <f>IF('ORDENES'!$A1025="","",IF('ORDENES'!$AB1025="","-",'ORDENES'!$AB1025))</f>
        <v/>
      </c>
      <c r="G1047" s="5">
        <f>IF('ORDENES'!$A1025="","",IF('ORDENES'!$Z1025="","-",'ORDENES'!$Z1025))</f>
        <v/>
      </c>
      <c r="H1047" s="5">
        <f>IF('ORDENES'!$A1025="","",IF('ORDENES'!$AH1025="","-",'ORDENES'!$AH1025))</f>
        <v/>
      </c>
      <c r="I1047" s="5">
        <f>IF('ORDENES'!$A1025="","",IF('ORDENES'!$AU1025="","-",'ORDENES'!$AU1025))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3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IF('ORDENES'!$A1025="","",'ORDENES'!$AG1025)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IF('ORDENES'!$A1026="","",IF('ORDENES'!$AI1026="","-",'ORDENES'!$AI1026))</f>
        <v/>
      </c>
      <c r="D1048" s="5">
        <f>IF('ORDENES'!$A1026="","",IF('ORDENES'!$AA1026="","-",'ORDENES'!$AA1026))</f>
        <v/>
      </c>
      <c r="E1048" s="5">
        <f>IF('ORDENES'!$A1026="","",IF('ORDENES'!$Y1026="","-",'ORDENES'!$Y1026))</f>
        <v/>
      </c>
      <c r="F1048" s="5">
        <f>IF('ORDENES'!$A1026="","",IF('ORDENES'!$AB1026="","-",'ORDENES'!$AB1026))</f>
        <v/>
      </c>
      <c r="G1048" s="5">
        <f>IF('ORDENES'!$A1026="","",IF('ORDENES'!$Z1026="","-",'ORDENES'!$Z1026))</f>
        <v/>
      </c>
      <c r="H1048" s="5">
        <f>IF('ORDENES'!$A1026="","",IF('ORDENES'!$AH1026="","-",'ORDENES'!$AH1026))</f>
        <v/>
      </c>
      <c r="I1048" s="5">
        <f>IF('ORDENES'!$A1026="","",IF('ORDENES'!$AU1026="","-",'ORDENES'!$AU1026))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3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IF('ORDENES'!$A1026="","",'ORDENES'!$AG1026)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IF('ORDENES'!$A1027="","",IF('ORDENES'!$AI1027="","-",'ORDENES'!$AI1027))</f>
        <v/>
      </c>
      <c r="D1049" s="5">
        <f>IF('ORDENES'!$A1027="","",IF('ORDENES'!$AA1027="","-",'ORDENES'!$AA1027))</f>
        <v/>
      </c>
      <c r="E1049" s="5">
        <f>IF('ORDENES'!$A1027="","",IF('ORDENES'!$Y1027="","-",'ORDENES'!$Y1027))</f>
        <v/>
      </c>
      <c r="F1049" s="5">
        <f>IF('ORDENES'!$A1027="","",IF('ORDENES'!$AB1027="","-",'ORDENES'!$AB1027))</f>
        <v/>
      </c>
      <c r="G1049" s="5">
        <f>IF('ORDENES'!$A1027="","",IF('ORDENES'!$Z1027="","-",'ORDENES'!$Z1027))</f>
        <v/>
      </c>
      <c r="H1049" s="5">
        <f>IF('ORDENES'!$A1027="","",IF('ORDENES'!$AH1027="","-",'ORDENES'!$AH1027))</f>
        <v/>
      </c>
      <c r="I1049" s="5">
        <f>IF('ORDENES'!$A1027="","",IF('ORDENES'!$AU1027="","-",'ORDENES'!$AU1027))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3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IF('ORDENES'!$A1027="","",'ORDENES'!$AG1027)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IF('ORDENES'!$A1028="","",IF('ORDENES'!$AI1028="","-",'ORDENES'!$AI1028))</f>
        <v/>
      </c>
      <c r="D1050" s="5">
        <f>IF('ORDENES'!$A1028="","",IF('ORDENES'!$AA1028="","-",'ORDENES'!$AA1028))</f>
        <v/>
      </c>
      <c r="E1050" s="5">
        <f>IF('ORDENES'!$A1028="","",IF('ORDENES'!$Y1028="","-",'ORDENES'!$Y1028))</f>
        <v/>
      </c>
      <c r="F1050" s="5">
        <f>IF('ORDENES'!$A1028="","",IF('ORDENES'!$AB1028="","-",'ORDENES'!$AB1028))</f>
        <v/>
      </c>
      <c r="G1050" s="5">
        <f>IF('ORDENES'!$A1028="","",IF('ORDENES'!$Z1028="","-",'ORDENES'!$Z1028))</f>
        <v/>
      </c>
      <c r="H1050" s="5">
        <f>IF('ORDENES'!$A1028="","",IF('ORDENES'!$AH1028="","-",'ORDENES'!$AH1028))</f>
        <v/>
      </c>
      <c r="I1050" s="5">
        <f>IF('ORDENES'!$A1028="","",IF('ORDENES'!$AU1028="","-",'ORDENES'!$AU1028))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3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IF('ORDENES'!$A1028="","",'ORDENES'!$AG1028)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IF('ORDENES'!$A1029="","",IF('ORDENES'!$AI1029="","-",'ORDENES'!$AI1029))</f>
        <v/>
      </c>
      <c r="D1051" s="5">
        <f>IF('ORDENES'!$A1029="","",IF('ORDENES'!$AA1029="","-",'ORDENES'!$AA1029))</f>
        <v/>
      </c>
      <c r="E1051" s="5">
        <f>IF('ORDENES'!$A1029="","",IF('ORDENES'!$Y1029="","-",'ORDENES'!$Y1029))</f>
        <v/>
      </c>
      <c r="F1051" s="5">
        <f>IF('ORDENES'!$A1029="","",IF('ORDENES'!$AB1029="","-",'ORDENES'!$AB1029))</f>
        <v/>
      </c>
      <c r="G1051" s="5">
        <f>IF('ORDENES'!$A1029="","",IF('ORDENES'!$Z1029="","-",'ORDENES'!$Z1029))</f>
        <v/>
      </c>
      <c r="H1051" s="5">
        <f>IF('ORDENES'!$A1029="","",IF('ORDENES'!$AH1029="","-",'ORDENES'!$AH1029))</f>
        <v/>
      </c>
      <c r="I1051" s="5">
        <f>IF('ORDENES'!$A1029="","",IF('ORDENES'!$AU1029="","-",'ORDENES'!$AU1029))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3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IF('ORDENES'!$A1029="","",'ORDENES'!$AG1029)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IF('ORDENES'!$A1030="","",IF('ORDENES'!$AI1030="","-",'ORDENES'!$AI1030))</f>
        <v/>
      </c>
      <c r="D1052" s="5">
        <f>IF('ORDENES'!$A1030="","",IF('ORDENES'!$AA1030="","-",'ORDENES'!$AA1030))</f>
        <v/>
      </c>
      <c r="E1052" s="5">
        <f>IF('ORDENES'!$A1030="","",IF('ORDENES'!$Y1030="","-",'ORDENES'!$Y1030))</f>
        <v/>
      </c>
      <c r="F1052" s="5">
        <f>IF('ORDENES'!$A1030="","",IF('ORDENES'!$AB1030="","-",'ORDENES'!$AB1030))</f>
        <v/>
      </c>
      <c r="G1052" s="5">
        <f>IF('ORDENES'!$A1030="","",IF('ORDENES'!$Z1030="","-",'ORDENES'!$Z1030))</f>
        <v/>
      </c>
      <c r="H1052" s="5">
        <f>IF('ORDENES'!$A1030="","",IF('ORDENES'!$AH1030="","-",'ORDENES'!$AH1030))</f>
        <v/>
      </c>
      <c r="I1052" s="5">
        <f>IF('ORDENES'!$A1030="","",IF('ORDENES'!$AU1030="","-",'ORDENES'!$AU1030))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3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IF('ORDENES'!$A1030="","",'ORDENES'!$AG1030)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IF('ORDENES'!$A1031="","",IF('ORDENES'!$AI1031="","-",'ORDENES'!$AI1031))</f>
        <v/>
      </c>
      <c r="D1053" s="5">
        <f>IF('ORDENES'!$A1031="","",IF('ORDENES'!$AA1031="","-",'ORDENES'!$AA1031))</f>
        <v/>
      </c>
      <c r="E1053" s="5">
        <f>IF('ORDENES'!$A1031="","",IF('ORDENES'!$Y1031="","-",'ORDENES'!$Y1031))</f>
        <v/>
      </c>
      <c r="F1053" s="5">
        <f>IF('ORDENES'!$A1031="","",IF('ORDENES'!$AB1031="","-",'ORDENES'!$AB1031))</f>
        <v/>
      </c>
      <c r="G1053" s="5">
        <f>IF('ORDENES'!$A1031="","",IF('ORDENES'!$Z1031="","-",'ORDENES'!$Z1031))</f>
        <v/>
      </c>
      <c r="H1053" s="5">
        <f>IF('ORDENES'!$A1031="","",IF('ORDENES'!$AH1031="","-",'ORDENES'!$AH1031))</f>
        <v/>
      </c>
      <c r="I1053" s="5">
        <f>IF('ORDENES'!$A1031="","",IF('ORDENES'!$AU1031="","-",'ORDENES'!$AU1031))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3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IF('ORDENES'!$A1031="","",'ORDENES'!$AG1031)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IF('ORDENES'!$A1032="","",IF('ORDENES'!$AI1032="","-",'ORDENES'!$AI1032))</f>
        <v/>
      </c>
      <c r="D1054" s="5">
        <f>IF('ORDENES'!$A1032="","",IF('ORDENES'!$AA1032="","-",'ORDENES'!$AA1032))</f>
        <v/>
      </c>
      <c r="E1054" s="5">
        <f>IF('ORDENES'!$A1032="","",IF('ORDENES'!$Y1032="","-",'ORDENES'!$Y1032))</f>
        <v/>
      </c>
      <c r="F1054" s="5">
        <f>IF('ORDENES'!$A1032="","",IF('ORDENES'!$AB1032="","-",'ORDENES'!$AB1032))</f>
        <v/>
      </c>
      <c r="G1054" s="5">
        <f>IF('ORDENES'!$A1032="","",IF('ORDENES'!$Z1032="","-",'ORDENES'!$Z1032))</f>
        <v/>
      </c>
      <c r="H1054" s="5">
        <f>IF('ORDENES'!$A1032="","",IF('ORDENES'!$AH1032="","-",'ORDENES'!$AH1032))</f>
        <v/>
      </c>
      <c r="I1054" s="5">
        <f>IF('ORDENES'!$A1032="","",IF('ORDENES'!$AU1032="","-",'ORDENES'!$AU1032))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3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IF('ORDENES'!$A1032="","",'ORDENES'!$AG1032)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IF('ORDENES'!$A1033="","",IF('ORDENES'!$AI1033="","-",'ORDENES'!$AI1033))</f>
        <v/>
      </c>
      <c r="D1055" s="5">
        <f>IF('ORDENES'!$A1033="","",IF('ORDENES'!$AA1033="","-",'ORDENES'!$AA1033))</f>
        <v/>
      </c>
      <c r="E1055" s="5">
        <f>IF('ORDENES'!$A1033="","",IF('ORDENES'!$Y1033="","-",'ORDENES'!$Y1033))</f>
        <v/>
      </c>
      <c r="F1055" s="5">
        <f>IF('ORDENES'!$A1033="","",IF('ORDENES'!$AB1033="","-",'ORDENES'!$AB1033))</f>
        <v/>
      </c>
      <c r="G1055" s="5">
        <f>IF('ORDENES'!$A1033="","",IF('ORDENES'!$Z1033="","-",'ORDENES'!$Z1033))</f>
        <v/>
      </c>
      <c r="H1055" s="5">
        <f>IF('ORDENES'!$A1033="","",IF('ORDENES'!$AH1033="","-",'ORDENES'!$AH1033))</f>
        <v/>
      </c>
      <c r="I1055" s="5">
        <f>IF('ORDENES'!$A1033="","",IF('ORDENES'!$AU1033="","-",'ORDENES'!$AU1033))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3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IF('ORDENES'!$A1033="","",'ORDENES'!$AG1033)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IF('ORDENES'!$A1034="","",IF('ORDENES'!$AI1034="","-",'ORDENES'!$AI1034))</f>
        <v/>
      </c>
      <c r="D1056" s="5">
        <f>IF('ORDENES'!$A1034="","",IF('ORDENES'!$AA1034="","-",'ORDENES'!$AA1034))</f>
        <v/>
      </c>
      <c r="E1056" s="5">
        <f>IF('ORDENES'!$A1034="","",IF('ORDENES'!$Y1034="","-",'ORDENES'!$Y1034))</f>
        <v/>
      </c>
      <c r="F1056" s="5">
        <f>IF('ORDENES'!$A1034="","",IF('ORDENES'!$AB1034="","-",'ORDENES'!$AB1034))</f>
        <v/>
      </c>
      <c r="G1056" s="5">
        <f>IF('ORDENES'!$A1034="","",IF('ORDENES'!$Z1034="","-",'ORDENES'!$Z1034))</f>
        <v/>
      </c>
      <c r="H1056" s="5">
        <f>IF('ORDENES'!$A1034="","",IF('ORDENES'!$AH1034="","-",'ORDENES'!$AH1034))</f>
        <v/>
      </c>
      <c r="I1056" s="5">
        <f>IF('ORDENES'!$A1034="","",IF('ORDENES'!$AU1034="","-",'ORDENES'!$AU1034))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3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IF('ORDENES'!$A1034="","",'ORDENES'!$AG1034)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IF('ORDENES'!$A1035="","",IF('ORDENES'!$AI1035="","-",'ORDENES'!$AI1035))</f>
        <v/>
      </c>
      <c r="D1057" s="5">
        <f>IF('ORDENES'!$A1035="","",IF('ORDENES'!$AA1035="","-",'ORDENES'!$AA1035))</f>
        <v/>
      </c>
      <c r="E1057" s="5">
        <f>IF('ORDENES'!$A1035="","",IF('ORDENES'!$Y1035="","-",'ORDENES'!$Y1035))</f>
        <v/>
      </c>
      <c r="F1057" s="5">
        <f>IF('ORDENES'!$A1035="","",IF('ORDENES'!$AB1035="","-",'ORDENES'!$AB1035))</f>
        <v/>
      </c>
      <c r="G1057" s="5">
        <f>IF('ORDENES'!$A1035="","",IF('ORDENES'!$Z1035="","-",'ORDENES'!$Z1035))</f>
        <v/>
      </c>
      <c r="H1057" s="5">
        <f>IF('ORDENES'!$A1035="","",IF('ORDENES'!$AH1035="","-",'ORDENES'!$AH1035))</f>
        <v/>
      </c>
      <c r="I1057" s="5">
        <f>IF('ORDENES'!$A1035="","",IF('ORDENES'!$AU1035="","-",'ORDENES'!$AU1035))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3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IF('ORDENES'!$A1035="","",'ORDENES'!$AG1035)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IF('ORDENES'!$A1036="","",IF('ORDENES'!$AI1036="","-",'ORDENES'!$AI1036))</f>
        <v/>
      </c>
      <c r="D1058" s="5">
        <f>IF('ORDENES'!$A1036="","",IF('ORDENES'!$AA1036="","-",'ORDENES'!$AA1036))</f>
        <v/>
      </c>
      <c r="E1058" s="5">
        <f>IF('ORDENES'!$A1036="","",IF('ORDENES'!$Y1036="","-",'ORDENES'!$Y1036))</f>
        <v/>
      </c>
      <c r="F1058" s="5">
        <f>IF('ORDENES'!$A1036="","",IF('ORDENES'!$AB1036="","-",'ORDENES'!$AB1036))</f>
        <v/>
      </c>
      <c r="G1058" s="5">
        <f>IF('ORDENES'!$A1036="","",IF('ORDENES'!$Z1036="","-",'ORDENES'!$Z1036))</f>
        <v/>
      </c>
      <c r="H1058" s="5">
        <f>IF('ORDENES'!$A1036="","",IF('ORDENES'!$AH1036="","-",'ORDENES'!$AH1036))</f>
        <v/>
      </c>
      <c r="I1058" s="5">
        <f>IF('ORDENES'!$A1036="","",IF('ORDENES'!$AU1036="","-",'ORDENES'!$AU1036))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3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IF('ORDENES'!$A1036="","",'ORDENES'!$AG1036)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IF('ORDENES'!$A1037="","",IF('ORDENES'!$AI1037="","-",'ORDENES'!$AI1037))</f>
        <v/>
      </c>
      <c r="D1059" s="5">
        <f>IF('ORDENES'!$A1037="","",IF('ORDENES'!$AA1037="","-",'ORDENES'!$AA1037))</f>
        <v/>
      </c>
      <c r="E1059" s="5">
        <f>IF('ORDENES'!$A1037="","",IF('ORDENES'!$Y1037="","-",'ORDENES'!$Y1037))</f>
        <v/>
      </c>
      <c r="F1059" s="5">
        <f>IF('ORDENES'!$A1037="","",IF('ORDENES'!$AB1037="","-",'ORDENES'!$AB1037))</f>
        <v/>
      </c>
      <c r="G1059" s="5">
        <f>IF('ORDENES'!$A1037="","",IF('ORDENES'!$Z1037="","-",'ORDENES'!$Z1037))</f>
        <v/>
      </c>
      <c r="H1059" s="5">
        <f>IF('ORDENES'!$A1037="","",IF('ORDENES'!$AH1037="","-",'ORDENES'!$AH1037))</f>
        <v/>
      </c>
      <c r="I1059" s="5">
        <f>IF('ORDENES'!$A1037="","",IF('ORDENES'!$AU1037="","-",'ORDENES'!$AU1037))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3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IF('ORDENES'!$A1037="","",'ORDENES'!$AG1037)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IF('ORDENES'!$A1038="","",IF('ORDENES'!$AI1038="","-",'ORDENES'!$AI1038))</f>
        <v/>
      </c>
      <c r="D1060" s="5">
        <f>IF('ORDENES'!$A1038="","",IF('ORDENES'!$AA1038="","-",'ORDENES'!$AA1038))</f>
        <v/>
      </c>
      <c r="E1060" s="5">
        <f>IF('ORDENES'!$A1038="","",IF('ORDENES'!$Y1038="","-",'ORDENES'!$Y1038))</f>
        <v/>
      </c>
      <c r="F1060" s="5">
        <f>IF('ORDENES'!$A1038="","",IF('ORDENES'!$AB1038="","-",'ORDENES'!$AB1038))</f>
        <v/>
      </c>
      <c r="G1060" s="5">
        <f>IF('ORDENES'!$A1038="","",IF('ORDENES'!$Z1038="","-",'ORDENES'!$Z1038))</f>
        <v/>
      </c>
      <c r="H1060" s="5">
        <f>IF('ORDENES'!$A1038="","",IF('ORDENES'!$AH1038="","-",'ORDENES'!$AH1038))</f>
        <v/>
      </c>
      <c r="I1060" s="5">
        <f>IF('ORDENES'!$A1038="","",IF('ORDENES'!$AU1038="","-",'ORDENES'!$AU1038))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3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IF('ORDENES'!$A1038="","",'ORDENES'!$AG1038)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IF('ORDENES'!$A1039="","",IF('ORDENES'!$AI1039="","-",'ORDENES'!$AI1039))</f>
        <v/>
      </c>
      <c r="D1061" s="5">
        <f>IF('ORDENES'!$A1039="","",IF('ORDENES'!$AA1039="","-",'ORDENES'!$AA1039))</f>
        <v/>
      </c>
      <c r="E1061" s="5">
        <f>IF('ORDENES'!$A1039="","",IF('ORDENES'!$Y1039="","-",'ORDENES'!$Y1039))</f>
        <v/>
      </c>
      <c r="F1061" s="5">
        <f>IF('ORDENES'!$A1039="","",IF('ORDENES'!$AB1039="","-",'ORDENES'!$AB1039))</f>
        <v/>
      </c>
      <c r="G1061" s="5">
        <f>IF('ORDENES'!$A1039="","",IF('ORDENES'!$Z1039="","-",'ORDENES'!$Z1039))</f>
        <v/>
      </c>
      <c r="H1061" s="5">
        <f>IF('ORDENES'!$A1039="","",IF('ORDENES'!$AH1039="","-",'ORDENES'!$AH1039))</f>
        <v/>
      </c>
      <c r="I1061" s="5">
        <f>IF('ORDENES'!$A1039="","",IF('ORDENES'!$AU1039="","-",'ORDENES'!$AU1039))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3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IF('ORDENES'!$A1039="","",'ORDENES'!$AG1039)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IF('ORDENES'!$A1040="","",IF('ORDENES'!$AI1040="","-",'ORDENES'!$AI1040))</f>
        <v/>
      </c>
      <c r="D1062" s="5">
        <f>IF('ORDENES'!$A1040="","",IF('ORDENES'!$AA1040="","-",'ORDENES'!$AA1040))</f>
        <v/>
      </c>
      <c r="E1062" s="5">
        <f>IF('ORDENES'!$A1040="","",IF('ORDENES'!$Y1040="","-",'ORDENES'!$Y1040))</f>
        <v/>
      </c>
      <c r="F1062" s="5">
        <f>IF('ORDENES'!$A1040="","",IF('ORDENES'!$AB1040="","-",'ORDENES'!$AB1040))</f>
        <v/>
      </c>
      <c r="G1062" s="5">
        <f>IF('ORDENES'!$A1040="","",IF('ORDENES'!$Z1040="","-",'ORDENES'!$Z1040))</f>
        <v/>
      </c>
      <c r="H1062" s="5">
        <f>IF('ORDENES'!$A1040="","",IF('ORDENES'!$AH1040="","-",'ORDENES'!$AH1040))</f>
        <v/>
      </c>
      <c r="I1062" s="5">
        <f>IF('ORDENES'!$A1040="","",IF('ORDENES'!$AU1040="","-",'ORDENES'!$AU1040))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3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IF('ORDENES'!$A1040="","",'ORDENES'!$AG1040)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IF('ORDENES'!$A1041="","",IF('ORDENES'!$AI1041="","-",'ORDENES'!$AI1041))</f>
        <v/>
      </c>
      <c r="D1063" s="5">
        <f>IF('ORDENES'!$A1041="","",IF('ORDENES'!$AA1041="","-",'ORDENES'!$AA1041))</f>
        <v/>
      </c>
      <c r="E1063" s="5">
        <f>IF('ORDENES'!$A1041="","",IF('ORDENES'!$Y1041="","-",'ORDENES'!$Y1041))</f>
        <v/>
      </c>
      <c r="F1063" s="5">
        <f>IF('ORDENES'!$A1041="","",IF('ORDENES'!$AB1041="","-",'ORDENES'!$AB1041))</f>
        <v/>
      </c>
      <c r="G1063" s="5">
        <f>IF('ORDENES'!$A1041="","",IF('ORDENES'!$Z1041="","-",'ORDENES'!$Z1041))</f>
        <v/>
      </c>
      <c r="H1063" s="5">
        <f>IF('ORDENES'!$A1041="","",IF('ORDENES'!$AH1041="","-",'ORDENES'!$AH1041))</f>
        <v/>
      </c>
      <c r="I1063" s="5">
        <f>IF('ORDENES'!$A1041="","",IF('ORDENES'!$AU1041="","-",'ORDENES'!$AU1041))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3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IF('ORDENES'!$A1041="","",'ORDENES'!$AG1041)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IF('ORDENES'!$A1042="","",IF('ORDENES'!$AI1042="","-",'ORDENES'!$AI1042))</f>
        <v/>
      </c>
      <c r="D1064" s="5">
        <f>IF('ORDENES'!$A1042="","",IF('ORDENES'!$AA1042="","-",'ORDENES'!$AA1042))</f>
        <v/>
      </c>
      <c r="E1064" s="5">
        <f>IF('ORDENES'!$A1042="","",IF('ORDENES'!$Y1042="","-",'ORDENES'!$Y1042))</f>
        <v/>
      </c>
      <c r="F1064" s="5">
        <f>IF('ORDENES'!$A1042="","",IF('ORDENES'!$AB1042="","-",'ORDENES'!$AB1042))</f>
        <v/>
      </c>
      <c r="G1064" s="5">
        <f>IF('ORDENES'!$A1042="","",IF('ORDENES'!$Z1042="","-",'ORDENES'!$Z1042))</f>
        <v/>
      </c>
      <c r="H1064" s="5">
        <f>IF('ORDENES'!$A1042="","",IF('ORDENES'!$AH1042="","-",'ORDENES'!$AH1042))</f>
        <v/>
      </c>
      <c r="I1064" s="5">
        <f>IF('ORDENES'!$A1042="","",IF('ORDENES'!$AU1042="","-",'ORDENES'!$AU1042))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3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IF('ORDENES'!$A1042="","",'ORDENES'!$AG1042)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IF('ORDENES'!$A1043="","",IF('ORDENES'!$AI1043="","-",'ORDENES'!$AI1043))</f>
        <v/>
      </c>
      <c r="D1065" s="5">
        <f>IF('ORDENES'!$A1043="","",IF('ORDENES'!$AA1043="","-",'ORDENES'!$AA1043))</f>
        <v/>
      </c>
      <c r="E1065" s="5">
        <f>IF('ORDENES'!$A1043="","",IF('ORDENES'!$Y1043="","-",'ORDENES'!$Y1043))</f>
        <v/>
      </c>
      <c r="F1065" s="5">
        <f>IF('ORDENES'!$A1043="","",IF('ORDENES'!$AB1043="","-",'ORDENES'!$AB1043))</f>
        <v/>
      </c>
      <c r="G1065" s="5">
        <f>IF('ORDENES'!$A1043="","",IF('ORDENES'!$Z1043="","-",'ORDENES'!$Z1043))</f>
        <v/>
      </c>
      <c r="H1065" s="5">
        <f>IF('ORDENES'!$A1043="","",IF('ORDENES'!$AH1043="","-",'ORDENES'!$AH1043))</f>
        <v/>
      </c>
      <c r="I1065" s="5">
        <f>IF('ORDENES'!$A1043="","",IF('ORDENES'!$AU1043="","-",'ORDENES'!$AU1043))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3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IF('ORDENES'!$A1043="","",'ORDENES'!$AG1043)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IF('ORDENES'!$A1044="","",IF('ORDENES'!$AI1044="","-",'ORDENES'!$AI1044))</f>
        <v/>
      </c>
      <c r="D1066" s="5">
        <f>IF('ORDENES'!$A1044="","",IF('ORDENES'!$AA1044="","-",'ORDENES'!$AA1044))</f>
        <v/>
      </c>
      <c r="E1066" s="5">
        <f>IF('ORDENES'!$A1044="","",IF('ORDENES'!$Y1044="","-",'ORDENES'!$Y1044))</f>
        <v/>
      </c>
      <c r="F1066" s="5">
        <f>IF('ORDENES'!$A1044="","",IF('ORDENES'!$AB1044="","-",'ORDENES'!$AB1044))</f>
        <v/>
      </c>
      <c r="G1066" s="5">
        <f>IF('ORDENES'!$A1044="","",IF('ORDENES'!$Z1044="","-",'ORDENES'!$Z1044))</f>
        <v/>
      </c>
      <c r="H1066" s="5">
        <f>IF('ORDENES'!$A1044="","",IF('ORDENES'!$AH1044="","-",'ORDENES'!$AH1044))</f>
        <v/>
      </c>
      <c r="I1066" s="5">
        <f>IF('ORDENES'!$A1044="","",IF('ORDENES'!$AU1044="","-",'ORDENES'!$AU1044))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3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IF('ORDENES'!$A1044="","",'ORDENES'!$AG1044)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IF('ORDENES'!$A1045="","",IF('ORDENES'!$AI1045="","-",'ORDENES'!$AI1045))</f>
        <v/>
      </c>
      <c r="D1067" s="5">
        <f>IF('ORDENES'!$A1045="","",IF('ORDENES'!$AA1045="","-",'ORDENES'!$AA1045))</f>
        <v/>
      </c>
      <c r="E1067" s="5">
        <f>IF('ORDENES'!$A1045="","",IF('ORDENES'!$Y1045="","-",'ORDENES'!$Y1045))</f>
        <v/>
      </c>
      <c r="F1067" s="5">
        <f>IF('ORDENES'!$A1045="","",IF('ORDENES'!$AB1045="","-",'ORDENES'!$AB1045))</f>
        <v/>
      </c>
      <c r="G1067" s="5">
        <f>IF('ORDENES'!$A1045="","",IF('ORDENES'!$Z1045="","-",'ORDENES'!$Z1045))</f>
        <v/>
      </c>
      <c r="H1067" s="5">
        <f>IF('ORDENES'!$A1045="","",IF('ORDENES'!$AH1045="","-",'ORDENES'!$AH1045))</f>
        <v/>
      </c>
      <c r="I1067" s="5">
        <f>IF('ORDENES'!$A1045="","",IF('ORDENES'!$AU1045="","-",'ORDENES'!$AU1045))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3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IF('ORDENES'!$A1045="","",'ORDENES'!$AG1045)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IF('ORDENES'!$A1046="","",IF('ORDENES'!$AI1046="","-",'ORDENES'!$AI1046))</f>
        <v/>
      </c>
      <c r="D1068" s="5">
        <f>IF('ORDENES'!$A1046="","",IF('ORDENES'!$AA1046="","-",'ORDENES'!$AA1046))</f>
        <v/>
      </c>
      <c r="E1068" s="5">
        <f>IF('ORDENES'!$A1046="","",IF('ORDENES'!$Y1046="","-",'ORDENES'!$Y1046))</f>
        <v/>
      </c>
      <c r="F1068" s="5">
        <f>IF('ORDENES'!$A1046="","",IF('ORDENES'!$AB1046="","-",'ORDENES'!$AB1046))</f>
        <v/>
      </c>
      <c r="G1068" s="5">
        <f>IF('ORDENES'!$A1046="","",IF('ORDENES'!$Z1046="","-",'ORDENES'!$Z1046))</f>
        <v/>
      </c>
      <c r="H1068" s="5">
        <f>IF('ORDENES'!$A1046="","",IF('ORDENES'!$AH1046="","-",'ORDENES'!$AH1046))</f>
        <v/>
      </c>
      <c r="I1068" s="5">
        <f>IF('ORDENES'!$A1046="","",IF('ORDENES'!$AU1046="","-",'ORDENES'!$AU1046))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3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IF('ORDENES'!$A1046="","",'ORDENES'!$AG1046)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IF('ORDENES'!$A1047="","",IF('ORDENES'!$AI1047="","-",'ORDENES'!$AI1047))</f>
        <v/>
      </c>
      <c r="D1069" s="5">
        <f>IF('ORDENES'!$A1047="","",IF('ORDENES'!$AA1047="","-",'ORDENES'!$AA1047))</f>
        <v/>
      </c>
      <c r="E1069" s="5">
        <f>IF('ORDENES'!$A1047="","",IF('ORDENES'!$Y1047="","-",'ORDENES'!$Y1047))</f>
        <v/>
      </c>
      <c r="F1069" s="5">
        <f>IF('ORDENES'!$A1047="","",IF('ORDENES'!$AB1047="","-",'ORDENES'!$AB1047))</f>
        <v/>
      </c>
      <c r="G1069" s="5">
        <f>IF('ORDENES'!$A1047="","",IF('ORDENES'!$Z1047="","-",'ORDENES'!$Z1047))</f>
        <v/>
      </c>
      <c r="H1069" s="5">
        <f>IF('ORDENES'!$A1047="","",IF('ORDENES'!$AH1047="","-",'ORDENES'!$AH1047))</f>
        <v/>
      </c>
      <c r="I1069" s="5">
        <f>IF('ORDENES'!$A1047="","",IF('ORDENES'!$AU1047="","-",'ORDENES'!$AU1047))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3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IF('ORDENES'!$A1047="","",'ORDENES'!$AG1047)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IF('ORDENES'!$A1048="","",IF('ORDENES'!$AI1048="","-",'ORDENES'!$AI1048))</f>
        <v/>
      </c>
      <c r="D1070" s="5">
        <f>IF('ORDENES'!$A1048="","",IF('ORDENES'!$AA1048="","-",'ORDENES'!$AA1048))</f>
        <v/>
      </c>
      <c r="E1070" s="5">
        <f>IF('ORDENES'!$A1048="","",IF('ORDENES'!$Y1048="","-",'ORDENES'!$Y1048))</f>
        <v/>
      </c>
      <c r="F1070" s="5">
        <f>IF('ORDENES'!$A1048="","",IF('ORDENES'!$AB1048="","-",'ORDENES'!$AB1048))</f>
        <v/>
      </c>
      <c r="G1070" s="5">
        <f>IF('ORDENES'!$A1048="","",IF('ORDENES'!$Z1048="","-",'ORDENES'!$Z1048))</f>
        <v/>
      </c>
      <c r="H1070" s="5">
        <f>IF('ORDENES'!$A1048="","",IF('ORDENES'!$AH1048="","-",'ORDENES'!$AH1048))</f>
        <v/>
      </c>
      <c r="I1070" s="5">
        <f>IF('ORDENES'!$A1048="","",IF('ORDENES'!$AU1048="","-",'ORDENES'!$AU1048))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3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IF('ORDENES'!$A1048="","",'ORDENES'!$AG1048)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IF('ORDENES'!$A1049="","",IF('ORDENES'!$AI1049="","-",'ORDENES'!$AI1049))</f>
        <v/>
      </c>
      <c r="D1071" s="5">
        <f>IF('ORDENES'!$A1049="","",IF('ORDENES'!$AA1049="","-",'ORDENES'!$AA1049))</f>
        <v/>
      </c>
      <c r="E1071" s="5">
        <f>IF('ORDENES'!$A1049="","",IF('ORDENES'!$Y1049="","-",'ORDENES'!$Y1049))</f>
        <v/>
      </c>
      <c r="F1071" s="5">
        <f>IF('ORDENES'!$A1049="","",IF('ORDENES'!$AB1049="","-",'ORDENES'!$AB1049))</f>
        <v/>
      </c>
      <c r="G1071" s="5">
        <f>IF('ORDENES'!$A1049="","",IF('ORDENES'!$Z1049="","-",'ORDENES'!$Z1049))</f>
        <v/>
      </c>
      <c r="H1071" s="5">
        <f>IF('ORDENES'!$A1049="","",IF('ORDENES'!$AH1049="","-",'ORDENES'!$AH1049))</f>
        <v/>
      </c>
      <c r="I1071" s="5">
        <f>IF('ORDENES'!$A1049="","",IF('ORDENES'!$AU1049="","-",'ORDENES'!$AU1049))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3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IF('ORDENES'!$A1049="","",'ORDENES'!$AG1049)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IF('ORDENES'!$A1050="","",IF('ORDENES'!$AI1050="","-",'ORDENES'!$AI1050))</f>
        <v/>
      </c>
      <c r="D1072" s="5">
        <f>IF('ORDENES'!$A1050="","",IF('ORDENES'!$AA1050="","-",'ORDENES'!$AA1050))</f>
        <v/>
      </c>
      <c r="E1072" s="5">
        <f>IF('ORDENES'!$A1050="","",IF('ORDENES'!$Y1050="","-",'ORDENES'!$Y1050))</f>
        <v/>
      </c>
      <c r="F1072" s="5">
        <f>IF('ORDENES'!$A1050="","",IF('ORDENES'!$AB1050="","-",'ORDENES'!$AB1050))</f>
        <v/>
      </c>
      <c r="G1072" s="5">
        <f>IF('ORDENES'!$A1050="","",IF('ORDENES'!$Z1050="","-",'ORDENES'!$Z1050))</f>
        <v/>
      </c>
      <c r="H1072" s="5">
        <f>IF('ORDENES'!$A1050="","",IF('ORDENES'!$AH1050="","-",'ORDENES'!$AH1050))</f>
        <v/>
      </c>
      <c r="I1072" s="5">
        <f>IF('ORDENES'!$A1050="","",IF('ORDENES'!$AU1050="","-",'ORDENES'!$AU1050))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3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IF('ORDENES'!$A1050="","",'ORDENES'!$AG1050)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IF('ORDENES'!$A1051="","",IF('ORDENES'!$AI1051="","-",'ORDENES'!$AI1051))</f>
        <v/>
      </c>
      <c r="D1073" s="5">
        <f>IF('ORDENES'!$A1051="","",IF('ORDENES'!$AA1051="","-",'ORDENES'!$AA1051))</f>
        <v/>
      </c>
      <c r="E1073" s="5">
        <f>IF('ORDENES'!$A1051="","",IF('ORDENES'!$Y1051="","-",'ORDENES'!$Y1051))</f>
        <v/>
      </c>
      <c r="F1073" s="5">
        <f>IF('ORDENES'!$A1051="","",IF('ORDENES'!$AB1051="","-",'ORDENES'!$AB1051))</f>
        <v/>
      </c>
      <c r="G1073" s="5">
        <f>IF('ORDENES'!$A1051="","",IF('ORDENES'!$Z1051="","-",'ORDENES'!$Z1051))</f>
        <v/>
      </c>
      <c r="H1073" s="5">
        <f>IF('ORDENES'!$A1051="","",IF('ORDENES'!$AH1051="","-",'ORDENES'!$AH1051))</f>
        <v/>
      </c>
      <c r="I1073" s="5">
        <f>IF('ORDENES'!$A1051="","",IF('ORDENES'!$AU1051="","-",'ORDENES'!$AU1051))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3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IF('ORDENES'!$A1051="","",'ORDENES'!$AG1051)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IF('ORDENES'!$A1052="","",IF('ORDENES'!$AI1052="","-",'ORDENES'!$AI1052))</f>
        <v/>
      </c>
      <c r="D1074" s="5">
        <f>IF('ORDENES'!$A1052="","",IF('ORDENES'!$AA1052="","-",'ORDENES'!$AA1052))</f>
        <v/>
      </c>
      <c r="E1074" s="5">
        <f>IF('ORDENES'!$A1052="","",IF('ORDENES'!$Y1052="","-",'ORDENES'!$Y1052))</f>
        <v/>
      </c>
      <c r="F1074" s="5">
        <f>IF('ORDENES'!$A1052="","",IF('ORDENES'!$AB1052="","-",'ORDENES'!$AB1052))</f>
        <v/>
      </c>
      <c r="G1074" s="5">
        <f>IF('ORDENES'!$A1052="","",IF('ORDENES'!$Z1052="","-",'ORDENES'!$Z1052))</f>
        <v/>
      </c>
      <c r="H1074" s="5">
        <f>IF('ORDENES'!$A1052="","",IF('ORDENES'!$AH1052="","-",'ORDENES'!$AH1052))</f>
        <v/>
      </c>
      <c r="I1074" s="5">
        <f>IF('ORDENES'!$A1052="","",IF('ORDENES'!$AU1052="","-",'ORDENES'!$AU1052))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3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IF('ORDENES'!$A1052="","",'ORDENES'!$AG1052)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IF('ORDENES'!$A1053="","",IF('ORDENES'!$AI1053="","-",'ORDENES'!$AI1053))</f>
        <v/>
      </c>
      <c r="D1075" s="5">
        <f>IF('ORDENES'!$A1053="","",IF('ORDENES'!$AA1053="","-",'ORDENES'!$AA1053))</f>
        <v/>
      </c>
      <c r="E1075" s="5">
        <f>IF('ORDENES'!$A1053="","",IF('ORDENES'!$Y1053="","-",'ORDENES'!$Y1053))</f>
        <v/>
      </c>
      <c r="F1075" s="5">
        <f>IF('ORDENES'!$A1053="","",IF('ORDENES'!$AB1053="","-",'ORDENES'!$AB1053))</f>
        <v/>
      </c>
      <c r="G1075" s="5">
        <f>IF('ORDENES'!$A1053="","",IF('ORDENES'!$Z1053="","-",'ORDENES'!$Z1053))</f>
        <v/>
      </c>
      <c r="H1075" s="5">
        <f>IF('ORDENES'!$A1053="","",IF('ORDENES'!$AH1053="","-",'ORDENES'!$AH1053))</f>
        <v/>
      </c>
      <c r="I1075" s="5">
        <f>IF('ORDENES'!$A1053="","",IF('ORDENES'!$AU1053="","-",'ORDENES'!$AU1053))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3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IF('ORDENES'!$A1053="","",'ORDENES'!$AG1053)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IF('ORDENES'!$A1054="","",IF('ORDENES'!$AI1054="","-",'ORDENES'!$AI1054))</f>
        <v/>
      </c>
      <c r="D1076" s="5">
        <f>IF('ORDENES'!$A1054="","",IF('ORDENES'!$AA1054="","-",'ORDENES'!$AA1054))</f>
        <v/>
      </c>
      <c r="E1076" s="5">
        <f>IF('ORDENES'!$A1054="","",IF('ORDENES'!$Y1054="","-",'ORDENES'!$Y1054))</f>
        <v/>
      </c>
      <c r="F1076" s="5">
        <f>IF('ORDENES'!$A1054="","",IF('ORDENES'!$AB1054="","-",'ORDENES'!$AB1054))</f>
        <v/>
      </c>
      <c r="G1076" s="5">
        <f>IF('ORDENES'!$A1054="","",IF('ORDENES'!$Z1054="","-",'ORDENES'!$Z1054))</f>
        <v/>
      </c>
      <c r="H1076" s="5">
        <f>IF('ORDENES'!$A1054="","",IF('ORDENES'!$AH1054="","-",'ORDENES'!$AH1054))</f>
        <v/>
      </c>
      <c r="I1076" s="5">
        <f>IF('ORDENES'!$A1054="","",IF('ORDENES'!$AU1054="","-",'ORDENES'!$AU1054))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3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IF('ORDENES'!$A1054="","",'ORDENES'!$AG1054)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IF('ORDENES'!$A1055="","",IF('ORDENES'!$AI1055="","-",'ORDENES'!$AI1055))</f>
        <v/>
      </c>
      <c r="D1077" s="5">
        <f>IF('ORDENES'!$A1055="","",IF('ORDENES'!$AA1055="","-",'ORDENES'!$AA1055))</f>
        <v/>
      </c>
      <c r="E1077" s="5">
        <f>IF('ORDENES'!$A1055="","",IF('ORDENES'!$Y1055="","-",'ORDENES'!$Y1055))</f>
        <v/>
      </c>
      <c r="F1077" s="5">
        <f>IF('ORDENES'!$A1055="","",IF('ORDENES'!$AB1055="","-",'ORDENES'!$AB1055))</f>
        <v/>
      </c>
      <c r="G1077" s="5">
        <f>IF('ORDENES'!$A1055="","",IF('ORDENES'!$Z1055="","-",'ORDENES'!$Z1055))</f>
        <v/>
      </c>
      <c r="H1077" s="5">
        <f>IF('ORDENES'!$A1055="","",IF('ORDENES'!$AH1055="","-",'ORDENES'!$AH1055))</f>
        <v/>
      </c>
      <c r="I1077" s="5">
        <f>IF('ORDENES'!$A1055="","",IF('ORDENES'!$AU1055="","-",'ORDENES'!$AU1055))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3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IF('ORDENES'!$A1055="","",'ORDENES'!$AG1055)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IF('ORDENES'!$A1056="","",IF('ORDENES'!$AI1056="","-",'ORDENES'!$AI1056))</f>
        <v/>
      </c>
      <c r="D1078" s="5">
        <f>IF('ORDENES'!$A1056="","",IF('ORDENES'!$AA1056="","-",'ORDENES'!$AA1056))</f>
        <v/>
      </c>
      <c r="E1078" s="5">
        <f>IF('ORDENES'!$A1056="","",IF('ORDENES'!$Y1056="","-",'ORDENES'!$Y1056))</f>
        <v/>
      </c>
      <c r="F1078" s="5">
        <f>IF('ORDENES'!$A1056="","",IF('ORDENES'!$AB1056="","-",'ORDENES'!$AB1056))</f>
        <v/>
      </c>
      <c r="G1078" s="5">
        <f>IF('ORDENES'!$A1056="","",IF('ORDENES'!$Z1056="","-",'ORDENES'!$Z1056))</f>
        <v/>
      </c>
      <c r="H1078" s="5">
        <f>IF('ORDENES'!$A1056="","",IF('ORDENES'!$AH1056="","-",'ORDENES'!$AH1056))</f>
        <v/>
      </c>
      <c r="I1078" s="5">
        <f>IF('ORDENES'!$A1056="","",IF('ORDENES'!$AU1056="","-",'ORDENES'!$AU1056))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3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IF('ORDENES'!$A1056="","",'ORDENES'!$AG1056)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IF('ORDENES'!$A1057="","",IF('ORDENES'!$AI1057="","-",'ORDENES'!$AI1057))</f>
        <v/>
      </c>
      <c r="D1079" s="5">
        <f>IF('ORDENES'!$A1057="","",IF('ORDENES'!$AA1057="","-",'ORDENES'!$AA1057))</f>
        <v/>
      </c>
      <c r="E1079" s="5">
        <f>IF('ORDENES'!$A1057="","",IF('ORDENES'!$Y1057="","-",'ORDENES'!$Y1057))</f>
        <v/>
      </c>
      <c r="F1079" s="5">
        <f>IF('ORDENES'!$A1057="","",IF('ORDENES'!$AB1057="","-",'ORDENES'!$AB1057))</f>
        <v/>
      </c>
      <c r="G1079" s="5">
        <f>IF('ORDENES'!$A1057="","",IF('ORDENES'!$Z1057="","-",'ORDENES'!$Z1057))</f>
        <v/>
      </c>
      <c r="H1079" s="5">
        <f>IF('ORDENES'!$A1057="","",IF('ORDENES'!$AH1057="","-",'ORDENES'!$AH1057))</f>
        <v/>
      </c>
      <c r="I1079" s="5">
        <f>IF('ORDENES'!$A1057="","",IF('ORDENES'!$AU1057="","-",'ORDENES'!$AU1057))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3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IF('ORDENES'!$A1057="","",'ORDENES'!$AG1057)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IF('ORDENES'!$A1058="","",IF('ORDENES'!$AI1058="","-",'ORDENES'!$AI1058))</f>
        <v/>
      </c>
      <c r="D1080" s="5">
        <f>IF('ORDENES'!$A1058="","",IF('ORDENES'!$AA1058="","-",'ORDENES'!$AA1058))</f>
        <v/>
      </c>
      <c r="E1080" s="5">
        <f>IF('ORDENES'!$A1058="","",IF('ORDENES'!$Y1058="","-",'ORDENES'!$Y1058))</f>
        <v/>
      </c>
      <c r="F1080" s="5">
        <f>IF('ORDENES'!$A1058="","",IF('ORDENES'!$AB1058="","-",'ORDENES'!$AB1058))</f>
        <v/>
      </c>
      <c r="G1080" s="5">
        <f>IF('ORDENES'!$A1058="","",IF('ORDENES'!$Z1058="","-",'ORDENES'!$Z1058))</f>
        <v/>
      </c>
      <c r="H1080" s="5">
        <f>IF('ORDENES'!$A1058="","",IF('ORDENES'!$AH1058="","-",'ORDENES'!$AH1058))</f>
        <v/>
      </c>
      <c r="I1080" s="5">
        <f>IF('ORDENES'!$A1058="","",IF('ORDENES'!$AU1058="","-",'ORDENES'!$AU1058))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3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IF('ORDENES'!$A1058="","",'ORDENES'!$AG1058)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IF('ORDENES'!$A1059="","",IF('ORDENES'!$AI1059="","-",'ORDENES'!$AI1059))</f>
        <v/>
      </c>
      <c r="D1081" s="5">
        <f>IF('ORDENES'!$A1059="","",IF('ORDENES'!$AA1059="","-",'ORDENES'!$AA1059))</f>
        <v/>
      </c>
      <c r="E1081" s="5">
        <f>IF('ORDENES'!$A1059="","",IF('ORDENES'!$Y1059="","-",'ORDENES'!$Y1059))</f>
        <v/>
      </c>
      <c r="F1081" s="5">
        <f>IF('ORDENES'!$A1059="","",IF('ORDENES'!$AB1059="","-",'ORDENES'!$AB1059))</f>
        <v/>
      </c>
      <c r="G1081" s="5">
        <f>IF('ORDENES'!$A1059="","",IF('ORDENES'!$Z1059="","-",'ORDENES'!$Z1059))</f>
        <v/>
      </c>
      <c r="H1081" s="5">
        <f>IF('ORDENES'!$A1059="","",IF('ORDENES'!$AH1059="","-",'ORDENES'!$AH1059))</f>
        <v/>
      </c>
      <c r="I1081" s="5">
        <f>IF('ORDENES'!$A1059="","",IF('ORDENES'!$AU1059="","-",'ORDENES'!$AU1059))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3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IF('ORDENES'!$A1059="","",'ORDENES'!$AG1059)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IF('ORDENES'!$A1060="","",IF('ORDENES'!$AI1060="","-",'ORDENES'!$AI1060))</f>
        <v/>
      </c>
      <c r="D1082" s="5">
        <f>IF('ORDENES'!$A1060="","",IF('ORDENES'!$AA1060="","-",'ORDENES'!$AA1060))</f>
        <v/>
      </c>
      <c r="E1082" s="5">
        <f>IF('ORDENES'!$A1060="","",IF('ORDENES'!$Y1060="","-",'ORDENES'!$Y1060))</f>
        <v/>
      </c>
      <c r="F1082" s="5">
        <f>IF('ORDENES'!$A1060="","",IF('ORDENES'!$AB1060="","-",'ORDENES'!$AB1060))</f>
        <v/>
      </c>
      <c r="G1082" s="5">
        <f>IF('ORDENES'!$A1060="","",IF('ORDENES'!$Z1060="","-",'ORDENES'!$Z1060))</f>
        <v/>
      </c>
      <c r="H1082" s="5">
        <f>IF('ORDENES'!$A1060="","",IF('ORDENES'!$AH1060="","-",'ORDENES'!$AH1060))</f>
        <v/>
      </c>
      <c r="I1082" s="5">
        <f>IF('ORDENES'!$A1060="","",IF('ORDENES'!$AU1060="","-",'ORDENES'!$AU1060))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3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IF('ORDENES'!$A1060="","",'ORDENES'!$AG1060)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IF('ORDENES'!$A1061="","",IF('ORDENES'!$AI1061="","-",'ORDENES'!$AI1061))</f>
        <v/>
      </c>
      <c r="D1083" s="5">
        <f>IF('ORDENES'!$A1061="","",IF('ORDENES'!$AA1061="","-",'ORDENES'!$AA1061))</f>
        <v/>
      </c>
      <c r="E1083" s="5">
        <f>IF('ORDENES'!$A1061="","",IF('ORDENES'!$Y1061="","-",'ORDENES'!$Y1061))</f>
        <v/>
      </c>
      <c r="F1083" s="5">
        <f>IF('ORDENES'!$A1061="","",IF('ORDENES'!$AB1061="","-",'ORDENES'!$AB1061))</f>
        <v/>
      </c>
      <c r="G1083" s="5">
        <f>IF('ORDENES'!$A1061="","",IF('ORDENES'!$Z1061="","-",'ORDENES'!$Z1061))</f>
        <v/>
      </c>
      <c r="H1083" s="5">
        <f>IF('ORDENES'!$A1061="","",IF('ORDENES'!$AH1061="","-",'ORDENES'!$AH1061))</f>
        <v/>
      </c>
      <c r="I1083" s="5">
        <f>IF('ORDENES'!$A1061="","",IF('ORDENES'!$AU1061="","-",'ORDENES'!$AU1061))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3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IF('ORDENES'!$A1061="","",'ORDENES'!$AG1061)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IF('ORDENES'!$A1062="","",IF('ORDENES'!$AI1062="","-",'ORDENES'!$AI1062))</f>
        <v/>
      </c>
      <c r="D1084" s="5">
        <f>IF('ORDENES'!$A1062="","",IF('ORDENES'!$AA1062="","-",'ORDENES'!$AA1062))</f>
        <v/>
      </c>
      <c r="E1084" s="5">
        <f>IF('ORDENES'!$A1062="","",IF('ORDENES'!$Y1062="","-",'ORDENES'!$Y1062))</f>
        <v/>
      </c>
      <c r="F1084" s="5">
        <f>IF('ORDENES'!$A1062="","",IF('ORDENES'!$AB1062="","-",'ORDENES'!$AB1062))</f>
        <v/>
      </c>
      <c r="G1084" s="5">
        <f>IF('ORDENES'!$A1062="","",IF('ORDENES'!$Z1062="","-",'ORDENES'!$Z1062))</f>
        <v/>
      </c>
      <c r="H1084" s="5">
        <f>IF('ORDENES'!$A1062="","",IF('ORDENES'!$AH1062="","-",'ORDENES'!$AH1062))</f>
        <v/>
      </c>
      <c r="I1084" s="5">
        <f>IF('ORDENES'!$A1062="","",IF('ORDENES'!$AU1062="","-",'ORDENES'!$AU1062))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3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IF('ORDENES'!$A1062="","",'ORDENES'!$AG1062)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IF('ORDENES'!$A1063="","",IF('ORDENES'!$AI1063="","-",'ORDENES'!$AI1063))</f>
        <v/>
      </c>
      <c r="D1085" s="5">
        <f>IF('ORDENES'!$A1063="","",IF('ORDENES'!$AA1063="","-",'ORDENES'!$AA1063))</f>
        <v/>
      </c>
      <c r="E1085" s="5">
        <f>IF('ORDENES'!$A1063="","",IF('ORDENES'!$Y1063="","-",'ORDENES'!$Y1063))</f>
        <v/>
      </c>
      <c r="F1085" s="5">
        <f>IF('ORDENES'!$A1063="","",IF('ORDENES'!$AB1063="","-",'ORDENES'!$AB1063))</f>
        <v/>
      </c>
      <c r="G1085" s="5">
        <f>IF('ORDENES'!$A1063="","",IF('ORDENES'!$Z1063="","-",'ORDENES'!$Z1063))</f>
        <v/>
      </c>
      <c r="H1085" s="5">
        <f>IF('ORDENES'!$A1063="","",IF('ORDENES'!$AH1063="","-",'ORDENES'!$AH1063))</f>
        <v/>
      </c>
      <c r="I1085" s="5">
        <f>IF('ORDENES'!$A1063="","",IF('ORDENES'!$AU1063="","-",'ORDENES'!$AU1063))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3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IF('ORDENES'!$A1063="","",'ORDENES'!$AG1063)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IF('ORDENES'!$A1064="","",IF('ORDENES'!$AI1064="","-",'ORDENES'!$AI1064))</f>
        <v/>
      </c>
      <c r="D1086" s="5">
        <f>IF('ORDENES'!$A1064="","",IF('ORDENES'!$AA1064="","-",'ORDENES'!$AA1064))</f>
        <v/>
      </c>
      <c r="E1086" s="5">
        <f>IF('ORDENES'!$A1064="","",IF('ORDENES'!$Y1064="","-",'ORDENES'!$Y1064))</f>
        <v/>
      </c>
      <c r="F1086" s="5">
        <f>IF('ORDENES'!$A1064="","",IF('ORDENES'!$AB1064="","-",'ORDENES'!$AB1064))</f>
        <v/>
      </c>
      <c r="G1086" s="5">
        <f>IF('ORDENES'!$A1064="","",IF('ORDENES'!$Z1064="","-",'ORDENES'!$Z1064))</f>
        <v/>
      </c>
      <c r="H1086" s="5">
        <f>IF('ORDENES'!$A1064="","",IF('ORDENES'!$AH1064="","-",'ORDENES'!$AH1064))</f>
        <v/>
      </c>
      <c r="I1086" s="5">
        <f>IF('ORDENES'!$A1064="","",IF('ORDENES'!$AU1064="","-",'ORDENES'!$AU1064))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3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IF('ORDENES'!$A1064="","",'ORDENES'!$AG1064)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IF('ORDENES'!$A1065="","",IF('ORDENES'!$AI1065="","-",'ORDENES'!$AI1065))</f>
        <v/>
      </c>
      <c r="D1087" s="5">
        <f>IF('ORDENES'!$A1065="","",IF('ORDENES'!$AA1065="","-",'ORDENES'!$AA1065))</f>
        <v/>
      </c>
      <c r="E1087" s="5">
        <f>IF('ORDENES'!$A1065="","",IF('ORDENES'!$Y1065="","-",'ORDENES'!$Y1065))</f>
        <v/>
      </c>
      <c r="F1087" s="5">
        <f>IF('ORDENES'!$A1065="","",IF('ORDENES'!$AB1065="","-",'ORDENES'!$AB1065))</f>
        <v/>
      </c>
      <c r="G1087" s="5">
        <f>IF('ORDENES'!$A1065="","",IF('ORDENES'!$Z1065="","-",'ORDENES'!$Z1065))</f>
        <v/>
      </c>
      <c r="H1087" s="5">
        <f>IF('ORDENES'!$A1065="","",IF('ORDENES'!$AH1065="","-",'ORDENES'!$AH1065))</f>
        <v/>
      </c>
      <c r="I1087" s="5">
        <f>IF('ORDENES'!$A1065="","",IF('ORDENES'!$AU1065="","-",'ORDENES'!$AU1065))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3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IF('ORDENES'!$A1065="","",'ORDENES'!$AG1065)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IF('ORDENES'!$A1066="","",IF('ORDENES'!$AI1066="","-",'ORDENES'!$AI1066))</f>
        <v/>
      </c>
      <c r="D1088" s="5">
        <f>IF('ORDENES'!$A1066="","",IF('ORDENES'!$AA1066="","-",'ORDENES'!$AA1066))</f>
        <v/>
      </c>
      <c r="E1088" s="5">
        <f>IF('ORDENES'!$A1066="","",IF('ORDENES'!$Y1066="","-",'ORDENES'!$Y1066))</f>
        <v/>
      </c>
      <c r="F1088" s="5">
        <f>IF('ORDENES'!$A1066="","",IF('ORDENES'!$AB1066="","-",'ORDENES'!$AB1066))</f>
        <v/>
      </c>
      <c r="G1088" s="5">
        <f>IF('ORDENES'!$A1066="","",IF('ORDENES'!$Z1066="","-",'ORDENES'!$Z1066))</f>
        <v/>
      </c>
      <c r="H1088" s="5">
        <f>IF('ORDENES'!$A1066="","",IF('ORDENES'!$AH1066="","-",'ORDENES'!$AH1066))</f>
        <v/>
      </c>
      <c r="I1088" s="5">
        <f>IF('ORDENES'!$A1066="","",IF('ORDENES'!$AU1066="","-",'ORDENES'!$AU1066))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3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IF('ORDENES'!$A1066="","",'ORDENES'!$AG1066)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IF('ORDENES'!$A1067="","",IF('ORDENES'!$AI1067="","-",'ORDENES'!$AI1067))</f>
        <v/>
      </c>
      <c r="D1089" s="5">
        <f>IF('ORDENES'!$A1067="","",IF('ORDENES'!$AA1067="","-",'ORDENES'!$AA1067))</f>
        <v/>
      </c>
      <c r="E1089" s="5">
        <f>IF('ORDENES'!$A1067="","",IF('ORDENES'!$Y1067="","-",'ORDENES'!$Y1067))</f>
        <v/>
      </c>
      <c r="F1089" s="5">
        <f>IF('ORDENES'!$A1067="","",IF('ORDENES'!$AB1067="","-",'ORDENES'!$AB1067))</f>
        <v/>
      </c>
      <c r="G1089" s="5">
        <f>IF('ORDENES'!$A1067="","",IF('ORDENES'!$Z1067="","-",'ORDENES'!$Z1067))</f>
        <v/>
      </c>
      <c r="H1089" s="5">
        <f>IF('ORDENES'!$A1067="","",IF('ORDENES'!$AH1067="","-",'ORDENES'!$AH1067))</f>
        <v/>
      </c>
      <c r="I1089" s="5">
        <f>IF('ORDENES'!$A1067="","",IF('ORDENES'!$AU1067="","-",'ORDENES'!$AU1067))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3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IF('ORDENES'!$A1067="","",'ORDENES'!$AG1067)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IF('ORDENES'!$A1068="","",IF('ORDENES'!$AI1068="","-",'ORDENES'!$AI1068))</f>
        <v/>
      </c>
      <c r="D1090" s="5">
        <f>IF('ORDENES'!$A1068="","",IF('ORDENES'!$AA1068="","-",'ORDENES'!$AA1068))</f>
        <v/>
      </c>
      <c r="E1090" s="5">
        <f>IF('ORDENES'!$A1068="","",IF('ORDENES'!$Y1068="","-",'ORDENES'!$Y1068))</f>
        <v/>
      </c>
      <c r="F1090" s="5">
        <f>IF('ORDENES'!$A1068="","",IF('ORDENES'!$AB1068="","-",'ORDENES'!$AB1068))</f>
        <v/>
      </c>
      <c r="G1090" s="5">
        <f>IF('ORDENES'!$A1068="","",IF('ORDENES'!$Z1068="","-",'ORDENES'!$Z1068))</f>
        <v/>
      </c>
      <c r="H1090" s="5">
        <f>IF('ORDENES'!$A1068="","",IF('ORDENES'!$AH1068="","-",'ORDENES'!$AH1068))</f>
        <v/>
      </c>
      <c r="I1090" s="5">
        <f>IF('ORDENES'!$A1068="","",IF('ORDENES'!$AU1068="","-",'ORDENES'!$AU1068))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3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IF('ORDENES'!$A1068="","",'ORDENES'!$AG1068)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IF('ORDENES'!$A1069="","",IF('ORDENES'!$AI1069="","-",'ORDENES'!$AI1069))</f>
        <v/>
      </c>
      <c r="D1091" s="5">
        <f>IF('ORDENES'!$A1069="","",IF('ORDENES'!$AA1069="","-",'ORDENES'!$AA1069))</f>
        <v/>
      </c>
      <c r="E1091" s="5">
        <f>IF('ORDENES'!$A1069="","",IF('ORDENES'!$Y1069="","-",'ORDENES'!$Y1069))</f>
        <v/>
      </c>
      <c r="F1091" s="5">
        <f>IF('ORDENES'!$A1069="","",IF('ORDENES'!$AB1069="","-",'ORDENES'!$AB1069))</f>
        <v/>
      </c>
      <c r="G1091" s="5">
        <f>IF('ORDENES'!$A1069="","",IF('ORDENES'!$Z1069="","-",'ORDENES'!$Z1069))</f>
        <v/>
      </c>
      <c r="H1091" s="5">
        <f>IF('ORDENES'!$A1069="","",IF('ORDENES'!$AH1069="","-",'ORDENES'!$AH1069))</f>
        <v/>
      </c>
      <c r="I1091" s="5">
        <f>IF('ORDENES'!$A1069="","",IF('ORDENES'!$AU1069="","-",'ORDENES'!$AU1069))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3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IF('ORDENES'!$A1069="","",'ORDENES'!$AG1069)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IF('ORDENES'!$A1070="","",IF('ORDENES'!$AI1070="","-",'ORDENES'!$AI1070))</f>
        <v/>
      </c>
      <c r="D1092" s="5">
        <f>IF('ORDENES'!$A1070="","",IF('ORDENES'!$AA1070="","-",'ORDENES'!$AA1070))</f>
        <v/>
      </c>
      <c r="E1092" s="5">
        <f>IF('ORDENES'!$A1070="","",IF('ORDENES'!$Y1070="","-",'ORDENES'!$Y1070))</f>
        <v/>
      </c>
      <c r="F1092" s="5">
        <f>IF('ORDENES'!$A1070="","",IF('ORDENES'!$AB1070="","-",'ORDENES'!$AB1070))</f>
        <v/>
      </c>
      <c r="G1092" s="5">
        <f>IF('ORDENES'!$A1070="","",IF('ORDENES'!$Z1070="","-",'ORDENES'!$Z1070))</f>
        <v/>
      </c>
      <c r="H1092" s="5">
        <f>IF('ORDENES'!$A1070="","",IF('ORDENES'!$AH1070="","-",'ORDENES'!$AH1070))</f>
        <v/>
      </c>
      <c r="I1092" s="5">
        <f>IF('ORDENES'!$A1070="","",IF('ORDENES'!$AU1070="","-",'ORDENES'!$AU1070))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3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IF('ORDENES'!$A1070="","",'ORDENES'!$AG1070)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IF('ORDENES'!$A1071="","",IF('ORDENES'!$AI1071="","-",'ORDENES'!$AI1071))</f>
        <v/>
      </c>
      <c r="D1093" s="5">
        <f>IF('ORDENES'!$A1071="","",IF('ORDENES'!$AA1071="","-",'ORDENES'!$AA1071))</f>
        <v/>
      </c>
      <c r="E1093" s="5">
        <f>IF('ORDENES'!$A1071="","",IF('ORDENES'!$Y1071="","-",'ORDENES'!$Y1071))</f>
        <v/>
      </c>
      <c r="F1093" s="5">
        <f>IF('ORDENES'!$A1071="","",IF('ORDENES'!$AB1071="","-",'ORDENES'!$AB1071))</f>
        <v/>
      </c>
      <c r="G1093" s="5">
        <f>IF('ORDENES'!$A1071="","",IF('ORDENES'!$Z1071="","-",'ORDENES'!$Z1071))</f>
        <v/>
      </c>
      <c r="H1093" s="5">
        <f>IF('ORDENES'!$A1071="","",IF('ORDENES'!$AH1071="","-",'ORDENES'!$AH1071))</f>
        <v/>
      </c>
      <c r="I1093" s="5">
        <f>IF('ORDENES'!$A1071="","",IF('ORDENES'!$AU1071="","-",'ORDENES'!$AU1071))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3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IF('ORDENES'!$A1071="","",'ORDENES'!$AG1071)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IF('ORDENES'!$A1072="","",IF('ORDENES'!$AI1072="","-",'ORDENES'!$AI1072))</f>
        <v/>
      </c>
      <c r="D1094" s="5">
        <f>IF('ORDENES'!$A1072="","",IF('ORDENES'!$AA1072="","-",'ORDENES'!$AA1072))</f>
        <v/>
      </c>
      <c r="E1094" s="5">
        <f>IF('ORDENES'!$A1072="","",IF('ORDENES'!$Y1072="","-",'ORDENES'!$Y1072))</f>
        <v/>
      </c>
      <c r="F1094" s="5">
        <f>IF('ORDENES'!$A1072="","",IF('ORDENES'!$AB1072="","-",'ORDENES'!$AB1072))</f>
        <v/>
      </c>
      <c r="G1094" s="5">
        <f>IF('ORDENES'!$A1072="","",IF('ORDENES'!$Z1072="","-",'ORDENES'!$Z1072))</f>
        <v/>
      </c>
      <c r="H1094" s="5">
        <f>IF('ORDENES'!$A1072="","",IF('ORDENES'!$AH1072="","-",'ORDENES'!$AH1072))</f>
        <v/>
      </c>
      <c r="I1094" s="5">
        <f>IF('ORDENES'!$A1072="","",IF('ORDENES'!$AU1072="","-",'ORDENES'!$AU1072))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3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IF('ORDENES'!$A1072="","",'ORDENES'!$AG1072)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IF('ORDENES'!$A1073="","",IF('ORDENES'!$AI1073="","-",'ORDENES'!$AI1073))</f>
        <v/>
      </c>
      <c r="D1095" s="5">
        <f>IF('ORDENES'!$A1073="","",IF('ORDENES'!$AA1073="","-",'ORDENES'!$AA1073))</f>
        <v/>
      </c>
      <c r="E1095" s="5">
        <f>IF('ORDENES'!$A1073="","",IF('ORDENES'!$Y1073="","-",'ORDENES'!$Y1073))</f>
        <v/>
      </c>
      <c r="F1095" s="5">
        <f>IF('ORDENES'!$A1073="","",IF('ORDENES'!$AB1073="","-",'ORDENES'!$AB1073))</f>
        <v/>
      </c>
      <c r="G1095" s="5">
        <f>IF('ORDENES'!$A1073="","",IF('ORDENES'!$Z1073="","-",'ORDENES'!$Z1073))</f>
        <v/>
      </c>
      <c r="H1095" s="5">
        <f>IF('ORDENES'!$A1073="","",IF('ORDENES'!$AH1073="","-",'ORDENES'!$AH1073))</f>
        <v/>
      </c>
      <c r="I1095" s="5">
        <f>IF('ORDENES'!$A1073="","",IF('ORDENES'!$AU1073="","-",'ORDENES'!$AU1073))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3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IF('ORDENES'!$A1073="","",'ORDENES'!$AG1073)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IF('ORDENES'!$A1074="","",IF('ORDENES'!$AI1074="","-",'ORDENES'!$AI1074))</f>
        <v/>
      </c>
      <c r="D1096" s="5">
        <f>IF('ORDENES'!$A1074="","",IF('ORDENES'!$AA1074="","-",'ORDENES'!$AA1074))</f>
        <v/>
      </c>
      <c r="E1096" s="5">
        <f>IF('ORDENES'!$A1074="","",IF('ORDENES'!$Y1074="","-",'ORDENES'!$Y1074))</f>
        <v/>
      </c>
      <c r="F1096" s="5">
        <f>IF('ORDENES'!$A1074="","",IF('ORDENES'!$AB1074="","-",'ORDENES'!$AB1074))</f>
        <v/>
      </c>
      <c r="G1096" s="5">
        <f>IF('ORDENES'!$A1074="","",IF('ORDENES'!$Z1074="","-",'ORDENES'!$Z1074))</f>
        <v/>
      </c>
      <c r="H1096" s="5">
        <f>IF('ORDENES'!$A1074="","",IF('ORDENES'!$AH1074="","-",'ORDENES'!$AH1074))</f>
        <v/>
      </c>
      <c r="I1096" s="5">
        <f>IF('ORDENES'!$A1074="","",IF('ORDENES'!$AU1074="","-",'ORDENES'!$AU1074))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3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IF('ORDENES'!$A1074="","",'ORDENES'!$AG1074)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IF('ORDENES'!$A1075="","",IF('ORDENES'!$AI1075="","-",'ORDENES'!$AI1075))</f>
        <v/>
      </c>
      <c r="D1097" s="5">
        <f>IF('ORDENES'!$A1075="","",IF('ORDENES'!$AA1075="","-",'ORDENES'!$AA1075))</f>
        <v/>
      </c>
      <c r="E1097" s="5">
        <f>IF('ORDENES'!$A1075="","",IF('ORDENES'!$Y1075="","-",'ORDENES'!$Y1075))</f>
        <v/>
      </c>
      <c r="F1097" s="5">
        <f>IF('ORDENES'!$A1075="","",IF('ORDENES'!$AB1075="","-",'ORDENES'!$AB1075))</f>
        <v/>
      </c>
      <c r="G1097" s="5">
        <f>IF('ORDENES'!$A1075="","",IF('ORDENES'!$Z1075="","-",'ORDENES'!$Z1075))</f>
        <v/>
      </c>
      <c r="H1097" s="5">
        <f>IF('ORDENES'!$A1075="","",IF('ORDENES'!$AH1075="","-",'ORDENES'!$AH1075))</f>
        <v/>
      </c>
      <c r="I1097" s="5">
        <f>IF('ORDENES'!$A1075="","",IF('ORDENES'!$AU1075="","-",'ORDENES'!$AU1075))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3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IF('ORDENES'!$A1075="","",'ORDENES'!$AG1075)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IF('ORDENES'!$A1076="","",IF('ORDENES'!$AI1076="","-",'ORDENES'!$AI1076))</f>
        <v/>
      </c>
      <c r="D1098" s="5">
        <f>IF('ORDENES'!$A1076="","",IF('ORDENES'!$AA1076="","-",'ORDENES'!$AA1076))</f>
        <v/>
      </c>
      <c r="E1098" s="5">
        <f>IF('ORDENES'!$A1076="","",IF('ORDENES'!$Y1076="","-",'ORDENES'!$Y1076))</f>
        <v/>
      </c>
      <c r="F1098" s="5">
        <f>IF('ORDENES'!$A1076="","",IF('ORDENES'!$AB1076="","-",'ORDENES'!$AB1076))</f>
        <v/>
      </c>
      <c r="G1098" s="5">
        <f>IF('ORDENES'!$A1076="","",IF('ORDENES'!$Z1076="","-",'ORDENES'!$Z1076))</f>
        <v/>
      </c>
      <c r="H1098" s="5">
        <f>IF('ORDENES'!$A1076="","",IF('ORDENES'!$AH1076="","-",'ORDENES'!$AH1076))</f>
        <v/>
      </c>
      <c r="I1098" s="5">
        <f>IF('ORDENES'!$A1076="","",IF('ORDENES'!$AU1076="","-",'ORDENES'!$AU1076))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3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IF('ORDENES'!$A1076="","",'ORDENES'!$AG1076)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IF('ORDENES'!$A1077="","",IF('ORDENES'!$AI1077="","-",'ORDENES'!$AI1077))</f>
        <v/>
      </c>
      <c r="D1099" s="5">
        <f>IF('ORDENES'!$A1077="","",IF('ORDENES'!$AA1077="","-",'ORDENES'!$AA1077))</f>
        <v/>
      </c>
      <c r="E1099" s="5">
        <f>IF('ORDENES'!$A1077="","",IF('ORDENES'!$Y1077="","-",'ORDENES'!$Y1077))</f>
        <v/>
      </c>
      <c r="F1099" s="5">
        <f>IF('ORDENES'!$A1077="","",IF('ORDENES'!$AB1077="","-",'ORDENES'!$AB1077))</f>
        <v/>
      </c>
      <c r="G1099" s="5">
        <f>IF('ORDENES'!$A1077="","",IF('ORDENES'!$Z1077="","-",'ORDENES'!$Z1077))</f>
        <v/>
      </c>
      <c r="H1099" s="5">
        <f>IF('ORDENES'!$A1077="","",IF('ORDENES'!$AH1077="","-",'ORDENES'!$AH1077))</f>
        <v/>
      </c>
      <c r="I1099" s="5">
        <f>IF('ORDENES'!$A1077="","",IF('ORDENES'!$AU1077="","-",'ORDENES'!$AU1077))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3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IF('ORDENES'!$A1077="","",'ORDENES'!$AG1077)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IF('ORDENES'!$A1078="","",IF('ORDENES'!$AI1078="","-",'ORDENES'!$AI1078))</f>
        <v/>
      </c>
      <c r="D1100" s="5">
        <f>IF('ORDENES'!$A1078="","",IF('ORDENES'!$AA1078="","-",'ORDENES'!$AA1078))</f>
        <v/>
      </c>
      <c r="E1100" s="5">
        <f>IF('ORDENES'!$A1078="","",IF('ORDENES'!$Y1078="","-",'ORDENES'!$Y1078))</f>
        <v/>
      </c>
      <c r="F1100" s="5">
        <f>IF('ORDENES'!$A1078="","",IF('ORDENES'!$AB1078="","-",'ORDENES'!$AB1078))</f>
        <v/>
      </c>
      <c r="G1100" s="5">
        <f>IF('ORDENES'!$A1078="","",IF('ORDENES'!$Z1078="","-",'ORDENES'!$Z1078))</f>
        <v/>
      </c>
      <c r="H1100" s="5">
        <f>IF('ORDENES'!$A1078="","",IF('ORDENES'!$AH1078="","-",'ORDENES'!$AH1078))</f>
        <v/>
      </c>
      <c r="I1100" s="5">
        <f>IF('ORDENES'!$A1078="","",IF('ORDENES'!$AU1078="","-",'ORDENES'!$AU1078))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3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IF('ORDENES'!$A1078="","",'ORDENES'!$AG1078)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IF('ORDENES'!$A1079="","",IF('ORDENES'!$AI1079="","-",'ORDENES'!$AI1079))</f>
        <v/>
      </c>
      <c r="D1101" s="5">
        <f>IF('ORDENES'!$A1079="","",IF('ORDENES'!$AA1079="","-",'ORDENES'!$AA1079))</f>
        <v/>
      </c>
      <c r="E1101" s="5">
        <f>IF('ORDENES'!$A1079="","",IF('ORDENES'!$Y1079="","-",'ORDENES'!$Y1079))</f>
        <v/>
      </c>
      <c r="F1101" s="5">
        <f>IF('ORDENES'!$A1079="","",IF('ORDENES'!$AB1079="","-",'ORDENES'!$AB1079))</f>
        <v/>
      </c>
      <c r="G1101" s="5">
        <f>IF('ORDENES'!$A1079="","",IF('ORDENES'!$Z1079="","-",'ORDENES'!$Z1079))</f>
        <v/>
      </c>
      <c r="H1101" s="5">
        <f>IF('ORDENES'!$A1079="","",IF('ORDENES'!$AH1079="","-",'ORDENES'!$AH1079))</f>
        <v/>
      </c>
      <c r="I1101" s="5">
        <f>IF('ORDENES'!$A1079="","",IF('ORDENES'!$AU1079="","-",'ORDENES'!$AU1079))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3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IF('ORDENES'!$A1079="","",'ORDENES'!$AG1079)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IF('ORDENES'!$A1080="","",IF('ORDENES'!$AI1080="","-",'ORDENES'!$AI1080))</f>
        <v/>
      </c>
      <c r="D1102" s="5">
        <f>IF('ORDENES'!$A1080="","",IF('ORDENES'!$AA1080="","-",'ORDENES'!$AA1080))</f>
        <v/>
      </c>
      <c r="E1102" s="5">
        <f>IF('ORDENES'!$A1080="","",IF('ORDENES'!$Y1080="","-",'ORDENES'!$Y1080))</f>
        <v/>
      </c>
      <c r="F1102" s="5">
        <f>IF('ORDENES'!$A1080="","",IF('ORDENES'!$AB1080="","-",'ORDENES'!$AB1080))</f>
        <v/>
      </c>
      <c r="G1102" s="5">
        <f>IF('ORDENES'!$A1080="","",IF('ORDENES'!$Z1080="","-",'ORDENES'!$Z1080))</f>
        <v/>
      </c>
      <c r="H1102" s="5">
        <f>IF('ORDENES'!$A1080="","",IF('ORDENES'!$AH1080="","-",'ORDENES'!$AH1080))</f>
        <v/>
      </c>
      <c r="I1102" s="5">
        <f>IF('ORDENES'!$A1080="","",IF('ORDENES'!$AU1080="","-",'ORDENES'!$AU1080))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3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IF('ORDENES'!$A1080="","",'ORDENES'!$AG1080)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IF('ORDENES'!$A1081="","",IF('ORDENES'!$AI1081="","-",'ORDENES'!$AI1081))</f>
        <v/>
      </c>
      <c r="D1103" s="5">
        <f>IF('ORDENES'!$A1081="","",IF('ORDENES'!$AA1081="","-",'ORDENES'!$AA1081))</f>
        <v/>
      </c>
      <c r="E1103" s="5">
        <f>IF('ORDENES'!$A1081="","",IF('ORDENES'!$Y1081="","-",'ORDENES'!$Y1081))</f>
        <v/>
      </c>
      <c r="F1103" s="5">
        <f>IF('ORDENES'!$A1081="","",IF('ORDENES'!$AB1081="","-",'ORDENES'!$AB1081))</f>
        <v/>
      </c>
      <c r="G1103" s="5">
        <f>IF('ORDENES'!$A1081="","",IF('ORDENES'!$Z1081="","-",'ORDENES'!$Z1081))</f>
        <v/>
      </c>
      <c r="H1103" s="5">
        <f>IF('ORDENES'!$A1081="","",IF('ORDENES'!$AH1081="","-",'ORDENES'!$AH1081))</f>
        <v/>
      </c>
      <c r="I1103" s="5">
        <f>IF('ORDENES'!$A1081="","",IF('ORDENES'!$AU1081="","-",'ORDENES'!$AU1081))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3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IF('ORDENES'!$A1081="","",'ORDENES'!$AG1081)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IF('ORDENES'!$A1082="","",IF('ORDENES'!$AI1082="","-",'ORDENES'!$AI1082))</f>
        <v/>
      </c>
      <c r="D1104" s="5">
        <f>IF('ORDENES'!$A1082="","",IF('ORDENES'!$AA1082="","-",'ORDENES'!$AA1082))</f>
        <v/>
      </c>
      <c r="E1104" s="5">
        <f>IF('ORDENES'!$A1082="","",IF('ORDENES'!$Y1082="","-",'ORDENES'!$Y1082))</f>
        <v/>
      </c>
      <c r="F1104" s="5">
        <f>IF('ORDENES'!$A1082="","",IF('ORDENES'!$AB1082="","-",'ORDENES'!$AB1082))</f>
        <v/>
      </c>
      <c r="G1104" s="5">
        <f>IF('ORDENES'!$A1082="","",IF('ORDENES'!$Z1082="","-",'ORDENES'!$Z1082))</f>
        <v/>
      </c>
      <c r="H1104" s="5">
        <f>IF('ORDENES'!$A1082="","",IF('ORDENES'!$AH1082="","-",'ORDENES'!$AH1082))</f>
        <v/>
      </c>
      <c r="I1104" s="5">
        <f>IF('ORDENES'!$A1082="","",IF('ORDENES'!$AU1082="","-",'ORDENES'!$AU1082))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3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IF('ORDENES'!$A1082="","",'ORDENES'!$AG1082)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IF('ORDENES'!$A1083="","",IF('ORDENES'!$AI1083="","-",'ORDENES'!$AI1083))</f>
        <v/>
      </c>
      <c r="D1105" s="5">
        <f>IF('ORDENES'!$A1083="","",IF('ORDENES'!$AA1083="","-",'ORDENES'!$AA1083))</f>
        <v/>
      </c>
      <c r="E1105" s="5">
        <f>IF('ORDENES'!$A1083="","",IF('ORDENES'!$Y1083="","-",'ORDENES'!$Y1083))</f>
        <v/>
      </c>
      <c r="F1105" s="5">
        <f>IF('ORDENES'!$A1083="","",IF('ORDENES'!$AB1083="","-",'ORDENES'!$AB1083))</f>
        <v/>
      </c>
      <c r="G1105" s="5">
        <f>IF('ORDENES'!$A1083="","",IF('ORDENES'!$Z1083="","-",'ORDENES'!$Z1083))</f>
        <v/>
      </c>
      <c r="H1105" s="5">
        <f>IF('ORDENES'!$A1083="","",IF('ORDENES'!$AH1083="","-",'ORDENES'!$AH1083))</f>
        <v/>
      </c>
      <c r="I1105" s="5">
        <f>IF('ORDENES'!$A1083="","",IF('ORDENES'!$AU1083="","-",'ORDENES'!$AU1083))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3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IF('ORDENES'!$A1083="","",'ORDENES'!$AG1083)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IF('ORDENES'!$A1084="","",IF('ORDENES'!$AI1084="","-",'ORDENES'!$AI1084))</f>
        <v/>
      </c>
      <c r="D1106" s="5">
        <f>IF('ORDENES'!$A1084="","",IF('ORDENES'!$AA1084="","-",'ORDENES'!$AA1084))</f>
        <v/>
      </c>
      <c r="E1106" s="5">
        <f>IF('ORDENES'!$A1084="","",IF('ORDENES'!$Y1084="","-",'ORDENES'!$Y1084))</f>
        <v/>
      </c>
      <c r="F1106" s="5">
        <f>IF('ORDENES'!$A1084="","",IF('ORDENES'!$AB1084="","-",'ORDENES'!$AB1084))</f>
        <v/>
      </c>
      <c r="G1106" s="5">
        <f>IF('ORDENES'!$A1084="","",IF('ORDENES'!$Z1084="","-",'ORDENES'!$Z1084))</f>
        <v/>
      </c>
      <c r="H1106" s="5">
        <f>IF('ORDENES'!$A1084="","",IF('ORDENES'!$AH1084="","-",'ORDENES'!$AH1084))</f>
        <v/>
      </c>
      <c r="I1106" s="5">
        <f>IF('ORDENES'!$A1084="","",IF('ORDENES'!$AU1084="","-",'ORDENES'!$AU1084))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3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IF('ORDENES'!$A1084="","",'ORDENES'!$AG1084)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IF('ORDENES'!$A1085="","",IF('ORDENES'!$AI1085="","-",'ORDENES'!$AI1085))</f>
        <v/>
      </c>
      <c r="D1107" s="5">
        <f>IF('ORDENES'!$A1085="","",IF('ORDENES'!$AA1085="","-",'ORDENES'!$AA1085))</f>
        <v/>
      </c>
      <c r="E1107" s="5">
        <f>IF('ORDENES'!$A1085="","",IF('ORDENES'!$Y1085="","-",'ORDENES'!$Y1085))</f>
        <v/>
      </c>
      <c r="F1107" s="5">
        <f>IF('ORDENES'!$A1085="","",IF('ORDENES'!$AB1085="","-",'ORDENES'!$AB1085))</f>
        <v/>
      </c>
      <c r="G1107" s="5">
        <f>IF('ORDENES'!$A1085="","",IF('ORDENES'!$Z1085="","-",'ORDENES'!$Z1085))</f>
        <v/>
      </c>
      <c r="H1107" s="5">
        <f>IF('ORDENES'!$A1085="","",IF('ORDENES'!$AH1085="","-",'ORDENES'!$AH1085))</f>
        <v/>
      </c>
      <c r="I1107" s="5">
        <f>IF('ORDENES'!$A1085="","",IF('ORDENES'!$AU1085="","-",'ORDENES'!$AU1085))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3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IF('ORDENES'!$A1085="","",'ORDENES'!$AG1085)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IF('ORDENES'!$A1086="","",IF('ORDENES'!$AI1086="","-",'ORDENES'!$AI1086))</f>
        <v/>
      </c>
      <c r="D1108" s="5">
        <f>IF('ORDENES'!$A1086="","",IF('ORDENES'!$AA1086="","-",'ORDENES'!$AA1086))</f>
        <v/>
      </c>
      <c r="E1108" s="5">
        <f>IF('ORDENES'!$A1086="","",IF('ORDENES'!$Y1086="","-",'ORDENES'!$Y1086))</f>
        <v/>
      </c>
      <c r="F1108" s="5">
        <f>IF('ORDENES'!$A1086="","",IF('ORDENES'!$AB1086="","-",'ORDENES'!$AB1086))</f>
        <v/>
      </c>
      <c r="G1108" s="5">
        <f>IF('ORDENES'!$A1086="","",IF('ORDENES'!$Z1086="","-",'ORDENES'!$Z1086))</f>
        <v/>
      </c>
      <c r="H1108" s="5">
        <f>IF('ORDENES'!$A1086="","",IF('ORDENES'!$AH1086="","-",'ORDENES'!$AH1086))</f>
        <v/>
      </c>
      <c r="I1108" s="5">
        <f>IF('ORDENES'!$A1086="","",IF('ORDENES'!$AU1086="","-",'ORDENES'!$AU1086))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3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IF('ORDENES'!$A1086="","",'ORDENES'!$AG1086)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IF('ORDENES'!$A1087="","",IF('ORDENES'!$AI1087="","-",'ORDENES'!$AI1087))</f>
        <v/>
      </c>
      <c r="D1109" s="5">
        <f>IF('ORDENES'!$A1087="","",IF('ORDENES'!$AA1087="","-",'ORDENES'!$AA1087))</f>
        <v/>
      </c>
      <c r="E1109" s="5">
        <f>IF('ORDENES'!$A1087="","",IF('ORDENES'!$Y1087="","-",'ORDENES'!$Y1087))</f>
        <v/>
      </c>
      <c r="F1109" s="5">
        <f>IF('ORDENES'!$A1087="","",IF('ORDENES'!$AB1087="","-",'ORDENES'!$AB1087))</f>
        <v/>
      </c>
      <c r="G1109" s="5">
        <f>IF('ORDENES'!$A1087="","",IF('ORDENES'!$Z1087="","-",'ORDENES'!$Z1087))</f>
        <v/>
      </c>
      <c r="H1109" s="5">
        <f>IF('ORDENES'!$A1087="","",IF('ORDENES'!$AH1087="","-",'ORDENES'!$AH1087))</f>
        <v/>
      </c>
      <c r="I1109" s="5">
        <f>IF('ORDENES'!$A1087="","",IF('ORDENES'!$AU1087="","-",'ORDENES'!$AU1087))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3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IF('ORDENES'!$A1087="","",'ORDENES'!$AG1087)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IF('ORDENES'!$A1088="","",IF('ORDENES'!$AI1088="","-",'ORDENES'!$AI1088))</f>
        <v/>
      </c>
      <c r="D1110" s="5">
        <f>IF('ORDENES'!$A1088="","",IF('ORDENES'!$AA1088="","-",'ORDENES'!$AA1088))</f>
        <v/>
      </c>
      <c r="E1110" s="5">
        <f>IF('ORDENES'!$A1088="","",IF('ORDENES'!$Y1088="","-",'ORDENES'!$Y1088))</f>
        <v/>
      </c>
      <c r="F1110" s="5">
        <f>IF('ORDENES'!$A1088="","",IF('ORDENES'!$AB1088="","-",'ORDENES'!$AB1088))</f>
        <v/>
      </c>
      <c r="G1110" s="5">
        <f>IF('ORDENES'!$A1088="","",IF('ORDENES'!$Z1088="","-",'ORDENES'!$Z1088))</f>
        <v/>
      </c>
      <c r="H1110" s="5">
        <f>IF('ORDENES'!$A1088="","",IF('ORDENES'!$AH1088="","-",'ORDENES'!$AH1088))</f>
        <v/>
      </c>
      <c r="I1110" s="5">
        <f>IF('ORDENES'!$A1088="","",IF('ORDENES'!$AU1088="","-",'ORDENES'!$AU1088))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3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IF('ORDENES'!$A1088="","",'ORDENES'!$AG1088)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IF('ORDENES'!$A1089="","",IF('ORDENES'!$AI1089="","-",'ORDENES'!$AI1089))</f>
        <v/>
      </c>
      <c r="D1111" s="5">
        <f>IF('ORDENES'!$A1089="","",IF('ORDENES'!$AA1089="","-",'ORDENES'!$AA1089))</f>
        <v/>
      </c>
      <c r="E1111" s="5">
        <f>IF('ORDENES'!$A1089="","",IF('ORDENES'!$Y1089="","-",'ORDENES'!$Y1089))</f>
        <v/>
      </c>
      <c r="F1111" s="5">
        <f>IF('ORDENES'!$A1089="","",IF('ORDENES'!$AB1089="","-",'ORDENES'!$AB1089))</f>
        <v/>
      </c>
      <c r="G1111" s="5">
        <f>IF('ORDENES'!$A1089="","",IF('ORDENES'!$Z1089="","-",'ORDENES'!$Z1089))</f>
        <v/>
      </c>
      <c r="H1111" s="5">
        <f>IF('ORDENES'!$A1089="","",IF('ORDENES'!$AH1089="","-",'ORDENES'!$AH1089))</f>
        <v/>
      </c>
      <c r="I1111" s="5">
        <f>IF('ORDENES'!$A1089="","",IF('ORDENES'!$AU1089="","-",'ORDENES'!$AU1089))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3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IF('ORDENES'!$A1089="","",'ORDENES'!$AG1089)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IF('ORDENES'!$A1090="","",IF('ORDENES'!$AI1090="","-",'ORDENES'!$AI1090))</f>
        <v/>
      </c>
      <c r="D1112" s="5">
        <f>IF('ORDENES'!$A1090="","",IF('ORDENES'!$AA1090="","-",'ORDENES'!$AA1090))</f>
        <v/>
      </c>
      <c r="E1112" s="5">
        <f>IF('ORDENES'!$A1090="","",IF('ORDENES'!$Y1090="","-",'ORDENES'!$Y1090))</f>
        <v/>
      </c>
      <c r="F1112" s="5">
        <f>IF('ORDENES'!$A1090="","",IF('ORDENES'!$AB1090="","-",'ORDENES'!$AB1090))</f>
        <v/>
      </c>
      <c r="G1112" s="5">
        <f>IF('ORDENES'!$A1090="","",IF('ORDENES'!$Z1090="","-",'ORDENES'!$Z1090))</f>
        <v/>
      </c>
      <c r="H1112" s="5">
        <f>IF('ORDENES'!$A1090="","",IF('ORDENES'!$AH1090="","-",'ORDENES'!$AH1090))</f>
        <v/>
      </c>
      <c r="I1112" s="5">
        <f>IF('ORDENES'!$A1090="","",IF('ORDENES'!$AU1090="","-",'ORDENES'!$AU1090))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3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IF('ORDENES'!$A1090="","",'ORDENES'!$AG1090)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IF('ORDENES'!$A1091="","",IF('ORDENES'!$AI1091="","-",'ORDENES'!$AI1091))</f>
        <v/>
      </c>
      <c r="D1113" s="5">
        <f>IF('ORDENES'!$A1091="","",IF('ORDENES'!$AA1091="","-",'ORDENES'!$AA1091))</f>
        <v/>
      </c>
      <c r="E1113" s="5">
        <f>IF('ORDENES'!$A1091="","",IF('ORDENES'!$Y1091="","-",'ORDENES'!$Y1091))</f>
        <v/>
      </c>
      <c r="F1113" s="5">
        <f>IF('ORDENES'!$A1091="","",IF('ORDENES'!$AB1091="","-",'ORDENES'!$AB1091))</f>
        <v/>
      </c>
      <c r="G1113" s="5">
        <f>IF('ORDENES'!$A1091="","",IF('ORDENES'!$Z1091="","-",'ORDENES'!$Z1091))</f>
        <v/>
      </c>
      <c r="H1113" s="5">
        <f>IF('ORDENES'!$A1091="","",IF('ORDENES'!$AH1091="","-",'ORDENES'!$AH1091))</f>
        <v/>
      </c>
      <c r="I1113" s="5">
        <f>IF('ORDENES'!$A1091="","",IF('ORDENES'!$AU1091="","-",'ORDENES'!$AU1091))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3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IF('ORDENES'!$A1091="","",'ORDENES'!$AG1091)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IF('ORDENES'!$A1092="","",IF('ORDENES'!$AI1092="","-",'ORDENES'!$AI1092))</f>
        <v/>
      </c>
      <c r="D1114" s="5">
        <f>IF('ORDENES'!$A1092="","",IF('ORDENES'!$AA1092="","-",'ORDENES'!$AA1092))</f>
        <v/>
      </c>
      <c r="E1114" s="5">
        <f>IF('ORDENES'!$A1092="","",IF('ORDENES'!$Y1092="","-",'ORDENES'!$Y1092))</f>
        <v/>
      </c>
      <c r="F1114" s="5">
        <f>IF('ORDENES'!$A1092="","",IF('ORDENES'!$AB1092="","-",'ORDENES'!$AB1092))</f>
        <v/>
      </c>
      <c r="G1114" s="5">
        <f>IF('ORDENES'!$A1092="","",IF('ORDENES'!$Z1092="","-",'ORDENES'!$Z1092))</f>
        <v/>
      </c>
      <c r="H1114" s="5">
        <f>IF('ORDENES'!$A1092="","",IF('ORDENES'!$AH1092="","-",'ORDENES'!$AH1092))</f>
        <v/>
      </c>
      <c r="I1114" s="5">
        <f>IF('ORDENES'!$A1092="","",IF('ORDENES'!$AU1092="","-",'ORDENES'!$AU1092))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3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IF('ORDENES'!$A1092="","",'ORDENES'!$AG1092)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IF('ORDENES'!$A1093="","",IF('ORDENES'!$AI1093="","-",'ORDENES'!$AI1093))</f>
        <v/>
      </c>
      <c r="D1115" s="5">
        <f>IF('ORDENES'!$A1093="","",IF('ORDENES'!$AA1093="","-",'ORDENES'!$AA1093))</f>
        <v/>
      </c>
      <c r="E1115" s="5">
        <f>IF('ORDENES'!$A1093="","",IF('ORDENES'!$Y1093="","-",'ORDENES'!$Y1093))</f>
        <v/>
      </c>
      <c r="F1115" s="5">
        <f>IF('ORDENES'!$A1093="","",IF('ORDENES'!$AB1093="","-",'ORDENES'!$AB1093))</f>
        <v/>
      </c>
      <c r="G1115" s="5">
        <f>IF('ORDENES'!$A1093="","",IF('ORDENES'!$Z1093="","-",'ORDENES'!$Z1093))</f>
        <v/>
      </c>
      <c r="H1115" s="5">
        <f>IF('ORDENES'!$A1093="","",IF('ORDENES'!$AH1093="","-",'ORDENES'!$AH1093))</f>
        <v/>
      </c>
      <c r="I1115" s="5">
        <f>IF('ORDENES'!$A1093="","",IF('ORDENES'!$AU1093="","-",'ORDENES'!$AU1093))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3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IF('ORDENES'!$A1093="","",'ORDENES'!$AG1093)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IF('ORDENES'!$A1094="","",IF('ORDENES'!$AI1094="","-",'ORDENES'!$AI1094))</f>
        <v/>
      </c>
      <c r="D1116" s="5">
        <f>IF('ORDENES'!$A1094="","",IF('ORDENES'!$AA1094="","-",'ORDENES'!$AA1094))</f>
        <v/>
      </c>
      <c r="E1116" s="5">
        <f>IF('ORDENES'!$A1094="","",IF('ORDENES'!$Y1094="","-",'ORDENES'!$Y1094))</f>
        <v/>
      </c>
      <c r="F1116" s="5">
        <f>IF('ORDENES'!$A1094="","",IF('ORDENES'!$AB1094="","-",'ORDENES'!$AB1094))</f>
        <v/>
      </c>
      <c r="G1116" s="5">
        <f>IF('ORDENES'!$A1094="","",IF('ORDENES'!$Z1094="","-",'ORDENES'!$Z1094))</f>
        <v/>
      </c>
      <c r="H1116" s="5">
        <f>IF('ORDENES'!$A1094="","",IF('ORDENES'!$AH1094="","-",'ORDENES'!$AH1094))</f>
        <v/>
      </c>
      <c r="I1116" s="5">
        <f>IF('ORDENES'!$A1094="","",IF('ORDENES'!$AU1094="","-",'ORDENES'!$AU1094))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3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IF('ORDENES'!$A1094="","",'ORDENES'!$AG1094)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IF('ORDENES'!$A1095="","",IF('ORDENES'!$AI1095="","-",'ORDENES'!$AI1095))</f>
        <v/>
      </c>
      <c r="D1117" s="5">
        <f>IF('ORDENES'!$A1095="","",IF('ORDENES'!$AA1095="","-",'ORDENES'!$AA1095))</f>
        <v/>
      </c>
      <c r="E1117" s="5">
        <f>IF('ORDENES'!$A1095="","",IF('ORDENES'!$Y1095="","-",'ORDENES'!$Y1095))</f>
        <v/>
      </c>
      <c r="F1117" s="5">
        <f>IF('ORDENES'!$A1095="","",IF('ORDENES'!$AB1095="","-",'ORDENES'!$AB1095))</f>
        <v/>
      </c>
      <c r="G1117" s="5">
        <f>IF('ORDENES'!$A1095="","",IF('ORDENES'!$Z1095="","-",'ORDENES'!$Z1095))</f>
        <v/>
      </c>
      <c r="H1117" s="5">
        <f>IF('ORDENES'!$A1095="","",IF('ORDENES'!$AH1095="","-",'ORDENES'!$AH1095))</f>
        <v/>
      </c>
      <c r="I1117" s="5">
        <f>IF('ORDENES'!$A1095="","",IF('ORDENES'!$AU1095="","-",'ORDENES'!$AU1095))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3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IF('ORDENES'!$A1095="","",'ORDENES'!$AG1095)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IF('ORDENES'!$A1096="","",IF('ORDENES'!$AI1096="","-",'ORDENES'!$AI1096))</f>
        <v/>
      </c>
      <c r="D1118" s="5">
        <f>IF('ORDENES'!$A1096="","",IF('ORDENES'!$AA1096="","-",'ORDENES'!$AA1096))</f>
        <v/>
      </c>
      <c r="E1118" s="5">
        <f>IF('ORDENES'!$A1096="","",IF('ORDENES'!$Y1096="","-",'ORDENES'!$Y1096))</f>
        <v/>
      </c>
      <c r="F1118" s="5">
        <f>IF('ORDENES'!$A1096="","",IF('ORDENES'!$AB1096="","-",'ORDENES'!$AB1096))</f>
        <v/>
      </c>
      <c r="G1118" s="5">
        <f>IF('ORDENES'!$A1096="","",IF('ORDENES'!$Z1096="","-",'ORDENES'!$Z1096))</f>
        <v/>
      </c>
      <c r="H1118" s="5">
        <f>IF('ORDENES'!$A1096="","",IF('ORDENES'!$AH1096="","-",'ORDENES'!$AH1096))</f>
        <v/>
      </c>
      <c r="I1118" s="5">
        <f>IF('ORDENES'!$A1096="","",IF('ORDENES'!$AU1096="","-",'ORDENES'!$AU1096))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3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IF('ORDENES'!$A1096="","",'ORDENES'!$AG1096)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IF('ORDENES'!$A1097="","",IF('ORDENES'!$AI1097="","-",'ORDENES'!$AI1097))</f>
        <v/>
      </c>
      <c r="D1119" s="5">
        <f>IF('ORDENES'!$A1097="","",IF('ORDENES'!$AA1097="","-",'ORDENES'!$AA1097))</f>
        <v/>
      </c>
      <c r="E1119" s="5">
        <f>IF('ORDENES'!$A1097="","",IF('ORDENES'!$Y1097="","-",'ORDENES'!$Y1097))</f>
        <v/>
      </c>
      <c r="F1119" s="5">
        <f>IF('ORDENES'!$A1097="","",IF('ORDENES'!$AB1097="","-",'ORDENES'!$AB1097))</f>
        <v/>
      </c>
      <c r="G1119" s="5">
        <f>IF('ORDENES'!$A1097="","",IF('ORDENES'!$Z1097="","-",'ORDENES'!$Z1097))</f>
        <v/>
      </c>
      <c r="H1119" s="5">
        <f>IF('ORDENES'!$A1097="","",IF('ORDENES'!$AH1097="","-",'ORDENES'!$AH1097))</f>
        <v/>
      </c>
      <c r="I1119" s="5">
        <f>IF('ORDENES'!$A1097="","",IF('ORDENES'!$AU1097="","-",'ORDENES'!$AU1097))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3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IF('ORDENES'!$A1097="","",'ORDENES'!$AG1097)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IF('ORDENES'!$A1098="","",IF('ORDENES'!$AI1098="","-",'ORDENES'!$AI1098))</f>
        <v/>
      </c>
      <c r="D1120" s="5">
        <f>IF('ORDENES'!$A1098="","",IF('ORDENES'!$AA1098="","-",'ORDENES'!$AA1098))</f>
        <v/>
      </c>
      <c r="E1120" s="5">
        <f>IF('ORDENES'!$A1098="","",IF('ORDENES'!$Y1098="","-",'ORDENES'!$Y1098))</f>
        <v/>
      </c>
      <c r="F1120" s="5">
        <f>IF('ORDENES'!$A1098="","",IF('ORDENES'!$AB1098="","-",'ORDENES'!$AB1098))</f>
        <v/>
      </c>
      <c r="G1120" s="5">
        <f>IF('ORDENES'!$A1098="","",IF('ORDENES'!$Z1098="","-",'ORDENES'!$Z1098))</f>
        <v/>
      </c>
      <c r="H1120" s="5">
        <f>IF('ORDENES'!$A1098="","",IF('ORDENES'!$AH1098="","-",'ORDENES'!$AH1098))</f>
        <v/>
      </c>
      <c r="I1120" s="5">
        <f>IF('ORDENES'!$A1098="","",IF('ORDENES'!$AU1098="","-",'ORDENES'!$AU1098))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3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IF('ORDENES'!$A1098="","",'ORDENES'!$AG1098)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IF('ORDENES'!$A1099="","",IF('ORDENES'!$AI1099="","-",'ORDENES'!$AI1099))</f>
        <v/>
      </c>
      <c r="D1121" s="5">
        <f>IF('ORDENES'!$A1099="","",IF('ORDENES'!$AA1099="","-",'ORDENES'!$AA1099))</f>
        <v/>
      </c>
      <c r="E1121" s="5">
        <f>IF('ORDENES'!$A1099="","",IF('ORDENES'!$Y1099="","-",'ORDENES'!$Y1099))</f>
        <v/>
      </c>
      <c r="F1121" s="5">
        <f>IF('ORDENES'!$A1099="","",IF('ORDENES'!$AB1099="","-",'ORDENES'!$AB1099))</f>
        <v/>
      </c>
      <c r="G1121" s="5">
        <f>IF('ORDENES'!$A1099="","",IF('ORDENES'!$Z1099="","-",'ORDENES'!$Z1099))</f>
        <v/>
      </c>
      <c r="H1121" s="5">
        <f>IF('ORDENES'!$A1099="","",IF('ORDENES'!$AH1099="","-",'ORDENES'!$AH1099))</f>
        <v/>
      </c>
      <c r="I1121" s="5">
        <f>IF('ORDENES'!$A1099="","",IF('ORDENES'!$AU1099="","-",'ORDENES'!$AU1099))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3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IF('ORDENES'!$A1099="","",'ORDENES'!$AG1099)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IF('ORDENES'!$A1100="","",IF('ORDENES'!$AI1100="","-",'ORDENES'!$AI1100))</f>
        <v/>
      </c>
      <c r="D1122" s="5">
        <f>IF('ORDENES'!$A1100="","",IF('ORDENES'!$AA1100="","-",'ORDENES'!$AA1100))</f>
        <v/>
      </c>
      <c r="E1122" s="5">
        <f>IF('ORDENES'!$A1100="","",IF('ORDENES'!$Y1100="","-",'ORDENES'!$Y1100))</f>
        <v/>
      </c>
      <c r="F1122" s="5">
        <f>IF('ORDENES'!$A1100="","",IF('ORDENES'!$AB1100="","-",'ORDENES'!$AB1100))</f>
        <v/>
      </c>
      <c r="G1122" s="5">
        <f>IF('ORDENES'!$A1100="","",IF('ORDENES'!$Z1100="","-",'ORDENES'!$Z1100))</f>
        <v/>
      </c>
      <c r="H1122" s="5">
        <f>IF('ORDENES'!$A1100="","",IF('ORDENES'!$AH1100="","-",'ORDENES'!$AH1100))</f>
        <v/>
      </c>
      <c r="I1122" s="5">
        <f>IF('ORDENES'!$A1100="","",IF('ORDENES'!$AU1100="","-",'ORDENES'!$AU1100))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3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IF('ORDENES'!$A1100="","",'ORDENES'!$AG1100)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IF('ORDENES'!$A1101="","",IF('ORDENES'!$AI1101="","-",'ORDENES'!$AI1101))</f>
        <v/>
      </c>
      <c r="D1123" s="5">
        <f>IF('ORDENES'!$A1101="","",IF('ORDENES'!$AA1101="","-",'ORDENES'!$AA1101))</f>
        <v/>
      </c>
      <c r="E1123" s="5">
        <f>IF('ORDENES'!$A1101="","",IF('ORDENES'!$Y1101="","-",'ORDENES'!$Y1101))</f>
        <v/>
      </c>
      <c r="F1123" s="5">
        <f>IF('ORDENES'!$A1101="","",IF('ORDENES'!$AB1101="","-",'ORDENES'!$AB1101))</f>
        <v/>
      </c>
      <c r="G1123" s="5">
        <f>IF('ORDENES'!$A1101="","",IF('ORDENES'!$Z1101="","-",'ORDENES'!$Z1101))</f>
        <v/>
      </c>
      <c r="H1123" s="5">
        <f>IF('ORDENES'!$A1101="","",IF('ORDENES'!$AH1101="","-",'ORDENES'!$AH1101))</f>
        <v/>
      </c>
      <c r="I1123" s="5">
        <f>IF('ORDENES'!$A1101="","",IF('ORDENES'!$AU1101="","-",'ORDENES'!$AU1101))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3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IF('ORDENES'!$A1101="","",'ORDENES'!$AG1101)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IF('ORDENES'!$A1102="","",IF('ORDENES'!$AI1102="","-",'ORDENES'!$AI1102))</f>
        <v/>
      </c>
      <c r="D1124" s="5">
        <f>IF('ORDENES'!$A1102="","",IF('ORDENES'!$AA1102="","-",'ORDENES'!$AA1102))</f>
        <v/>
      </c>
      <c r="E1124" s="5">
        <f>IF('ORDENES'!$A1102="","",IF('ORDENES'!$Y1102="","-",'ORDENES'!$Y1102))</f>
        <v/>
      </c>
      <c r="F1124" s="5">
        <f>IF('ORDENES'!$A1102="","",IF('ORDENES'!$AB1102="","-",'ORDENES'!$AB1102))</f>
        <v/>
      </c>
      <c r="G1124" s="5">
        <f>IF('ORDENES'!$A1102="","",IF('ORDENES'!$Z1102="","-",'ORDENES'!$Z1102))</f>
        <v/>
      </c>
      <c r="H1124" s="5">
        <f>IF('ORDENES'!$A1102="","",IF('ORDENES'!$AH1102="","-",'ORDENES'!$AH1102))</f>
        <v/>
      </c>
      <c r="I1124" s="5">
        <f>IF('ORDENES'!$A1102="","",IF('ORDENES'!$AU1102="","-",'ORDENES'!$AU1102))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3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IF('ORDENES'!$A1102="","",'ORDENES'!$AG1102)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IF('ORDENES'!$A1103="","",IF('ORDENES'!$AI1103="","-",'ORDENES'!$AI1103))</f>
        <v/>
      </c>
      <c r="D1125" s="5">
        <f>IF('ORDENES'!$A1103="","",IF('ORDENES'!$AA1103="","-",'ORDENES'!$AA1103))</f>
        <v/>
      </c>
      <c r="E1125" s="5">
        <f>IF('ORDENES'!$A1103="","",IF('ORDENES'!$Y1103="","-",'ORDENES'!$Y1103))</f>
        <v/>
      </c>
      <c r="F1125" s="5">
        <f>IF('ORDENES'!$A1103="","",IF('ORDENES'!$AB1103="","-",'ORDENES'!$AB1103))</f>
        <v/>
      </c>
      <c r="G1125" s="5">
        <f>IF('ORDENES'!$A1103="","",IF('ORDENES'!$Z1103="","-",'ORDENES'!$Z1103))</f>
        <v/>
      </c>
      <c r="H1125" s="5">
        <f>IF('ORDENES'!$A1103="","",IF('ORDENES'!$AH1103="","-",'ORDENES'!$AH1103))</f>
        <v/>
      </c>
      <c r="I1125" s="5">
        <f>IF('ORDENES'!$A1103="","",IF('ORDENES'!$AU1103="","-",'ORDENES'!$AU1103))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3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IF('ORDENES'!$A1103="","",'ORDENES'!$AG1103)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IF('ORDENES'!$A1104="","",IF('ORDENES'!$AI1104="","-",'ORDENES'!$AI1104))</f>
        <v/>
      </c>
      <c r="D1126" s="5">
        <f>IF('ORDENES'!$A1104="","",IF('ORDENES'!$AA1104="","-",'ORDENES'!$AA1104))</f>
        <v/>
      </c>
      <c r="E1126" s="5">
        <f>IF('ORDENES'!$A1104="","",IF('ORDENES'!$Y1104="","-",'ORDENES'!$Y1104))</f>
        <v/>
      </c>
      <c r="F1126" s="5">
        <f>IF('ORDENES'!$A1104="","",IF('ORDENES'!$AB1104="","-",'ORDENES'!$AB1104))</f>
        <v/>
      </c>
      <c r="G1126" s="5">
        <f>IF('ORDENES'!$A1104="","",IF('ORDENES'!$Z1104="","-",'ORDENES'!$Z1104))</f>
        <v/>
      </c>
      <c r="H1126" s="5">
        <f>IF('ORDENES'!$A1104="","",IF('ORDENES'!$AH1104="","-",'ORDENES'!$AH1104))</f>
        <v/>
      </c>
      <c r="I1126" s="5">
        <f>IF('ORDENES'!$A1104="","",IF('ORDENES'!$AU1104="","-",'ORDENES'!$AU1104))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3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IF('ORDENES'!$A1104="","",'ORDENES'!$AG1104)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IF('ORDENES'!$A1105="","",IF('ORDENES'!$AI1105="","-",'ORDENES'!$AI1105))</f>
        <v/>
      </c>
      <c r="D1127" s="5">
        <f>IF('ORDENES'!$A1105="","",IF('ORDENES'!$AA1105="","-",'ORDENES'!$AA1105))</f>
        <v/>
      </c>
      <c r="E1127" s="5">
        <f>IF('ORDENES'!$A1105="","",IF('ORDENES'!$Y1105="","-",'ORDENES'!$Y1105))</f>
        <v/>
      </c>
      <c r="F1127" s="5">
        <f>IF('ORDENES'!$A1105="","",IF('ORDENES'!$AB1105="","-",'ORDENES'!$AB1105))</f>
        <v/>
      </c>
      <c r="G1127" s="5">
        <f>IF('ORDENES'!$A1105="","",IF('ORDENES'!$Z1105="","-",'ORDENES'!$Z1105))</f>
        <v/>
      </c>
      <c r="H1127" s="5">
        <f>IF('ORDENES'!$A1105="","",IF('ORDENES'!$AH1105="","-",'ORDENES'!$AH1105))</f>
        <v/>
      </c>
      <c r="I1127" s="5">
        <f>IF('ORDENES'!$A1105="","",IF('ORDENES'!$AU1105="","-",'ORDENES'!$AU1105))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3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IF('ORDENES'!$A1105="","",'ORDENES'!$AG1105)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IF('ORDENES'!$A1106="","",IF('ORDENES'!$AI1106="","-",'ORDENES'!$AI1106))</f>
        <v/>
      </c>
      <c r="D1128" s="5">
        <f>IF('ORDENES'!$A1106="","",IF('ORDENES'!$AA1106="","-",'ORDENES'!$AA1106))</f>
        <v/>
      </c>
      <c r="E1128" s="5">
        <f>IF('ORDENES'!$A1106="","",IF('ORDENES'!$Y1106="","-",'ORDENES'!$Y1106))</f>
        <v/>
      </c>
      <c r="F1128" s="5">
        <f>IF('ORDENES'!$A1106="","",IF('ORDENES'!$AB1106="","-",'ORDENES'!$AB1106))</f>
        <v/>
      </c>
      <c r="G1128" s="5">
        <f>IF('ORDENES'!$A1106="","",IF('ORDENES'!$Z1106="","-",'ORDENES'!$Z1106))</f>
        <v/>
      </c>
      <c r="H1128" s="5">
        <f>IF('ORDENES'!$A1106="","",IF('ORDENES'!$AH1106="","-",'ORDENES'!$AH1106))</f>
        <v/>
      </c>
      <c r="I1128" s="5">
        <f>IF('ORDENES'!$A1106="","",IF('ORDENES'!$AU1106="","-",'ORDENES'!$AU1106))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3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IF('ORDENES'!$A1106="","",'ORDENES'!$AG1106)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IF('ORDENES'!$A1107="","",IF('ORDENES'!$AI1107="","-",'ORDENES'!$AI1107))</f>
        <v/>
      </c>
      <c r="D1129" s="5">
        <f>IF('ORDENES'!$A1107="","",IF('ORDENES'!$AA1107="","-",'ORDENES'!$AA1107))</f>
        <v/>
      </c>
      <c r="E1129" s="5">
        <f>IF('ORDENES'!$A1107="","",IF('ORDENES'!$Y1107="","-",'ORDENES'!$Y1107))</f>
        <v/>
      </c>
      <c r="F1129" s="5">
        <f>IF('ORDENES'!$A1107="","",IF('ORDENES'!$AB1107="","-",'ORDENES'!$AB1107))</f>
        <v/>
      </c>
      <c r="G1129" s="5">
        <f>IF('ORDENES'!$A1107="","",IF('ORDENES'!$Z1107="","-",'ORDENES'!$Z1107))</f>
        <v/>
      </c>
      <c r="H1129" s="5">
        <f>IF('ORDENES'!$A1107="","",IF('ORDENES'!$AH1107="","-",'ORDENES'!$AH1107))</f>
        <v/>
      </c>
      <c r="I1129" s="5">
        <f>IF('ORDENES'!$A1107="","",IF('ORDENES'!$AU1107="","-",'ORDENES'!$AU1107))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3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IF('ORDENES'!$A1107="","",'ORDENES'!$AG1107)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IF('ORDENES'!$A1108="","",IF('ORDENES'!$AI1108="","-",'ORDENES'!$AI1108))</f>
        <v/>
      </c>
      <c r="D1130" s="5">
        <f>IF('ORDENES'!$A1108="","",IF('ORDENES'!$AA1108="","-",'ORDENES'!$AA1108))</f>
        <v/>
      </c>
      <c r="E1130" s="5">
        <f>IF('ORDENES'!$A1108="","",IF('ORDENES'!$Y1108="","-",'ORDENES'!$Y1108))</f>
        <v/>
      </c>
      <c r="F1130" s="5">
        <f>IF('ORDENES'!$A1108="","",IF('ORDENES'!$AB1108="","-",'ORDENES'!$AB1108))</f>
        <v/>
      </c>
      <c r="G1130" s="5">
        <f>IF('ORDENES'!$A1108="","",IF('ORDENES'!$Z1108="","-",'ORDENES'!$Z1108))</f>
        <v/>
      </c>
      <c r="H1130" s="5">
        <f>IF('ORDENES'!$A1108="","",IF('ORDENES'!$AH1108="","-",'ORDENES'!$AH1108))</f>
        <v/>
      </c>
      <c r="I1130" s="5">
        <f>IF('ORDENES'!$A1108="","",IF('ORDENES'!$AU1108="","-",'ORDENES'!$AU1108))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3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IF('ORDENES'!$A1108="","",'ORDENES'!$AG1108)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IF('ORDENES'!$A1109="","",IF('ORDENES'!$AI1109="","-",'ORDENES'!$AI1109))</f>
        <v/>
      </c>
      <c r="D1131" s="5">
        <f>IF('ORDENES'!$A1109="","",IF('ORDENES'!$AA1109="","-",'ORDENES'!$AA1109))</f>
        <v/>
      </c>
      <c r="E1131" s="5">
        <f>IF('ORDENES'!$A1109="","",IF('ORDENES'!$Y1109="","-",'ORDENES'!$Y1109))</f>
        <v/>
      </c>
      <c r="F1131" s="5">
        <f>IF('ORDENES'!$A1109="","",IF('ORDENES'!$AB1109="","-",'ORDENES'!$AB1109))</f>
        <v/>
      </c>
      <c r="G1131" s="5">
        <f>IF('ORDENES'!$A1109="","",IF('ORDENES'!$Z1109="","-",'ORDENES'!$Z1109))</f>
        <v/>
      </c>
      <c r="H1131" s="5">
        <f>IF('ORDENES'!$A1109="","",IF('ORDENES'!$AH1109="","-",'ORDENES'!$AH1109))</f>
        <v/>
      </c>
      <c r="I1131" s="5">
        <f>IF('ORDENES'!$A1109="","",IF('ORDENES'!$AU1109="","-",'ORDENES'!$AU1109))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3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IF('ORDENES'!$A1109="","",'ORDENES'!$AG1109)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IF('ORDENES'!$A1110="","",IF('ORDENES'!$AI1110="","-",'ORDENES'!$AI1110))</f>
        <v/>
      </c>
      <c r="D1132" s="5">
        <f>IF('ORDENES'!$A1110="","",IF('ORDENES'!$AA1110="","-",'ORDENES'!$AA1110))</f>
        <v/>
      </c>
      <c r="E1132" s="5">
        <f>IF('ORDENES'!$A1110="","",IF('ORDENES'!$Y1110="","-",'ORDENES'!$Y1110))</f>
        <v/>
      </c>
      <c r="F1132" s="5">
        <f>IF('ORDENES'!$A1110="","",IF('ORDENES'!$AB1110="","-",'ORDENES'!$AB1110))</f>
        <v/>
      </c>
      <c r="G1132" s="5">
        <f>IF('ORDENES'!$A1110="","",IF('ORDENES'!$Z1110="","-",'ORDENES'!$Z1110))</f>
        <v/>
      </c>
      <c r="H1132" s="5">
        <f>IF('ORDENES'!$A1110="","",IF('ORDENES'!$AH1110="","-",'ORDENES'!$AH1110))</f>
        <v/>
      </c>
      <c r="I1132" s="5">
        <f>IF('ORDENES'!$A1110="","",IF('ORDENES'!$AU1110="","-",'ORDENES'!$AU1110))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3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IF('ORDENES'!$A1110="","",'ORDENES'!$AG1110)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IF('ORDENES'!$A1111="","",IF('ORDENES'!$AI1111="","-",'ORDENES'!$AI1111))</f>
        <v/>
      </c>
      <c r="D1133" s="5">
        <f>IF('ORDENES'!$A1111="","",IF('ORDENES'!$AA1111="","-",'ORDENES'!$AA1111))</f>
        <v/>
      </c>
      <c r="E1133" s="5">
        <f>IF('ORDENES'!$A1111="","",IF('ORDENES'!$Y1111="","-",'ORDENES'!$Y1111))</f>
        <v/>
      </c>
      <c r="F1133" s="5">
        <f>IF('ORDENES'!$A1111="","",IF('ORDENES'!$AB1111="","-",'ORDENES'!$AB1111))</f>
        <v/>
      </c>
      <c r="G1133" s="5">
        <f>IF('ORDENES'!$A1111="","",IF('ORDENES'!$Z1111="","-",'ORDENES'!$Z1111))</f>
        <v/>
      </c>
      <c r="H1133" s="5">
        <f>IF('ORDENES'!$A1111="","",IF('ORDENES'!$AH1111="","-",'ORDENES'!$AH1111))</f>
        <v/>
      </c>
      <c r="I1133" s="5">
        <f>IF('ORDENES'!$A1111="","",IF('ORDENES'!$AU1111="","-",'ORDENES'!$AU1111))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3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IF('ORDENES'!$A1111="","",'ORDENES'!$AG1111)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IF('ORDENES'!$A1112="","",IF('ORDENES'!$AI1112="","-",'ORDENES'!$AI1112))</f>
        <v/>
      </c>
      <c r="D1134" s="5">
        <f>IF('ORDENES'!$A1112="","",IF('ORDENES'!$AA1112="","-",'ORDENES'!$AA1112))</f>
        <v/>
      </c>
      <c r="E1134" s="5">
        <f>IF('ORDENES'!$A1112="","",IF('ORDENES'!$Y1112="","-",'ORDENES'!$Y1112))</f>
        <v/>
      </c>
      <c r="F1134" s="5">
        <f>IF('ORDENES'!$A1112="","",IF('ORDENES'!$AB1112="","-",'ORDENES'!$AB1112))</f>
        <v/>
      </c>
      <c r="G1134" s="5">
        <f>IF('ORDENES'!$A1112="","",IF('ORDENES'!$Z1112="","-",'ORDENES'!$Z1112))</f>
        <v/>
      </c>
      <c r="H1134" s="5">
        <f>IF('ORDENES'!$A1112="","",IF('ORDENES'!$AH1112="","-",'ORDENES'!$AH1112))</f>
        <v/>
      </c>
      <c r="I1134" s="5">
        <f>IF('ORDENES'!$A1112="","",IF('ORDENES'!$AU1112="","-",'ORDENES'!$AU1112))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3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IF('ORDENES'!$A1112="","",'ORDENES'!$AG1112)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IF('ORDENES'!$A1113="","",IF('ORDENES'!$AI1113="","-",'ORDENES'!$AI1113))</f>
        <v/>
      </c>
      <c r="D1135" s="5">
        <f>IF('ORDENES'!$A1113="","",IF('ORDENES'!$AA1113="","-",'ORDENES'!$AA1113))</f>
        <v/>
      </c>
      <c r="E1135" s="5">
        <f>IF('ORDENES'!$A1113="","",IF('ORDENES'!$Y1113="","-",'ORDENES'!$Y1113))</f>
        <v/>
      </c>
      <c r="F1135" s="5">
        <f>IF('ORDENES'!$A1113="","",IF('ORDENES'!$AB1113="","-",'ORDENES'!$AB1113))</f>
        <v/>
      </c>
      <c r="G1135" s="5">
        <f>IF('ORDENES'!$A1113="","",IF('ORDENES'!$Z1113="","-",'ORDENES'!$Z1113))</f>
        <v/>
      </c>
      <c r="H1135" s="5">
        <f>IF('ORDENES'!$A1113="","",IF('ORDENES'!$AH1113="","-",'ORDENES'!$AH1113))</f>
        <v/>
      </c>
      <c r="I1135" s="5">
        <f>IF('ORDENES'!$A1113="","",IF('ORDENES'!$AU1113="","-",'ORDENES'!$AU1113))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3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IF('ORDENES'!$A1113="","",'ORDENES'!$AG1113)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IF('ORDENES'!$A1114="","",IF('ORDENES'!$AI1114="","-",'ORDENES'!$AI1114))</f>
        <v/>
      </c>
      <c r="D1136" s="5">
        <f>IF('ORDENES'!$A1114="","",IF('ORDENES'!$AA1114="","-",'ORDENES'!$AA1114))</f>
        <v/>
      </c>
      <c r="E1136" s="5">
        <f>IF('ORDENES'!$A1114="","",IF('ORDENES'!$Y1114="","-",'ORDENES'!$Y1114))</f>
        <v/>
      </c>
      <c r="F1136" s="5">
        <f>IF('ORDENES'!$A1114="","",IF('ORDENES'!$AB1114="","-",'ORDENES'!$AB1114))</f>
        <v/>
      </c>
      <c r="G1136" s="5">
        <f>IF('ORDENES'!$A1114="","",IF('ORDENES'!$Z1114="","-",'ORDENES'!$Z1114))</f>
        <v/>
      </c>
      <c r="H1136" s="5">
        <f>IF('ORDENES'!$A1114="","",IF('ORDENES'!$AH1114="","-",'ORDENES'!$AH1114))</f>
        <v/>
      </c>
      <c r="I1136" s="5">
        <f>IF('ORDENES'!$A1114="","",IF('ORDENES'!$AU1114="","-",'ORDENES'!$AU1114))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3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IF('ORDENES'!$A1114="","",'ORDENES'!$AG1114)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IF('ORDENES'!$A1115="","",IF('ORDENES'!$AI1115="","-",'ORDENES'!$AI1115))</f>
        <v/>
      </c>
      <c r="D1137" s="5">
        <f>IF('ORDENES'!$A1115="","",IF('ORDENES'!$AA1115="","-",'ORDENES'!$AA1115))</f>
        <v/>
      </c>
      <c r="E1137" s="5">
        <f>IF('ORDENES'!$A1115="","",IF('ORDENES'!$Y1115="","-",'ORDENES'!$Y1115))</f>
        <v/>
      </c>
      <c r="F1137" s="5">
        <f>IF('ORDENES'!$A1115="","",IF('ORDENES'!$AB1115="","-",'ORDENES'!$AB1115))</f>
        <v/>
      </c>
      <c r="G1137" s="5">
        <f>IF('ORDENES'!$A1115="","",IF('ORDENES'!$Z1115="","-",'ORDENES'!$Z1115))</f>
        <v/>
      </c>
      <c r="H1137" s="5">
        <f>IF('ORDENES'!$A1115="","",IF('ORDENES'!$AH1115="","-",'ORDENES'!$AH1115))</f>
        <v/>
      </c>
      <c r="I1137" s="5">
        <f>IF('ORDENES'!$A1115="","",IF('ORDENES'!$AU1115="","-",'ORDENES'!$AU1115))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3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IF('ORDENES'!$A1115="","",'ORDENES'!$AG1115)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IF('ORDENES'!$A1116="","",IF('ORDENES'!$AI1116="","-",'ORDENES'!$AI1116))</f>
        <v/>
      </c>
      <c r="D1138" s="5">
        <f>IF('ORDENES'!$A1116="","",IF('ORDENES'!$AA1116="","-",'ORDENES'!$AA1116))</f>
        <v/>
      </c>
      <c r="E1138" s="5">
        <f>IF('ORDENES'!$A1116="","",IF('ORDENES'!$Y1116="","-",'ORDENES'!$Y1116))</f>
        <v/>
      </c>
      <c r="F1138" s="5">
        <f>IF('ORDENES'!$A1116="","",IF('ORDENES'!$AB1116="","-",'ORDENES'!$AB1116))</f>
        <v/>
      </c>
      <c r="G1138" s="5">
        <f>IF('ORDENES'!$A1116="","",IF('ORDENES'!$Z1116="","-",'ORDENES'!$Z1116))</f>
        <v/>
      </c>
      <c r="H1138" s="5">
        <f>IF('ORDENES'!$A1116="","",IF('ORDENES'!$AH1116="","-",'ORDENES'!$AH1116))</f>
        <v/>
      </c>
      <c r="I1138" s="5">
        <f>IF('ORDENES'!$A1116="","",IF('ORDENES'!$AU1116="","-",'ORDENES'!$AU1116))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3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IF('ORDENES'!$A1116="","",'ORDENES'!$AG1116)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IF('ORDENES'!$A1117="","",IF('ORDENES'!$AI1117="","-",'ORDENES'!$AI1117))</f>
        <v/>
      </c>
      <c r="D1139" s="5">
        <f>IF('ORDENES'!$A1117="","",IF('ORDENES'!$AA1117="","-",'ORDENES'!$AA1117))</f>
        <v/>
      </c>
      <c r="E1139" s="5">
        <f>IF('ORDENES'!$A1117="","",IF('ORDENES'!$Y1117="","-",'ORDENES'!$Y1117))</f>
        <v/>
      </c>
      <c r="F1139" s="5">
        <f>IF('ORDENES'!$A1117="","",IF('ORDENES'!$AB1117="","-",'ORDENES'!$AB1117))</f>
        <v/>
      </c>
      <c r="G1139" s="5">
        <f>IF('ORDENES'!$A1117="","",IF('ORDENES'!$Z1117="","-",'ORDENES'!$Z1117))</f>
        <v/>
      </c>
      <c r="H1139" s="5">
        <f>IF('ORDENES'!$A1117="","",IF('ORDENES'!$AH1117="","-",'ORDENES'!$AH1117))</f>
        <v/>
      </c>
      <c r="I1139" s="5">
        <f>IF('ORDENES'!$A1117="","",IF('ORDENES'!$AU1117="","-",'ORDENES'!$AU1117))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3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IF('ORDENES'!$A1117="","",'ORDENES'!$AG1117)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IF('ORDENES'!$A1118="","",IF('ORDENES'!$AI1118="","-",'ORDENES'!$AI1118))</f>
        <v/>
      </c>
      <c r="D1140" s="5">
        <f>IF('ORDENES'!$A1118="","",IF('ORDENES'!$AA1118="","-",'ORDENES'!$AA1118))</f>
        <v/>
      </c>
      <c r="E1140" s="5">
        <f>IF('ORDENES'!$A1118="","",IF('ORDENES'!$Y1118="","-",'ORDENES'!$Y1118))</f>
        <v/>
      </c>
      <c r="F1140" s="5">
        <f>IF('ORDENES'!$A1118="","",IF('ORDENES'!$AB1118="","-",'ORDENES'!$AB1118))</f>
        <v/>
      </c>
      <c r="G1140" s="5">
        <f>IF('ORDENES'!$A1118="","",IF('ORDENES'!$Z1118="","-",'ORDENES'!$Z1118))</f>
        <v/>
      </c>
      <c r="H1140" s="5">
        <f>IF('ORDENES'!$A1118="","",IF('ORDENES'!$AH1118="","-",'ORDENES'!$AH1118))</f>
        <v/>
      </c>
      <c r="I1140" s="5">
        <f>IF('ORDENES'!$A1118="","",IF('ORDENES'!$AU1118="","-",'ORDENES'!$AU1118))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3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IF('ORDENES'!$A1118="","",'ORDENES'!$AG1118)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IF('ORDENES'!$A1119="","",IF('ORDENES'!$AI1119="","-",'ORDENES'!$AI1119))</f>
        <v/>
      </c>
      <c r="D1141" s="5">
        <f>IF('ORDENES'!$A1119="","",IF('ORDENES'!$AA1119="","-",'ORDENES'!$AA1119))</f>
        <v/>
      </c>
      <c r="E1141" s="5">
        <f>IF('ORDENES'!$A1119="","",IF('ORDENES'!$Y1119="","-",'ORDENES'!$Y1119))</f>
        <v/>
      </c>
      <c r="F1141" s="5">
        <f>IF('ORDENES'!$A1119="","",IF('ORDENES'!$AB1119="","-",'ORDENES'!$AB1119))</f>
        <v/>
      </c>
      <c r="G1141" s="5">
        <f>IF('ORDENES'!$A1119="","",IF('ORDENES'!$Z1119="","-",'ORDENES'!$Z1119))</f>
        <v/>
      </c>
      <c r="H1141" s="5">
        <f>IF('ORDENES'!$A1119="","",IF('ORDENES'!$AH1119="","-",'ORDENES'!$AH1119))</f>
        <v/>
      </c>
      <c r="I1141" s="5">
        <f>IF('ORDENES'!$A1119="","",IF('ORDENES'!$AU1119="","-",'ORDENES'!$AU1119))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3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IF('ORDENES'!$A1119="","",'ORDENES'!$AG1119)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IF('ORDENES'!$A1120="","",IF('ORDENES'!$AI1120="","-",'ORDENES'!$AI1120))</f>
        <v/>
      </c>
      <c r="D1142" s="5">
        <f>IF('ORDENES'!$A1120="","",IF('ORDENES'!$AA1120="","-",'ORDENES'!$AA1120))</f>
        <v/>
      </c>
      <c r="E1142" s="5">
        <f>IF('ORDENES'!$A1120="","",IF('ORDENES'!$Y1120="","-",'ORDENES'!$Y1120))</f>
        <v/>
      </c>
      <c r="F1142" s="5">
        <f>IF('ORDENES'!$A1120="","",IF('ORDENES'!$AB1120="","-",'ORDENES'!$AB1120))</f>
        <v/>
      </c>
      <c r="G1142" s="5">
        <f>IF('ORDENES'!$A1120="","",IF('ORDENES'!$Z1120="","-",'ORDENES'!$Z1120))</f>
        <v/>
      </c>
      <c r="H1142" s="5">
        <f>IF('ORDENES'!$A1120="","",IF('ORDENES'!$AH1120="","-",'ORDENES'!$AH1120))</f>
        <v/>
      </c>
      <c r="I1142" s="5">
        <f>IF('ORDENES'!$A1120="","",IF('ORDENES'!$AU1120="","-",'ORDENES'!$AU1120))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3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IF('ORDENES'!$A1120="","",'ORDENES'!$AG1120)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IF('ORDENES'!$A1121="","",IF('ORDENES'!$AI1121="","-",'ORDENES'!$AI1121))</f>
        <v/>
      </c>
      <c r="D1143" s="5">
        <f>IF('ORDENES'!$A1121="","",IF('ORDENES'!$AA1121="","-",'ORDENES'!$AA1121))</f>
        <v/>
      </c>
      <c r="E1143" s="5">
        <f>IF('ORDENES'!$A1121="","",IF('ORDENES'!$Y1121="","-",'ORDENES'!$Y1121))</f>
        <v/>
      </c>
      <c r="F1143" s="5">
        <f>IF('ORDENES'!$A1121="","",IF('ORDENES'!$AB1121="","-",'ORDENES'!$AB1121))</f>
        <v/>
      </c>
      <c r="G1143" s="5">
        <f>IF('ORDENES'!$A1121="","",IF('ORDENES'!$Z1121="","-",'ORDENES'!$Z1121))</f>
        <v/>
      </c>
      <c r="H1143" s="5">
        <f>IF('ORDENES'!$A1121="","",IF('ORDENES'!$AH1121="","-",'ORDENES'!$AH1121))</f>
        <v/>
      </c>
      <c r="I1143" s="5">
        <f>IF('ORDENES'!$A1121="","",IF('ORDENES'!$AU1121="","-",'ORDENES'!$AU1121))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3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IF('ORDENES'!$A1121="","",'ORDENES'!$AG1121)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IF('ORDENES'!$A1122="","",IF('ORDENES'!$AI1122="","-",'ORDENES'!$AI1122))</f>
        <v/>
      </c>
      <c r="D1144" s="5">
        <f>IF('ORDENES'!$A1122="","",IF('ORDENES'!$AA1122="","-",'ORDENES'!$AA1122))</f>
        <v/>
      </c>
      <c r="E1144" s="5">
        <f>IF('ORDENES'!$A1122="","",IF('ORDENES'!$Y1122="","-",'ORDENES'!$Y1122))</f>
        <v/>
      </c>
      <c r="F1144" s="5">
        <f>IF('ORDENES'!$A1122="","",IF('ORDENES'!$AB1122="","-",'ORDENES'!$AB1122))</f>
        <v/>
      </c>
      <c r="G1144" s="5">
        <f>IF('ORDENES'!$A1122="","",IF('ORDENES'!$Z1122="","-",'ORDENES'!$Z1122))</f>
        <v/>
      </c>
      <c r="H1144" s="5">
        <f>IF('ORDENES'!$A1122="","",IF('ORDENES'!$AH1122="","-",'ORDENES'!$AH1122))</f>
        <v/>
      </c>
      <c r="I1144" s="5">
        <f>IF('ORDENES'!$A1122="","",IF('ORDENES'!$AU1122="","-",'ORDENES'!$AU1122))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3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IF('ORDENES'!$A1122="","",'ORDENES'!$AG1122)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IF('ORDENES'!$A1123="","",IF('ORDENES'!$AI1123="","-",'ORDENES'!$AI1123))</f>
        <v/>
      </c>
      <c r="D1145" s="5">
        <f>IF('ORDENES'!$A1123="","",IF('ORDENES'!$AA1123="","-",'ORDENES'!$AA1123))</f>
        <v/>
      </c>
      <c r="E1145" s="5">
        <f>IF('ORDENES'!$A1123="","",IF('ORDENES'!$Y1123="","-",'ORDENES'!$Y1123))</f>
        <v/>
      </c>
      <c r="F1145" s="5">
        <f>IF('ORDENES'!$A1123="","",IF('ORDENES'!$AB1123="","-",'ORDENES'!$AB1123))</f>
        <v/>
      </c>
      <c r="G1145" s="5">
        <f>IF('ORDENES'!$A1123="","",IF('ORDENES'!$Z1123="","-",'ORDENES'!$Z1123))</f>
        <v/>
      </c>
      <c r="H1145" s="5">
        <f>IF('ORDENES'!$A1123="","",IF('ORDENES'!$AH1123="","-",'ORDENES'!$AH1123))</f>
        <v/>
      </c>
      <c r="I1145" s="5">
        <f>IF('ORDENES'!$A1123="","",IF('ORDENES'!$AU1123="","-",'ORDENES'!$AU1123))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3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IF('ORDENES'!$A1123="","",'ORDENES'!$AG1123)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IF('ORDENES'!$A1124="","",IF('ORDENES'!$AI1124="","-",'ORDENES'!$AI1124))</f>
        <v/>
      </c>
      <c r="D1146" s="5">
        <f>IF('ORDENES'!$A1124="","",IF('ORDENES'!$AA1124="","-",'ORDENES'!$AA1124))</f>
        <v/>
      </c>
      <c r="E1146" s="5">
        <f>IF('ORDENES'!$A1124="","",IF('ORDENES'!$Y1124="","-",'ORDENES'!$Y1124))</f>
        <v/>
      </c>
      <c r="F1146" s="5">
        <f>IF('ORDENES'!$A1124="","",IF('ORDENES'!$AB1124="","-",'ORDENES'!$AB1124))</f>
        <v/>
      </c>
      <c r="G1146" s="5">
        <f>IF('ORDENES'!$A1124="","",IF('ORDENES'!$Z1124="","-",'ORDENES'!$Z1124))</f>
        <v/>
      </c>
      <c r="H1146" s="5">
        <f>IF('ORDENES'!$A1124="","",IF('ORDENES'!$AH1124="","-",'ORDENES'!$AH1124))</f>
        <v/>
      </c>
      <c r="I1146" s="5">
        <f>IF('ORDENES'!$A1124="","",IF('ORDENES'!$AU1124="","-",'ORDENES'!$AU1124))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3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IF('ORDENES'!$A1124="","",'ORDENES'!$AG1124)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IF('ORDENES'!$A1125="","",IF('ORDENES'!$AI1125="","-",'ORDENES'!$AI1125))</f>
        <v/>
      </c>
      <c r="D1147" s="5">
        <f>IF('ORDENES'!$A1125="","",IF('ORDENES'!$AA1125="","-",'ORDENES'!$AA1125))</f>
        <v/>
      </c>
      <c r="E1147" s="5">
        <f>IF('ORDENES'!$A1125="","",IF('ORDENES'!$Y1125="","-",'ORDENES'!$Y1125))</f>
        <v/>
      </c>
      <c r="F1147" s="5">
        <f>IF('ORDENES'!$A1125="","",IF('ORDENES'!$AB1125="","-",'ORDENES'!$AB1125))</f>
        <v/>
      </c>
      <c r="G1147" s="5">
        <f>IF('ORDENES'!$A1125="","",IF('ORDENES'!$Z1125="","-",'ORDENES'!$Z1125))</f>
        <v/>
      </c>
      <c r="H1147" s="5">
        <f>IF('ORDENES'!$A1125="","",IF('ORDENES'!$AH1125="","-",'ORDENES'!$AH1125))</f>
        <v/>
      </c>
      <c r="I1147" s="5">
        <f>IF('ORDENES'!$A1125="","",IF('ORDENES'!$AU1125="","-",'ORDENES'!$AU1125))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3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IF('ORDENES'!$A1125="","",'ORDENES'!$AG1125)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IF('ORDENES'!$A1126="","",IF('ORDENES'!$AI1126="","-",'ORDENES'!$AI1126))</f>
        <v/>
      </c>
      <c r="D1148" s="5">
        <f>IF('ORDENES'!$A1126="","",IF('ORDENES'!$AA1126="","-",'ORDENES'!$AA1126))</f>
        <v/>
      </c>
      <c r="E1148" s="5">
        <f>IF('ORDENES'!$A1126="","",IF('ORDENES'!$Y1126="","-",'ORDENES'!$Y1126))</f>
        <v/>
      </c>
      <c r="F1148" s="5">
        <f>IF('ORDENES'!$A1126="","",IF('ORDENES'!$AB1126="","-",'ORDENES'!$AB1126))</f>
        <v/>
      </c>
      <c r="G1148" s="5">
        <f>IF('ORDENES'!$A1126="","",IF('ORDENES'!$Z1126="","-",'ORDENES'!$Z1126))</f>
        <v/>
      </c>
      <c r="H1148" s="5">
        <f>IF('ORDENES'!$A1126="","",IF('ORDENES'!$AH1126="","-",'ORDENES'!$AH1126))</f>
        <v/>
      </c>
      <c r="I1148" s="5">
        <f>IF('ORDENES'!$A1126="","",IF('ORDENES'!$AU1126="","-",'ORDENES'!$AU1126))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3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IF('ORDENES'!$A1126="","",'ORDENES'!$AG1126)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IF('ORDENES'!$A1127="","",IF('ORDENES'!$AI1127="","-",'ORDENES'!$AI1127))</f>
        <v/>
      </c>
      <c r="D1149" s="5">
        <f>IF('ORDENES'!$A1127="","",IF('ORDENES'!$AA1127="","-",'ORDENES'!$AA1127))</f>
        <v/>
      </c>
      <c r="E1149" s="5">
        <f>IF('ORDENES'!$A1127="","",IF('ORDENES'!$Y1127="","-",'ORDENES'!$Y1127))</f>
        <v/>
      </c>
      <c r="F1149" s="5">
        <f>IF('ORDENES'!$A1127="","",IF('ORDENES'!$AB1127="","-",'ORDENES'!$AB1127))</f>
        <v/>
      </c>
      <c r="G1149" s="5">
        <f>IF('ORDENES'!$A1127="","",IF('ORDENES'!$Z1127="","-",'ORDENES'!$Z1127))</f>
        <v/>
      </c>
      <c r="H1149" s="5">
        <f>IF('ORDENES'!$A1127="","",IF('ORDENES'!$AH1127="","-",'ORDENES'!$AH1127))</f>
        <v/>
      </c>
      <c r="I1149" s="5">
        <f>IF('ORDENES'!$A1127="","",IF('ORDENES'!$AU1127="","-",'ORDENES'!$AU1127))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3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IF('ORDENES'!$A1127="","",'ORDENES'!$AG1127)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IF('ORDENES'!$A1128="","",IF('ORDENES'!$AI1128="","-",'ORDENES'!$AI1128))</f>
        <v/>
      </c>
      <c r="D1150" s="5">
        <f>IF('ORDENES'!$A1128="","",IF('ORDENES'!$AA1128="","-",'ORDENES'!$AA1128))</f>
        <v/>
      </c>
      <c r="E1150" s="5">
        <f>IF('ORDENES'!$A1128="","",IF('ORDENES'!$Y1128="","-",'ORDENES'!$Y1128))</f>
        <v/>
      </c>
      <c r="F1150" s="5">
        <f>IF('ORDENES'!$A1128="","",IF('ORDENES'!$AB1128="","-",'ORDENES'!$AB1128))</f>
        <v/>
      </c>
      <c r="G1150" s="5">
        <f>IF('ORDENES'!$A1128="","",IF('ORDENES'!$Z1128="","-",'ORDENES'!$Z1128))</f>
        <v/>
      </c>
      <c r="H1150" s="5">
        <f>IF('ORDENES'!$A1128="","",IF('ORDENES'!$AH1128="","-",'ORDENES'!$AH1128))</f>
        <v/>
      </c>
      <c r="I1150" s="5">
        <f>IF('ORDENES'!$A1128="","",IF('ORDENES'!$AU1128="","-",'ORDENES'!$AU1128))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3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IF('ORDENES'!$A1128="","",'ORDENES'!$AG1128)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IF('ORDENES'!$A1129="","",IF('ORDENES'!$AI1129="","-",'ORDENES'!$AI1129))</f>
        <v/>
      </c>
      <c r="D1151" s="5">
        <f>IF('ORDENES'!$A1129="","",IF('ORDENES'!$AA1129="","-",'ORDENES'!$AA1129))</f>
        <v/>
      </c>
      <c r="E1151" s="5">
        <f>IF('ORDENES'!$A1129="","",IF('ORDENES'!$Y1129="","-",'ORDENES'!$Y1129))</f>
        <v/>
      </c>
      <c r="F1151" s="5">
        <f>IF('ORDENES'!$A1129="","",IF('ORDENES'!$AB1129="","-",'ORDENES'!$AB1129))</f>
        <v/>
      </c>
      <c r="G1151" s="5">
        <f>IF('ORDENES'!$A1129="","",IF('ORDENES'!$Z1129="","-",'ORDENES'!$Z1129))</f>
        <v/>
      </c>
      <c r="H1151" s="5">
        <f>IF('ORDENES'!$A1129="","",IF('ORDENES'!$AH1129="","-",'ORDENES'!$AH1129))</f>
        <v/>
      </c>
      <c r="I1151" s="5">
        <f>IF('ORDENES'!$A1129="","",IF('ORDENES'!$AU1129="","-",'ORDENES'!$AU1129))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3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IF('ORDENES'!$A1129="","",'ORDENES'!$AG1129)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IF('ORDENES'!$A1130="","",IF('ORDENES'!$AI1130="","-",'ORDENES'!$AI1130))</f>
        <v/>
      </c>
      <c r="D1152" s="5">
        <f>IF('ORDENES'!$A1130="","",IF('ORDENES'!$AA1130="","-",'ORDENES'!$AA1130))</f>
        <v/>
      </c>
      <c r="E1152" s="5">
        <f>IF('ORDENES'!$A1130="","",IF('ORDENES'!$Y1130="","-",'ORDENES'!$Y1130))</f>
        <v/>
      </c>
      <c r="F1152" s="5">
        <f>IF('ORDENES'!$A1130="","",IF('ORDENES'!$AB1130="","-",'ORDENES'!$AB1130))</f>
        <v/>
      </c>
      <c r="G1152" s="5">
        <f>IF('ORDENES'!$A1130="","",IF('ORDENES'!$Z1130="","-",'ORDENES'!$Z1130))</f>
        <v/>
      </c>
      <c r="H1152" s="5">
        <f>IF('ORDENES'!$A1130="","",IF('ORDENES'!$AH1130="","-",'ORDENES'!$AH1130))</f>
        <v/>
      </c>
      <c r="I1152" s="5">
        <f>IF('ORDENES'!$A1130="","",IF('ORDENES'!$AU1130="","-",'ORDENES'!$AU1130))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3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IF('ORDENES'!$A1130="","",'ORDENES'!$AG1130)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IF('ORDENES'!$A1131="","",IF('ORDENES'!$AI1131="","-",'ORDENES'!$AI1131))</f>
        <v/>
      </c>
      <c r="D1153" s="5">
        <f>IF('ORDENES'!$A1131="","",IF('ORDENES'!$AA1131="","-",'ORDENES'!$AA1131))</f>
        <v/>
      </c>
      <c r="E1153" s="5">
        <f>IF('ORDENES'!$A1131="","",IF('ORDENES'!$Y1131="","-",'ORDENES'!$Y1131))</f>
        <v/>
      </c>
      <c r="F1153" s="5">
        <f>IF('ORDENES'!$A1131="","",IF('ORDENES'!$AB1131="","-",'ORDENES'!$AB1131))</f>
        <v/>
      </c>
      <c r="G1153" s="5">
        <f>IF('ORDENES'!$A1131="","",IF('ORDENES'!$Z1131="","-",'ORDENES'!$Z1131))</f>
        <v/>
      </c>
      <c r="H1153" s="5">
        <f>IF('ORDENES'!$A1131="","",IF('ORDENES'!$AH1131="","-",'ORDENES'!$AH1131))</f>
        <v/>
      </c>
      <c r="I1153" s="5">
        <f>IF('ORDENES'!$A1131="","",IF('ORDENES'!$AU1131="","-",'ORDENES'!$AU1131))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3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IF('ORDENES'!$A1131="","",'ORDENES'!$AG1131)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IF('ORDENES'!$A1132="","",IF('ORDENES'!$AI1132="","-",'ORDENES'!$AI1132))</f>
        <v/>
      </c>
      <c r="D1154" s="5">
        <f>IF('ORDENES'!$A1132="","",IF('ORDENES'!$AA1132="","-",'ORDENES'!$AA1132))</f>
        <v/>
      </c>
      <c r="E1154" s="5">
        <f>IF('ORDENES'!$A1132="","",IF('ORDENES'!$Y1132="","-",'ORDENES'!$Y1132))</f>
        <v/>
      </c>
      <c r="F1154" s="5">
        <f>IF('ORDENES'!$A1132="","",IF('ORDENES'!$AB1132="","-",'ORDENES'!$AB1132))</f>
        <v/>
      </c>
      <c r="G1154" s="5">
        <f>IF('ORDENES'!$A1132="","",IF('ORDENES'!$Z1132="","-",'ORDENES'!$Z1132))</f>
        <v/>
      </c>
      <c r="H1154" s="5">
        <f>IF('ORDENES'!$A1132="","",IF('ORDENES'!$AH1132="","-",'ORDENES'!$AH1132))</f>
        <v/>
      </c>
      <c r="I1154" s="5">
        <f>IF('ORDENES'!$A1132="","",IF('ORDENES'!$AU1132="","-",'ORDENES'!$AU1132))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3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IF('ORDENES'!$A1132="","",'ORDENES'!$AG1132)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IF('ORDENES'!$A1133="","",IF('ORDENES'!$AI1133="","-",'ORDENES'!$AI1133))</f>
        <v/>
      </c>
      <c r="D1155" s="5">
        <f>IF('ORDENES'!$A1133="","",IF('ORDENES'!$AA1133="","-",'ORDENES'!$AA1133))</f>
        <v/>
      </c>
      <c r="E1155" s="5">
        <f>IF('ORDENES'!$A1133="","",IF('ORDENES'!$Y1133="","-",'ORDENES'!$Y1133))</f>
        <v/>
      </c>
      <c r="F1155" s="5">
        <f>IF('ORDENES'!$A1133="","",IF('ORDENES'!$AB1133="","-",'ORDENES'!$AB1133))</f>
        <v/>
      </c>
      <c r="G1155" s="5">
        <f>IF('ORDENES'!$A1133="","",IF('ORDENES'!$Z1133="","-",'ORDENES'!$Z1133))</f>
        <v/>
      </c>
      <c r="H1155" s="5">
        <f>IF('ORDENES'!$A1133="","",IF('ORDENES'!$AH1133="","-",'ORDENES'!$AH1133))</f>
        <v/>
      </c>
      <c r="I1155" s="5">
        <f>IF('ORDENES'!$A1133="","",IF('ORDENES'!$AU1133="","-",'ORDENES'!$AU1133))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3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IF('ORDENES'!$A1133="","",'ORDENES'!$AG1133)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IF('ORDENES'!$A1134="","",IF('ORDENES'!$AI1134="","-",'ORDENES'!$AI1134))</f>
        <v/>
      </c>
      <c r="D1156" s="5">
        <f>IF('ORDENES'!$A1134="","",IF('ORDENES'!$AA1134="","-",'ORDENES'!$AA1134))</f>
        <v/>
      </c>
      <c r="E1156" s="5">
        <f>IF('ORDENES'!$A1134="","",IF('ORDENES'!$Y1134="","-",'ORDENES'!$Y1134))</f>
        <v/>
      </c>
      <c r="F1156" s="5">
        <f>IF('ORDENES'!$A1134="","",IF('ORDENES'!$AB1134="","-",'ORDENES'!$AB1134))</f>
        <v/>
      </c>
      <c r="G1156" s="5">
        <f>IF('ORDENES'!$A1134="","",IF('ORDENES'!$Z1134="","-",'ORDENES'!$Z1134))</f>
        <v/>
      </c>
      <c r="H1156" s="5">
        <f>IF('ORDENES'!$A1134="","",IF('ORDENES'!$AH1134="","-",'ORDENES'!$AH1134))</f>
        <v/>
      </c>
      <c r="I1156" s="5">
        <f>IF('ORDENES'!$A1134="","",IF('ORDENES'!$AU1134="","-",'ORDENES'!$AU1134))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3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IF('ORDENES'!$A1134="","",'ORDENES'!$AG1134)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IF('ORDENES'!$A1135="","",IF('ORDENES'!$AI1135="","-",'ORDENES'!$AI1135))</f>
        <v/>
      </c>
      <c r="D1157" s="5">
        <f>IF('ORDENES'!$A1135="","",IF('ORDENES'!$AA1135="","-",'ORDENES'!$AA1135))</f>
        <v/>
      </c>
      <c r="E1157" s="5">
        <f>IF('ORDENES'!$A1135="","",IF('ORDENES'!$Y1135="","-",'ORDENES'!$Y1135))</f>
        <v/>
      </c>
      <c r="F1157" s="5">
        <f>IF('ORDENES'!$A1135="","",IF('ORDENES'!$AB1135="","-",'ORDENES'!$AB1135))</f>
        <v/>
      </c>
      <c r="G1157" s="5">
        <f>IF('ORDENES'!$A1135="","",IF('ORDENES'!$Z1135="","-",'ORDENES'!$Z1135))</f>
        <v/>
      </c>
      <c r="H1157" s="5">
        <f>IF('ORDENES'!$A1135="","",IF('ORDENES'!$AH1135="","-",'ORDENES'!$AH1135))</f>
        <v/>
      </c>
      <c r="I1157" s="5">
        <f>IF('ORDENES'!$A1135="","",IF('ORDENES'!$AU1135="","-",'ORDENES'!$AU1135))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3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IF('ORDENES'!$A1135="","",'ORDENES'!$AG1135)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IF('ORDENES'!$A1136="","",IF('ORDENES'!$AI1136="","-",'ORDENES'!$AI1136))</f>
        <v/>
      </c>
      <c r="D1158" s="5">
        <f>IF('ORDENES'!$A1136="","",IF('ORDENES'!$AA1136="","-",'ORDENES'!$AA1136))</f>
        <v/>
      </c>
      <c r="E1158" s="5">
        <f>IF('ORDENES'!$A1136="","",IF('ORDENES'!$Y1136="","-",'ORDENES'!$Y1136))</f>
        <v/>
      </c>
      <c r="F1158" s="5">
        <f>IF('ORDENES'!$A1136="","",IF('ORDENES'!$AB1136="","-",'ORDENES'!$AB1136))</f>
        <v/>
      </c>
      <c r="G1158" s="5">
        <f>IF('ORDENES'!$A1136="","",IF('ORDENES'!$Z1136="","-",'ORDENES'!$Z1136))</f>
        <v/>
      </c>
      <c r="H1158" s="5">
        <f>IF('ORDENES'!$A1136="","",IF('ORDENES'!$AH1136="","-",'ORDENES'!$AH1136))</f>
        <v/>
      </c>
      <c r="I1158" s="5">
        <f>IF('ORDENES'!$A1136="","",IF('ORDENES'!$AU1136="","-",'ORDENES'!$AU1136))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3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IF('ORDENES'!$A1136="","",'ORDENES'!$AG1136)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IF('ORDENES'!$A1137="","",IF('ORDENES'!$AI1137="","-",'ORDENES'!$AI1137))</f>
        <v/>
      </c>
      <c r="D1159" s="5">
        <f>IF('ORDENES'!$A1137="","",IF('ORDENES'!$AA1137="","-",'ORDENES'!$AA1137))</f>
        <v/>
      </c>
      <c r="E1159" s="5">
        <f>IF('ORDENES'!$A1137="","",IF('ORDENES'!$Y1137="","-",'ORDENES'!$Y1137))</f>
        <v/>
      </c>
      <c r="F1159" s="5">
        <f>IF('ORDENES'!$A1137="","",IF('ORDENES'!$AB1137="","-",'ORDENES'!$AB1137))</f>
        <v/>
      </c>
      <c r="G1159" s="5">
        <f>IF('ORDENES'!$A1137="","",IF('ORDENES'!$Z1137="","-",'ORDENES'!$Z1137))</f>
        <v/>
      </c>
      <c r="H1159" s="5">
        <f>IF('ORDENES'!$A1137="","",IF('ORDENES'!$AH1137="","-",'ORDENES'!$AH1137))</f>
        <v/>
      </c>
      <c r="I1159" s="5">
        <f>IF('ORDENES'!$A1137="","",IF('ORDENES'!$AU1137="","-",'ORDENES'!$AU1137))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3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IF('ORDENES'!$A1137="","",'ORDENES'!$AG1137)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IF('ORDENES'!$A1138="","",IF('ORDENES'!$AI1138="","-",'ORDENES'!$AI1138))</f>
        <v/>
      </c>
      <c r="D1160" s="5">
        <f>IF('ORDENES'!$A1138="","",IF('ORDENES'!$AA1138="","-",'ORDENES'!$AA1138))</f>
        <v/>
      </c>
      <c r="E1160" s="5">
        <f>IF('ORDENES'!$A1138="","",IF('ORDENES'!$Y1138="","-",'ORDENES'!$Y1138))</f>
        <v/>
      </c>
      <c r="F1160" s="5">
        <f>IF('ORDENES'!$A1138="","",IF('ORDENES'!$AB1138="","-",'ORDENES'!$AB1138))</f>
        <v/>
      </c>
      <c r="G1160" s="5">
        <f>IF('ORDENES'!$A1138="","",IF('ORDENES'!$Z1138="","-",'ORDENES'!$Z1138))</f>
        <v/>
      </c>
      <c r="H1160" s="5">
        <f>IF('ORDENES'!$A1138="","",IF('ORDENES'!$AH1138="","-",'ORDENES'!$AH1138))</f>
        <v/>
      </c>
      <c r="I1160" s="5">
        <f>IF('ORDENES'!$A1138="","",IF('ORDENES'!$AU1138="","-",'ORDENES'!$AU1138))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3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IF('ORDENES'!$A1138="","",'ORDENES'!$AG1138)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IF('ORDENES'!$A1139="","",IF('ORDENES'!$AI1139="","-",'ORDENES'!$AI1139))</f>
        <v/>
      </c>
      <c r="D1161" s="5">
        <f>IF('ORDENES'!$A1139="","",IF('ORDENES'!$AA1139="","-",'ORDENES'!$AA1139))</f>
        <v/>
      </c>
      <c r="E1161" s="5">
        <f>IF('ORDENES'!$A1139="","",IF('ORDENES'!$Y1139="","-",'ORDENES'!$Y1139))</f>
        <v/>
      </c>
      <c r="F1161" s="5">
        <f>IF('ORDENES'!$A1139="","",IF('ORDENES'!$AB1139="","-",'ORDENES'!$AB1139))</f>
        <v/>
      </c>
      <c r="G1161" s="5">
        <f>IF('ORDENES'!$A1139="","",IF('ORDENES'!$Z1139="","-",'ORDENES'!$Z1139))</f>
        <v/>
      </c>
      <c r="H1161" s="5">
        <f>IF('ORDENES'!$A1139="","",IF('ORDENES'!$AH1139="","-",'ORDENES'!$AH1139))</f>
        <v/>
      </c>
      <c r="I1161" s="5">
        <f>IF('ORDENES'!$A1139="","",IF('ORDENES'!$AU1139="","-",'ORDENES'!$AU1139))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3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IF('ORDENES'!$A1139="","",'ORDENES'!$AG1139)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IF('ORDENES'!$A1140="","",IF('ORDENES'!$AI1140="","-",'ORDENES'!$AI1140))</f>
        <v/>
      </c>
      <c r="D1162" s="5">
        <f>IF('ORDENES'!$A1140="","",IF('ORDENES'!$AA1140="","-",'ORDENES'!$AA1140))</f>
        <v/>
      </c>
      <c r="E1162" s="5">
        <f>IF('ORDENES'!$A1140="","",IF('ORDENES'!$Y1140="","-",'ORDENES'!$Y1140))</f>
        <v/>
      </c>
      <c r="F1162" s="5">
        <f>IF('ORDENES'!$A1140="","",IF('ORDENES'!$AB1140="","-",'ORDENES'!$AB1140))</f>
        <v/>
      </c>
      <c r="G1162" s="5">
        <f>IF('ORDENES'!$A1140="","",IF('ORDENES'!$Z1140="","-",'ORDENES'!$Z1140))</f>
        <v/>
      </c>
      <c r="H1162" s="5">
        <f>IF('ORDENES'!$A1140="","",IF('ORDENES'!$AH1140="","-",'ORDENES'!$AH1140))</f>
        <v/>
      </c>
      <c r="I1162" s="5">
        <f>IF('ORDENES'!$A1140="","",IF('ORDENES'!$AU1140="","-",'ORDENES'!$AU1140))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3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IF('ORDENES'!$A1140="","",'ORDENES'!$AG1140)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IF('ORDENES'!$A1141="","",IF('ORDENES'!$AI1141="","-",'ORDENES'!$AI1141))</f>
        <v/>
      </c>
      <c r="D1163" s="5">
        <f>IF('ORDENES'!$A1141="","",IF('ORDENES'!$AA1141="","-",'ORDENES'!$AA1141))</f>
        <v/>
      </c>
      <c r="E1163" s="5">
        <f>IF('ORDENES'!$A1141="","",IF('ORDENES'!$Y1141="","-",'ORDENES'!$Y1141))</f>
        <v/>
      </c>
      <c r="F1163" s="5">
        <f>IF('ORDENES'!$A1141="","",IF('ORDENES'!$AB1141="","-",'ORDENES'!$AB1141))</f>
        <v/>
      </c>
      <c r="G1163" s="5">
        <f>IF('ORDENES'!$A1141="","",IF('ORDENES'!$Z1141="","-",'ORDENES'!$Z1141))</f>
        <v/>
      </c>
      <c r="H1163" s="5">
        <f>IF('ORDENES'!$A1141="","",IF('ORDENES'!$AH1141="","-",'ORDENES'!$AH1141))</f>
        <v/>
      </c>
      <c r="I1163" s="5">
        <f>IF('ORDENES'!$A1141="","",IF('ORDENES'!$AU1141="","-",'ORDENES'!$AU1141))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3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IF('ORDENES'!$A1141="","",'ORDENES'!$AG1141)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IF('ORDENES'!$A1142="","",IF('ORDENES'!$AI1142="","-",'ORDENES'!$AI1142))</f>
        <v/>
      </c>
      <c r="D1164" s="5">
        <f>IF('ORDENES'!$A1142="","",IF('ORDENES'!$AA1142="","-",'ORDENES'!$AA1142))</f>
        <v/>
      </c>
      <c r="E1164" s="5">
        <f>IF('ORDENES'!$A1142="","",IF('ORDENES'!$Y1142="","-",'ORDENES'!$Y1142))</f>
        <v/>
      </c>
      <c r="F1164" s="5">
        <f>IF('ORDENES'!$A1142="","",IF('ORDENES'!$AB1142="","-",'ORDENES'!$AB1142))</f>
        <v/>
      </c>
      <c r="G1164" s="5">
        <f>IF('ORDENES'!$A1142="","",IF('ORDENES'!$Z1142="","-",'ORDENES'!$Z1142))</f>
        <v/>
      </c>
      <c r="H1164" s="5">
        <f>IF('ORDENES'!$A1142="","",IF('ORDENES'!$AH1142="","-",'ORDENES'!$AH1142))</f>
        <v/>
      </c>
      <c r="I1164" s="5">
        <f>IF('ORDENES'!$A1142="","",IF('ORDENES'!$AU1142="","-",'ORDENES'!$AU1142))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3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IF('ORDENES'!$A1142="","",'ORDENES'!$AG1142)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IF('ORDENES'!$A1143="","",IF('ORDENES'!$AI1143="","-",'ORDENES'!$AI1143))</f>
        <v/>
      </c>
      <c r="D1165" s="5">
        <f>IF('ORDENES'!$A1143="","",IF('ORDENES'!$AA1143="","-",'ORDENES'!$AA1143))</f>
        <v/>
      </c>
      <c r="E1165" s="5">
        <f>IF('ORDENES'!$A1143="","",IF('ORDENES'!$Y1143="","-",'ORDENES'!$Y1143))</f>
        <v/>
      </c>
      <c r="F1165" s="5">
        <f>IF('ORDENES'!$A1143="","",IF('ORDENES'!$AB1143="","-",'ORDENES'!$AB1143))</f>
        <v/>
      </c>
      <c r="G1165" s="5">
        <f>IF('ORDENES'!$A1143="","",IF('ORDENES'!$Z1143="","-",'ORDENES'!$Z1143))</f>
        <v/>
      </c>
      <c r="H1165" s="5">
        <f>IF('ORDENES'!$A1143="","",IF('ORDENES'!$AH1143="","-",'ORDENES'!$AH1143))</f>
        <v/>
      </c>
      <c r="I1165" s="5">
        <f>IF('ORDENES'!$A1143="","",IF('ORDENES'!$AU1143="","-",'ORDENES'!$AU1143))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3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IF('ORDENES'!$A1143="","",'ORDENES'!$AG1143)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IF('ORDENES'!$A1144="","",IF('ORDENES'!$AI1144="","-",'ORDENES'!$AI1144))</f>
        <v/>
      </c>
      <c r="D1166" s="5">
        <f>IF('ORDENES'!$A1144="","",IF('ORDENES'!$AA1144="","-",'ORDENES'!$AA1144))</f>
        <v/>
      </c>
      <c r="E1166" s="5">
        <f>IF('ORDENES'!$A1144="","",IF('ORDENES'!$Y1144="","-",'ORDENES'!$Y1144))</f>
        <v/>
      </c>
      <c r="F1166" s="5">
        <f>IF('ORDENES'!$A1144="","",IF('ORDENES'!$AB1144="","-",'ORDENES'!$AB1144))</f>
        <v/>
      </c>
      <c r="G1166" s="5">
        <f>IF('ORDENES'!$A1144="","",IF('ORDENES'!$Z1144="","-",'ORDENES'!$Z1144))</f>
        <v/>
      </c>
      <c r="H1166" s="5">
        <f>IF('ORDENES'!$A1144="","",IF('ORDENES'!$AH1144="","-",'ORDENES'!$AH1144))</f>
        <v/>
      </c>
      <c r="I1166" s="5">
        <f>IF('ORDENES'!$A1144="","",IF('ORDENES'!$AU1144="","-",'ORDENES'!$AU1144))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3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IF('ORDENES'!$A1144="","",'ORDENES'!$AG1144)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IF('ORDENES'!$A1145="","",IF('ORDENES'!$AI1145="","-",'ORDENES'!$AI1145))</f>
        <v/>
      </c>
      <c r="D1167" s="5">
        <f>IF('ORDENES'!$A1145="","",IF('ORDENES'!$AA1145="","-",'ORDENES'!$AA1145))</f>
        <v/>
      </c>
      <c r="E1167" s="5">
        <f>IF('ORDENES'!$A1145="","",IF('ORDENES'!$Y1145="","-",'ORDENES'!$Y1145))</f>
        <v/>
      </c>
      <c r="F1167" s="5">
        <f>IF('ORDENES'!$A1145="","",IF('ORDENES'!$AB1145="","-",'ORDENES'!$AB1145))</f>
        <v/>
      </c>
      <c r="G1167" s="5">
        <f>IF('ORDENES'!$A1145="","",IF('ORDENES'!$Z1145="","-",'ORDENES'!$Z1145))</f>
        <v/>
      </c>
      <c r="H1167" s="5">
        <f>IF('ORDENES'!$A1145="","",IF('ORDENES'!$AH1145="","-",'ORDENES'!$AH1145))</f>
        <v/>
      </c>
      <c r="I1167" s="5">
        <f>IF('ORDENES'!$A1145="","",IF('ORDENES'!$AU1145="","-",'ORDENES'!$AU1145))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3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IF('ORDENES'!$A1145="","",'ORDENES'!$AG1145)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IF('ORDENES'!$A1146="","",IF('ORDENES'!$AI1146="","-",'ORDENES'!$AI1146))</f>
        <v/>
      </c>
      <c r="D1168" s="5">
        <f>IF('ORDENES'!$A1146="","",IF('ORDENES'!$AA1146="","-",'ORDENES'!$AA1146))</f>
        <v/>
      </c>
      <c r="E1168" s="5">
        <f>IF('ORDENES'!$A1146="","",IF('ORDENES'!$Y1146="","-",'ORDENES'!$Y1146))</f>
        <v/>
      </c>
      <c r="F1168" s="5">
        <f>IF('ORDENES'!$A1146="","",IF('ORDENES'!$AB1146="","-",'ORDENES'!$AB1146))</f>
        <v/>
      </c>
      <c r="G1168" s="5">
        <f>IF('ORDENES'!$A1146="","",IF('ORDENES'!$Z1146="","-",'ORDENES'!$Z1146))</f>
        <v/>
      </c>
      <c r="H1168" s="5">
        <f>IF('ORDENES'!$A1146="","",IF('ORDENES'!$AH1146="","-",'ORDENES'!$AH1146))</f>
        <v/>
      </c>
      <c r="I1168" s="5">
        <f>IF('ORDENES'!$A1146="","",IF('ORDENES'!$AU1146="","-",'ORDENES'!$AU1146))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3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IF('ORDENES'!$A1146="","",'ORDENES'!$AG1146)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IF('ORDENES'!$A1147="","",IF('ORDENES'!$AI1147="","-",'ORDENES'!$AI1147))</f>
        <v/>
      </c>
      <c r="D1169" s="5">
        <f>IF('ORDENES'!$A1147="","",IF('ORDENES'!$AA1147="","-",'ORDENES'!$AA1147))</f>
        <v/>
      </c>
      <c r="E1169" s="5">
        <f>IF('ORDENES'!$A1147="","",IF('ORDENES'!$Y1147="","-",'ORDENES'!$Y1147))</f>
        <v/>
      </c>
      <c r="F1169" s="5">
        <f>IF('ORDENES'!$A1147="","",IF('ORDENES'!$AB1147="","-",'ORDENES'!$AB1147))</f>
        <v/>
      </c>
      <c r="G1169" s="5">
        <f>IF('ORDENES'!$A1147="","",IF('ORDENES'!$Z1147="","-",'ORDENES'!$Z1147))</f>
        <v/>
      </c>
      <c r="H1169" s="5">
        <f>IF('ORDENES'!$A1147="","",IF('ORDENES'!$AH1147="","-",'ORDENES'!$AH1147))</f>
        <v/>
      </c>
      <c r="I1169" s="5">
        <f>IF('ORDENES'!$A1147="","",IF('ORDENES'!$AU1147="","-",'ORDENES'!$AU1147))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3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IF('ORDENES'!$A1147="","",'ORDENES'!$AG1147)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IF('ORDENES'!$A1148="","",IF('ORDENES'!$AI1148="","-",'ORDENES'!$AI1148))</f>
        <v/>
      </c>
      <c r="D1170" s="5">
        <f>IF('ORDENES'!$A1148="","",IF('ORDENES'!$AA1148="","-",'ORDENES'!$AA1148))</f>
        <v/>
      </c>
      <c r="E1170" s="5">
        <f>IF('ORDENES'!$A1148="","",IF('ORDENES'!$Y1148="","-",'ORDENES'!$Y1148))</f>
        <v/>
      </c>
      <c r="F1170" s="5">
        <f>IF('ORDENES'!$A1148="","",IF('ORDENES'!$AB1148="","-",'ORDENES'!$AB1148))</f>
        <v/>
      </c>
      <c r="G1170" s="5">
        <f>IF('ORDENES'!$A1148="","",IF('ORDENES'!$Z1148="","-",'ORDENES'!$Z1148))</f>
        <v/>
      </c>
      <c r="H1170" s="5">
        <f>IF('ORDENES'!$A1148="","",IF('ORDENES'!$AH1148="","-",'ORDENES'!$AH1148))</f>
        <v/>
      </c>
      <c r="I1170" s="5">
        <f>IF('ORDENES'!$A1148="","",IF('ORDENES'!$AU1148="","-",'ORDENES'!$AU1148))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3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IF('ORDENES'!$A1148="","",'ORDENES'!$AG1148)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IF('ORDENES'!$A1149="","",IF('ORDENES'!$AI1149="","-",'ORDENES'!$AI1149))</f>
        <v/>
      </c>
      <c r="D1171" s="5">
        <f>IF('ORDENES'!$A1149="","",IF('ORDENES'!$AA1149="","-",'ORDENES'!$AA1149))</f>
        <v/>
      </c>
      <c r="E1171" s="5">
        <f>IF('ORDENES'!$A1149="","",IF('ORDENES'!$Y1149="","-",'ORDENES'!$Y1149))</f>
        <v/>
      </c>
      <c r="F1171" s="5">
        <f>IF('ORDENES'!$A1149="","",IF('ORDENES'!$AB1149="","-",'ORDENES'!$AB1149))</f>
        <v/>
      </c>
      <c r="G1171" s="5">
        <f>IF('ORDENES'!$A1149="","",IF('ORDENES'!$Z1149="","-",'ORDENES'!$Z1149))</f>
        <v/>
      </c>
      <c r="H1171" s="5">
        <f>IF('ORDENES'!$A1149="","",IF('ORDENES'!$AH1149="","-",'ORDENES'!$AH1149))</f>
        <v/>
      </c>
      <c r="I1171" s="5">
        <f>IF('ORDENES'!$A1149="","",IF('ORDENES'!$AU1149="","-",'ORDENES'!$AU1149))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3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IF('ORDENES'!$A1149="","",'ORDENES'!$AG1149)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IF('ORDENES'!$A1150="","",IF('ORDENES'!$AI1150="","-",'ORDENES'!$AI1150))</f>
        <v/>
      </c>
      <c r="D1172" s="5">
        <f>IF('ORDENES'!$A1150="","",IF('ORDENES'!$AA1150="","-",'ORDENES'!$AA1150))</f>
        <v/>
      </c>
      <c r="E1172" s="5">
        <f>IF('ORDENES'!$A1150="","",IF('ORDENES'!$Y1150="","-",'ORDENES'!$Y1150))</f>
        <v/>
      </c>
      <c r="F1172" s="5">
        <f>IF('ORDENES'!$A1150="","",IF('ORDENES'!$AB1150="","-",'ORDENES'!$AB1150))</f>
        <v/>
      </c>
      <c r="G1172" s="5">
        <f>IF('ORDENES'!$A1150="","",IF('ORDENES'!$Z1150="","-",'ORDENES'!$Z1150))</f>
        <v/>
      </c>
      <c r="H1172" s="5">
        <f>IF('ORDENES'!$A1150="","",IF('ORDENES'!$AH1150="","-",'ORDENES'!$AH1150))</f>
        <v/>
      </c>
      <c r="I1172" s="5">
        <f>IF('ORDENES'!$A1150="","",IF('ORDENES'!$AU1150="","-",'ORDENES'!$AU1150))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3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IF('ORDENES'!$A1150="","",'ORDENES'!$AG1150)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IF('ORDENES'!$A1151="","",IF('ORDENES'!$AI1151="","-",'ORDENES'!$AI1151))</f>
        <v/>
      </c>
      <c r="D1173" s="5">
        <f>IF('ORDENES'!$A1151="","",IF('ORDENES'!$AA1151="","-",'ORDENES'!$AA1151))</f>
        <v/>
      </c>
      <c r="E1173" s="5">
        <f>IF('ORDENES'!$A1151="","",IF('ORDENES'!$Y1151="","-",'ORDENES'!$Y1151))</f>
        <v/>
      </c>
      <c r="F1173" s="5">
        <f>IF('ORDENES'!$A1151="","",IF('ORDENES'!$AB1151="","-",'ORDENES'!$AB1151))</f>
        <v/>
      </c>
      <c r="G1173" s="5">
        <f>IF('ORDENES'!$A1151="","",IF('ORDENES'!$Z1151="","-",'ORDENES'!$Z1151))</f>
        <v/>
      </c>
      <c r="H1173" s="5">
        <f>IF('ORDENES'!$A1151="","",IF('ORDENES'!$AH1151="","-",'ORDENES'!$AH1151))</f>
        <v/>
      </c>
      <c r="I1173" s="5">
        <f>IF('ORDENES'!$A1151="","",IF('ORDENES'!$AU1151="","-",'ORDENES'!$AU1151))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3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IF('ORDENES'!$A1151="","",'ORDENES'!$AG1151)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IF('ORDENES'!$A1152="","",IF('ORDENES'!$AI1152="","-",'ORDENES'!$AI1152))</f>
        <v/>
      </c>
      <c r="D1174" s="5">
        <f>IF('ORDENES'!$A1152="","",IF('ORDENES'!$AA1152="","-",'ORDENES'!$AA1152))</f>
        <v/>
      </c>
      <c r="E1174" s="5">
        <f>IF('ORDENES'!$A1152="","",IF('ORDENES'!$Y1152="","-",'ORDENES'!$Y1152))</f>
        <v/>
      </c>
      <c r="F1174" s="5">
        <f>IF('ORDENES'!$A1152="","",IF('ORDENES'!$AB1152="","-",'ORDENES'!$AB1152))</f>
        <v/>
      </c>
      <c r="G1174" s="5">
        <f>IF('ORDENES'!$A1152="","",IF('ORDENES'!$Z1152="","-",'ORDENES'!$Z1152))</f>
        <v/>
      </c>
      <c r="H1174" s="5">
        <f>IF('ORDENES'!$A1152="","",IF('ORDENES'!$AH1152="","-",'ORDENES'!$AH1152))</f>
        <v/>
      </c>
      <c r="I1174" s="5">
        <f>IF('ORDENES'!$A1152="","",IF('ORDENES'!$AU1152="","-",'ORDENES'!$AU1152))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3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IF('ORDENES'!$A1152="","",'ORDENES'!$AG1152)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IF('ORDENES'!$A1153="","",IF('ORDENES'!$AI1153="","-",'ORDENES'!$AI1153))</f>
        <v/>
      </c>
      <c r="D1175" s="5">
        <f>IF('ORDENES'!$A1153="","",IF('ORDENES'!$AA1153="","-",'ORDENES'!$AA1153))</f>
        <v/>
      </c>
      <c r="E1175" s="5">
        <f>IF('ORDENES'!$A1153="","",IF('ORDENES'!$Y1153="","-",'ORDENES'!$Y1153))</f>
        <v/>
      </c>
      <c r="F1175" s="5">
        <f>IF('ORDENES'!$A1153="","",IF('ORDENES'!$AB1153="","-",'ORDENES'!$AB1153))</f>
        <v/>
      </c>
      <c r="G1175" s="5">
        <f>IF('ORDENES'!$A1153="","",IF('ORDENES'!$Z1153="","-",'ORDENES'!$Z1153))</f>
        <v/>
      </c>
      <c r="H1175" s="5">
        <f>IF('ORDENES'!$A1153="","",IF('ORDENES'!$AH1153="","-",'ORDENES'!$AH1153))</f>
        <v/>
      </c>
      <c r="I1175" s="5">
        <f>IF('ORDENES'!$A1153="","",IF('ORDENES'!$AU1153="","-",'ORDENES'!$AU1153))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3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IF('ORDENES'!$A1153="","",'ORDENES'!$AG1153)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IF('ORDENES'!$A1154="","",IF('ORDENES'!$AI1154="","-",'ORDENES'!$AI1154))</f>
        <v/>
      </c>
      <c r="D1176" s="5">
        <f>IF('ORDENES'!$A1154="","",IF('ORDENES'!$AA1154="","-",'ORDENES'!$AA1154))</f>
        <v/>
      </c>
      <c r="E1176" s="5">
        <f>IF('ORDENES'!$A1154="","",IF('ORDENES'!$Y1154="","-",'ORDENES'!$Y1154))</f>
        <v/>
      </c>
      <c r="F1176" s="5">
        <f>IF('ORDENES'!$A1154="","",IF('ORDENES'!$AB1154="","-",'ORDENES'!$AB1154))</f>
        <v/>
      </c>
      <c r="G1176" s="5">
        <f>IF('ORDENES'!$A1154="","",IF('ORDENES'!$Z1154="","-",'ORDENES'!$Z1154))</f>
        <v/>
      </c>
      <c r="H1176" s="5">
        <f>IF('ORDENES'!$A1154="","",IF('ORDENES'!$AH1154="","-",'ORDENES'!$AH1154))</f>
        <v/>
      </c>
      <c r="I1176" s="5">
        <f>IF('ORDENES'!$A1154="","",IF('ORDENES'!$AU1154="","-",'ORDENES'!$AU1154))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3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IF('ORDENES'!$A1154="","",'ORDENES'!$AG1154)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IF('ORDENES'!$A1155="","",IF('ORDENES'!$AI1155="","-",'ORDENES'!$AI1155))</f>
        <v/>
      </c>
      <c r="D1177" s="5">
        <f>IF('ORDENES'!$A1155="","",IF('ORDENES'!$AA1155="","-",'ORDENES'!$AA1155))</f>
        <v/>
      </c>
      <c r="E1177" s="5">
        <f>IF('ORDENES'!$A1155="","",IF('ORDENES'!$Y1155="","-",'ORDENES'!$Y1155))</f>
        <v/>
      </c>
      <c r="F1177" s="5">
        <f>IF('ORDENES'!$A1155="","",IF('ORDENES'!$AB1155="","-",'ORDENES'!$AB1155))</f>
        <v/>
      </c>
      <c r="G1177" s="5">
        <f>IF('ORDENES'!$A1155="","",IF('ORDENES'!$Z1155="","-",'ORDENES'!$Z1155))</f>
        <v/>
      </c>
      <c r="H1177" s="5">
        <f>IF('ORDENES'!$A1155="","",IF('ORDENES'!$AH1155="","-",'ORDENES'!$AH1155))</f>
        <v/>
      </c>
      <c r="I1177" s="5">
        <f>IF('ORDENES'!$A1155="","",IF('ORDENES'!$AU1155="","-",'ORDENES'!$AU1155))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3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IF('ORDENES'!$A1155="","",'ORDENES'!$AG1155)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IF('ORDENES'!$A1156="","",IF('ORDENES'!$AI1156="","-",'ORDENES'!$AI1156))</f>
        <v/>
      </c>
      <c r="D1178" s="5">
        <f>IF('ORDENES'!$A1156="","",IF('ORDENES'!$AA1156="","-",'ORDENES'!$AA1156))</f>
        <v/>
      </c>
      <c r="E1178" s="5">
        <f>IF('ORDENES'!$A1156="","",IF('ORDENES'!$Y1156="","-",'ORDENES'!$Y1156))</f>
        <v/>
      </c>
      <c r="F1178" s="5">
        <f>IF('ORDENES'!$A1156="","",IF('ORDENES'!$AB1156="","-",'ORDENES'!$AB1156))</f>
        <v/>
      </c>
      <c r="G1178" s="5">
        <f>IF('ORDENES'!$A1156="","",IF('ORDENES'!$Z1156="","-",'ORDENES'!$Z1156))</f>
        <v/>
      </c>
      <c r="H1178" s="5">
        <f>IF('ORDENES'!$A1156="","",IF('ORDENES'!$AH1156="","-",'ORDENES'!$AH1156))</f>
        <v/>
      </c>
      <c r="I1178" s="5">
        <f>IF('ORDENES'!$A1156="","",IF('ORDENES'!$AU1156="","-",'ORDENES'!$AU1156))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3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IF('ORDENES'!$A1156="","",'ORDENES'!$AG1156)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IF('ORDENES'!$A1157="","",IF('ORDENES'!$AI1157="","-",'ORDENES'!$AI1157))</f>
        <v/>
      </c>
      <c r="D1179" s="5">
        <f>IF('ORDENES'!$A1157="","",IF('ORDENES'!$AA1157="","-",'ORDENES'!$AA1157))</f>
        <v/>
      </c>
      <c r="E1179" s="5">
        <f>IF('ORDENES'!$A1157="","",IF('ORDENES'!$Y1157="","-",'ORDENES'!$Y1157))</f>
        <v/>
      </c>
      <c r="F1179" s="5">
        <f>IF('ORDENES'!$A1157="","",IF('ORDENES'!$AB1157="","-",'ORDENES'!$AB1157))</f>
        <v/>
      </c>
      <c r="G1179" s="5">
        <f>IF('ORDENES'!$A1157="","",IF('ORDENES'!$Z1157="","-",'ORDENES'!$Z1157))</f>
        <v/>
      </c>
      <c r="H1179" s="5">
        <f>IF('ORDENES'!$A1157="","",IF('ORDENES'!$AH1157="","-",'ORDENES'!$AH1157))</f>
        <v/>
      </c>
      <c r="I1179" s="5">
        <f>IF('ORDENES'!$A1157="","",IF('ORDENES'!$AU1157="","-",'ORDENES'!$AU1157))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3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IF('ORDENES'!$A1157="","",'ORDENES'!$AG1157)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IF('ORDENES'!$A1158="","",IF('ORDENES'!$AI1158="","-",'ORDENES'!$AI1158))</f>
        <v/>
      </c>
      <c r="D1180" s="5">
        <f>IF('ORDENES'!$A1158="","",IF('ORDENES'!$AA1158="","-",'ORDENES'!$AA1158))</f>
        <v/>
      </c>
      <c r="E1180" s="5">
        <f>IF('ORDENES'!$A1158="","",IF('ORDENES'!$Y1158="","-",'ORDENES'!$Y1158))</f>
        <v/>
      </c>
      <c r="F1180" s="5">
        <f>IF('ORDENES'!$A1158="","",IF('ORDENES'!$AB1158="","-",'ORDENES'!$AB1158))</f>
        <v/>
      </c>
      <c r="G1180" s="5">
        <f>IF('ORDENES'!$A1158="","",IF('ORDENES'!$Z1158="","-",'ORDENES'!$Z1158))</f>
        <v/>
      </c>
      <c r="H1180" s="5">
        <f>IF('ORDENES'!$A1158="","",IF('ORDENES'!$AH1158="","-",'ORDENES'!$AH1158))</f>
        <v/>
      </c>
      <c r="I1180" s="5">
        <f>IF('ORDENES'!$A1158="","",IF('ORDENES'!$AU1158="","-",'ORDENES'!$AU1158))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3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IF('ORDENES'!$A1158="","",'ORDENES'!$AG1158)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IF('ORDENES'!$A1159="","",IF('ORDENES'!$AI1159="","-",'ORDENES'!$AI1159))</f>
        <v/>
      </c>
      <c r="D1181" s="5">
        <f>IF('ORDENES'!$A1159="","",IF('ORDENES'!$AA1159="","-",'ORDENES'!$AA1159))</f>
        <v/>
      </c>
      <c r="E1181" s="5">
        <f>IF('ORDENES'!$A1159="","",IF('ORDENES'!$Y1159="","-",'ORDENES'!$Y1159))</f>
        <v/>
      </c>
      <c r="F1181" s="5">
        <f>IF('ORDENES'!$A1159="","",IF('ORDENES'!$AB1159="","-",'ORDENES'!$AB1159))</f>
        <v/>
      </c>
      <c r="G1181" s="5">
        <f>IF('ORDENES'!$A1159="","",IF('ORDENES'!$Z1159="","-",'ORDENES'!$Z1159))</f>
        <v/>
      </c>
      <c r="H1181" s="5">
        <f>IF('ORDENES'!$A1159="","",IF('ORDENES'!$AH1159="","-",'ORDENES'!$AH1159))</f>
        <v/>
      </c>
      <c r="I1181" s="5">
        <f>IF('ORDENES'!$A1159="","",IF('ORDENES'!$AU1159="","-",'ORDENES'!$AU1159))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3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IF('ORDENES'!$A1159="","",'ORDENES'!$AG1159)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IF('ORDENES'!$A1160="","",IF('ORDENES'!$AI1160="","-",'ORDENES'!$AI1160))</f>
        <v/>
      </c>
      <c r="D1182" s="5">
        <f>IF('ORDENES'!$A1160="","",IF('ORDENES'!$AA1160="","-",'ORDENES'!$AA1160))</f>
        <v/>
      </c>
      <c r="E1182" s="5">
        <f>IF('ORDENES'!$A1160="","",IF('ORDENES'!$Y1160="","-",'ORDENES'!$Y1160))</f>
        <v/>
      </c>
      <c r="F1182" s="5">
        <f>IF('ORDENES'!$A1160="","",IF('ORDENES'!$AB1160="","-",'ORDENES'!$AB1160))</f>
        <v/>
      </c>
      <c r="G1182" s="5">
        <f>IF('ORDENES'!$A1160="","",IF('ORDENES'!$Z1160="","-",'ORDENES'!$Z1160))</f>
        <v/>
      </c>
      <c r="H1182" s="5">
        <f>IF('ORDENES'!$A1160="","",IF('ORDENES'!$AH1160="","-",'ORDENES'!$AH1160))</f>
        <v/>
      </c>
      <c r="I1182" s="5">
        <f>IF('ORDENES'!$A1160="","",IF('ORDENES'!$AU1160="","-",'ORDENES'!$AU1160))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3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IF('ORDENES'!$A1160="","",'ORDENES'!$AG1160)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IF('ORDENES'!$A1161="","",IF('ORDENES'!$AI1161="","-",'ORDENES'!$AI1161))</f>
        <v/>
      </c>
      <c r="D1183" s="5">
        <f>IF('ORDENES'!$A1161="","",IF('ORDENES'!$AA1161="","-",'ORDENES'!$AA1161))</f>
        <v/>
      </c>
      <c r="E1183" s="5">
        <f>IF('ORDENES'!$A1161="","",IF('ORDENES'!$Y1161="","-",'ORDENES'!$Y1161))</f>
        <v/>
      </c>
      <c r="F1183" s="5">
        <f>IF('ORDENES'!$A1161="","",IF('ORDENES'!$AB1161="","-",'ORDENES'!$AB1161))</f>
        <v/>
      </c>
      <c r="G1183" s="5">
        <f>IF('ORDENES'!$A1161="","",IF('ORDENES'!$Z1161="","-",'ORDENES'!$Z1161))</f>
        <v/>
      </c>
      <c r="H1183" s="5">
        <f>IF('ORDENES'!$A1161="","",IF('ORDENES'!$AH1161="","-",'ORDENES'!$AH1161))</f>
        <v/>
      </c>
      <c r="I1183" s="5">
        <f>IF('ORDENES'!$A1161="","",IF('ORDENES'!$AU1161="","-",'ORDENES'!$AU1161))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3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IF('ORDENES'!$A1161="","",'ORDENES'!$AG1161)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IF('ORDENES'!$A1162="","",IF('ORDENES'!$AI1162="","-",'ORDENES'!$AI1162))</f>
        <v/>
      </c>
      <c r="D1184" s="5">
        <f>IF('ORDENES'!$A1162="","",IF('ORDENES'!$AA1162="","-",'ORDENES'!$AA1162))</f>
        <v/>
      </c>
      <c r="E1184" s="5">
        <f>IF('ORDENES'!$A1162="","",IF('ORDENES'!$Y1162="","-",'ORDENES'!$Y1162))</f>
        <v/>
      </c>
      <c r="F1184" s="5">
        <f>IF('ORDENES'!$A1162="","",IF('ORDENES'!$AB1162="","-",'ORDENES'!$AB1162))</f>
        <v/>
      </c>
      <c r="G1184" s="5">
        <f>IF('ORDENES'!$A1162="","",IF('ORDENES'!$Z1162="","-",'ORDENES'!$Z1162))</f>
        <v/>
      </c>
      <c r="H1184" s="5">
        <f>IF('ORDENES'!$A1162="","",IF('ORDENES'!$AH1162="","-",'ORDENES'!$AH1162))</f>
        <v/>
      </c>
      <c r="I1184" s="5">
        <f>IF('ORDENES'!$A1162="","",IF('ORDENES'!$AU1162="","-",'ORDENES'!$AU1162))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3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IF('ORDENES'!$A1162="","",'ORDENES'!$AG1162)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IF('ORDENES'!$A1163="","",IF('ORDENES'!$AI1163="","-",'ORDENES'!$AI1163))</f>
        <v/>
      </c>
      <c r="D1185" s="5">
        <f>IF('ORDENES'!$A1163="","",IF('ORDENES'!$AA1163="","-",'ORDENES'!$AA1163))</f>
        <v/>
      </c>
      <c r="E1185" s="5">
        <f>IF('ORDENES'!$A1163="","",IF('ORDENES'!$Y1163="","-",'ORDENES'!$Y1163))</f>
        <v/>
      </c>
      <c r="F1185" s="5">
        <f>IF('ORDENES'!$A1163="","",IF('ORDENES'!$AB1163="","-",'ORDENES'!$AB1163))</f>
        <v/>
      </c>
      <c r="G1185" s="5">
        <f>IF('ORDENES'!$A1163="","",IF('ORDENES'!$Z1163="","-",'ORDENES'!$Z1163))</f>
        <v/>
      </c>
      <c r="H1185" s="5">
        <f>IF('ORDENES'!$A1163="","",IF('ORDENES'!$AH1163="","-",'ORDENES'!$AH1163))</f>
        <v/>
      </c>
      <c r="I1185" s="5">
        <f>IF('ORDENES'!$A1163="","",IF('ORDENES'!$AU1163="","-",'ORDENES'!$AU1163))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3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IF('ORDENES'!$A1163="","",'ORDENES'!$AG1163)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IF('ORDENES'!$A1164="","",IF('ORDENES'!$AI1164="","-",'ORDENES'!$AI1164))</f>
        <v/>
      </c>
      <c r="D1186" s="5">
        <f>IF('ORDENES'!$A1164="","",IF('ORDENES'!$AA1164="","-",'ORDENES'!$AA1164))</f>
        <v/>
      </c>
      <c r="E1186" s="5">
        <f>IF('ORDENES'!$A1164="","",IF('ORDENES'!$Y1164="","-",'ORDENES'!$Y1164))</f>
        <v/>
      </c>
      <c r="F1186" s="5">
        <f>IF('ORDENES'!$A1164="","",IF('ORDENES'!$AB1164="","-",'ORDENES'!$AB1164))</f>
        <v/>
      </c>
      <c r="G1186" s="5">
        <f>IF('ORDENES'!$A1164="","",IF('ORDENES'!$Z1164="","-",'ORDENES'!$Z1164))</f>
        <v/>
      </c>
      <c r="H1186" s="5">
        <f>IF('ORDENES'!$A1164="","",IF('ORDENES'!$AH1164="","-",'ORDENES'!$AH1164))</f>
        <v/>
      </c>
      <c r="I1186" s="5">
        <f>IF('ORDENES'!$A1164="","",IF('ORDENES'!$AU1164="","-",'ORDENES'!$AU1164))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3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IF('ORDENES'!$A1164="","",'ORDENES'!$AG1164)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IF('ORDENES'!$A1165="","",IF('ORDENES'!$AI1165="","-",'ORDENES'!$AI1165))</f>
        <v/>
      </c>
      <c r="D1187" s="5">
        <f>IF('ORDENES'!$A1165="","",IF('ORDENES'!$AA1165="","-",'ORDENES'!$AA1165))</f>
        <v/>
      </c>
      <c r="E1187" s="5">
        <f>IF('ORDENES'!$A1165="","",IF('ORDENES'!$Y1165="","-",'ORDENES'!$Y1165))</f>
        <v/>
      </c>
      <c r="F1187" s="5">
        <f>IF('ORDENES'!$A1165="","",IF('ORDENES'!$AB1165="","-",'ORDENES'!$AB1165))</f>
        <v/>
      </c>
      <c r="G1187" s="5">
        <f>IF('ORDENES'!$A1165="","",IF('ORDENES'!$Z1165="","-",'ORDENES'!$Z1165))</f>
        <v/>
      </c>
      <c r="H1187" s="5">
        <f>IF('ORDENES'!$A1165="","",IF('ORDENES'!$AH1165="","-",'ORDENES'!$AH1165))</f>
        <v/>
      </c>
      <c r="I1187" s="5">
        <f>IF('ORDENES'!$A1165="","",IF('ORDENES'!$AU1165="","-",'ORDENES'!$AU1165))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3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IF('ORDENES'!$A1165="","",'ORDENES'!$AG1165)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IF('ORDENES'!$A1166="","",IF('ORDENES'!$AI1166="","-",'ORDENES'!$AI1166))</f>
        <v/>
      </c>
      <c r="D1188" s="5">
        <f>IF('ORDENES'!$A1166="","",IF('ORDENES'!$AA1166="","-",'ORDENES'!$AA1166))</f>
        <v/>
      </c>
      <c r="E1188" s="5">
        <f>IF('ORDENES'!$A1166="","",IF('ORDENES'!$Y1166="","-",'ORDENES'!$Y1166))</f>
        <v/>
      </c>
      <c r="F1188" s="5">
        <f>IF('ORDENES'!$A1166="","",IF('ORDENES'!$AB1166="","-",'ORDENES'!$AB1166))</f>
        <v/>
      </c>
      <c r="G1188" s="5">
        <f>IF('ORDENES'!$A1166="","",IF('ORDENES'!$Z1166="","-",'ORDENES'!$Z1166))</f>
        <v/>
      </c>
      <c r="H1188" s="5">
        <f>IF('ORDENES'!$A1166="","",IF('ORDENES'!$AH1166="","-",'ORDENES'!$AH1166))</f>
        <v/>
      </c>
      <c r="I1188" s="5">
        <f>IF('ORDENES'!$A1166="","",IF('ORDENES'!$AU1166="","-",'ORDENES'!$AU1166))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3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IF('ORDENES'!$A1166="","",'ORDENES'!$AG1166)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IF('ORDENES'!$A1167="","",IF('ORDENES'!$AI1167="","-",'ORDENES'!$AI1167))</f>
        <v/>
      </c>
      <c r="D1189" s="5">
        <f>IF('ORDENES'!$A1167="","",IF('ORDENES'!$AA1167="","-",'ORDENES'!$AA1167))</f>
        <v/>
      </c>
      <c r="E1189" s="5">
        <f>IF('ORDENES'!$A1167="","",IF('ORDENES'!$Y1167="","-",'ORDENES'!$Y1167))</f>
        <v/>
      </c>
      <c r="F1189" s="5">
        <f>IF('ORDENES'!$A1167="","",IF('ORDENES'!$AB1167="","-",'ORDENES'!$AB1167))</f>
        <v/>
      </c>
      <c r="G1189" s="5">
        <f>IF('ORDENES'!$A1167="","",IF('ORDENES'!$Z1167="","-",'ORDENES'!$Z1167))</f>
        <v/>
      </c>
      <c r="H1189" s="5">
        <f>IF('ORDENES'!$A1167="","",IF('ORDENES'!$AH1167="","-",'ORDENES'!$AH1167))</f>
        <v/>
      </c>
      <c r="I1189" s="5">
        <f>IF('ORDENES'!$A1167="","",IF('ORDENES'!$AU1167="","-",'ORDENES'!$AU1167))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3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IF('ORDENES'!$A1167="","",'ORDENES'!$AG1167)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IF('ORDENES'!$A1168="","",IF('ORDENES'!$AI1168="","-",'ORDENES'!$AI1168))</f>
        <v/>
      </c>
      <c r="D1190" s="5">
        <f>IF('ORDENES'!$A1168="","",IF('ORDENES'!$AA1168="","-",'ORDENES'!$AA1168))</f>
        <v/>
      </c>
      <c r="E1190" s="5">
        <f>IF('ORDENES'!$A1168="","",IF('ORDENES'!$Y1168="","-",'ORDENES'!$Y1168))</f>
        <v/>
      </c>
      <c r="F1190" s="5">
        <f>IF('ORDENES'!$A1168="","",IF('ORDENES'!$AB1168="","-",'ORDENES'!$AB1168))</f>
        <v/>
      </c>
      <c r="G1190" s="5">
        <f>IF('ORDENES'!$A1168="","",IF('ORDENES'!$Z1168="","-",'ORDENES'!$Z1168))</f>
        <v/>
      </c>
      <c r="H1190" s="5">
        <f>IF('ORDENES'!$A1168="","",IF('ORDENES'!$AH1168="","-",'ORDENES'!$AH1168))</f>
        <v/>
      </c>
      <c r="I1190" s="5">
        <f>IF('ORDENES'!$A1168="","",IF('ORDENES'!$AU1168="","-",'ORDENES'!$AU1168))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3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IF('ORDENES'!$A1168="","",'ORDENES'!$AG1168)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IF('ORDENES'!$A1169="","",IF('ORDENES'!$AI1169="","-",'ORDENES'!$AI1169))</f>
        <v/>
      </c>
      <c r="D1191" s="5">
        <f>IF('ORDENES'!$A1169="","",IF('ORDENES'!$AA1169="","-",'ORDENES'!$AA1169))</f>
        <v/>
      </c>
      <c r="E1191" s="5">
        <f>IF('ORDENES'!$A1169="","",IF('ORDENES'!$Y1169="","-",'ORDENES'!$Y1169))</f>
        <v/>
      </c>
      <c r="F1191" s="5">
        <f>IF('ORDENES'!$A1169="","",IF('ORDENES'!$AB1169="","-",'ORDENES'!$AB1169))</f>
        <v/>
      </c>
      <c r="G1191" s="5">
        <f>IF('ORDENES'!$A1169="","",IF('ORDENES'!$Z1169="","-",'ORDENES'!$Z1169))</f>
        <v/>
      </c>
      <c r="H1191" s="5">
        <f>IF('ORDENES'!$A1169="","",IF('ORDENES'!$AH1169="","-",'ORDENES'!$AH1169))</f>
        <v/>
      </c>
      <c r="I1191" s="5">
        <f>IF('ORDENES'!$A1169="","",IF('ORDENES'!$AU1169="","-",'ORDENES'!$AU1169))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3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IF('ORDENES'!$A1169="","",'ORDENES'!$AG1169)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IF('ORDENES'!$A1170="","",IF('ORDENES'!$AI1170="","-",'ORDENES'!$AI1170))</f>
        <v/>
      </c>
      <c r="D1192" s="5">
        <f>IF('ORDENES'!$A1170="","",IF('ORDENES'!$AA1170="","-",'ORDENES'!$AA1170))</f>
        <v/>
      </c>
      <c r="E1192" s="5">
        <f>IF('ORDENES'!$A1170="","",IF('ORDENES'!$Y1170="","-",'ORDENES'!$Y1170))</f>
        <v/>
      </c>
      <c r="F1192" s="5">
        <f>IF('ORDENES'!$A1170="","",IF('ORDENES'!$AB1170="","-",'ORDENES'!$AB1170))</f>
        <v/>
      </c>
      <c r="G1192" s="5">
        <f>IF('ORDENES'!$A1170="","",IF('ORDENES'!$Z1170="","-",'ORDENES'!$Z1170))</f>
        <v/>
      </c>
      <c r="H1192" s="5">
        <f>IF('ORDENES'!$A1170="","",IF('ORDENES'!$AH1170="","-",'ORDENES'!$AH1170))</f>
        <v/>
      </c>
      <c r="I1192" s="5">
        <f>IF('ORDENES'!$A1170="","",IF('ORDENES'!$AU1170="","-",'ORDENES'!$AU1170))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3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IF('ORDENES'!$A1170="","",'ORDENES'!$AG1170)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IF('ORDENES'!$A1171="","",IF('ORDENES'!$AI1171="","-",'ORDENES'!$AI1171))</f>
        <v/>
      </c>
      <c r="D1193" s="5">
        <f>IF('ORDENES'!$A1171="","",IF('ORDENES'!$AA1171="","-",'ORDENES'!$AA1171))</f>
        <v/>
      </c>
      <c r="E1193" s="5">
        <f>IF('ORDENES'!$A1171="","",IF('ORDENES'!$Y1171="","-",'ORDENES'!$Y1171))</f>
        <v/>
      </c>
      <c r="F1193" s="5">
        <f>IF('ORDENES'!$A1171="","",IF('ORDENES'!$AB1171="","-",'ORDENES'!$AB1171))</f>
        <v/>
      </c>
      <c r="G1193" s="5">
        <f>IF('ORDENES'!$A1171="","",IF('ORDENES'!$Z1171="","-",'ORDENES'!$Z1171))</f>
        <v/>
      </c>
      <c r="H1193" s="5">
        <f>IF('ORDENES'!$A1171="","",IF('ORDENES'!$AH1171="","-",'ORDENES'!$AH1171))</f>
        <v/>
      </c>
      <c r="I1193" s="5">
        <f>IF('ORDENES'!$A1171="","",IF('ORDENES'!$AU1171="","-",'ORDENES'!$AU1171))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3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IF('ORDENES'!$A1171="","",'ORDENES'!$AG1171)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IF('ORDENES'!$A1172="","",IF('ORDENES'!$AI1172="","-",'ORDENES'!$AI1172))</f>
        <v/>
      </c>
      <c r="D1194" s="5">
        <f>IF('ORDENES'!$A1172="","",IF('ORDENES'!$AA1172="","-",'ORDENES'!$AA1172))</f>
        <v/>
      </c>
      <c r="E1194" s="5">
        <f>IF('ORDENES'!$A1172="","",IF('ORDENES'!$Y1172="","-",'ORDENES'!$Y1172))</f>
        <v/>
      </c>
      <c r="F1194" s="5">
        <f>IF('ORDENES'!$A1172="","",IF('ORDENES'!$AB1172="","-",'ORDENES'!$AB1172))</f>
        <v/>
      </c>
      <c r="G1194" s="5">
        <f>IF('ORDENES'!$A1172="","",IF('ORDENES'!$Z1172="","-",'ORDENES'!$Z1172))</f>
        <v/>
      </c>
      <c r="H1194" s="5">
        <f>IF('ORDENES'!$A1172="","",IF('ORDENES'!$AH1172="","-",'ORDENES'!$AH1172))</f>
        <v/>
      </c>
      <c r="I1194" s="5">
        <f>IF('ORDENES'!$A1172="","",IF('ORDENES'!$AU1172="","-",'ORDENES'!$AU1172))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3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IF('ORDENES'!$A1172="","",'ORDENES'!$AG1172)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IF('ORDENES'!$A1173="","",IF('ORDENES'!$AI1173="","-",'ORDENES'!$AI1173))</f>
        <v/>
      </c>
      <c r="D1195" s="5">
        <f>IF('ORDENES'!$A1173="","",IF('ORDENES'!$AA1173="","-",'ORDENES'!$AA1173))</f>
        <v/>
      </c>
      <c r="E1195" s="5">
        <f>IF('ORDENES'!$A1173="","",IF('ORDENES'!$Y1173="","-",'ORDENES'!$Y1173))</f>
        <v/>
      </c>
      <c r="F1195" s="5">
        <f>IF('ORDENES'!$A1173="","",IF('ORDENES'!$AB1173="","-",'ORDENES'!$AB1173))</f>
        <v/>
      </c>
      <c r="G1195" s="5">
        <f>IF('ORDENES'!$A1173="","",IF('ORDENES'!$Z1173="","-",'ORDENES'!$Z1173))</f>
        <v/>
      </c>
      <c r="H1195" s="5">
        <f>IF('ORDENES'!$A1173="","",IF('ORDENES'!$AH1173="","-",'ORDENES'!$AH1173))</f>
        <v/>
      </c>
      <c r="I1195" s="5">
        <f>IF('ORDENES'!$A1173="","",IF('ORDENES'!$AU1173="","-",'ORDENES'!$AU1173))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3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IF('ORDENES'!$A1173="","",'ORDENES'!$AG1173)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IF('ORDENES'!$A1174="","",IF('ORDENES'!$AI1174="","-",'ORDENES'!$AI1174))</f>
        <v/>
      </c>
      <c r="D1196" s="5">
        <f>IF('ORDENES'!$A1174="","",IF('ORDENES'!$AA1174="","-",'ORDENES'!$AA1174))</f>
        <v/>
      </c>
      <c r="E1196" s="5">
        <f>IF('ORDENES'!$A1174="","",IF('ORDENES'!$Y1174="","-",'ORDENES'!$Y1174))</f>
        <v/>
      </c>
      <c r="F1196" s="5">
        <f>IF('ORDENES'!$A1174="","",IF('ORDENES'!$AB1174="","-",'ORDENES'!$AB1174))</f>
        <v/>
      </c>
      <c r="G1196" s="5">
        <f>IF('ORDENES'!$A1174="","",IF('ORDENES'!$Z1174="","-",'ORDENES'!$Z1174))</f>
        <v/>
      </c>
      <c r="H1196" s="5">
        <f>IF('ORDENES'!$A1174="","",IF('ORDENES'!$AH1174="","-",'ORDENES'!$AH1174))</f>
        <v/>
      </c>
      <c r="I1196" s="5">
        <f>IF('ORDENES'!$A1174="","",IF('ORDENES'!$AU1174="","-",'ORDENES'!$AU1174))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3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IF('ORDENES'!$A1174="","",'ORDENES'!$AG1174)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IF('ORDENES'!$A1175="","",IF('ORDENES'!$AI1175="","-",'ORDENES'!$AI1175))</f>
        <v/>
      </c>
      <c r="D1197" s="5">
        <f>IF('ORDENES'!$A1175="","",IF('ORDENES'!$AA1175="","-",'ORDENES'!$AA1175))</f>
        <v/>
      </c>
      <c r="E1197" s="5">
        <f>IF('ORDENES'!$A1175="","",IF('ORDENES'!$Y1175="","-",'ORDENES'!$Y1175))</f>
        <v/>
      </c>
      <c r="F1197" s="5">
        <f>IF('ORDENES'!$A1175="","",IF('ORDENES'!$AB1175="","-",'ORDENES'!$AB1175))</f>
        <v/>
      </c>
      <c r="G1197" s="5">
        <f>IF('ORDENES'!$A1175="","",IF('ORDENES'!$Z1175="","-",'ORDENES'!$Z1175))</f>
        <v/>
      </c>
      <c r="H1197" s="5">
        <f>IF('ORDENES'!$A1175="","",IF('ORDENES'!$AH1175="","-",'ORDENES'!$AH1175))</f>
        <v/>
      </c>
      <c r="I1197" s="5">
        <f>IF('ORDENES'!$A1175="","",IF('ORDENES'!$AU1175="","-",'ORDENES'!$AU1175))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3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IF('ORDENES'!$A1175="","",'ORDENES'!$AG1175)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IF('ORDENES'!$A1176="","",IF('ORDENES'!$AI1176="","-",'ORDENES'!$AI1176))</f>
        <v/>
      </c>
      <c r="D1198" s="5">
        <f>IF('ORDENES'!$A1176="","",IF('ORDENES'!$AA1176="","-",'ORDENES'!$AA1176))</f>
        <v/>
      </c>
      <c r="E1198" s="5">
        <f>IF('ORDENES'!$A1176="","",IF('ORDENES'!$Y1176="","-",'ORDENES'!$Y1176))</f>
        <v/>
      </c>
      <c r="F1198" s="5">
        <f>IF('ORDENES'!$A1176="","",IF('ORDENES'!$AB1176="","-",'ORDENES'!$AB1176))</f>
        <v/>
      </c>
      <c r="G1198" s="5">
        <f>IF('ORDENES'!$A1176="","",IF('ORDENES'!$Z1176="","-",'ORDENES'!$Z1176))</f>
        <v/>
      </c>
      <c r="H1198" s="5">
        <f>IF('ORDENES'!$A1176="","",IF('ORDENES'!$AH1176="","-",'ORDENES'!$AH1176))</f>
        <v/>
      </c>
      <c r="I1198" s="5">
        <f>IF('ORDENES'!$A1176="","",IF('ORDENES'!$AU1176="","-",'ORDENES'!$AU1176))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3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IF('ORDENES'!$A1176="","",'ORDENES'!$AG1176)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IF('ORDENES'!$A1177="","",IF('ORDENES'!$AI1177="","-",'ORDENES'!$AI1177))</f>
        <v/>
      </c>
      <c r="D1199" s="5">
        <f>IF('ORDENES'!$A1177="","",IF('ORDENES'!$AA1177="","-",'ORDENES'!$AA1177))</f>
        <v/>
      </c>
      <c r="E1199" s="5">
        <f>IF('ORDENES'!$A1177="","",IF('ORDENES'!$Y1177="","-",'ORDENES'!$Y1177))</f>
        <v/>
      </c>
      <c r="F1199" s="5">
        <f>IF('ORDENES'!$A1177="","",IF('ORDENES'!$AB1177="","-",'ORDENES'!$AB1177))</f>
        <v/>
      </c>
      <c r="G1199" s="5">
        <f>IF('ORDENES'!$A1177="","",IF('ORDENES'!$Z1177="","-",'ORDENES'!$Z1177))</f>
        <v/>
      </c>
      <c r="H1199" s="5">
        <f>IF('ORDENES'!$A1177="","",IF('ORDENES'!$AH1177="","-",'ORDENES'!$AH1177))</f>
        <v/>
      </c>
      <c r="I1199" s="5">
        <f>IF('ORDENES'!$A1177="","",IF('ORDENES'!$AU1177="","-",'ORDENES'!$AU1177))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3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IF('ORDENES'!$A1177="","",'ORDENES'!$AG1177)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IF('ORDENES'!$A1178="","",IF('ORDENES'!$AI1178="","-",'ORDENES'!$AI1178))</f>
        <v/>
      </c>
      <c r="D1200" s="5">
        <f>IF('ORDENES'!$A1178="","",IF('ORDENES'!$AA1178="","-",'ORDENES'!$AA1178))</f>
        <v/>
      </c>
      <c r="E1200" s="5">
        <f>IF('ORDENES'!$A1178="","",IF('ORDENES'!$Y1178="","-",'ORDENES'!$Y1178))</f>
        <v/>
      </c>
      <c r="F1200" s="5">
        <f>IF('ORDENES'!$A1178="","",IF('ORDENES'!$AB1178="","-",'ORDENES'!$AB1178))</f>
        <v/>
      </c>
      <c r="G1200" s="5">
        <f>IF('ORDENES'!$A1178="","",IF('ORDENES'!$Z1178="","-",'ORDENES'!$Z1178))</f>
        <v/>
      </c>
      <c r="H1200" s="5">
        <f>IF('ORDENES'!$A1178="","",IF('ORDENES'!$AH1178="","-",'ORDENES'!$AH1178))</f>
        <v/>
      </c>
      <c r="I1200" s="5">
        <f>IF('ORDENES'!$A1178="","",IF('ORDENES'!$AU1178="","-",'ORDENES'!$AU1178))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3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IF('ORDENES'!$A1178="","",'ORDENES'!$AG1178)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IF('ORDENES'!$A1179="","",IF('ORDENES'!$AI1179="","-",'ORDENES'!$AI1179))</f>
        <v/>
      </c>
      <c r="D1201" s="5">
        <f>IF('ORDENES'!$A1179="","",IF('ORDENES'!$AA1179="","-",'ORDENES'!$AA1179))</f>
        <v/>
      </c>
      <c r="E1201" s="5">
        <f>IF('ORDENES'!$A1179="","",IF('ORDENES'!$Y1179="","-",'ORDENES'!$Y1179))</f>
        <v/>
      </c>
      <c r="F1201" s="5">
        <f>IF('ORDENES'!$A1179="","",IF('ORDENES'!$AB1179="","-",'ORDENES'!$AB1179))</f>
        <v/>
      </c>
      <c r="G1201" s="5">
        <f>IF('ORDENES'!$A1179="","",IF('ORDENES'!$Z1179="","-",'ORDENES'!$Z1179))</f>
        <v/>
      </c>
      <c r="H1201" s="5">
        <f>IF('ORDENES'!$A1179="","",IF('ORDENES'!$AH1179="","-",'ORDENES'!$AH1179))</f>
        <v/>
      </c>
      <c r="I1201" s="5">
        <f>IF('ORDENES'!$A1179="","",IF('ORDENES'!$AU1179="","-",'ORDENES'!$AU1179))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3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IF('ORDENES'!$A1179="","",'ORDENES'!$AG1179)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IF('ORDENES'!$A1180="","",IF('ORDENES'!$AI1180="","-",'ORDENES'!$AI1180))</f>
        <v/>
      </c>
      <c r="D1202" s="5">
        <f>IF('ORDENES'!$A1180="","",IF('ORDENES'!$AA1180="","-",'ORDENES'!$AA1180))</f>
        <v/>
      </c>
      <c r="E1202" s="5">
        <f>IF('ORDENES'!$A1180="","",IF('ORDENES'!$Y1180="","-",'ORDENES'!$Y1180))</f>
        <v/>
      </c>
      <c r="F1202" s="5">
        <f>IF('ORDENES'!$A1180="","",IF('ORDENES'!$AB1180="","-",'ORDENES'!$AB1180))</f>
        <v/>
      </c>
      <c r="G1202" s="5">
        <f>IF('ORDENES'!$A1180="","",IF('ORDENES'!$Z1180="","-",'ORDENES'!$Z1180))</f>
        <v/>
      </c>
      <c r="H1202" s="5">
        <f>IF('ORDENES'!$A1180="","",IF('ORDENES'!$AH1180="","-",'ORDENES'!$AH1180))</f>
        <v/>
      </c>
      <c r="I1202" s="5">
        <f>IF('ORDENES'!$A1180="","",IF('ORDENES'!$AU1180="","-",'ORDENES'!$AU1180))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3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IF('ORDENES'!$A1180="","",'ORDENES'!$AG1180)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IF('ORDENES'!$A1181="","",IF('ORDENES'!$AI1181="","-",'ORDENES'!$AI1181))</f>
        <v/>
      </c>
      <c r="D1203" s="5">
        <f>IF('ORDENES'!$A1181="","",IF('ORDENES'!$AA1181="","-",'ORDENES'!$AA1181))</f>
        <v/>
      </c>
      <c r="E1203" s="5">
        <f>IF('ORDENES'!$A1181="","",IF('ORDENES'!$Y1181="","-",'ORDENES'!$Y1181))</f>
        <v/>
      </c>
      <c r="F1203" s="5">
        <f>IF('ORDENES'!$A1181="","",IF('ORDENES'!$AB1181="","-",'ORDENES'!$AB1181))</f>
        <v/>
      </c>
      <c r="G1203" s="5">
        <f>IF('ORDENES'!$A1181="","",IF('ORDENES'!$Z1181="","-",'ORDENES'!$Z1181))</f>
        <v/>
      </c>
      <c r="H1203" s="5">
        <f>IF('ORDENES'!$A1181="","",IF('ORDENES'!$AH1181="","-",'ORDENES'!$AH1181))</f>
        <v/>
      </c>
      <c r="I1203" s="5">
        <f>IF('ORDENES'!$A1181="","",IF('ORDENES'!$AU1181="","-",'ORDENES'!$AU1181))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3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IF('ORDENES'!$A1181="","",'ORDENES'!$AG1181)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IF('ORDENES'!$A1182="","",IF('ORDENES'!$AI1182="","-",'ORDENES'!$AI1182))</f>
        <v/>
      </c>
      <c r="D1204" s="5">
        <f>IF('ORDENES'!$A1182="","",IF('ORDENES'!$AA1182="","-",'ORDENES'!$AA1182))</f>
        <v/>
      </c>
      <c r="E1204" s="5">
        <f>IF('ORDENES'!$A1182="","",IF('ORDENES'!$Y1182="","-",'ORDENES'!$Y1182))</f>
        <v/>
      </c>
      <c r="F1204" s="5">
        <f>IF('ORDENES'!$A1182="","",IF('ORDENES'!$AB1182="","-",'ORDENES'!$AB1182))</f>
        <v/>
      </c>
      <c r="G1204" s="5">
        <f>IF('ORDENES'!$A1182="","",IF('ORDENES'!$Z1182="","-",'ORDENES'!$Z1182))</f>
        <v/>
      </c>
      <c r="H1204" s="5">
        <f>IF('ORDENES'!$A1182="","",IF('ORDENES'!$AH1182="","-",'ORDENES'!$AH1182))</f>
        <v/>
      </c>
      <c r="I1204" s="5">
        <f>IF('ORDENES'!$A1182="","",IF('ORDENES'!$AU1182="","-",'ORDENES'!$AU1182))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3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IF('ORDENES'!$A1182="","",'ORDENES'!$AG1182)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IF('ORDENES'!$A1183="","",IF('ORDENES'!$AI1183="","-",'ORDENES'!$AI1183))</f>
        <v/>
      </c>
      <c r="D1205" s="5">
        <f>IF('ORDENES'!$A1183="","",IF('ORDENES'!$AA1183="","-",'ORDENES'!$AA1183))</f>
        <v/>
      </c>
      <c r="E1205" s="5">
        <f>IF('ORDENES'!$A1183="","",IF('ORDENES'!$Y1183="","-",'ORDENES'!$Y1183))</f>
        <v/>
      </c>
      <c r="F1205" s="5">
        <f>IF('ORDENES'!$A1183="","",IF('ORDENES'!$AB1183="","-",'ORDENES'!$AB1183))</f>
        <v/>
      </c>
      <c r="G1205" s="5">
        <f>IF('ORDENES'!$A1183="","",IF('ORDENES'!$Z1183="","-",'ORDENES'!$Z1183))</f>
        <v/>
      </c>
      <c r="H1205" s="5">
        <f>IF('ORDENES'!$A1183="","",IF('ORDENES'!$AH1183="","-",'ORDENES'!$AH1183))</f>
        <v/>
      </c>
      <c r="I1205" s="5">
        <f>IF('ORDENES'!$A1183="","",IF('ORDENES'!$AU1183="","-",'ORDENES'!$AU1183))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3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IF('ORDENES'!$A1183="","",'ORDENES'!$AG1183)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IF('ORDENES'!$A1184="","",IF('ORDENES'!$AI1184="","-",'ORDENES'!$AI1184))</f>
        <v/>
      </c>
      <c r="D1206" s="5">
        <f>IF('ORDENES'!$A1184="","",IF('ORDENES'!$AA1184="","-",'ORDENES'!$AA1184))</f>
        <v/>
      </c>
      <c r="E1206" s="5">
        <f>IF('ORDENES'!$A1184="","",IF('ORDENES'!$Y1184="","-",'ORDENES'!$Y1184))</f>
        <v/>
      </c>
      <c r="F1206" s="5">
        <f>IF('ORDENES'!$A1184="","",IF('ORDENES'!$AB1184="","-",'ORDENES'!$AB1184))</f>
        <v/>
      </c>
      <c r="G1206" s="5">
        <f>IF('ORDENES'!$A1184="","",IF('ORDENES'!$Z1184="","-",'ORDENES'!$Z1184))</f>
        <v/>
      </c>
      <c r="H1206" s="5">
        <f>IF('ORDENES'!$A1184="","",IF('ORDENES'!$AH1184="","-",'ORDENES'!$AH1184))</f>
        <v/>
      </c>
      <c r="I1206" s="5">
        <f>IF('ORDENES'!$A1184="","",IF('ORDENES'!$AU1184="","-",'ORDENES'!$AU1184))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3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IF('ORDENES'!$A1184="","",'ORDENES'!$AG1184)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IF('ORDENES'!$A1185="","",IF('ORDENES'!$AI1185="","-",'ORDENES'!$AI1185))</f>
        <v/>
      </c>
      <c r="D1207" s="5">
        <f>IF('ORDENES'!$A1185="","",IF('ORDENES'!$AA1185="","-",'ORDENES'!$AA1185))</f>
        <v/>
      </c>
      <c r="E1207" s="5">
        <f>IF('ORDENES'!$A1185="","",IF('ORDENES'!$Y1185="","-",'ORDENES'!$Y1185))</f>
        <v/>
      </c>
      <c r="F1207" s="5">
        <f>IF('ORDENES'!$A1185="","",IF('ORDENES'!$AB1185="","-",'ORDENES'!$AB1185))</f>
        <v/>
      </c>
      <c r="G1207" s="5">
        <f>IF('ORDENES'!$A1185="","",IF('ORDENES'!$Z1185="","-",'ORDENES'!$Z1185))</f>
        <v/>
      </c>
      <c r="H1207" s="5">
        <f>IF('ORDENES'!$A1185="","",IF('ORDENES'!$AH1185="","-",'ORDENES'!$AH1185))</f>
        <v/>
      </c>
      <c r="I1207" s="5">
        <f>IF('ORDENES'!$A1185="","",IF('ORDENES'!$AU1185="","-",'ORDENES'!$AU1185))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3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IF('ORDENES'!$A1185="","",'ORDENES'!$AG1185)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IF('ORDENES'!$A1186="","",IF('ORDENES'!$AI1186="","-",'ORDENES'!$AI1186))</f>
        <v/>
      </c>
      <c r="D1208" s="5">
        <f>IF('ORDENES'!$A1186="","",IF('ORDENES'!$AA1186="","-",'ORDENES'!$AA1186))</f>
        <v/>
      </c>
      <c r="E1208" s="5">
        <f>IF('ORDENES'!$A1186="","",IF('ORDENES'!$Y1186="","-",'ORDENES'!$Y1186))</f>
        <v/>
      </c>
      <c r="F1208" s="5">
        <f>IF('ORDENES'!$A1186="","",IF('ORDENES'!$AB1186="","-",'ORDENES'!$AB1186))</f>
        <v/>
      </c>
      <c r="G1208" s="5">
        <f>IF('ORDENES'!$A1186="","",IF('ORDENES'!$Z1186="","-",'ORDENES'!$Z1186))</f>
        <v/>
      </c>
      <c r="H1208" s="5">
        <f>IF('ORDENES'!$A1186="","",IF('ORDENES'!$AH1186="","-",'ORDENES'!$AH1186))</f>
        <v/>
      </c>
      <c r="I1208" s="5">
        <f>IF('ORDENES'!$A1186="","",IF('ORDENES'!$AU1186="","-",'ORDENES'!$AU1186))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3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IF('ORDENES'!$A1186="","",'ORDENES'!$AG1186)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IF('ORDENES'!$A1187="","",IF('ORDENES'!$AI1187="","-",'ORDENES'!$AI1187))</f>
        <v/>
      </c>
      <c r="D1209" s="5">
        <f>IF('ORDENES'!$A1187="","",IF('ORDENES'!$AA1187="","-",'ORDENES'!$AA1187))</f>
        <v/>
      </c>
      <c r="E1209" s="5">
        <f>IF('ORDENES'!$A1187="","",IF('ORDENES'!$Y1187="","-",'ORDENES'!$Y1187))</f>
        <v/>
      </c>
      <c r="F1209" s="5">
        <f>IF('ORDENES'!$A1187="","",IF('ORDENES'!$AB1187="","-",'ORDENES'!$AB1187))</f>
        <v/>
      </c>
      <c r="G1209" s="5">
        <f>IF('ORDENES'!$A1187="","",IF('ORDENES'!$Z1187="","-",'ORDENES'!$Z1187))</f>
        <v/>
      </c>
      <c r="H1209" s="5">
        <f>IF('ORDENES'!$A1187="","",IF('ORDENES'!$AH1187="","-",'ORDENES'!$AH1187))</f>
        <v/>
      </c>
      <c r="I1209" s="5">
        <f>IF('ORDENES'!$A1187="","",IF('ORDENES'!$AU1187="","-",'ORDENES'!$AU1187))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3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IF('ORDENES'!$A1187="","",'ORDENES'!$AG1187)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IF('ORDENES'!$A1188="","",IF('ORDENES'!$AI1188="","-",'ORDENES'!$AI1188))</f>
        <v/>
      </c>
      <c r="D1210" s="5">
        <f>IF('ORDENES'!$A1188="","",IF('ORDENES'!$AA1188="","-",'ORDENES'!$AA1188))</f>
        <v/>
      </c>
      <c r="E1210" s="5">
        <f>IF('ORDENES'!$A1188="","",IF('ORDENES'!$Y1188="","-",'ORDENES'!$Y1188))</f>
        <v/>
      </c>
      <c r="F1210" s="5">
        <f>IF('ORDENES'!$A1188="","",IF('ORDENES'!$AB1188="","-",'ORDENES'!$AB1188))</f>
        <v/>
      </c>
      <c r="G1210" s="5">
        <f>IF('ORDENES'!$A1188="","",IF('ORDENES'!$Z1188="","-",'ORDENES'!$Z1188))</f>
        <v/>
      </c>
      <c r="H1210" s="5">
        <f>IF('ORDENES'!$A1188="","",IF('ORDENES'!$AH1188="","-",'ORDENES'!$AH1188))</f>
        <v/>
      </c>
      <c r="I1210" s="5">
        <f>IF('ORDENES'!$A1188="","",IF('ORDENES'!$AU1188="","-",'ORDENES'!$AU1188))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3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IF('ORDENES'!$A1188="","",'ORDENES'!$AG1188)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IF('ORDENES'!$A1189="","",IF('ORDENES'!$AI1189="","-",'ORDENES'!$AI1189))</f>
        <v/>
      </c>
      <c r="D1211" s="5">
        <f>IF('ORDENES'!$A1189="","",IF('ORDENES'!$AA1189="","-",'ORDENES'!$AA1189))</f>
        <v/>
      </c>
      <c r="E1211" s="5">
        <f>IF('ORDENES'!$A1189="","",IF('ORDENES'!$Y1189="","-",'ORDENES'!$Y1189))</f>
        <v/>
      </c>
      <c r="F1211" s="5">
        <f>IF('ORDENES'!$A1189="","",IF('ORDENES'!$AB1189="","-",'ORDENES'!$AB1189))</f>
        <v/>
      </c>
      <c r="G1211" s="5">
        <f>IF('ORDENES'!$A1189="","",IF('ORDENES'!$Z1189="","-",'ORDENES'!$Z1189))</f>
        <v/>
      </c>
      <c r="H1211" s="5">
        <f>IF('ORDENES'!$A1189="","",IF('ORDENES'!$AH1189="","-",'ORDENES'!$AH1189))</f>
        <v/>
      </c>
      <c r="I1211" s="5">
        <f>IF('ORDENES'!$A1189="","",IF('ORDENES'!$AU1189="","-",'ORDENES'!$AU1189))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3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IF('ORDENES'!$A1189="","",'ORDENES'!$AG1189)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IF('ORDENES'!$A1190="","",IF('ORDENES'!$AI1190="","-",'ORDENES'!$AI1190))</f>
        <v/>
      </c>
      <c r="D1212" s="5">
        <f>IF('ORDENES'!$A1190="","",IF('ORDENES'!$AA1190="","-",'ORDENES'!$AA1190))</f>
        <v/>
      </c>
      <c r="E1212" s="5">
        <f>IF('ORDENES'!$A1190="","",IF('ORDENES'!$Y1190="","-",'ORDENES'!$Y1190))</f>
        <v/>
      </c>
      <c r="F1212" s="5">
        <f>IF('ORDENES'!$A1190="","",IF('ORDENES'!$AB1190="","-",'ORDENES'!$AB1190))</f>
        <v/>
      </c>
      <c r="G1212" s="5">
        <f>IF('ORDENES'!$A1190="","",IF('ORDENES'!$Z1190="","-",'ORDENES'!$Z1190))</f>
        <v/>
      </c>
      <c r="H1212" s="5">
        <f>IF('ORDENES'!$A1190="","",IF('ORDENES'!$AH1190="","-",'ORDENES'!$AH1190))</f>
        <v/>
      </c>
      <c r="I1212" s="5">
        <f>IF('ORDENES'!$A1190="","",IF('ORDENES'!$AU1190="","-",'ORDENES'!$AU1190))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3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IF('ORDENES'!$A1190="","",'ORDENES'!$AG1190)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IF('ORDENES'!$A1191="","",IF('ORDENES'!$AI1191="","-",'ORDENES'!$AI1191))</f>
        <v/>
      </c>
      <c r="D1213" s="5">
        <f>IF('ORDENES'!$A1191="","",IF('ORDENES'!$AA1191="","-",'ORDENES'!$AA1191))</f>
        <v/>
      </c>
      <c r="E1213" s="5">
        <f>IF('ORDENES'!$A1191="","",IF('ORDENES'!$Y1191="","-",'ORDENES'!$Y1191))</f>
        <v/>
      </c>
      <c r="F1213" s="5">
        <f>IF('ORDENES'!$A1191="","",IF('ORDENES'!$AB1191="","-",'ORDENES'!$AB1191))</f>
        <v/>
      </c>
      <c r="G1213" s="5">
        <f>IF('ORDENES'!$A1191="","",IF('ORDENES'!$Z1191="","-",'ORDENES'!$Z1191))</f>
        <v/>
      </c>
      <c r="H1213" s="5">
        <f>IF('ORDENES'!$A1191="","",IF('ORDENES'!$AH1191="","-",'ORDENES'!$AH1191))</f>
        <v/>
      </c>
      <c r="I1213" s="5">
        <f>IF('ORDENES'!$A1191="","",IF('ORDENES'!$AU1191="","-",'ORDENES'!$AU1191))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3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IF('ORDENES'!$A1191="","",'ORDENES'!$AG1191)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IF('ORDENES'!$A1192="","",IF('ORDENES'!$AI1192="","-",'ORDENES'!$AI1192))</f>
        <v/>
      </c>
      <c r="D1214" s="5">
        <f>IF('ORDENES'!$A1192="","",IF('ORDENES'!$AA1192="","-",'ORDENES'!$AA1192))</f>
        <v/>
      </c>
      <c r="E1214" s="5">
        <f>IF('ORDENES'!$A1192="","",IF('ORDENES'!$Y1192="","-",'ORDENES'!$Y1192))</f>
        <v/>
      </c>
      <c r="F1214" s="5">
        <f>IF('ORDENES'!$A1192="","",IF('ORDENES'!$AB1192="","-",'ORDENES'!$AB1192))</f>
        <v/>
      </c>
      <c r="G1214" s="5">
        <f>IF('ORDENES'!$A1192="","",IF('ORDENES'!$Z1192="","-",'ORDENES'!$Z1192))</f>
        <v/>
      </c>
      <c r="H1214" s="5">
        <f>IF('ORDENES'!$A1192="","",IF('ORDENES'!$AH1192="","-",'ORDENES'!$AH1192))</f>
        <v/>
      </c>
      <c r="I1214" s="5">
        <f>IF('ORDENES'!$A1192="","",IF('ORDENES'!$AU1192="","-",'ORDENES'!$AU1192))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3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IF('ORDENES'!$A1192="","",'ORDENES'!$AG1192)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IF('ORDENES'!$A1193="","",IF('ORDENES'!$AI1193="","-",'ORDENES'!$AI1193))</f>
        <v/>
      </c>
      <c r="D1215" s="5">
        <f>IF('ORDENES'!$A1193="","",IF('ORDENES'!$AA1193="","-",'ORDENES'!$AA1193))</f>
        <v/>
      </c>
      <c r="E1215" s="5">
        <f>IF('ORDENES'!$A1193="","",IF('ORDENES'!$Y1193="","-",'ORDENES'!$Y1193))</f>
        <v/>
      </c>
      <c r="F1215" s="5">
        <f>IF('ORDENES'!$A1193="","",IF('ORDENES'!$AB1193="","-",'ORDENES'!$AB1193))</f>
        <v/>
      </c>
      <c r="G1215" s="5">
        <f>IF('ORDENES'!$A1193="","",IF('ORDENES'!$Z1193="","-",'ORDENES'!$Z1193))</f>
        <v/>
      </c>
      <c r="H1215" s="5">
        <f>IF('ORDENES'!$A1193="","",IF('ORDENES'!$AH1193="","-",'ORDENES'!$AH1193))</f>
        <v/>
      </c>
      <c r="I1215" s="5">
        <f>IF('ORDENES'!$A1193="","",IF('ORDENES'!$AU1193="","-",'ORDENES'!$AU1193))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3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IF('ORDENES'!$A1193="","",'ORDENES'!$AG1193)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IF('ORDENES'!$A1194="","",IF('ORDENES'!$AI1194="","-",'ORDENES'!$AI1194))</f>
        <v/>
      </c>
      <c r="D1216" s="5">
        <f>IF('ORDENES'!$A1194="","",IF('ORDENES'!$AA1194="","-",'ORDENES'!$AA1194))</f>
        <v/>
      </c>
      <c r="E1216" s="5">
        <f>IF('ORDENES'!$A1194="","",IF('ORDENES'!$Y1194="","-",'ORDENES'!$Y1194))</f>
        <v/>
      </c>
      <c r="F1216" s="5">
        <f>IF('ORDENES'!$A1194="","",IF('ORDENES'!$AB1194="","-",'ORDENES'!$AB1194))</f>
        <v/>
      </c>
      <c r="G1216" s="5">
        <f>IF('ORDENES'!$A1194="","",IF('ORDENES'!$Z1194="","-",'ORDENES'!$Z1194))</f>
        <v/>
      </c>
      <c r="H1216" s="5">
        <f>IF('ORDENES'!$A1194="","",IF('ORDENES'!$AH1194="","-",'ORDENES'!$AH1194))</f>
        <v/>
      </c>
      <c r="I1216" s="5">
        <f>IF('ORDENES'!$A1194="","",IF('ORDENES'!$AU1194="","-",'ORDENES'!$AU1194))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3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IF('ORDENES'!$A1194="","",'ORDENES'!$AG1194)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IF('ORDENES'!$A1195="","",IF('ORDENES'!$AI1195="","-",'ORDENES'!$AI1195))</f>
        <v/>
      </c>
      <c r="D1217" s="5">
        <f>IF('ORDENES'!$A1195="","",IF('ORDENES'!$AA1195="","-",'ORDENES'!$AA1195))</f>
        <v/>
      </c>
      <c r="E1217" s="5">
        <f>IF('ORDENES'!$A1195="","",IF('ORDENES'!$Y1195="","-",'ORDENES'!$Y1195))</f>
        <v/>
      </c>
      <c r="F1217" s="5">
        <f>IF('ORDENES'!$A1195="","",IF('ORDENES'!$AB1195="","-",'ORDENES'!$AB1195))</f>
        <v/>
      </c>
      <c r="G1217" s="5">
        <f>IF('ORDENES'!$A1195="","",IF('ORDENES'!$Z1195="","-",'ORDENES'!$Z1195))</f>
        <v/>
      </c>
      <c r="H1217" s="5">
        <f>IF('ORDENES'!$A1195="","",IF('ORDENES'!$AH1195="","-",'ORDENES'!$AH1195))</f>
        <v/>
      </c>
      <c r="I1217" s="5">
        <f>IF('ORDENES'!$A1195="","",IF('ORDENES'!$AU1195="","-",'ORDENES'!$AU1195))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3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IF('ORDENES'!$A1195="","",'ORDENES'!$AG1195)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IF('ORDENES'!$A1196="","",IF('ORDENES'!$AI1196="","-",'ORDENES'!$AI1196))</f>
        <v/>
      </c>
      <c r="D1218" s="5">
        <f>IF('ORDENES'!$A1196="","",IF('ORDENES'!$AA1196="","-",'ORDENES'!$AA1196))</f>
        <v/>
      </c>
      <c r="E1218" s="5">
        <f>IF('ORDENES'!$A1196="","",IF('ORDENES'!$Y1196="","-",'ORDENES'!$Y1196))</f>
        <v/>
      </c>
      <c r="F1218" s="5">
        <f>IF('ORDENES'!$A1196="","",IF('ORDENES'!$AB1196="","-",'ORDENES'!$AB1196))</f>
        <v/>
      </c>
      <c r="G1218" s="5">
        <f>IF('ORDENES'!$A1196="","",IF('ORDENES'!$Z1196="","-",'ORDENES'!$Z1196))</f>
        <v/>
      </c>
      <c r="H1218" s="5">
        <f>IF('ORDENES'!$A1196="","",IF('ORDENES'!$AH1196="","-",'ORDENES'!$AH1196))</f>
        <v/>
      </c>
      <c r="I1218" s="5">
        <f>IF('ORDENES'!$A1196="","",IF('ORDENES'!$AU1196="","-",'ORDENES'!$AU1196))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3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IF('ORDENES'!$A1196="","",'ORDENES'!$AG1196)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IF('ORDENES'!$A1197="","",IF('ORDENES'!$AI1197="","-",'ORDENES'!$AI1197))</f>
        <v/>
      </c>
      <c r="D1219" s="5">
        <f>IF('ORDENES'!$A1197="","",IF('ORDENES'!$AA1197="","-",'ORDENES'!$AA1197))</f>
        <v/>
      </c>
      <c r="E1219" s="5">
        <f>IF('ORDENES'!$A1197="","",IF('ORDENES'!$Y1197="","-",'ORDENES'!$Y1197))</f>
        <v/>
      </c>
      <c r="F1219" s="5">
        <f>IF('ORDENES'!$A1197="","",IF('ORDENES'!$AB1197="","-",'ORDENES'!$AB1197))</f>
        <v/>
      </c>
      <c r="G1219" s="5">
        <f>IF('ORDENES'!$A1197="","",IF('ORDENES'!$Z1197="","-",'ORDENES'!$Z1197))</f>
        <v/>
      </c>
      <c r="H1219" s="5">
        <f>IF('ORDENES'!$A1197="","",IF('ORDENES'!$AH1197="","-",'ORDENES'!$AH1197))</f>
        <v/>
      </c>
      <c r="I1219" s="5">
        <f>IF('ORDENES'!$A1197="","",IF('ORDENES'!$AU1197="","-",'ORDENES'!$AU1197))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3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IF('ORDENES'!$A1197="","",'ORDENES'!$AG1197)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IF('ORDENES'!$A1198="","",IF('ORDENES'!$AI1198="","-",'ORDENES'!$AI1198))</f>
        <v/>
      </c>
      <c r="D1220" s="5">
        <f>IF('ORDENES'!$A1198="","",IF('ORDENES'!$AA1198="","-",'ORDENES'!$AA1198))</f>
        <v/>
      </c>
      <c r="E1220" s="5">
        <f>IF('ORDENES'!$A1198="","",IF('ORDENES'!$Y1198="","-",'ORDENES'!$Y1198))</f>
        <v/>
      </c>
      <c r="F1220" s="5">
        <f>IF('ORDENES'!$A1198="","",IF('ORDENES'!$AB1198="","-",'ORDENES'!$AB1198))</f>
        <v/>
      </c>
      <c r="G1220" s="5">
        <f>IF('ORDENES'!$A1198="","",IF('ORDENES'!$Z1198="","-",'ORDENES'!$Z1198))</f>
        <v/>
      </c>
      <c r="H1220" s="5">
        <f>IF('ORDENES'!$A1198="","",IF('ORDENES'!$AH1198="","-",'ORDENES'!$AH1198))</f>
        <v/>
      </c>
      <c r="I1220" s="5">
        <f>IF('ORDENES'!$A1198="","",IF('ORDENES'!$AU1198="","-",'ORDENES'!$AU1198))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3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IF('ORDENES'!$A1198="","",'ORDENES'!$AG1198)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IF('ORDENES'!$A1199="","",IF('ORDENES'!$AI1199="","-",'ORDENES'!$AI1199))</f>
        <v/>
      </c>
      <c r="D1221" s="5">
        <f>IF('ORDENES'!$A1199="","",IF('ORDENES'!$AA1199="","-",'ORDENES'!$AA1199))</f>
        <v/>
      </c>
      <c r="E1221" s="5">
        <f>IF('ORDENES'!$A1199="","",IF('ORDENES'!$Y1199="","-",'ORDENES'!$Y1199))</f>
        <v/>
      </c>
      <c r="F1221" s="5">
        <f>IF('ORDENES'!$A1199="","",IF('ORDENES'!$AB1199="","-",'ORDENES'!$AB1199))</f>
        <v/>
      </c>
      <c r="G1221" s="5">
        <f>IF('ORDENES'!$A1199="","",IF('ORDENES'!$Z1199="","-",'ORDENES'!$Z1199))</f>
        <v/>
      </c>
      <c r="H1221" s="5">
        <f>IF('ORDENES'!$A1199="","",IF('ORDENES'!$AH1199="","-",'ORDENES'!$AH1199))</f>
        <v/>
      </c>
      <c r="I1221" s="5">
        <f>IF('ORDENES'!$A1199="","",IF('ORDENES'!$AU1199="","-",'ORDENES'!$AU1199))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3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IF('ORDENES'!$A1199="","",'ORDENES'!$AG1199)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IF('ORDENES'!$A1200="","",IF('ORDENES'!$AI1200="","-",'ORDENES'!$AI1200))</f>
        <v/>
      </c>
      <c r="D1222" s="5">
        <f>IF('ORDENES'!$A1200="","",IF('ORDENES'!$AA1200="","-",'ORDENES'!$AA1200))</f>
        <v/>
      </c>
      <c r="E1222" s="5">
        <f>IF('ORDENES'!$A1200="","",IF('ORDENES'!$Y1200="","-",'ORDENES'!$Y1200))</f>
        <v/>
      </c>
      <c r="F1222" s="5">
        <f>IF('ORDENES'!$A1200="","",IF('ORDENES'!$AB1200="","-",'ORDENES'!$AB1200))</f>
        <v/>
      </c>
      <c r="G1222" s="5">
        <f>IF('ORDENES'!$A1200="","",IF('ORDENES'!$Z1200="","-",'ORDENES'!$Z1200))</f>
        <v/>
      </c>
      <c r="H1222" s="5">
        <f>IF('ORDENES'!$A1200="","",IF('ORDENES'!$AH1200="","-",'ORDENES'!$AH1200))</f>
        <v/>
      </c>
      <c r="I1222" s="5">
        <f>IF('ORDENES'!$A1200="","",IF('ORDENES'!$AU1200="","-",'ORDENES'!$AU1200))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3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IF('ORDENES'!$A1200="","",'ORDENES'!$AG1200)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IF('ORDENES'!$A1201="","",IF('ORDENES'!$AI1201="","-",'ORDENES'!$AI1201))</f>
        <v/>
      </c>
      <c r="D1223" s="5">
        <f>IF('ORDENES'!$A1201="","",IF('ORDENES'!$AA1201="","-",'ORDENES'!$AA1201))</f>
        <v/>
      </c>
      <c r="E1223" s="5">
        <f>IF('ORDENES'!$A1201="","",IF('ORDENES'!$Y1201="","-",'ORDENES'!$Y1201))</f>
        <v/>
      </c>
      <c r="F1223" s="5">
        <f>IF('ORDENES'!$A1201="","",IF('ORDENES'!$AB1201="","-",'ORDENES'!$AB1201))</f>
        <v/>
      </c>
      <c r="G1223" s="5">
        <f>IF('ORDENES'!$A1201="","",IF('ORDENES'!$Z1201="","-",'ORDENES'!$Z1201))</f>
        <v/>
      </c>
      <c r="H1223" s="5">
        <f>IF('ORDENES'!$A1201="","",IF('ORDENES'!$AH1201="","-",'ORDENES'!$AH1201))</f>
        <v/>
      </c>
      <c r="I1223" s="5">
        <f>IF('ORDENES'!$A1201="","",IF('ORDENES'!$AU1201="","-",'ORDENES'!$AU1201))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3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IF('ORDENES'!$A1201="","",'ORDENES'!$AG1201)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IF('ORDENES'!$A1202="","",IF('ORDENES'!$AI1202="","-",'ORDENES'!$AI1202))</f>
        <v/>
      </c>
      <c r="D1224" s="5">
        <f>IF('ORDENES'!$A1202="","",IF('ORDENES'!$AA1202="","-",'ORDENES'!$AA1202))</f>
        <v/>
      </c>
      <c r="E1224" s="5">
        <f>IF('ORDENES'!$A1202="","",IF('ORDENES'!$Y1202="","-",'ORDENES'!$Y1202))</f>
        <v/>
      </c>
      <c r="F1224" s="5">
        <f>IF('ORDENES'!$A1202="","",IF('ORDENES'!$AB1202="","-",'ORDENES'!$AB1202))</f>
        <v/>
      </c>
      <c r="G1224" s="5">
        <f>IF('ORDENES'!$A1202="","",IF('ORDENES'!$Z1202="","-",'ORDENES'!$Z1202))</f>
        <v/>
      </c>
      <c r="H1224" s="5">
        <f>IF('ORDENES'!$A1202="","",IF('ORDENES'!$AH1202="","-",'ORDENES'!$AH1202))</f>
        <v/>
      </c>
      <c r="I1224" s="5">
        <f>IF('ORDENES'!$A1202="","",IF('ORDENES'!$AU1202="","-",'ORDENES'!$AU1202))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3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IF('ORDENES'!$A1202="","",'ORDENES'!$AG1202)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IF('ORDENES'!$A1203="","",IF('ORDENES'!$AI1203="","-",'ORDENES'!$AI1203))</f>
        <v/>
      </c>
      <c r="D1225" s="5">
        <f>IF('ORDENES'!$A1203="","",IF('ORDENES'!$AA1203="","-",'ORDENES'!$AA1203))</f>
        <v/>
      </c>
      <c r="E1225" s="5">
        <f>IF('ORDENES'!$A1203="","",IF('ORDENES'!$Y1203="","-",'ORDENES'!$Y1203))</f>
        <v/>
      </c>
      <c r="F1225" s="5">
        <f>IF('ORDENES'!$A1203="","",IF('ORDENES'!$AB1203="","-",'ORDENES'!$AB1203))</f>
        <v/>
      </c>
      <c r="G1225" s="5">
        <f>IF('ORDENES'!$A1203="","",IF('ORDENES'!$Z1203="","-",'ORDENES'!$Z1203))</f>
        <v/>
      </c>
      <c r="H1225" s="5">
        <f>IF('ORDENES'!$A1203="","",IF('ORDENES'!$AH1203="","-",'ORDENES'!$AH1203))</f>
        <v/>
      </c>
      <c r="I1225" s="5">
        <f>IF('ORDENES'!$A1203="","",IF('ORDENES'!$AU1203="","-",'ORDENES'!$AU1203))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3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198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14" t="inlineStr">
        <is>
          <t>valor</t>
        </is>
      </c>
      <c r="B4" s="14" t="inlineStr">
        <is>
          <t>total_ot</t>
        </is>
      </c>
      <c r="C4" s="14" t="inlineStr">
        <is>
          <t>cerradas</t>
        </is>
      </c>
      <c r="D4" s="14" t="inlineStr">
        <is>
          <t>adherencia_conteo</t>
        </is>
      </c>
      <c r="E4" s="14" t="inlineStr">
        <is>
          <t>hh_total</t>
        </is>
      </c>
      <c r="F4" s="14" t="inlineStr">
        <is>
          <t>hh_cerradas</t>
        </is>
      </c>
      <c r="G4" s="14" t="inlineStr">
        <is>
          <t>adherencia_horas</t>
        </is>
      </c>
      <c r="H4" s="1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15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5">
        <f>IF(E5=0,"",F5/E5)</f>
        <v/>
      </c>
      <c r="H5" s="24">
        <f>p_meta_adherencia</f>
        <v/>
      </c>
    </row>
    <row r="6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15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5">
        <f>IF(E6=0,"",F6/E6)</f>
        <v/>
      </c>
      <c r="H6" s="24">
        <f>p_meta_adherencia</f>
        <v/>
      </c>
    </row>
    <row r="7" hidden="1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15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5">
        <f>IF(E7=0,"",F7/E7)</f>
        <v/>
      </c>
      <c r="H7" s="24">
        <f>p_meta_adherencia</f>
        <v/>
      </c>
    </row>
    <row r="8" hidden="1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15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5">
        <f>IF(E8=0,"",F8/E8)</f>
        <v/>
      </c>
      <c r="H8" s="24">
        <f>p_meta_adherencia</f>
        <v/>
      </c>
    </row>
    <row r="9" hidden="1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15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5">
        <f>IF(E9=0,"",F9/E9)</f>
        <v/>
      </c>
      <c r="H9" s="24">
        <f>p_meta_adherencia</f>
        <v/>
      </c>
    </row>
    <row r="10" hidden="1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15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5">
        <f>IF(E10=0,"",F10/E10)</f>
        <v/>
      </c>
      <c r="H10" s="24">
        <f>p_meta_adherencia</f>
        <v/>
      </c>
    </row>
    <row r="11" hidden="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15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5">
        <f>IF(E11=0,"",F11/E11)</f>
        <v/>
      </c>
      <c r="H11" s="24">
        <f>p_meta_adherencia</f>
        <v/>
      </c>
    </row>
    <row r="12" hidden="1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15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5">
        <f>IF(E12=0,"",F12/E12)</f>
        <v/>
      </c>
      <c r="H12" s="24">
        <f>p_meta_adherencia</f>
        <v/>
      </c>
    </row>
    <row r="13" hidden="1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15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5">
        <f>IF(E13=0,"",F13/E13)</f>
        <v/>
      </c>
      <c r="H13" s="24">
        <f>p_meta_adherencia</f>
        <v/>
      </c>
    </row>
    <row r="14" hidden="1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15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5">
        <f>IF(E14=0,"",F14/E14)</f>
        <v/>
      </c>
      <c r="H14" s="24">
        <f>p_meta_adherencia</f>
        <v/>
      </c>
    </row>
    <row r="15" hidden="1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15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5">
        <f>IF(E15=0,"",F15/E15)</f>
        <v/>
      </c>
      <c r="H15" s="24">
        <f>p_meta_adherencia</f>
        <v/>
      </c>
    </row>
    <row r="16" hidden="1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15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5">
        <f>IF(E16=0,"",F16/E16)</f>
        <v/>
      </c>
      <c r="H16" s="24">
        <f>p_meta_adherencia</f>
        <v/>
      </c>
    </row>
    <row r="17" hidden="1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15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5">
        <f>IF(E17=0,"",F17/E17)</f>
        <v/>
      </c>
      <c r="H17" s="24">
        <f>p_meta_adherencia</f>
        <v/>
      </c>
    </row>
    <row r="18" hidden="1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15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5">
        <f>IF(E18=0,"",F18/E18)</f>
        <v/>
      </c>
      <c r="H18" s="24">
        <f>p_meta_adherencia</f>
        <v/>
      </c>
    </row>
    <row r="19" hidden="1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15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5">
        <f>IF(E19=0,"",F19/E19)</f>
        <v/>
      </c>
      <c r="H19" s="24">
        <f>p_meta_adherencia</f>
        <v/>
      </c>
    </row>
    <row r="20" hidden="1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15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5">
        <f>IF(E20=0,"",F20/E20)</f>
        <v/>
      </c>
      <c r="H20" s="24">
        <f>p_meta_adherencia</f>
        <v/>
      </c>
    </row>
    <row r="21" hidden="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15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5">
        <f>IF(E21=0,"",F21/E21)</f>
        <v/>
      </c>
      <c r="H21" s="24">
        <f>p_meta_adherencia</f>
        <v/>
      </c>
    </row>
    <row r="22" hidden="1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15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5">
        <f>IF(E22=0,"",F22/E22)</f>
        <v/>
      </c>
      <c r="H22" s="24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15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5">
        <f>IF(E23=0,"",F23/E23)</f>
        <v/>
      </c>
      <c r="H23" s="24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15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5">
        <f>IF(E24=0,"",F24/E24)</f>
        <v/>
      </c>
      <c r="H24" s="24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15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5">
        <f>IF(E25=0,"",F25/E25)</f>
        <v/>
      </c>
      <c r="H25" s="24">
        <f>p_meta_adherencia</f>
        <v/>
      </c>
    </row>
    <row r="26" hidden="1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15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5">
        <f>IF(E26=0,"",F26/E26)</f>
        <v/>
      </c>
      <c r="H26" s="24">
        <f>p_meta_adherencia</f>
        <v/>
      </c>
    </row>
    <row r="27" hidden="1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15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5">
        <f>IF(E27=0,"",F27/E27)</f>
        <v/>
      </c>
      <c r="H27" s="24">
        <f>p_meta_adherencia</f>
        <v/>
      </c>
    </row>
    <row r="28" hidden="1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15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5">
        <f>IF(E28=0,"",F28/E28)</f>
        <v/>
      </c>
      <c r="H28" s="24">
        <f>p_meta_adherencia</f>
        <v/>
      </c>
    </row>
    <row r="29" hidden="1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15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5">
        <f>IF(E29=0,"",F29/E29)</f>
        <v/>
      </c>
      <c r="H29" s="24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15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5">
        <f>IF(E30=0,"",F30/E30)</f>
        <v/>
      </c>
      <c r="H30" s="24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15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5">
        <f>IF(E31=0,"",F31/E31)</f>
        <v/>
      </c>
      <c r="H31" s="24">
        <f>p_meta_adherencia</f>
        <v/>
      </c>
    </row>
    <row r="32" hidden="1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15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5">
        <f>IF(E32=0,"",F32/E32)</f>
        <v/>
      </c>
      <c r="H32" s="24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15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5">
        <f>IF(E33=0,"",F33/E33)</f>
        <v/>
      </c>
      <c r="H33" s="24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15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5">
        <f>IF(E34=0,"",F34/E34)</f>
        <v/>
      </c>
      <c r="H34" s="24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15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5">
        <f>IF(E35=0,"",F35/E35)</f>
        <v/>
      </c>
      <c r="H35" s="24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15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5">
        <f>IF(E36=0,"",F36/E36)</f>
        <v/>
      </c>
      <c r="H36" s="24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15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5">
        <f>IF(E37=0,"",F37/E37)</f>
        <v/>
      </c>
      <c r="H37" s="24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15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5">
        <f>IF(E38=0,"",F38/E38)</f>
        <v/>
      </c>
      <c r="H38" s="24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15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5">
        <f>IF(E39=0,"",F39/E39)</f>
        <v/>
      </c>
      <c r="H39" s="24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15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5">
        <f>IF(E40=0,"",F40/E40)</f>
        <v/>
      </c>
      <c r="H40" s="24">
        <f>p_meta_adherencia</f>
        <v/>
      </c>
    </row>
    <row r="41" hidden="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15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5">
        <f>IF(E41=0,"",F41/E41)</f>
        <v/>
      </c>
      <c r="H41" s="24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15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5">
        <f>IF(E42=0,"",F42/E42)</f>
        <v/>
      </c>
      <c r="H42" s="24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15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5">
        <f>IF(E43=0,"",F43/E43)</f>
        <v/>
      </c>
      <c r="H43" s="24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15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5">
        <f>IF(E44=0,"",F44/E44)</f>
        <v/>
      </c>
      <c r="H44" s="24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15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5">
        <f>IF(E45=0,"",F45/E45)</f>
        <v/>
      </c>
      <c r="H45" s="24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15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5">
        <f>IF(E46=0,"",F46/E46)</f>
        <v/>
      </c>
      <c r="H46" s="24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15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5">
        <f>IF(E47=0,"",F47/E47)</f>
        <v/>
      </c>
      <c r="H47" s="24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15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5">
        <f>IF(E48=0,"",F48/E48)</f>
        <v/>
      </c>
      <c r="H48" s="24">
        <f>p_meta_adherencia</f>
        <v/>
      </c>
    </row>
    <row r="49" hidden="1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15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5">
        <f>IF(E49=0,"",F49/E49)</f>
        <v/>
      </c>
      <c r="H49" s="24">
        <f>p_meta_adherencia</f>
        <v/>
      </c>
    </row>
    <row r="50" hidden="1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15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5">
        <f>IF(E50=0,"",F50/E50)</f>
        <v/>
      </c>
      <c r="H50" s="24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15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5">
        <f>IF(E51=0,"",F51/E51)</f>
        <v/>
      </c>
      <c r="H51" s="24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15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5">
        <f>IF(E52=0,"",F52/E52)</f>
        <v/>
      </c>
      <c r="H52" s="24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15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5">
        <f>IF(E53=0,"",F53/E53)</f>
        <v/>
      </c>
      <c r="H53" s="24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15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5">
        <f>IF(E54=0,"",F54/E54)</f>
        <v/>
      </c>
      <c r="H54" s="24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15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5">
        <f>IF(E55=0,"",F55/E55)</f>
        <v/>
      </c>
      <c r="H55" s="24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15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5">
        <f>IF(E56=0,"",F56/E56)</f>
        <v/>
      </c>
      <c r="H56" s="24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15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5">
        <f>IF(E57=0,"",F57/E57)</f>
        <v/>
      </c>
      <c r="H57" s="24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15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5">
        <f>IF(E58=0,"",F58/E58)</f>
        <v/>
      </c>
      <c r="H58" s="24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15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5">
        <f>IF(E59=0,"",F59/E59)</f>
        <v/>
      </c>
      <c r="H59" s="24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15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5">
        <f>IF(E60=0,"",F60/E60)</f>
        <v/>
      </c>
      <c r="H60" s="24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15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5">
        <f>IF(E61=0,"",F61/E61)</f>
        <v/>
      </c>
      <c r="H61" s="24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15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5">
        <f>IF(E62=0,"",F62/E62)</f>
        <v/>
      </c>
      <c r="H62" s="24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15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5">
        <f>IF(E63=0,"",F63/E63)</f>
        <v/>
      </c>
      <c r="H63" s="24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15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5">
        <f>IF(E64=0,"",F64/E64)</f>
        <v/>
      </c>
      <c r="H64" s="24">
        <f>p_meta_adherencia</f>
        <v/>
      </c>
    </row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15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5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15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5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15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5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15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5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15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5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15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5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15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5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15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5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15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5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15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5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15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5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15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5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15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5">
        <f>IF(E86=0,"",F86/E86)</f>
        <v/>
      </c>
    </row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15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5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15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5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15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5">
        <f>IF(E92=0,"",F92/E92)</f>
        <v/>
      </c>
    </row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15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5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15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5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15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5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5">
        <f>COUNTIFS(tblOrdenes[clase_mantenimiento],$A102,tblOrdenes[es_habil],"sí")</f>
        <v/>
      </c>
      <c r="C102" s="5">
        <f>COUNTIFS(tblOrdenes[clase_mantenimiento],$A102,tblOrdenes[estado],"Cerrada",tblOrdenes[es_habil],"sí")</f>
        <v/>
      </c>
      <c r="D102" s="15">
        <f>IF(B102=0,"",C102/B102)</f>
        <v/>
      </c>
      <c r="E102" s="17">
        <f>SUMIFS(tblOrdenes[horas_efectivas],tblOrdenes[clase_mantenimiento],$A102,tblOrdenes[es_habil],"sí")</f>
        <v/>
      </c>
      <c r="F102" s="17">
        <f>SUMIFS(tblOrdenes[horas_efectivas],tblOrdenes[clase_mantenimiento],$A102,tblOrdenes[estado],"Cerrada",tblOrdenes[es_habil],"sí")</f>
        <v/>
      </c>
      <c r="G102" s="15">
        <f>IF(E102=0,"",F102/E102)</f>
        <v/>
      </c>
    </row>
    <row r="103">
      <c r="A103" s="5" t="inlineStr">
        <is>
          <t>preventivo</t>
        </is>
      </c>
      <c r="B103" s="5">
        <f>COUNTIFS(tblOrdenes[clase_mantenimiento],$A103,tblOrdenes[es_habil],"sí")</f>
        <v/>
      </c>
      <c r="C103" s="5">
        <f>COUNTIFS(tblOrdenes[clase_mantenimiento],$A103,tblOrdenes[estado],"Cerrada",tblOrdenes[es_habil],"sí")</f>
        <v/>
      </c>
      <c r="D103" s="15">
        <f>IF(B103=0,"",C103/B103)</f>
        <v/>
      </c>
      <c r="E103" s="17">
        <f>SUMIFS(tblOrdenes[horas_efectivas],tblOrdenes[clase_mantenimiento],$A103,tblOrdenes[es_habil],"sí")</f>
        <v/>
      </c>
      <c r="F103" s="17">
        <f>SUMIFS(tblOrdenes[horas_efectivas],tblOrdenes[clase_mantenimiento],$A103,tblOrdenes[estado],"Cerrada",tblOrdenes[es_habil],"sí")</f>
        <v/>
      </c>
      <c r="G103" s="15">
        <f>IF(E103=0,"",F103/E103)</f>
        <v/>
      </c>
    </row>
    <row r="104">
      <c r="A104" s="5" t="inlineStr">
        <is>
          <t>correctivo_programado</t>
        </is>
      </c>
      <c r="B104" s="5">
        <f>COUNTIFS(tblOrdenes[clase_mantenimiento],$A104,tblOrdenes[es_habil],"sí")</f>
        <v/>
      </c>
      <c r="C104" s="5">
        <f>COUNTIFS(tblOrdenes[clase_mantenimiento],$A104,tblOrdenes[estado],"Cerrada",tblOrdenes[es_habil],"sí")</f>
        <v/>
      </c>
      <c r="D104" s="15">
        <f>IF(B104=0,"",C104/B104)</f>
        <v/>
      </c>
      <c r="E104" s="17">
        <f>SUMIFS(tblOrdenes[horas_efectivas],tblOrdenes[clase_mantenimiento],$A104,tblOrdenes[es_habil],"sí")</f>
        <v/>
      </c>
      <c r="F104" s="17">
        <f>SUMIFS(tblOrdenes[horas_efectivas],tblOrdenes[clase_mantenimiento],$A104,tblOrdenes[estado],"Cerrada",tblOrdenes[es_habil],"sí")</f>
        <v/>
      </c>
      <c r="G104" s="15">
        <f>IF(E104=0,"",F104/E104)</f>
        <v/>
      </c>
    </row>
    <row r="105">
      <c r="A105" s="5" t="inlineStr">
        <is>
          <t>emergencia</t>
        </is>
      </c>
      <c r="B105" s="5">
        <f>COUNTIFS(tblOrdenes[clase_mantenimiento],$A105,tblOrdenes[es_habil],"sí")</f>
        <v/>
      </c>
      <c r="C105" s="5">
        <f>COUNTIFS(tblOrdenes[clase_mantenimiento],$A105,tblOrdenes[estado],"Cerrada",tblOrdenes[es_habil],"sí")</f>
        <v/>
      </c>
      <c r="D105" s="15">
        <f>IF(B105=0,"",C105/B105)</f>
        <v/>
      </c>
      <c r="E105" s="17">
        <f>SUMIFS(tblOrdenes[horas_efectivas],tblOrdenes[clase_mantenimiento],$A105,tblOrdenes[es_habil],"sí")</f>
        <v/>
      </c>
      <c r="F105" s="17">
        <f>SUMIFS(tblOrdenes[horas_efectivas],tblOrdenes[clase_mantenimiento],$A105,tblOrdenes[estado],"Cerrada",tblOrdenes[es_habil],"sí")</f>
        <v/>
      </c>
      <c r="G105" s="15">
        <f>IF(E105=0,"",F105/E105)</f>
        <v/>
      </c>
    </row>
    <row r="106">
      <c r="A106" s="5" t="inlineStr">
        <is>
          <t>SIN CLASIFICAR</t>
        </is>
      </c>
      <c r="B106" s="5">
        <f>COUNTIFS(tblOrdenes[clase_mantenimiento],$A106,tblOrdenes[es_habil],"sí")</f>
        <v/>
      </c>
      <c r="C106" s="5">
        <f>COUNTIFS(tblOrdenes[clase_mantenimiento],$A106,tblOrdenes[estado],"Cerrada",tblOrdenes[es_habil],"sí")</f>
        <v/>
      </c>
      <c r="D106" s="15">
        <f>IF(B106=0,"",C106/B106)</f>
        <v/>
      </c>
      <c r="E106" s="17">
        <f>SUMIFS(tblOrdenes[horas_efectivas],tblOrdenes[clase_mantenimiento],$A106,tblOrdenes[es_habil],"sí")</f>
        <v/>
      </c>
      <c r="F106" s="17">
        <f>SUMIFS(tblOrdenes[horas_efectivas],tblOrdenes[clase_mantenimiento],$A106,tblOrdenes[estado],"Cerrada",tblOrdenes[es_habil],"sí")</f>
        <v/>
      </c>
      <c r="G106" s="15">
        <f>IF(E106=0,"",F106/E106)</f>
        <v/>
      </c>
    </row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5">
        <f>COUNTIFS(tblOrdenes[rubro],$A110,tblOrdenes[es_habil],"sí")</f>
        <v/>
      </c>
      <c r="C110" s="5">
        <f>COUNTIFS(tblOrdenes[rubro],$A110,tblOrdenes[estado],"Cerrada",tblOrdenes[es_habil],"sí")</f>
        <v/>
      </c>
      <c r="D110" s="15">
        <f>IF(B110=0,"",C110/B110)</f>
        <v/>
      </c>
      <c r="E110" s="17">
        <f>SUMIFS(tblOrdenes[horas_efectivas],tblOrdenes[rubro],$A110,tblOrdenes[es_habil],"sí")</f>
        <v/>
      </c>
      <c r="F110" s="17">
        <f>SUMIFS(tblOrdenes[horas_efectivas],tblOrdenes[rubro],$A110,tblOrdenes[estado],"Cerrada",tblOrdenes[es_habil],"sí")</f>
        <v/>
      </c>
      <c r="G110" s="15">
        <f>IF(E110=0,"",F110/E110)</f>
        <v/>
      </c>
    </row>
    <row r="111">
      <c r="A111" s="5" t="inlineStr">
        <is>
          <t>lubricacion</t>
        </is>
      </c>
      <c r="B111" s="5">
        <f>COUNTIFS(tblOrdenes[rubro],$A111,tblOrdenes[es_habil],"sí")</f>
        <v/>
      </c>
      <c r="C111" s="5">
        <f>COUNTIFS(tblOrdenes[rubro],$A111,tblOrdenes[estado],"Cerrada",tblOrdenes[es_habil],"sí")</f>
        <v/>
      </c>
      <c r="D111" s="15">
        <f>IF(B111=0,"",C111/B111)</f>
        <v/>
      </c>
      <c r="E111" s="17">
        <f>SUMIFS(tblOrdenes[horas_efectivas],tblOrdenes[rubro],$A111,tblOrdenes[es_habil],"sí")</f>
        <v/>
      </c>
      <c r="F111" s="17">
        <f>SUMIFS(tblOrdenes[horas_efectivas],tblOrdenes[rubro],$A111,tblOrdenes[estado],"Cerrada",tblOrdenes[es_habil],"sí")</f>
        <v/>
      </c>
      <c r="G111" s="15">
        <f>IF(E111=0,"",F111/E111)</f>
        <v/>
      </c>
    </row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15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5">
        <f>IF(E115=0,"",F115/E115)</f>
        <v/>
      </c>
    </row>
    <row r="116">
      <c r="A116" s="5" t="inlineStr">
        <is>
          <t>María Gómez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15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5">
        <f>IF(E116=0,"",F116/E116)</f>
        <v/>
      </c>
    </row>
    <row r="117">
      <c r="A117" s="5" t="inlineStr">
        <is>
          <t>Luis Rodríguez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15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5">
        <f>IF(E117=0,"",F117/E117)</f>
        <v/>
      </c>
    </row>
    <row r="118">
      <c r="A118" s="5" t="inlineStr">
        <is>
          <t>Miguel Martínez</t>
        </is>
      </c>
      <c r="B118" s="5">
        <f>COUNTIFS(tblOrdenes[tecnico_asignado],$A118,tblOrdenes[es_habil],"sí")</f>
        <v/>
      </c>
      <c r="C118" s="5">
        <f>COUNTIFS(tblOrdenes[tecnico_asignado],$A118,tblOrdenes[estado],"Cerrada",tblOrdenes[es_habil],"sí")</f>
        <v/>
      </c>
      <c r="D118" s="15">
        <f>IF(B118=0,"",C118/B118)</f>
        <v/>
      </c>
      <c r="E118" s="17">
        <f>SUMIFS(tblOrdenes[horas_efectivas],tblOrdenes[tecnico_asignado],$A118,tblOrdenes[es_habil],"sí")</f>
        <v/>
      </c>
      <c r="F118" s="17">
        <f>SUMIFS(tblOrdenes[horas_efectivas],tblOrdenes[tecnico_asignado],$A118,tblOrdenes[estado],"Cerrada",tblOrdenes[es_habil],"sí")</f>
        <v/>
      </c>
      <c r="G118" s="15">
        <f>IF(E118=0,"",F118/E118)</f>
        <v/>
      </c>
    </row>
    <row r="119">
      <c r="A119" s="5" t="inlineStr">
        <is>
          <t>Ana Sánchez</t>
        </is>
      </c>
      <c r="B119" s="5">
        <f>COUNTIFS(tblOrdenes[tecnico_asignado],$A119,tblOrdenes[es_habil],"sí")</f>
        <v/>
      </c>
      <c r="C119" s="5">
        <f>COUNTIFS(tblOrdenes[tecnico_asignado],$A119,tblOrdenes[estado],"Cerrada",tblOrdenes[es_habil],"sí")</f>
        <v/>
      </c>
      <c r="D119" s="15">
        <f>IF(B119=0,"",C119/B119)</f>
        <v/>
      </c>
      <c r="E119" s="17">
        <f>SUMIFS(tblOrdenes[horas_efectivas],tblOrdenes[tecnico_asignado],$A119,tblOrdenes[es_habil],"sí")</f>
        <v/>
      </c>
      <c r="F119" s="17">
        <f>SUMIFS(tblOrdenes[horas_efectivas],tblOrdenes[tecnico_asignado],$A119,tblOrdenes[estado],"Cerrada",tblOrdenes[es_habil],"sí")</f>
        <v/>
      </c>
      <c r="G119" s="15">
        <f>IF(E119=0,"",F119/E119)</f>
        <v/>
      </c>
    </row>
    <row r="120">
      <c r="A120" s="5" t="inlineStr">
        <is>
          <t>David Torres</t>
        </is>
      </c>
      <c r="B120" s="5">
        <f>COUNTIFS(tblOrdenes[tecnico_asignado],$A120,tblOrdenes[es_habil],"sí")</f>
        <v/>
      </c>
      <c r="C120" s="5">
        <f>COUNTIFS(tblOrdenes[tecnico_asignado],$A120,tblOrdenes[estado],"Cerrada",tblOrdenes[es_habil],"sí")</f>
        <v/>
      </c>
      <c r="D120" s="15">
        <f>IF(B120=0,"",C120/B120)</f>
        <v/>
      </c>
      <c r="E120" s="17">
        <f>SUMIFS(tblOrdenes[horas_efectivas],tblOrdenes[tecnico_asignado],$A120,tblOrdenes[es_habil],"sí")</f>
        <v/>
      </c>
      <c r="F120" s="17">
        <f>SUMIFS(tblOrdenes[horas_efectivas],tblOrdenes[tecnico_asignado],$A120,tblOrdenes[estado],"Cerrada",tblOrdenes[es_habil],"sí")</f>
        <v/>
      </c>
      <c r="G120" s="15">
        <f>IF(E120=0,"",F120/E120)</f>
        <v/>
      </c>
    </row>
    <row r="121">
      <c r="A121" s="5" t="inlineStr">
        <is>
          <t>Francisco Ramírez</t>
        </is>
      </c>
      <c r="B121" s="5">
        <f>COUNTIFS(tblOrdenes[tecnico_asignado],$A121,tblOrdenes[es_habil],"sí")</f>
        <v/>
      </c>
      <c r="C121" s="5">
        <f>COUNTIFS(tblOrdenes[tecnico_asignado],$A121,tblOrdenes[estado],"Cerrada",tblOrdenes[es_habil],"sí")</f>
        <v/>
      </c>
      <c r="D121" s="15">
        <f>IF(B121=0,"",C121/B121)</f>
        <v/>
      </c>
      <c r="E121" s="17">
        <f>SUMIFS(tblOrdenes[horas_efectivas],tblOrdenes[tecnico_asignado],$A121,tblOrdenes[es_habil],"sí")</f>
        <v/>
      </c>
      <c r="F121" s="17">
        <f>SUMIFS(tblOrdenes[horas_efectivas],tblOrdenes[tecnico_asignado],$A121,tblOrdenes[estado],"Cerrada",tblOrdenes[es_habil],"sí")</f>
        <v/>
      </c>
      <c r="G121" s="15">
        <f>IF(E121=0,"",F121/E121)</f>
        <v/>
      </c>
    </row>
    <row r="122">
      <c r="A122" s="5" t="inlineStr">
        <is>
          <t>Jorge Díaz</t>
        </is>
      </c>
      <c r="B122" s="5">
        <f>COUNTIFS(tblOrdenes[tecnico_asignado],$A122,tblOrdenes[es_habil],"sí")</f>
        <v/>
      </c>
      <c r="C122" s="5">
        <f>COUNTIFS(tblOrdenes[tecnico_asignado],$A122,tblOrdenes[estado],"Cerrada",tblOrdenes[es_habil],"sí")</f>
        <v/>
      </c>
      <c r="D122" s="15">
        <f>IF(B122=0,"",C122/B122)</f>
        <v/>
      </c>
      <c r="E122" s="17">
        <f>SUMIFS(tblOrdenes[horas_efectivas],tblOrdenes[tecnico_asignado],$A122,tblOrdenes[es_habil],"sí")</f>
        <v/>
      </c>
      <c r="F122" s="17">
        <f>SUMIFS(tblOrdenes[horas_efectivas],tblOrdenes[tecnico_asignado],$A122,tblOrdenes[estado],"Cerrada",tblOrdenes[es_habil],"sí")</f>
        <v/>
      </c>
      <c r="G122" s="15">
        <f>IF(E122=0,"",F122/E122)</f>
        <v/>
      </c>
    </row>
    <row r="123">
      <c r="A123" s="5" t="inlineStr">
        <is>
          <t>Roberto Castro</t>
        </is>
      </c>
      <c r="B123" s="5">
        <f>COUNTIFS(tblOrdenes[tecnico_asignado],$A123,tblOrdenes[es_habil],"sí")</f>
        <v/>
      </c>
      <c r="C123" s="5">
        <f>COUNTIFS(tblOrdenes[tecnico_asignado],$A123,tblOrdenes[estado],"Cerrada",tblOrdenes[es_habil],"sí")</f>
        <v/>
      </c>
      <c r="D123" s="15">
        <f>IF(B123=0,"",C123/B123)</f>
        <v/>
      </c>
      <c r="E123" s="17">
        <f>SUMIFS(tblOrdenes[horas_efectivas],tblOrdenes[tecnico_asignado],$A123,tblOrdenes[es_habil],"sí")</f>
        <v/>
      </c>
      <c r="F123" s="17">
        <f>SUMIFS(tblOrdenes[horas_efectivas],tblOrdenes[tecnico_asignado],$A123,tblOrdenes[estado],"Cerrada",tblOrdenes[es_habil],"sí")</f>
        <v/>
      </c>
      <c r="G123" s="15">
        <f>IF(E123=0,"",F123/E123)</f>
        <v/>
      </c>
    </row>
    <row r="124">
      <c r="A124" s="5" t="inlineStr">
        <is>
          <t>Laura Morales</t>
        </is>
      </c>
      <c r="B124" s="5">
        <f>COUNTIFS(tblOrdenes[tecnico_asignado],$A124,tblOrdenes[es_habil],"sí")</f>
        <v/>
      </c>
      <c r="C124" s="5">
        <f>COUNTIFS(tblOrdenes[tecnico_asignado],$A124,tblOrdenes[estado],"Cerrada",tblOrdenes[es_habil],"sí")</f>
        <v/>
      </c>
      <c r="D124" s="15">
        <f>IF(B124=0,"",C124/B124)</f>
        <v/>
      </c>
      <c r="E124" s="17">
        <f>SUMIFS(tblOrdenes[horas_efectivas],tblOrdenes[tecnico_asignado],$A124,tblOrdenes[es_habil],"sí")</f>
        <v/>
      </c>
      <c r="F124" s="17">
        <f>SUMIFS(tblOrdenes[horas_efectivas],tblOrdenes[tecnico_asignado],$A124,tblOrdenes[estado],"Cerrada",tblOrdenes[es_habil],"sí")</f>
        <v/>
      </c>
      <c r="G124" s="15">
        <f>IF(E124=0,"",F124/E124)</f>
        <v/>
      </c>
    </row>
    <row r="125">
      <c r="A125" s="5" t="inlineStr">
        <is>
          <t>Ricardo Ortiz</t>
        </is>
      </c>
      <c r="B125" s="5">
        <f>COUNTIFS(tblOrdenes[tecnico_asignado],$A125,tblOrdenes[es_habil],"sí")</f>
        <v/>
      </c>
      <c r="C125" s="5">
        <f>COUNTIFS(tblOrdenes[tecnico_asignado],$A125,tblOrdenes[estado],"Cerrada",tblOrdenes[es_habil],"sí")</f>
        <v/>
      </c>
      <c r="D125" s="15">
        <f>IF(B125=0,"",C125/B125)</f>
        <v/>
      </c>
      <c r="E125" s="17">
        <f>SUMIFS(tblOrdenes[horas_efectivas],tblOrdenes[tecnico_asignado],$A125,tblOrdenes[es_habil],"sí")</f>
        <v/>
      </c>
      <c r="F125" s="17">
        <f>SUMIFS(tblOrdenes[horas_efectivas],tblOrdenes[tecnico_asignado],$A125,tblOrdenes[estado],"Cerrada",tblOrdenes[es_habil],"sí")</f>
        <v/>
      </c>
      <c r="G125" s="15">
        <f>IF(E125=0,"",F125/E125)</f>
        <v/>
      </c>
    </row>
    <row r="126">
      <c r="A126" s="5" t="inlineStr">
        <is>
          <t>Eduardo Silva</t>
        </is>
      </c>
      <c r="B126" s="5">
        <f>COUNTIFS(tblOrdenes[tecnico_asignado],$A126,tblOrdenes[es_habil],"sí")</f>
        <v/>
      </c>
      <c r="C126" s="5">
        <f>COUNTIFS(tblOrdenes[tecnico_asignado],$A126,tblOrdenes[estado],"Cerrada",tblOrdenes[es_habil],"sí")</f>
        <v/>
      </c>
      <c r="D126" s="15">
        <f>IF(B126=0,"",C126/B126)</f>
        <v/>
      </c>
      <c r="E126" s="17">
        <f>SUMIFS(tblOrdenes[horas_efectivas],tblOrdenes[tecnico_asignado],$A126,tblOrdenes[es_habil],"sí")</f>
        <v/>
      </c>
      <c r="F126" s="17">
        <f>SUMIFS(tblOrdenes[horas_efectivas],tblOrdenes[tecnico_asignado],$A126,tblOrdenes[estado],"Cerrada",tblOrdenes[es_habil],"sí")</f>
        <v/>
      </c>
      <c r="G126" s="15">
        <f>IF(E126=0,"",F126/E126)</f>
        <v/>
      </c>
    </row>
    <row r="127">
      <c r="A127" s="5" t="inlineStr">
        <is>
          <t>Gabriela Rojas</t>
        </is>
      </c>
      <c r="B127" s="5">
        <f>COUNTIFS(tblOrdenes[tecnico_asignado],$A127,tblOrdenes[es_habil],"sí")</f>
        <v/>
      </c>
      <c r="C127" s="5">
        <f>COUNTIFS(tblOrdenes[tecnico_asignado],$A127,tblOrdenes[estado],"Cerrada",tblOrdenes[es_habil],"sí")</f>
        <v/>
      </c>
      <c r="D127" s="15">
        <f>IF(B127=0,"",C127/B127)</f>
        <v/>
      </c>
      <c r="E127" s="17">
        <f>SUMIFS(tblOrdenes[horas_efectivas],tblOrdenes[tecnico_asignado],$A127,tblOrdenes[es_habil],"sí")</f>
        <v/>
      </c>
      <c r="F127" s="17">
        <f>SUMIFS(tblOrdenes[horas_efectivas],tblOrdenes[tecnico_asignado],$A127,tblOrdenes[estado],"Cerrada",tblOrdenes[es_habil],"sí")</f>
        <v/>
      </c>
      <c r="G127" s="15">
        <f>IF(E127=0,"",F127/E127)</f>
        <v/>
      </c>
    </row>
    <row r="128">
      <c r="A128" s="5" t="inlineStr">
        <is>
          <t>Fernando Mendoza</t>
        </is>
      </c>
      <c r="B128" s="5">
        <f>COUNTIFS(tblOrdenes[tecnico_asignado],$A128,tblOrdenes[es_habil],"sí")</f>
        <v/>
      </c>
      <c r="C128" s="5">
        <f>COUNTIFS(tblOrdenes[tecnico_asignado],$A128,tblOrdenes[estado],"Cerrada",tblOrdenes[es_habil],"sí")</f>
        <v/>
      </c>
      <c r="D128" s="15">
        <f>IF(B128=0,"",C128/B128)</f>
        <v/>
      </c>
      <c r="E128" s="17">
        <f>SUMIFS(tblOrdenes[horas_efectivas],tblOrdenes[tecnico_asignado],$A128,tblOrdenes[es_habil],"sí")</f>
        <v/>
      </c>
      <c r="F128" s="17">
        <f>SUMIFS(tblOrdenes[horas_efectivas],tblOrdenes[tecnico_asignado],$A128,tblOrdenes[estado],"Cerrada",tblOrdenes[es_habil],"sí")</f>
        <v/>
      </c>
      <c r="G128" s="15">
        <f>IF(E128=0,"",F128/E128)</f>
        <v/>
      </c>
    </row>
    <row r="129">
      <c r="A129" s="5" t="inlineStr">
        <is>
          <t>Alberto Vargas</t>
        </is>
      </c>
      <c r="B129" s="5">
        <f>COUNTIFS(tblOrdenes[tecnico_asignado],$A129,tblOrdenes[es_habil],"sí")</f>
        <v/>
      </c>
      <c r="C129" s="5">
        <f>COUNTIFS(tblOrdenes[tecnico_asignado],$A129,tblOrdenes[estado],"Cerrada",tblOrdenes[es_habil],"sí")</f>
        <v/>
      </c>
      <c r="D129" s="15">
        <f>IF(B129=0,"",C129/B129)</f>
        <v/>
      </c>
      <c r="E129" s="17">
        <f>SUMIFS(tblOrdenes[horas_efectivas],tblOrdenes[tecnico_asignado],$A129,tblOrdenes[es_habil],"sí")</f>
        <v/>
      </c>
      <c r="F129" s="17">
        <f>SUMIFS(tblOrdenes[horas_efectivas],tblOrdenes[tecnico_asignado],$A129,tblOrdenes[estado],"Cerrada",tblOrdenes[es_habil],"sí")</f>
        <v/>
      </c>
      <c r="G129" s="15">
        <f>IF(E129=0,"",F129/E129)</f>
        <v/>
      </c>
    </row>
    <row r="130">
      <c r="A130" s="5" t="inlineStr">
        <is>
          <t>Daniela Medina</t>
        </is>
      </c>
      <c r="B130" s="5">
        <f>COUNTIFS(tblOrdenes[tecnico_asignado],$A130,tblOrdenes[es_habil],"sí")</f>
        <v/>
      </c>
      <c r="C130" s="5">
        <f>COUNTIFS(tblOrdenes[tecnico_asignado],$A130,tblOrdenes[estado],"Cerrada",tblOrdenes[es_habil],"sí")</f>
        <v/>
      </c>
      <c r="D130" s="15">
        <f>IF(B130=0,"",C130/B130)</f>
        <v/>
      </c>
      <c r="E130" s="17">
        <f>SUMIFS(tblOrdenes[horas_efectivas],tblOrdenes[tecnico_asignado],$A130,tblOrdenes[es_habil],"sí")</f>
        <v/>
      </c>
      <c r="F130" s="17">
        <f>SUMIFS(tblOrdenes[horas_efectivas],tblOrdenes[tecnico_asignado],$A130,tblOrdenes[estado],"Cerrada",tblOrdenes[es_habil],"sí")</f>
        <v/>
      </c>
      <c r="G130" s="15">
        <f>IF(E130=0,"",F130/E130)</f>
        <v/>
      </c>
    </row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2026-07</t>
        </is>
      </c>
      <c r="B134" s="25">
        <f>IF($A134="","",IF($A134=YEAR(p_fecha_datos)&amp;"-"&amp;TEXT(MONTH(p_fecha_datos),"00"),p_fecha_datos-1,DATE(VALUE(LEFT($A134,4)),VALUE(RIGHT($A134,2))+1,0)))</f>
        <v/>
      </c>
      <c r="C134" s="5">
        <f>COUNTIFS(tblOrdenes[mes_clave],$A134,tblOrdenes[fecha_inicio],"&lt;="&amp;$B134,tblOrdenes[es_habil],"sí")</f>
        <v/>
      </c>
      <c r="D134" s="5">
        <f>COUNTIFS(tblOrdenes[mes_clave],$A134,tblOrdenes[fecha_inicio],"&lt;="&amp;$B134,tblOrdenes[es_habil],"sí",tblOrdenes[estado],"Cerrada")</f>
        <v/>
      </c>
      <c r="E134" s="15">
        <f>IF($C134=0,"",$D134/$C134)</f>
        <v/>
      </c>
      <c r="F134" s="24">
        <f>p_meta_adherencia</f>
        <v/>
      </c>
      <c r="G134" s="5">
        <f>COUNTIFS(tblOrdenes[mes_clave],$A134,tblOrdenes[fecha_inicio],"&lt;="&amp;$B134,tblOrdenes[rubro],"calibracion")</f>
        <v/>
      </c>
      <c r="H134" s="5">
        <f>COUNTIFS(tblOrdenes[mes_clave],$A134,tblOrdenes[fecha_inicio],"&lt;="&amp;$B134,tblOrdenes[rubro],"calibracion",tblOrdenes[estado],"Cerrada")</f>
        <v/>
      </c>
      <c r="I134" s="15">
        <f>IF($G134=0,"",$H134/$G134)</f>
        <v/>
      </c>
      <c r="J134" s="5">
        <f>COUNTIFS(tblOrdenes[mes_clave],$A134,tblOrdenes[fecha_inicio],"&lt;="&amp;$B134,tblOrdenes[rubro],"calibracion",tblOrdenes[estado],"Pendiente")</f>
        <v/>
      </c>
      <c r="K134" s="5">
        <f>COUNTIFS(tblOrdenes[mes_clave],$A134,tblOrdenes[fecha_inicio],"&lt;="&amp;$B134,tblOrdenes[rubro],"lubricacion")</f>
        <v/>
      </c>
      <c r="L134" s="5">
        <f>COUNTIFS(tblOrdenes[mes_clave],$A134,tblOrdenes[fecha_inicio],"&lt;="&amp;$B134,tblOrdenes[rubro],"lubricacion",tblOrdenes[estado],"Cerrada")</f>
        <v/>
      </c>
      <c r="M134" s="15">
        <f>IF($K134=0,"",$L134/$K134)</f>
        <v/>
      </c>
      <c r="N134" s="5">
        <f>COUNTIFS(tblOrdenes[mes_clave],$A134,tblOrdenes[fecha_inicio],"&lt;="&amp;$B134,tblOrdenes[rubro],"lubricacion",tblOrdenes[estado],"Pendiente")</f>
        <v/>
      </c>
      <c r="O134" s="5">
        <f>COUNTIFS(tblOrdenes[mes_clave],$A134,tblOrdenes[fecha_inicio],"&lt;="&amp;$B134,tblOrdenes[clase_mantenimiento],"predictivo")</f>
        <v/>
      </c>
      <c r="P134" s="5">
        <f>COUNTIFS(tblOrdenes[mes_clave],$A134,tblOrdenes[fecha_inicio],"&lt;="&amp;$B134,tblOrdenes[clase_mantenimiento],"preventivo")</f>
        <v/>
      </c>
      <c r="Q134" s="5">
        <f>COUNTIFS(tblOrdenes[mes_clave],$A134,tblOrdenes[fecha_inicio],"&lt;="&amp;$B134,tblOrdenes[clase_mantenimiento],"correctivo_programado")</f>
        <v/>
      </c>
      <c r="R134" s="5">
        <f>COUNTIFS(tblOrdenes[mes_clave],$A134,tblOrdenes[fecha_inicio],"&lt;="&amp;$B134,tblOrdenes[clase_mantenimiento],"emergencia")</f>
        <v/>
      </c>
      <c r="S134" s="5">
        <f>COUNTIFS(tblOrdenes[mes_clave],$A134,tblOrdenes[fecha_inicio],"&lt;="&amp;$B134,tblOrdenes[clase_mantenimiento],"SIN CLASIFICAR")</f>
        <v/>
      </c>
      <c r="T134" s="5">
        <f>COUNTIFS(tblOrdenes[mes_clave],$A134,tblOrdenes[fecha_inicio],"&lt;="&amp;$B134)</f>
        <v/>
      </c>
      <c r="U134" s="5">
        <f>SUM(O134:S134)-T134</f>
        <v/>
      </c>
      <c r="V134" s="17">
        <f>SUMIFS(tblOrdenes[horas_efectivas],tblOrdenes[mes_clave],$A134,tblOrdenes[fecha_inicio],"&lt;="&amp;$B134,tblOrdenes[clase_mantenimiento],"predictivo")</f>
        <v/>
      </c>
      <c r="W134" s="17">
        <f>SUMIFS(tblOrdenes[horas_efectivas],tblOrdenes[mes_clave],$A134,tblOrdenes[fecha_inicio],"&lt;="&amp;$B134,tblOrdenes[clase_mantenimiento],"preventivo")</f>
        <v/>
      </c>
      <c r="X134" s="17">
        <f>SUMIFS(tblOrdenes[horas_efectivas],tblOrdenes[mes_clave],$A134,tblOrdenes[fecha_inicio],"&lt;="&amp;$B134,tblOrdenes[clase_mantenimiento],"correctivo_programado")</f>
        <v/>
      </c>
      <c r="Y134" s="17">
        <f>SUMIFS(tblOrdenes[horas_efectivas],tblOrdenes[mes_clave],$A134,tblOrdenes[fecha_inicio],"&lt;="&amp;$B134,tblOrdenes[clase_mantenimiento],"emergencia")</f>
        <v/>
      </c>
      <c r="Z134" s="17">
        <f>SUMIFS(tblOrdenes[horas_efectivas],tblOrdenes[mes_clave],$A134,tblOrdenes[fecha_inicio],"&lt;="&amp;$B134,tblOrdenes[clase_mantenimiento],"SIN CLASIFICAR")</f>
        <v/>
      </c>
      <c r="AA134" s="17">
        <f>SUMIFS(tblOrdenes[horas_efectivas],tblOrdenes[mes_clave],$A134,tblOrdenes[fecha_inicio],"&lt;="&amp;$B134)</f>
        <v/>
      </c>
      <c r="AB134" s="17">
        <f>ROUND(SUM(V134:Z134)-AA134,6)</f>
        <v/>
      </c>
    </row>
    <row r="135">
      <c r="A135" s="5" t="inlineStr">
        <is>
          <t>2026-08</t>
        </is>
      </c>
      <c r="B135" s="25">
        <f>IF($A135="","",IF($A135=YEAR(p_fecha_datos)&amp;"-"&amp;TEXT(MONTH(p_fecha_datos),"00"),p_fecha_datos-1,DATE(VALUE(LEFT($A135,4)),VALUE(RIGHT($A135,2))+1,0)))</f>
        <v/>
      </c>
      <c r="C135" s="5">
        <f>COUNTIFS(tblOrdenes[mes_clave],$A135,tblOrdenes[fecha_inicio],"&lt;="&amp;$B135,tblOrdenes[es_habil],"sí")</f>
        <v/>
      </c>
      <c r="D135" s="5">
        <f>COUNTIFS(tblOrdenes[mes_clave],$A135,tblOrdenes[fecha_inicio],"&lt;="&amp;$B135,tblOrdenes[es_habil],"sí",tblOrdenes[estado],"Cerrada")</f>
        <v/>
      </c>
      <c r="E135" s="15">
        <f>IF($C135=0,"",$D135/$C135)</f>
        <v/>
      </c>
      <c r="F135" s="24">
        <f>p_meta_adherencia</f>
        <v/>
      </c>
      <c r="G135" s="5">
        <f>COUNTIFS(tblOrdenes[mes_clave],$A135,tblOrdenes[fecha_inicio],"&lt;="&amp;$B135,tblOrdenes[rubro],"calibracion")</f>
        <v/>
      </c>
      <c r="H135" s="5">
        <f>COUNTIFS(tblOrdenes[mes_clave],$A135,tblOrdenes[fecha_inicio],"&lt;="&amp;$B135,tblOrdenes[rubro],"calibracion",tblOrdenes[estado],"Cerrada")</f>
        <v/>
      </c>
      <c r="I135" s="15">
        <f>IF($G135=0,"",$H135/$G135)</f>
        <v/>
      </c>
      <c r="J135" s="5">
        <f>COUNTIFS(tblOrdenes[mes_clave],$A135,tblOrdenes[fecha_inicio],"&lt;="&amp;$B135,tblOrdenes[rubro],"calibracion",tblOrdenes[estado],"Pendiente")</f>
        <v/>
      </c>
      <c r="K135" s="5">
        <f>COUNTIFS(tblOrdenes[mes_clave],$A135,tblOrdenes[fecha_inicio],"&lt;="&amp;$B135,tblOrdenes[rubro],"lubricacion")</f>
        <v/>
      </c>
      <c r="L135" s="5">
        <f>COUNTIFS(tblOrdenes[mes_clave],$A135,tblOrdenes[fecha_inicio],"&lt;="&amp;$B135,tblOrdenes[rubro],"lubricacion",tblOrdenes[estado],"Cerrada")</f>
        <v/>
      </c>
      <c r="M135" s="15">
        <f>IF($K135=0,"",$L135/$K135)</f>
        <v/>
      </c>
      <c r="N135" s="5">
        <f>COUNTIFS(tblOrdenes[mes_clave],$A135,tblOrdenes[fecha_inicio],"&lt;="&amp;$B135,tblOrdenes[rubro],"lubricacion",tblOrdenes[estado],"Pendiente")</f>
        <v/>
      </c>
      <c r="O135" s="5">
        <f>COUNTIFS(tblOrdenes[mes_clave],$A135,tblOrdenes[fecha_inicio],"&lt;="&amp;$B135,tblOrdenes[clase_mantenimiento],"predictivo")</f>
        <v/>
      </c>
      <c r="P135" s="5">
        <f>COUNTIFS(tblOrdenes[mes_clave],$A135,tblOrdenes[fecha_inicio],"&lt;="&amp;$B135,tblOrdenes[clase_mantenimiento],"preventivo")</f>
        <v/>
      </c>
      <c r="Q135" s="5">
        <f>COUNTIFS(tblOrdenes[mes_clave],$A135,tblOrdenes[fecha_inicio],"&lt;="&amp;$B135,tblOrdenes[clase_mantenimiento],"correctivo_programado")</f>
        <v/>
      </c>
      <c r="R135" s="5">
        <f>COUNTIFS(tblOrdenes[mes_clave],$A135,tblOrdenes[fecha_inicio],"&lt;="&amp;$B135,tblOrdenes[clase_mantenimiento],"emergencia")</f>
        <v/>
      </c>
      <c r="S135" s="5">
        <f>COUNTIFS(tblOrdenes[mes_clave],$A135,tblOrdenes[fecha_inicio],"&lt;="&amp;$B135,tblOrdenes[clase_mantenimiento],"SIN CLASIFICAR")</f>
        <v/>
      </c>
      <c r="T135" s="5">
        <f>COUNTIFS(tblOrdenes[mes_clave],$A135,tblOrdenes[fecha_inicio],"&lt;="&amp;$B135)</f>
        <v/>
      </c>
      <c r="U135" s="5">
        <f>SUM(O135:S135)-T135</f>
        <v/>
      </c>
      <c r="V135" s="17">
        <f>SUMIFS(tblOrdenes[horas_efectivas],tblOrdenes[mes_clave],$A135,tblOrdenes[fecha_inicio],"&lt;="&amp;$B135,tblOrdenes[clase_mantenimiento],"predictivo")</f>
        <v/>
      </c>
      <c r="W135" s="17">
        <f>SUMIFS(tblOrdenes[horas_efectivas],tblOrdenes[mes_clave],$A135,tblOrdenes[fecha_inicio],"&lt;="&amp;$B135,tblOrdenes[clase_mantenimiento],"preventivo")</f>
        <v/>
      </c>
      <c r="X135" s="17">
        <f>SUMIFS(tblOrdenes[horas_efectivas],tblOrdenes[mes_clave],$A135,tblOrdenes[fecha_inicio],"&lt;="&amp;$B135,tblOrdenes[clase_mantenimiento],"correctivo_programado")</f>
        <v/>
      </c>
      <c r="Y135" s="17">
        <f>SUMIFS(tblOrdenes[horas_efectivas],tblOrdenes[mes_clave],$A135,tblOrdenes[fecha_inicio],"&lt;="&amp;$B135,tblOrdenes[clase_mantenimiento],"emergencia")</f>
        <v/>
      </c>
      <c r="Z135" s="17">
        <f>SUMIFS(tblOrdenes[horas_efectivas],tblOrdenes[mes_clave],$A135,tblOrdenes[fecha_inicio],"&lt;="&amp;$B135,tblOrdenes[clase_mantenimiento],"SIN CLASIFICAR")</f>
        <v/>
      </c>
      <c r="AA135" s="17">
        <f>SUMIFS(tblOrdenes[horas_efectivas],tblOrdenes[mes_clave],$A135,tblOrdenes[fecha_inicio],"&lt;="&amp;$B135)</f>
        <v/>
      </c>
      <c r="AB135" s="17">
        <f>ROUND(SUM(V135:Z135)-AA135,6)</f>
        <v/>
      </c>
    </row>
    <row r="137">
      <c r="A137" s="3" t="inlineStr">
        <is>
          <t>SEMANA × RUBRO — programadas vs cerradas (fuente del DASHBOARD; no editar).</t>
        </is>
      </c>
    </row>
    <row r="138">
      <c r="A138" s="14" t="inlineStr">
        <is>
          <t>semana</t>
        </is>
      </c>
      <c r="B138" s="14" t="inlineStr">
        <is>
          <t>calibracion_programadas</t>
        </is>
      </c>
      <c r="C138" s="14" t="inlineStr">
        <is>
          <t>calibracion_cerradas</t>
        </is>
      </c>
      <c r="D138" s="14" t="inlineStr">
        <is>
          <t>lubricacion_programadas</t>
        </is>
      </c>
      <c r="E138" s="14" t="inlineStr">
        <is>
          <t>lubricacion_cerradas</t>
        </is>
      </c>
    </row>
    <row r="139">
      <c r="A139" s="5">
        <f>'PERFIL_HH'!$O$4</f>
        <v/>
      </c>
      <c r="B139" s="5">
        <f>IF($A139="","",COUNTIFS(tblOrdenes[semana],$A139,tblOrdenes[rubro],"calibracion"))</f>
        <v/>
      </c>
      <c r="C139" s="5">
        <f>IF($A139="","",COUNTIFS(tblOrdenes[semana],$A139,tblOrdenes[rubro],"calibracion",tblOrdenes[estado],"Cerrada"))</f>
        <v/>
      </c>
      <c r="D139" s="5">
        <f>IF($A139="","",COUNTIFS(tblOrdenes[semana],$A139,tblOrdenes[rubro],"lubricacion"))</f>
        <v/>
      </c>
      <c r="E139" s="5">
        <f>IF($A139="","",COUNTIFS(tblOrdenes[semana],$A139,tblOrdenes[rubro],"lubricacion",tblOrdenes[estado],"Cerrada"))</f>
        <v/>
      </c>
    </row>
    <row r="140">
      <c r="A140" s="5">
        <f>'PERFIL_HH'!$O$5</f>
        <v/>
      </c>
      <c r="B140" s="5">
        <f>IF($A140="","",COUNTIFS(tblOrdenes[semana],$A140,tblOrdenes[rubro],"calibracion"))</f>
        <v/>
      </c>
      <c r="C140" s="5">
        <f>IF($A140="","",COUNTIFS(tblOrdenes[semana],$A140,tblOrdenes[rubro],"calibracion",tblOrdenes[estado],"Cerrada"))</f>
        <v/>
      </c>
      <c r="D140" s="5">
        <f>IF($A140="","",COUNTIFS(tblOrdenes[semana],$A140,tblOrdenes[rubro],"lubricacion"))</f>
        <v/>
      </c>
      <c r="E140" s="5">
        <f>IF($A140="","",COUNTIFS(tblOrdenes[semana],$A140,tblOrdenes[rubro],"lubricacion",tblOrdenes[estado],"Cerrada"))</f>
        <v/>
      </c>
    </row>
    <row r="141" hidden="1">
      <c r="A141" s="5">
        <f>'PERFIL_HH'!$O$6</f>
        <v/>
      </c>
      <c r="B141" s="5">
        <f>IF($A141="","",COUNTIFS(tblOrdenes[semana],$A141,tblOrdenes[rubro],"calibracion"))</f>
        <v/>
      </c>
      <c r="C141" s="5">
        <f>IF($A141="","",COUNTIFS(tblOrdenes[semana],$A141,tblOrdenes[rubro],"calibracion",tblOrdenes[estado],"Cerrada"))</f>
        <v/>
      </c>
      <c r="D141" s="5">
        <f>IF($A141="","",COUNTIFS(tblOrdenes[semana],$A141,tblOrdenes[rubro],"lubricacion"))</f>
        <v/>
      </c>
      <c r="E141" s="5">
        <f>IF($A141="","",COUNTIFS(tblOrdenes[semana],$A141,tblOrdenes[rubro],"lubricacion",tblOrdenes[estado],"Cerrada"))</f>
        <v/>
      </c>
    </row>
    <row r="142" hidden="1">
      <c r="A142" s="5">
        <f>'PERFIL_HH'!$O$7</f>
        <v/>
      </c>
      <c r="B142" s="5">
        <f>IF($A142="","",COUNTIFS(tblOrdenes[semana],$A142,tblOrdenes[rubro],"calibracion"))</f>
        <v/>
      </c>
      <c r="C142" s="5">
        <f>IF($A142="","",COUNTIFS(tblOrdenes[semana],$A142,tblOrdenes[rubro],"calibracion",tblOrdenes[estado],"Cerrada"))</f>
        <v/>
      </c>
      <c r="D142" s="5">
        <f>IF($A142="","",COUNTIFS(tblOrdenes[semana],$A142,tblOrdenes[rubro],"lubricacion"))</f>
        <v/>
      </c>
      <c r="E142" s="5">
        <f>IF($A142="","",COUNTIFS(tblOrdenes[semana],$A142,tblOrdenes[rubro],"lubricacion",tblOrdenes[estado],"Cerrada"))</f>
        <v/>
      </c>
    </row>
    <row r="143" hidden="1">
      <c r="A143" s="5">
        <f>'PERFIL_HH'!$O$8</f>
        <v/>
      </c>
      <c r="B143" s="5">
        <f>IF($A143="","",COUNTIFS(tblOrdenes[semana],$A143,tblOrdenes[rubro],"calibracion"))</f>
        <v/>
      </c>
      <c r="C143" s="5">
        <f>IF($A143="","",COUNTIFS(tblOrdenes[semana],$A143,tblOrdenes[rubro],"calibracion",tblOrdenes[estado],"Cerrada"))</f>
        <v/>
      </c>
      <c r="D143" s="5">
        <f>IF($A143="","",COUNTIFS(tblOrdenes[semana],$A143,tblOrdenes[rubro],"lubricacion"))</f>
        <v/>
      </c>
      <c r="E143" s="5">
        <f>IF($A143="","",COUNTIFS(tblOrdenes[semana],$A143,tblOrdenes[rubro],"lubricacion",tblOrdenes[estado],"Cerrada"))</f>
        <v/>
      </c>
    </row>
    <row r="144" hidden="1">
      <c r="A144" s="5">
        <f>'PERFIL_HH'!$O$9</f>
        <v/>
      </c>
      <c r="B144" s="5">
        <f>IF($A144="","",COUNTIFS(tblOrdenes[semana],$A144,tblOrdenes[rubro],"calibracion"))</f>
        <v/>
      </c>
      <c r="C144" s="5">
        <f>IF($A144="","",COUNTIFS(tblOrdenes[semana],$A144,tblOrdenes[rubro],"calibracion",tblOrdenes[estado],"Cerrada"))</f>
        <v/>
      </c>
      <c r="D144" s="5">
        <f>IF($A144="","",COUNTIFS(tblOrdenes[semana],$A144,tblOrdenes[rubro],"lubricacion"))</f>
        <v/>
      </c>
      <c r="E144" s="5">
        <f>IF($A144="","",COUNTIFS(tblOrdenes[semana],$A144,tblOrdenes[rubro],"lubricacion",tblOrdenes[estado],"Cerrada"))</f>
        <v/>
      </c>
    </row>
    <row r="145" hidden="1">
      <c r="A145" s="5">
        <f>'PERFIL_HH'!$O$10</f>
        <v/>
      </c>
      <c r="B145" s="5">
        <f>IF($A145="","",COUNTIFS(tblOrdenes[semana],$A145,tblOrdenes[rubro],"calibracion"))</f>
        <v/>
      </c>
      <c r="C145" s="5">
        <f>IF($A145="","",COUNTIFS(tblOrdenes[semana],$A145,tblOrdenes[rubro],"calibracion",tblOrdenes[estado],"Cerrada"))</f>
        <v/>
      </c>
      <c r="D145" s="5">
        <f>IF($A145="","",COUNTIFS(tblOrdenes[semana],$A145,tblOrdenes[rubro],"lubricacion"))</f>
        <v/>
      </c>
      <c r="E145" s="5">
        <f>IF($A145="","",COUNTIFS(tblOrdenes[semana],$A145,tblOrdenes[rubro],"lubricacion",tblOrdenes[estado],"Cerrada"))</f>
        <v/>
      </c>
    </row>
    <row r="146" hidden="1">
      <c r="A146" s="5">
        <f>'PERFIL_HH'!$O$11</f>
        <v/>
      </c>
      <c r="B146" s="5">
        <f>IF($A146="","",COUNTIFS(tblOrdenes[semana],$A146,tblOrdenes[rubro],"calibracion"))</f>
        <v/>
      </c>
      <c r="C146" s="5">
        <f>IF($A146="","",COUNTIFS(tblOrdenes[semana],$A146,tblOrdenes[rubro],"calibracion",tblOrdenes[estado],"Cerrada"))</f>
        <v/>
      </c>
      <c r="D146" s="5">
        <f>IF($A146="","",COUNTIFS(tblOrdenes[semana],$A146,tblOrdenes[rubro],"lubricacion"))</f>
        <v/>
      </c>
      <c r="E146" s="5">
        <f>IF($A146="","",COUNTIFS(tblOrdenes[semana],$A146,tblOrdenes[rubro],"lubricacion",tblOrdenes[estado],"Cerrada"))</f>
        <v/>
      </c>
    </row>
    <row r="147" hidden="1">
      <c r="A147" s="5">
        <f>'PERFIL_HH'!$O$12</f>
        <v/>
      </c>
      <c r="B147" s="5">
        <f>IF($A147="","",COUNTIFS(tblOrdenes[semana],$A147,tblOrdenes[rubro],"calibracion"))</f>
        <v/>
      </c>
      <c r="C147" s="5">
        <f>IF($A147="","",COUNTIFS(tblOrdenes[semana],$A147,tblOrdenes[rubro],"calibracion",tblOrdenes[estado],"Cerrada"))</f>
        <v/>
      </c>
      <c r="D147" s="5">
        <f>IF($A147="","",COUNTIFS(tblOrdenes[semana],$A147,tblOrdenes[rubro],"lubricacion"))</f>
        <v/>
      </c>
      <c r="E147" s="5">
        <f>IF($A147="","",COUNTIFS(tblOrdenes[semana],$A147,tblOrdenes[rubro],"lubricacion",tblOrdenes[estado],"Cerrada"))</f>
        <v/>
      </c>
    </row>
    <row r="148" hidden="1">
      <c r="A148" s="5">
        <f>'PERFIL_HH'!$O$13</f>
        <v/>
      </c>
      <c r="B148" s="5">
        <f>IF($A148="","",COUNTIFS(tblOrdenes[semana],$A148,tblOrdenes[rubro],"calibracion"))</f>
        <v/>
      </c>
      <c r="C148" s="5">
        <f>IF($A148="","",COUNTIFS(tblOrdenes[semana],$A148,tblOrdenes[rubro],"calibracion",tblOrdenes[estado],"Cerrada"))</f>
        <v/>
      </c>
      <c r="D148" s="5">
        <f>IF($A148="","",COUNTIFS(tblOrdenes[semana],$A148,tblOrdenes[rubro],"lubricacion"))</f>
        <v/>
      </c>
      <c r="E148" s="5">
        <f>IF($A148="","",COUNTIFS(tblOrdenes[semana],$A148,tblOrdenes[rubro],"lubricacion",tblOrdenes[estado],"Cerrada"))</f>
        <v/>
      </c>
    </row>
    <row r="149" hidden="1">
      <c r="A149" s="5">
        <f>'PERFIL_HH'!$O$14</f>
        <v/>
      </c>
      <c r="B149" s="5">
        <f>IF($A149="","",COUNTIFS(tblOrdenes[semana],$A149,tblOrdenes[rubro],"calibracion"))</f>
        <v/>
      </c>
      <c r="C149" s="5">
        <f>IF($A149="","",COUNTIFS(tblOrdenes[semana],$A149,tblOrdenes[rubro],"calibracion",tblOrdenes[estado],"Cerrada"))</f>
        <v/>
      </c>
      <c r="D149" s="5">
        <f>IF($A149="","",COUNTIFS(tblOrdenes[semana],$A149,tblOrdenes[rubro],"lubricacion"))</f>
        <v/>
      </c>
      <c r="E149" s="5">
        <f>IF($A149="","",COUNTIFS(tblOrdenes[semana],$A149,tblOrdenes[rubro],"lubricacion",tblOrdenes[estado],"Cerrada"))</f>
        <v/>
      </c>
    </row>
    <row r="150" hidden="1">
      <c r="A150" s="5">
        <f>'PERFIL_HH'!$O$15</f>
        <v/>
      </c>
      <c r="B150" s="5">
        <f>IF($A150="","",COUNTIFS(tblOrdenes[semana],$A150,tblOrdenes[rubro],"calibracion"))</f>
        <v/>
      </c>
      <c r="C150" s="5">
        <f>IF($A150="","",COUNTIFS(tblOrdenes[semana],$A150,tblOrdenes[rubro],"calibracion",tblOrdenes[estado],"Cerrada"))</f>
        <v/>
      </c>
      <c r="D150" s="5">
        <f>IF($A150="","",COUNTIFS(tblOrdenes[semana],$A150,tblOrdenes[rubro],"lubricacion"))</f>
        <v/>
      </c>
      <c r="E150" s="5">
        <f>IF($A150="","",COUNTIFS(tblOrdenes[semana],$A150,tblOrdenes[rubro],"lubricacion",tblOrdenes[estado],"Cerrada"))</f>
        <v/>
      </c>
    </row>
    <row r="151" hidden="1">
      <c r="A151" s="5">
        <f>'PERFIL_HH'!$O$16</f>
        <v/>
      </c>
      <c r="B151" s="5">
        <f>IF($A151="","",COUNTIFS(tblOrdenes[semana],$A151,tblOrdenes[rubro],"calibracion"))</f>
        <v/>
      </c>
      <c r="C151" s="5">
        <f>IF($A151="","",COUNTIFS(tblOrdenes[semana],$A151,tblOrdenes[rubro],"calibracion",tblOrdenes[estado],"Cerrada"))</f>
        <v/>
      </c>
      <c r="D151" s="5">
        <f>IF($A151="","",COUNTIFS(tblOrdenes[semana],$A151,tblOrdenes[rubro],"lubricacion"))</f>
        <v/>
      </c>
      <c r="E151" s="5">
        <f>IF($A151="","",COUNTIFS(tblOrdenes[semana],$A151,tblOrdenes[rubro],"lubricacion",tblOrdenes[estado],"Cerrada"))</f>
        <v/>
      </c>
    </row>
    <row r="152" hidden="1">
      <c r="A152" s="5">
        <f>'PERFIL_HH'!$O$17</f>
        <v/>
      </c>
      <c r="B152" s="5">
        <f>IF($A152="","",COUNTIFS(tblOrdenes[semana],$A152,tblOrdenes[rubro],"calibracion"))</f>
        <v/>
      </c>
      <c r="C152" s="5">
        <f>IF($A152="","",COUNTIFS(tblOrdenes[semana],$A152,tblOrdenes[rubro],"calibracion",tblOrdenes[estado],"Cerrada"))</f>
        <v/>
      </c>
      <c r="D152" s="5">
        <f>IF($A152="","",COUNTIFS(tblOrdenes[semana],$A152,tblOrdenes[rubro],"lubricacion"))</f>
        <v/>
      </c>
      <c r="E152" s="5">
        <f>IF($A152="","",COUNTIFS(tblOrdenes[semana],$A152,tblOrdenes[rubro],"lubricacion",tblOrdenes[estado],"Cerrada"))</f>
        <v/>
      </c>
    </row>
    <row r="153" hidden="1">
      <c r="A153" s="5">
        <f>'PERFIL_HH'!$O$18</f>
        <v/>
      </c>
      <c r="B153" s="5">
        <f>IF($A153="","",COUNTIFS(tblOrdenes[semana],$A153,tblOrdenes[rubro],"calibracion"))</f>
        <v/>
      </c>
      <c r="C153" s="5">
        <f>IF($A153="","",COUNTIFS(tblOrdenes[semana],$A153,tblOrdenes[rubro],"calibracion",tblOrdenes[estado],"Cerrada"))</f>
        <v/>
      </c>
      <c r="D153" s="5">
        <f>IF($A153="","",COUNTIFS(tblOrdenes[semana],$A153,tblOrdenes[rubro],"lubricacion"))</f>
        <v/>
      </c>
      <c r="E153" s="5">
        <f>IF($A153="","",COUNTIFS(tblOrdenes[semana],$A153,tblOrdenes[rubro],"lubricacion",tblOrdenes[estado],"Cerrada"))</f>
        <v/>
      </c>
    </row>
    <row r="154" hidden="1">
      <c r="A154" s="5">
        <f>'PERFIL_HH'!$O$19</f>
        <v/>
      </c>
      <c r="B154" s="5">
        <f>IF($A154="","",COUNTIFS(tblOrdenes[semana],$A154,tblOrdenes[rubro],"calibracion"))</f>
        <v/>
      </c>
      <c r="C154" s="5">
        <f>IF($A154="","",COUNTIFS(tblOrdenes[semana],$A154,tblOrdenes[rubro],"calibracion",tblOrdenes[estado],"Cerrada"))</f>
        <v/>
      </c>
      <c r="D154" s="5">
        <f>IF($A154="","",COUNTIFS(tblOrdenes[semana],$A154,tblOrdenes[rubro],"lubricacion"))</f>
        <v/>
      </c>
      <c r="E154" s="5">
        <f>IF($A154="","",COUNTIFS(tblOrdenes[semana],$A154,tblOrdenes[rubro],"lubricacion",tblOrdenes[estado],"Cerrada"))</f>
        <v/>
      </c>
    </row>
    <row r="155" hidden="1">
      <c r="A155" s="5">
        <f>'PERFIL_HH'!$O$20</f>
        <v/>
      </c>
      <c r="B155" s="5">
        <f>IF($A155="","",COUNTIFS(tblOrdenes[semana],$A155,tblOrdenes[rubro],"calibracion"))</f>
        <v/>
      </c>
      <c r="C155" s="5">
        <f>IF($A155="","",COUNTIFS(tblOrdenes[semana],$A155,tblOrdenes[rubro],"calibracion",tblOrdenes[estado],"Cerrada"))</f>
        <v/>
      </c>
      <c r="D155" s="5">
        <f>IF($A155="","",COUNTIFS(tblOrdenes[semana],$A155,tblOrdenes[rubro],"lubricacion"))</f>
        <v/>
      </c>
      <c r="E155" s="5">
        <f>IF($A155="","",COUNTIFS(tblOrdenes[semana],$A155,tblOrdenes[rubro],"lubricacion",tblOrdenes[estado],"Cerrada"))</f>
        <v/>
      </c>
    </row>
    <row r="156" hidden="1">
      <c r="A156" s="5">
        <f>'PERFIL_HH'!$O$21</f>
        <v/>
      </c>
      <c r="B156" s="5">
        <f>IF($A156="","",COUNTIFS(tblOrdenes[semana],$A156,tblOrdenes[rubro],"calibracion"))</f>
        <v/>
      </c>
      <c r="C156" s="5">
        <f>IF($A156="","",COUNTIFS(tblOrdenes[semana],$A156,tblOrdenes[rubro],"calibracion",tblOrdenes[estado],"Cerrada"))</f>
        <v/>
      </c>
      <c r="D156" s="5">
        <f>IF($A156="","",COUNTIFS(tblOrdenes[semana],$A156,tblOrdenes[rubro],"lubricacion"))</f>
        <v/>
      </c>
      <c r="E156" s="5">
        <f>IF($A156="","",COUNTIFS(tblOrdenes[semana],$A156,tblOrdenes[rubro],"lubricacion",tblOrdenes[estado],"Cerrada"))</f>
        <v/>
      </c>
    </row>
    <row r="157" hidden="1">
      <c r="A157" s="5">
        <f>'PERFIL_HH'!$O$22</f>
        <v/>
      </c>
      <c r="B157" s="5">
        <f>IF($A157="","",COUNTIFS(tblOrdenes[semana],$A157,tblOrdenes[rubro],"calibracion"))</f>
        <v/>
      </c>
      <c r="C157" s="5">
        <f>IF($A157="","",COUNTIFS(tblOrdenes[semana],$A157,tblOrdenes[rubro],"calibracion",tblOrdenes[estado],"Cerrada"))</f>
        <v/>
      </c>
      <c r="D157" s="5">
        <f>IF($A157="","",COUNTIFS(tblOrdenes[semana],$A157,tblOrdenes[rubro],"lubricacion"))</f>
        <v/>
      </c>
      <c r="E157" s="5">
        <f>IF($A157="","",COUNTIFS(tblOrdenes[semana],$A157,tblOrdenes[rubro],"lubricacion",tblOrdenes[estado],"Cerrada"))</f>
        <v/>
      </c>
    </row>
    <row r="158" hidden="1">
      <c r="A158" s="5">
        <f>'PERFIL_HH'!$O$23</f>
        <v/>
      </c>
      <c r="B158" s="5">
        <f>IF($A158="","",COUNTIFS(tblOrdenes[semana],$A158,tblOrdenes[rubro],"calibracion"))</f>
        <v/>
      </c>
      <c r="C158" s="5">
        <f>IF($A158="","",COUNTIFS(tblOrdenes[semana],$A158,tblOrdenes[rubro],"calibracion",tblOrdenes[estado],"Cerrada"))</f>
        <v/>
      </c>
      <c r="D158" s="5">
        <f>IF($A158="","",COUNTIFS(tblOrdenes[semana],$A158,tblOrdenes[rubro],"lubricacion"))</f>
        <v/>
      </c>
      <c r="E158" s="5">
        <f>IF($A158="","",COUNTIFS(tblOrdenes[semana],$A158,tblOrdenes[rubro],"lubricacion",tblOrdenes[estado],"Cerrada"))</f>
        <v/>
      </c>
    </row>
    <row r="159" hidden="1">
      <c r="A159" s="5">
        <f>'PERFIL_HH'!$O$24</f>
        <v/>
      </c>
      <c r="B159" s="5">
        <f>IF($A159="","",COUNTIFS(tblOrdenes[semana],$A159,tblOrdenes[rubro],"calibracion"))</f>
        <v/>
      </c>
      <c r="C159" s="5">
        <f>IF($A159="","",COUNTIFS(tblOrdenes[semana],$A159,tblOrdenes[rubro],"calibracion",tblOrdenes[estado],"Cerrada"))</f>
        <v/>
      </c>
      <c r="D159" s="5">
        <f>IF($A159="","",COUNTIFS(tblOrdenes[semana],$A159,tblOrdenes[rubro],"lubricacion"))</f>
        <v/>
      </c>
      <c r="E159" s="5">
        <f>IF($A159="","",COUNTIFS(tblOrdenes[semana],$A159,tblOrdenes[rubro],"lubricacion",tblOrdenes[estado],"Cerrada"))</f>
        <v/>
      </c>
    </row>
    <row r="160" hidden="1">
      <c r="A160" s="5">
        <f>'PERFIL_HH'!$O$25</f>
        <v/>
      </c>
      <c r="B160" s="5">
        <f>IF($A160="","",COUNTIFS(tblOrdenes[semana],$A160,tblOrdenes[rubro],"calibracion"))</f>
        <v/>
      </c>
      <c r="C160" s="5">
        <f>IF($A160="","",COUNTIFS(tblOrdenes[semana],$A160,tblOrdenes[rubro],"calibracion",tblOrdenes[estado],"Cerrada"))</f>
        <v/>
      </c>
      <c r="D160" s="5">
        <f>IF($A160="","",COUNTIFS(tblOrdenes[semana],$A160,tblOrdenes[rubro],"lubricacion"))</f>
        <v/>
      </c>
      <c r="E160" s="5">
        <f>IF($A160="","",COUNTIFS(tblOrdenes[semana],$A160,tblOrdenes[rubro],"lubricacion",tblOrdenes[estado],"Cerrada"))</f>
        <v/>
      </c>
    </row>
    <row r="161" hidden="1">
      <c r="A161" s="5">
        <f>'PERFIL_HH'!$O$26</f>
        <v/>
      </c>
      <c r="B161" s="5">
        <f>IF($A161="","",COUNTIFS(tblOrdenes[semana],$A161,tblOrdenes[rubro],"calibracion"))</f>
        <v/>
      </c>
      <c r="C161" s="5">
        <f>IF($A161="","",COUNTIFS(tblOrdenes[semana],$A161,tblOrdenes[rubro],"calibracion",tblOrdenes[estado],"Cerrada"))</f>
        <v/>
      </c>
      <c r="D161" s="5">
        <f>IF($A161="","",COUNTIFS(tblOrdenes[semana],$A161,tblOrdenes[rubro],"lubricacion"))</f>
        <v/>
      </c>
      <c r="E161" s="5">
        <f>IF($A161="","",COUNTIFS(tblOrdenes[semana],$A161,tblOrdenes[rubro],"lubricacion",tblOrdenes[estado],"Cerrada"))</f>
        <v/>
      </c>
    </row>
    <row r="162" hidden="1">
      <c r="A162" s="5">
        <f>'PERFIL_HH'!$O$27</f>
        <v/>
      </c>
      <c r="B162" s="5">
        <f>IF($A162="","",COUNTIFS(tblOrdenes[semana],$A162,tblOrdenes[rubro],"calibracion"))</f>
        <v/>
      </c>
      <c r="C162" s="5">
        <f>IF($A162="","",COUNTIFS(tblOrdenes[semana],$A162,tblOrdenes[rubro],"calibracion",tblOrdenes[estado],"Cerrada"))</f>
        <v/>
      </c>
      <c r="D162" s="5">
        <f>IF($A162="","",COUNTIFS(tblOrdenes[semana],$A162,tblOrdenes[rubro],"lubricacion"))</f>
        <v/>
      </c>
      <c r="E162" s="5">
        <f>IF($A162="","",COUNTIFS(tblOrdenes[semana],$A162,tblOrdenes[rubro],"lubricacion",tblOrdenes[estado],"Cerrada"))</f>
        <v/>
      </c>
    </row>
    <row r="163" hidden="1">
      <c r="A163" s="5">
        <f>'PERFIL_HH'!$O$28</f>
        <v/>
      </c>
      <c r="B163" s="5">
        <f>IF($A163="","",COUNTIFS(tblOrdenes[semana],$A163,tblOrdenes[rubro],"calibracion"))</f>
        <v/>
      </c>
      <c r="C163" s="5">
        <f>IF($A163="","",COUNTIFS(tblOrdenes[semana],$A163,tblOrdenes[rubro],"calibracion",tblOrdenes[estado],"Cerrada"))</f>
        <v/>
      </c>
      <c r="D163" s="5">
        <f>IF($A163="","",COUNTIFS(tblOrdenes[semana],$A163,tblOrdenes[rubro],"lubricacion"))</f>
        <v/>
      </c>
      <c r="E163" s="5">
        <f>IF($A163="","",COUNTIFS(tblOrdenes[semana],$A163,tblOrdenes[rubro],"lubricacion",tblOrdenes[estado],"Cerrada"))</f>
        <v/>
      </c>
    </row>
    <row r="164" hidden="1">
      <c r="A164" s="5">
        <f>'PERFIL_HH'!$O$29</f>
        <v/>
      </c>
      <c r="B164" s="5">
        <f>IF($A164="","",COUNTIFS(tblOrdenes[semana],$A164,tblOrdenes[rubro],"calibracion"))</f>
        <v/>
      </c>
      <c r="C164" s="5">
        <f>IF($A164="","",COUNTIFS(tblOrdenes[semana],$A164,tblOrdenes[rubro],"calibracion",tblOrdenes[estado],"Cerrada"))</f>
        <v/>
      </c>
      <c r="D164" s="5">
        <f>IF($A164="","",COUNTIFS(tblOrdenes[semana],$A164,tblOrdenes[rubro],"lubricacion"))</f>
        <v/>
      </c>
      <c r="E164" s="5">
        <f>IF($A164="","",COUNTIFS(tblOrdenes[semana],$A164,tblOrdenes[rubro],"lubricacion",tblOrdenes[estado],"Cerrada"))</f>
        <v/>
      </c>
    </row>
    <row r="165" hidden="1">
      <c r="A165" s="5">
        <f>'PERFIL_HH'!$O$30</f>
        <v/>
      </c>
      <c r="B165" s="5">
        <f>IF($A165="","",COUNTIFS(tblOrdenes[semana],$A165,tblOrdenes[rubro],"calibracion"))</f>
        <v/>
      </c>
      <c r="C165" s="5">
        <f>IF($A165="","",COUNTIFS(tblOrdenes[semana],$A165,tblOrdenes[rubro],"calibracion",tblOrdenes[estado],"Cerrada"))</f>
        <v/>
      </c>
      <c r="D165" s="5">
        <f>IF($A165="","",COUNTIFS(tblOrdenes[semana],$A165,tblOrdenes[rubro],"lubricacion"))</f>
        <v/>
      </c>
      <c r="E165" s="5">
        <f>IF($A165="","",COUNTIFS(tblOrdenes[semana],$A165,tblOrdenes[rubro],"lubricacion",tblOrdenes[estado],"Cerrada"))</f>
        <v/>
      </c>
    </row>
    <row r="166" hidden="1">
      <c r="A166" s="5">
        <f>'PERFIL_HH'!$O$31</f>
        <v/>
      </c>
      <c r="B166" s="5">
        <f>IF($A166="","",COUNTIFS(tblOrdenes[semana],$A166,tblOrdenes[rubro],"calibracion"))</f>
        <v/>
      </c>
      <c r="C166" s="5">
        <f>IF($A166="","",COUNTIFS(tblOrdenes[semana],$A166,tblOrdenes[rubro],"calibracion",tblOrdenes[estado],"Cerrada"))</f>
        <v/>
      </c>
      <c r="D166" s="5">
        <f>IF($A166="","",COUNTIFS(tblOrdenes[semana],$A166,tblOrdenes[rubro],"lubricacion"))</f>
        <v/>
      </c>
      <c r="E166" s="5">
        <f>IF($A166="","",COUNTIFS(tblOrdenes[semana],$A166,tblOrdenes[rubro],"lubricacion",tblOrdenes[estado],"Cerrada"))</f>
        <v/>
      </c>
    </row>
    <row r="167" hidden="1">
      <c r="A167" s="5">
        <f>'PERFIL_HH'!$O$32</f>
        <v/>
      </c>
      <c r="B167" s="5">
        <f>IF($A167="","",COUNTIFS(tblOrdenes[semana],$A167,tblOrdenes[rubro],"calibracion"))</f>
        <v/>
      </c>
      <c r="C167" s="5">
        <f>IF($A167="","",COUNTIFS(tblOrdenes[semana],$A167,tblOrdenes[rubro],"calibracion",tblOrdenes[estado],"Cerrada"))</f>
        <v/>
      </c>
      <c r="D167" s="5">
        <f>IF($A167="","",COUNTIFS(tblOrdenes[semana],$A167,tblOrdenes[rubro],"lubricacion"))</f>
        <v/>
      </c>
      <c r="E167" s="5">
        <f>IF($A167="","",COUNTIFS(tblOrdenes[semana],$A167,tblOrdenes[rubro],"lubricacion",tblOrdenes[estado],"Cerrada"))</f>
        <v/>
      </c>
    </row>
    <row r="168" hidden="1">
      <c r="A168" s="5">
        <f>'PERFIL_HH'!$O$33</f>
        <v/>
      </c>
      <c r="B168" s="5">
        <f>IF($A168="","",COUNTIFS(tblOrdenes[semana],$A168,tblOrdenes[rubro],"calibracion"))</f>
        <v/>
      </c>
      <c r="C168" s="5">
        <f>IF($A168="","",COUNTIFS(tblOrdenes[semana],$A168,tblOrdenes[rubro],"calibracion",tblOrdenes[estado],"Cerrada"))</f>
        <v/>
      </c>
      <c r="D168" s="5">
        <f>IF($A168="","",COUNTIFS(tblOrdenes[semana],$A168,tblOrdenes[rubro],"lubricacion"))</f>
        <v/>
      </c>
      <c r="E168" s="5">
        <f>IF($A168="","",COUNTIFS(tblOrdenes[semana],$A168,tblOrdenes[rubro],"lubricacion",tblOrdenes[estado],"Cerrada"))</f>
        <v/>
      </c>
    </row>
    <row r="169" hidden="1">
      <c r="A169" s="5">
        <f>'PERFIL_HH'!$O$34</f>
        <v/>
      </c>
      <c r="B169" s="5">
        <f>IF($A169="","",COUNTIFS(tblOrdenes[semana],$A169,tblOrdenes[rubro],"calibracion"))</f>
        <v/>
      </c>
      <c r="C169" s="5">
        <f>IF($A169="","",COUNTIFS(tblOrdenes[semana],$A169,tblOrdenes[rubro],"calibracion",tblOrdenes[estado],"Cerrada"))</f>
        <v/>
      </c>
      <c r="D169" s="5">
        <f>IF($A169="","",COUNTIFS(tblOrdenes[semana],$A169,tblOrdenes[rubro],"lubricacion"))</f>
        <v/>
      </c>
      <c r="E169" s="5">
        <f>IF($A169="","",COUNTIFS(tblOrdenes[semana],$A169,tblOrdenes[rubro],"lubricacion",tblOrdenes[estado],"Cerrada"))</f>
        <v/>
      </c>
    </row>
    <row r="170" hidden="1">
      <c r="A170" s="5">
        <f>'PERFIL_HH'!$O$35</f>
        <v/>
      </c>
      <c r="B170" s="5">
        <f>IF($A170="","",COUNTIFS(tblOrdenes[semana],$A170,tblOrdenes[rubro],"calibracion"))</f>
        <v/>
      </c>
      <c r="C170" s="5">
        <f>IF($A170="","",COUNTIFS(tblOrdenes[semana],$A170,tblOrdenes[rubro],"calibracion",tblOrdenes[estado],"Cerrada"))</f>
        <v/>
      </c>
      <c r="D170" s="5">
        <f>IF($A170="","",COUNTIFS(tblOrdenes[semana],$A170,tblOrdenes[rubro],"lubricacion"))</f>
        <v/>
      </c>
      <c r="E170" s="5">
        <f>IF($A170="","",COUNTIFS(tblOrdenes[semana],$A170,tblOrdenes[rubro],"lubricacion",tblOrdenes[estado],"Cerrada"))</f>
        <v/>
      </c>
    </row>
    <row r="171" hidden="1">
      <c r="A171" s="5">
        <f>'PERFIL_HH'!$O$36</f>
        <v/>
      </c>
      <c r="B171" s="5">
        <f>IF($A171="","",COUNTIFS(tblOrdenes[semana],$A171,tblOrdenes[rubro],"calibracion"))</f>
        <v/>
      </c>
      <c r="C171" s="5">
        <f>IF($A171="","",COUNTIFS(tblOrdenes[semana],$A171,tblOrdenes[rubro],"calibracion",tblOrdenes[estado],"Cerrada"))</f>
        <v/>
      </c>
      <c r="D171" s="5">
        <f>IF($A171="","",COUNTIFS(tblOrdenes[semana],$A171,tblOrdenes[rubro],"lubricacion"))</f>
        <v/>
      </c>
      <c r="E171" s="5">
        <f>IF($A171="","",COUNTIFS(tblOrdenes[semana],$A171,tblOrdenes[rubro],"lubricacion",tblOrdenes[estado],"Cerrada"))</f>
        <v/>
      </c>
    </row>
    <row r="172" hidden="1">
      <c r="A172" s="5">
        <f>'PERFIL_HH'!$O$37</f>
        <v/>
      </c>
      <c r="B172" s="5">
        <f>IF($A172="","",COUNTIFS(tblOrdenes[semana],$A172,tblOrdenes[rubro],"calibracion"))</f>
        <v/>
      </c>
      <c r="C172" s="5">
        <f>IF($A172="","",COUNTIFS(tblOrdenes[semana],$A172,tblOrdenes[rubro],"calibracion",tblOrdenes[estado],"Cerrada"))</f>
        <v/>
      </c>
      <c r="D172" s="5">
        <f>IF($A172="","",COUNTIFS(tblOrdenes[semana],$A172,tblOrdenes[rubro],"lubricacion"))</f>
        <v/>
      </c>
      <c r="E172" s="5">
        <f>IF($A172="","",COUNTIFS(tblOrdenes[semana],$A172,tblOrdenes[rubro],"lubricacion",tblOrdenes[estado],"Cerrada"))</f>
        <v/>
      </c>
    </row>
    <row r="173" hidden="1">
      <c r="A173" s="5">
        <f>'PERFIL_HH'!$O$38</f>
        <v/>
      </c>
      <c r="B173" s="5">
        <f>IF($A173="","",COUNTIFS(tblOrdenes[semana],$A173,tblOrdenes[rubro],"calibracion"))</f>
        <v/>
      </c>
      <c r="C173" s="5">
        <f>IF($A173="","",COUNTIFS(tblOrdenes[semana],$A173,tblOrdenes[rubro],"calibracion",tblOrdenes[estado],"Cerrada"))</f>
        <v/>
      </c>
      <c r="D173" s="5">
        <f>IF($A173="","",COUNTIFS(tblOrdenes[semana],$A173,tblOrdenes[rubro],"lubricacion"))</f>
        <v/>
      </c>
      <c r="E173" s="5">
        <f>IF($A173="","",COUNTIFS(tblOrdenes[semana],$A173,tblOrdenes[rubro],"lubricacion",tblOrdenes[estado],"Cerrada"))</f>
        <v/>
      </c>
    </row>
    <row r="174" hidden="1">
      <c r="A174" s="5">
        <f>'PERFIL_HH'!$O$39</f>
        <v/>
      </c>
      <c r="B174" s="5">
        <f>IF($A174="","",COUNTIFS(tblOrdenes[semana],$A174,tblOrdenes[rubro],"calibracion"))</f>
        <v/>
      </c>
      <c r="C174" s="5">
        <f>IF($A174="","",COUNTIFS(tblOrdenes[semana],$A174,tblOrdenes[rubro],"calibracion",tblOrdenes[estado],"Cerrada"))</f>
        <v/>
      </c>
      <c r="D174" s="5">
        <f>IF($A174="","",COUNTIFS(tblOrdenes[semana],$A174,tblOrdenes[rubro],"lubricacion"))</f>
        <v/>
      </c>
      <c r="E174" s="5">
        <f>IF($A174="","",COUNTIFS(tblOrdenes[semana],$A174,tblOrdenes[rubro],"lubricacion",tblOrdenes[estado],"Cerrada"))</f>
        <v/>
      </c>
    </row>
    <row r="175" hidden="1">
      <c r="A175" s="5">
        <f>'PERFIL_HH'!$O$40</f>
        <v/>
      </c>
      <c r="B175" s="5">
        <f>IF($A175="","",COUNTIFS(tblOrdenes[semana],$A175,tblOrdenes[rubro],"calibracion"))</f>
        <v/>
      </c>
      <c r="C175" s="5">
        <f>IF($A175="","",COUNTIFS(tblOrdenes[semana],$A175,tblOrdenes[rubro],"calibracion",tblOrdenes[estado],"Cerrada"))</f>
        <v/>
      </c>
      <c r="D175" s="5">
        <f>IF($A175="","",COUNTIFS(tblOrdenes[semana],$A175,tblOrdenes[rubro],"lubricacion"))</f>
        <v/>
      </c>
      <c r="E175" s="5">
        <f>IF($A175="","",COUNTIFS(tblOrdenes[semana],$A175,tblOrdenes[rubro],"lubricacion",tblOrdenes[estado],"Cerrada"))</f>
        <v/>
      </c>
    </row>
    <row r="176" hidden="1">
      <c r="A176" s="5">
        <f>'PERFIL_HH'!$O$41</f>
        <v/>
      </c>
      <c r="B176" s="5">
        <f>IF($A176="","",COUNTIFS(tblOrdenes[semana],$A176,tblOrdenes[rubro],"calibracion"))</f>
        <v/>
      </c>
      <c r="C176" s="5">
        <f>IF($A176="","",COUNTIFS(tblOrdenes[semana],$A176,tblOrdenes[rubro],"calibracion",tblOrdenes[estado],"Cerrada"))</f>
        <v/>
      </c>
      <c r="D176" s="5">
        <f>IF($A176="","",COUNTIFS(tblOrdenes[semana],$A176,tblOrdenes[rubro],"lubricacion"))</f>
        <v/>
      </c>
      <c r="E176" s="5">
        <f>IF($A176="","",COUNTIFS(tblOrdenes[semana],$A176,tblOrdenes[rubro],"lubricacion",tblOrdenes[estado],"Cerrada"))</f>
        <v/>
      </c>
    </row>
    <row r="177" hidden="1">
      <c r="A177" s="5">
        <f>'PERFIL_HH'!$O$42</f>
        <v/>
      </c>
      <c r="B177" s="5">
        <f>IF($A177="","",COUNTIFS(tblOrdenes[semana],$A177,tblOrdenes[rubro],"calibracion"))</f>
        <v/>
      </c>
      <c r="C177" s="5">
        <f>IF($A177="","",COUNTIFS(tblOrdenes[semana],$A177,tblOrdenes[rubro],"calibracion",tblOrdenes[estado],"Cerrada"))</f>
        <v/>
      </c>
      <c r="D177" s="5">
        <f>IF($A177="","",COUNTIFS(tblOrdenes[semana],$A177,tblOrdenes[rubro],"lubricacion"))</f>
        <v/>
      </c>
      <c r="E177" s="5">
        <f>IF($A177="","",COUNTIFS(tblOrdenes[semana],$A177,tblOrdenes[rubro],"lubricacion",tblOrdenes[estado],"Cerrada"))</f>
        <v/>
      </c>
    </row>
    <row r="178" hidden="1">
      <c r="A178" s="5">
        <f>'PERFIL_HH'!$O$43</f>
        <v/>
      </c>
      <c r="B178" s="5">
        <f>IF($A178="","",COUNTIFS(tblOrdenes[semana],$A178,tblOrdenes[rubro],"calibracion"))</f>
        <v/>
      </c>
      <c r="C178" s="5">
        <f>IF($A178="","",COUNTIFS(tblOrdenes[semana],$A178,tblOrdenes[rubro],"calibracion",tblOrdenes[estado],"Cerrada"))</f>
        <v/>
      </c>
      <c r="D178" s="5">
        <f>IF($A178="","",COUNTIFS(tblOrdenes[semana],$A178,tblOrdenes[rubro],"lubricacion"))</f>
        <v/>
      </c>
      <c r="E178" s="5">
        <f>IF($A178="","",COUNTIFS(tblOrdenes[semana],$A178,tblOrdenes[rubro],"lubricacion",tblOrdenes[estado],"Cerrada"))</f>
        <v/>
      </c>
    </row>
    <row r="179" hidden="1">
      <c r="A179" s="5">
        <f>'PERFIL_HH'!$O$44</f>
        <v/>
      </c>
      <c r="B179" s="5">
        <f>IF($A179="","",COUNTIFS(tblOrdenes[semana],$A179,tblOrdenes[rubro],"calibracion"))</f>
        <v/>
      </c>
      <c r="C179" s="5">
        <f>IF($A179="","",COUNTIFS(tblOrdenes[semana],$A179,tblOrdenes[rubro],"calibracion",tblOrdenes[estado],"Cerrada"))</f>
        <v/>
      </c>
      <c r="D179" s="5">
        <f>IF($A179="","",COUNTIFS(tblOrdenes[semana],$A179,tblOrdenes[rubro],"lubricacion"))</f>
        <v/>
      </c>
      <c r="E179" s="5">
        <f>IF($A179="","",COUNTIFS(tblOrdenes[semana],$A179,tblOrdenes[rubro],"lubricacion",tblOrdenes[estado],"Cerrada"))</f>
        <v/>
      </c>
    </row>
    <row r="180" hidden="1">
      <c r="A180" s="5">
        <f>'PERFIL_HH'!$O$45</f>
        <v/>
      </c>
      <c r="B180" s="5">
        <f>IF($A180="","",COUNTIFS(tblOrdenes[semana],$A180,tblOrdenes[rubro],"calibracion"))</f>
        <v/>
      </c>
      <c r="C180" s="5">
        <f>IF($A180="","",COUNTIFS(tblOrdenes[semana],$A180,tblOrdenes[rubro],"calibracion",tblOrdenes[estado],"Cerrada"))</f>
        <v/>
      </c>
      <c r="D180" s="5">
        <f>IF($A180="","",COUNTIFS(tblOrdenes[semana],$A180,tblOrdenes[rubro],"lubricacion"))</f>
        <v/>
      </c>
      <c r="E180" s="5">
        <f>IF($A180="","",COUNTIFS(tblOrdenes[semana],$A180,tblOrdenes[rubro],"lubricacion",tblOrdenes[estado],"Cerrada"))</f>
        <v/>
      </c>
    </row>
    <row r="181" hidden="1">
      <c r="A181" s="5">
        <f>'PERFIL_HH'!$O$46</f>
        <v/>
      </c>
      <c r="B181" s="5">
        <f>IF($A181="","",COUNTIFS(tblOrdenes[semana],$A181,tblOrdenes[rubro],"calibracion"))</f>
        <v/>
      </c>
      <c r="C181" s="5">
        <f>IF($A181="","",COUNTIFS(tblOrdenes[semana],$A181,tblOrdenes[rubro],"calibracion",tblOrdenes[estado],"Cerrada"))</f>
        <v/>
      </c>
      <c r="D181" s="5">
        <f>IF($A181="","",COUNTIFS(tblOrdenes[semana],$A181,tblOrdenes[rubro],"lubricacion"))</f>
        <v/>
      </c>
      <c r="E181" s="5">
        <f>IF($A181="","",COUNTIFS(tblOrdenes[semana],$A181,tblOrdenes[rubro],"lubricacion",tblOrdenes[estado],"Cerrada"))</f>
        <v/>
      </c>
    </row>
    <row r="182" hidden="1">
      <c r="A182" s="5">
        <f>'PERFIL_HH'!$O$47</f>
        <v/>
      </c>
      <c r="B182" s="5">
        <f>IF($A182="","",COUNTIFS(tblOrdenes[semana],$A182,tblOrdenes[rubro],"calibracion"))</f>
        <v/>
      </c>
      <c r="C182" s="5">
        <f>IF($A182="","",COUNTIFS(tblOrdenes[semana],$A182,tblOrdenes[rubro],"calibracion",tblOrdenes[estado],"Cerrada"))</f>
        <v/>
      </c>
      <c r="D182" s="5">
        <f>IF($A182="","",COUNTIFS(tblOrdenes[semana],$A182,tblOrdenes[rubro],"lubricacion"))</f>
        <v/>
      </c>
      <c r="E182" s="5">
        <f>IF($A182="","",COUNTIFS(tblOrdenes[semana],$A182,tblOrdenes[rubro],"lubricacion",tblOrdenes[estado],"Cerrada"))</f>
        <v/>
      </c>
    </row>
    <row r="183" hidden="1">
      <c r="A183" s="5">
        <f>'PERFIL_HH'!$O$48</f>
        <v/>
      </c>
      <c r="B183" s="5">
        <f>IF($A183="","",COUNTIFS(tblOrdenes[semana],$A183,tblOrdenes[rubro],"calibracion"))</f>
        <v/>
      </c>
      <c r="C183" s="5">
        <f>IF($A183="","",COUNTIFS(tblOrdenes[semana],$A183,tblOrdenes[rubro],"calibracion",tblOrdenes[estado],"Cerrada"))</f>
        <v/>
      </c>
      <c r="D183" s="5">
        <f>IF($A183="","",COUNTIFS(tblOrdenes[semana],$A183,tblOrdenes[rubro],"lubricacion"))</f>
        <v/>
      </c>
      <c r="E183" s="5">
        <f>IF($A183="","",COUNTIFS(tblOrdenes[semana],$A183,tblOrdenes[rubro],"lubricacion",tblOrdenes[estado],"Cerrada"))</f>
        <v/>
      </c>
    </row>
    <row r="184" hidden="1">
      <c r="A184" s="5">
        <f>'PERFIL_HH'!$O$49</f>
        <v/>
      </c>
      <c r="B184" s="5">
        <f>IF($A184="","",COUNTIFS(tblOrdenes[semana],$A184,tblOrdenes[rubro],"calibracion"))</f>
        <v/>
      </c>
      <c r="C184" s="5">
        <f>IF($A184="","",COUNTIFS(tblOrdenes[semana],$A184,tblOrdenes[rubro],"calibracion",tblOrdenes[estado],"Cerrada"))</f>
        <v/>
      </c>
      <c r="D184" s="5">
        <f>IF($A184="","",COUNTIFS(tblOrdenes[semana],$A184,tblOrdenes[rubro],"lubricacion"))</f>
        <v/>
      </c>
      <c r="E184" s="5">
        <f>IF($A184="","",COUNTIFS(tblOrdenes[semana],$A184,tblOrdenes[rubro],"lubricacion",tblOrdenes[estado],"Cerrada"))</f>
        <v/>
      </c>
    </row>
    <row r="185" hidden="1">
      <c r="A185" s="5">
        <f>'PERFIL_HH'!$O$50</f>
        <v/>
      </c>
      <c r="B185" s="5">
        <f>IF($A185="","",COUNTIFS(tblOrdenes[semana],$A185,tblOrdenes[rubro],"calibracion"))</f>
        <v/>
      </c>
      <c r="C185" s="5">
        <f>IF($A185="","",COUNTIFS(tblOrdenes[semana],$A185,tblOrdenes[rubro],"calibracion",tblOrdenes[estado],"Cerrada"))</f>
        <v/>
      </c>
      <c r="D185" s="5">
        <f>IF($A185="","",COUNTIFS(tblOrdenes[semana],$A185,tblOrdenes[rubro],"lubricacion"))</f>
        <v/>
      </c>
      <c r="E185" s="5">
        <f>IF($A185="","",COUNTIFS(tblOrdenes[semana],$A185,tblOrdenes[rubro],"lubricacion",tblOrdenes[estado],"Cerrada"))</f>
        <v/>
      </c>
    </row>
    <row r="186" hidden="1">
      <c r="A186" s="5">
        <f>'PERFIL_HH'!$O$51</f>
        <v/>
      </c>
      <c r="B186" s="5">
        <f>IF($A186="","",COUNTIFS(tblOrdenes[semana],$A186,tblOrdenes[rubro],"calibracion"))</f>
        <v/>
      </c>
      <c r="C186" s="5">
        <f>IF($A186="","",COUNTIFS(tblOrdenes[semana],$A186,tblOrdenes[rubro],"calibracion",tblOrdenes[estado],"Cerrada"))</f>
        <v/>
      </c>
      <c r="D186" s="5">
        <f>IF($A186="","",COUNTIFS(tblOrdenes[semana],$A186,tblOrdenes[rubro],"lubricacion"))</f>
        <v/>
      </c>
      <c r="E186" s="5">
        <f>IF($A186="","",COUNTIFS(tblOrdenes[semana],$A186,tblOrdenes[rubro],"lubricacion",tblOrdenes[estado],"Cerrada"))</f>
        <v/>
      </c>
    </row>
    <row r="187" hidden="1">
      <c r="A187" s="5">
        <f>'PERFIL_HH'!$O$52</f>
        <v/>
      </c>
      <c r="B187" s="5">
        <f>IF($A187="","",COUNTIFS(tblOrdenes[semana],$A187,tblOrdenes[rubro],"calibracion"))</f>
        <v/>
      </c>
      <c r="C187" s="5">
        <f>IF($A187="","",COUNTIFS(tblOrdenes[semana],$A187,tblOrdenes[rubro],"calibracion",tblOrdenes[estado],"Cerrada"))</f>
        <v/>
      </c>
      <c r="D187" s="5">
        <f>IF($A187="","",COUNTIFS(tblOrdenes[semana],$A187,tblOrdenes[rubro],"lubricacion"))</f>
        <v/>
      </c>
      <c r="E187" s="5">
        <f>IF($A187="","",COUNTIFS(tblOrdenes[semana],$A187,tblOrdenes[rubro],"lubricacion",tblOrdenes[estado],"Cerrada"))</f>
        <v/>
      </c>
    </row>
    <row r="188" hidden="1">
      <c r="A188" s="5">
        <f>'PERFIL_HH'!$O$53</f>
        <v/>
      </c>
      <c r="B188" s="5">
        <f>IF($A188="","",COUNTIFS(tblOrdenes[semana],$A188,tblOrdenes[rubro],"calibracion"))</f>
        <v/>
      </c>
      <c r="C188" s="5">
        <f>IF($A188="","",COUNTIFS(tblOrdenes[semana],$A188,tblOrdenes[rubro],"calibracion",tblOrdenes[estado],"Cerrada"))</f>
        <v/>
      </c>
      <c r="D188" s="5">
        <f>IF($A188="","",COUNTIFS(tblOrdenes[semana],$A188,tblOrdenes[rubro],"lubricacion"))</f>
        <v/>
      </c>
      <c r="E188" s="5">
        <f>IF($A188="","",COUNTIFS(tblOrdenes[semana],$A188,tblOrdenes[rubro],"lubricacion",tblOrdenes[estado],"Cerrada"))</f>
        <v/>
      </c>
    </row>
    <row r="189" hidden="1">
      <c r="A189" s="5">
        <f>'PERFIL_HH'!$O$54</f>
        <v/>
      </c>
      <c r="B189" s="5">
        <f>IF($A189="","",COUNTIFS(tblOrdenes[semana],$A189,tblOrdenes[rubro],"calibracion"))</f>
        <v/>
      </c>
      <c r="C189" s="5">
        <f>IF($A189="","",COUNTIFS(tblOrdenes[semana],$A189,tblOrdenes[rubro],"calibracion",tblOrdenes[estado],"Cerrada"))</f>
        <v/>
      </c>
      <c r="D189" s="5">
        <f>IF($A189="","",COUNTIFS(tblOrdenes[semana],$A189,tblOrdenes[rubro],"lubricacion"))</f>
        <v/>
      </c>
      <c r="E189" s="5">
        <f>IF($A189="","",COUNTIFS(tblOrdenes[semana],$A189,tblOrdenes[rubro],"lubricacion",tblOrdenes[estado],"Cerrada"))</f>
        <v/>
      </c>
    </row>
    <row r="190" hidden="1">
      <c r="A190" s="5">
        <f>'PERFIL_HH'!$O$55</f>
        <v/>
      </c>
      <c r="B190" s="5">
        <f>IF($A190="","",COUNTIFS(tblOrdenes[semana],$A190,tblOrdenes[rubro],"calibracion"))</f>
        <v/>
      </c>
      <c r="C190" s="5">
        <f>IF($A190="","",COUNTIFS(tblOrdenes[semana],$A190,tblOrdenes[rubro],"calibracion",tblOrdenes[estado],"Cerrada"))</f>
        <v/>
      </c>
      <c r="D190" s="5">
        <f>IF($A190="","",COUNTIFS(tblOrdenes[semana],$A190,tblOrdenes[rubro],"lubricacion"))</f>
        <v/>
      </c>
      <c r="E190" s="5">
        <f>IF($A190="","",COUNTIFS(tblOrdenes[semana],$A190,tblOrdenes[rubro],"lubricacion",tblOrdenes[estado],"Cerrada"))</f>
        <v/>
      </c>
    </row>
    <row r="191" hidden="1">
      <c r="A191" s="5">
        <f>'PERFIL_HH'!$O$56</f>
        <v/>
      </c>
      <c r="B191" s="5">
        <f>IF($A191="","",COUNTIFS(tblOrdenes[semana],$A191,tblOrdenes[rubro],"calibracion"))</f>
        <v/>
      </c>
      <c r="C191" s="5">
        <f>IF($A191="","",COUNTIFS(tblOrdenes[semana],$A191,tblOrdenes[rubro],"calibracion",tblOrdenes[estado],"Cerrada"))</f>
        <v/>
      </c>
      <c r="D191" s="5">
        <f>IF($A191="","",COUNTIFS(tblOrdenes[semana],$A191,tblOrdenes[rubro],"lubricacion"))</f>
        <v/>
      </c>
      <c r="E191" s="5">
        <f>IF($A191="","",COUNTIFS(tblOrdenes[semana],$A191,tblOrdenes[rubro],"lubricacion",tblOrdenes[estado],"Cerrada"))</f>
        <v/>
      </c>
    </row>
    <row r="192" hidden="1">
      <c r="A192" s="5">
        <f>'PERFIL_HH'!$O$57</f>
        <v/>
      </c>
      <c r="B192" s="5">
        <f>IF($A192="","",COUNTIFS(tblOrdenes[semana],$A192,tblOrdenes[rubro],"calibracion"))</f>
        <v/>
      </c>
      <c r="C192" s="5">
        <f>IF($A192="","",COUNTIFS(tblOrdenes[semana],$A192,tblOrdenes[rubro],"calibracion",tblOrdenes[estado],"Cerrada"))</f>
        <v/>
      </c>
      <c r="D192" s="5">
        <f>IF($A192="","",COUNTIFS(tblOrdenes[semana],$A192,tblOrdenes[rubro],"lubricacion"))</f>
        <v/>
      </c>
      <c r="E192" s="5">
        <f>IF($A192="","",COUNTIFS(tblOrdenes[semana],$A192,tblOrdenes[rubro],"lubricacion",tblOrdenes[estado],"Cerrada"))</f>
        <v/>
      </c>
    </row>
    <row r="193" hidden="1">
      <c r="A193" s="5">
        <f>'PERFIL_HH'!$O$58</f>
        <v/>
      </c>
      <c r="B193" s="5">
        <f>IF($A193="","",COUNTIFS(tblOrdenes[semana],$A193,tblOrdenes[rubro],"calibracion"))</f>
        <v/>
      </c>
      <c r="C193" s="5">
        <f>IF($A193="","",COUNTIFS(tblOrdenes[semana],$A193,tblOrdenes[rubro],"calibracion",tblOrdenes[estado],"Cerrada"))</f>
        <v/>
      </c>
      <c r="D193" s="5">
        <f>IF($A193="","",COUNTIFS(tblOrdenes[semana],$A193,tblOrdenes[rubro],"lubricacion"))</f>
        <v/>
      </c>
      <c r="E193" s="5">
        <f>IF($A193="","",COUNTIFS(tblOrdenes[semana],$A193,tblOrdenes[rubro],"lubricacion",tblOrdenes[estado],"Cerrada"))</f>
        <v/>
      </c>
    </row>
    <row r="194" hidden="1">
      <c r="A194" s="5">
        <f>'PERFIL_HH'!$O$59</f>
        <v/>
      </c>
      <c r="B194" s="5">
        <f>IF($A194="","",COUNTIFS(tblOrdenes[semana],$A194,tblOrdenes[rubro],"calibracion"))</f>
        <v/>
      </c>
      <c r="C194" s="5">
        <f>IF($A194="","",COUNTIFS(tblOrdenes[semana],$A194,tblOrdenes[rubro],"calibracion",tblOrdenes[estado],"Cerrada"))</f>
        <v/>
      </c>
      <c r="D194" s="5">
        <f>IF($A194="","",COUNTIFS(tblOrdenes[semana],$A194,tblOrdenes[rubro],"lubricacion"))</f>
        <v/>
      </c>
      <c r="E194" s="5">
        <f>IF($A194="","",COUNTIFS(tblOrdenes[semana],$A194,tblOrdenes[rubro],"lubricacion",tblOrdenes[estado],"Cerrada"))</f>
        <v/>
      </c>
    </row>
    <row r="195" hidden="1">
      <c r="A195" s="5">
        <f>'PERFIL_HH'!$O$60</f>
        <v/>
      </c>
      <c r="B195" s="5">
        <f>IF($A195="","",COUNTIFS(tblOrdenes[semana],$A195,tblOrdenes[rubro],"calibracion"))</f>
        <v/>
      </c>
      <c r="C195" s="5">
        <f>IF($A195="","",COUNTIFS(tblOrdenes[semana],$A195,tblOrdenes[rubro],"calibracion",tblOrdenes[estado],"Cerrada"))</f>
        <v/>
      </c>
      <c r="D195" s="5">
        <f>IF($A195="","",COUNTIFS(tblOrdenes[semana],$A195,tblOrdenes[rubro],"lubricacion"))</f>
        <v/>
      </c>
      <c r="E195" s="5">
        <f>IF($A195="","",COUNTIFS(tblOrdenes[semana],$A195,tblOrdenes[rubro],"lubricacion",tblOrdenes[estado],"Cerrada"))</f>
        <v/>
      </c>
    </row>
    <row r="196" hidden="1">
      <c r="A196" s="5">
        <f>'PERFIL_HH'!$O$61</f>
        <v/>
      </c>
      <c r="B196" s="5">
        <f>IF($A196="","",COUNTIFS(tblOrdenes[semana],$A196,tblOrdenes[rubro],"calibracion"))</f>
        <v/>
      </c>
      <c r="C196" s="5">
        <f>IF($A196="","",COUNTIFS(tblOrdenes[semana],$A196,tblOrdenes[rubro],"calibracion",tblOrdenes[estado],"Cerrada"))</f>
        <v/>
      </c>
      <c r="D196" s="5">
        <f>IF($A196="","",COUNTIFS(tblOrdenes[semana],$A196,tblOrdenes[rubro],"lubricacion"))</f>
        <v/>
      </c>
      <c r="E196" s="5">
        <f>IF($A196="","",COUNTIFS(tblOrdenes[semana],$A196,tblOrdenes[rubro],"lubricacion",tblOrdenes[estado],"Cerrada"))</f>
        <v/>
      </c>
    </row>
    <row r="197" hidden="1">
      <c r="A197" s="5">
        <f>'PERFIL_HH'!$O$62</f>
        <v/>
      </c>
      <c r="B197" s="5">
        <f>IF($A197="","",COUNTIFS(tblOrdenes[semana],$A197,tblOrdenes[rubro],"calibracion"))</f>
        <v/>
      </c>
      <c r="C197" s="5">
        <f>IF($A197="","",COUNTIFS(tblOrdenes[semana],$A197,tblOrdenes[rubro],"calibracion",tblOrdenes[estado],"Cerrada"))</f>
        <v/>
      </c>
      <c r="D197" s="5">
        <f>IF($A197="","",COUNTIFS(tblOrdenes[semana],$A197,tblOrdenes[rubro],"lubricacion"))</f>
        <v/>
      </c>
      <c r="E197" s="5">
        <f>IF($A197="","",COUNTIFS(tblOrdenes[semana],$A197,tblOrdenes[rubro],"lubricacion",tblOrdenes[estado],"Cerrada"))</f>
        <v/>
      </c>
    </row>
    <row r="198" hidden="1">
      <c r="A198" s="5">
        <f>'PERFIL_HH'!$O$63</f>
        <v/>
      </c>
      <c r="B198" s="5">
        <f>IF($A198="","",COUNTIFS(tblOrdenes[semana],$A198,tblOrdenes[rubro],"calibracion"))</f>
        <v/>
      </c>
      <c r="C198" s="5">
        <f>IF($A198="","",COUNTIFS(tblOrdenes[semana],$A198,tblOrdenes[rubro],"calibracion",tblOrdenes[estado],"Cerrada"))</f>
        <v/>
      </c>
      <c r="D198" s="5">
        <f>IF($A198="","",COUNTIFS(tblOrdenes[semana],$A198,tblOrdenes[rubro],"lubricacion"))</f>
        <v/>
      </c>
      <c r="E198" s="5">
        <f>IF($A198="","",COUNTIFS(tblOrdenes[semana],$A198,tblOrdenes[rubro],"lubricacion",tblOrdenes[estado],"Cerrada"))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35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35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35">
    <cfRule type="cellIs" priority="61" operator="greaterThan" dxfId="0">
      <formula>0</formula>
    </cfRule>
  </conditionalFormatting>
  <conditionalFormatting sqref="M134:M135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35">
    <cfRule type="cellIs" priority="65" operator="greaterThan" dxfId="0">
      <formula>0</formula>
    </cfRule>
  </conditionalFormatting>
  <conditionalFormatting sqref="U134:U135">
    <cfRule type="cellIs" priority="66" operator="notEqual" dxfId="0">
      <formula>0</formula>
    </cfRule>
  </conditionalFormatting>
  <conditionalFormatting sqref="AB134:AB135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7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14" t="inlineStr">
        <is>
          <t>especialidad</t>
        </is>
      </c>
      <c r="B3" s="14" t="inlineStr">
        <is>
          <t>semana</t>
        </is>
      </c>
      <c r="C3" s="14" t="inlineStr">
        <is>
          <t>hh_disponible</t>
        </is>
      </c>
      <c r="D3" s="14" t="inlineStr">
        <is>
          <t>hh_productiva</t>
        </is>
      </c>
      <c r="E3" s="14" t="inlineStr">
        <is>
          <t>hh_preventiva</t>
        </is>
      </c>
      <c r="F3" s="14" t="inlineStr">
        <is>
          <t>hh_correctiva</t>
        </is>
      </c>
      <c r="G3" s="14" t="inlineStr">
        <is>
          <t>hh_planificada</t>
        </is>
      </c>
      <c r="H3" s="14" t="inlineStr">
        <is>
          <t>holgura</t>
        </is>
      </c>
      <c r="I3" s="14" t="inlineStr">
        <is>
          <t>pct_carga</t>
        </is>
      </c>
      <c r="N3" s="14" t="inlineStr">
        <is>
          <t>lunes_semana</t>
        </is>
      </c>
      <c r="O3" s="1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5">
        <f>IF(D4=0,"",G4/D4)</f>
        <v/>
      </c>
      <c r="N4" s="25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5">
        <f>IF(D5=0,"",G5/D5)</f>
        <v/>
      </c>
      <c r="N5" s="25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5">
        <f>IF(D6=0,"",G6/D6)</f>
        <v/>
      </c>
      <c r="N6" s="25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5">
        <f>IF(D7=0,"",G7/D7)</f>
        <v/>
      </c>
      <c r="N7" s="25">
        <f>IF(N6="","",IF(N6+7&gt;MAX(tblOrdenes[fecha_inicio]),"",N6+7))</f>
        <v/>
      </c>
      <c r="O7" s="5">
        <f>IF(N7="","",YEAR(N7+4-WEEKDAY(N7,2))&amp;"-S"&amp;TEXT(_xlfn.ISOWEEKNUM(N7),"00"))</f>
        <v/>
      </c>
    </row>
    <row r="8">
      <c r="A8" s="5" t="inlineStr">
        <is>
          <t>MEC</t>
        </is>
      </c>
      <c r="B8" s="5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5">
        <f>IF(D8=0,"",G8/D8)</f>
        <v/>
      </c>
      <c r="N8" s="25">
        <f>IF(N7="","",IF(N7+7&gt;MAX(tblOrdenes[fecha_inicio]),"",N7+7))</f>
        <v/>
      </c>
      <c r="O8" s="5">
        <f>IF(N8="","",YEAR(N8+4-WEEKDAY(N8,2))&amp;"-S"&amp;TEXT(_xlfn.ISOWEEKNUM(N8),"00"))</f>
        <v/>
      </c>
    </row>
    <row r="9">
      <c r="A9" s="5" t="inlineStr">
        <is>
          <t>ELE</t>
        </is>
      </c>
      <c r="B9" s="5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5">
        <f>IF(D9=0,"",G9/D9)</f>
        <v/>
      </c>
      <c r="N9" s="25">
        <f>IF(N8="","",IF(N8+7&gt;MAX(tblOrdenes[fecha_inicio]),"",N8+7))</f>
        <v/>
      </c>
      <c r="O9" s="5">
        <f>IF(N9="","",YEAR(N9+4-WEEKDAY(N9,2))&amp;"-S"&amp;TEXT(_xlfn.ISOWEEKNUM(N9),"00"))</f>
        <v/>
      </c>
    </row>
    <row r="10">
      <c r="A10" s="5" t="inlineStr">
        <is>
          <t>AUT</t>
        </is>
      </c>
      <c r="B10" s="5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5">
        <f>IF(D10=0,"",G10/D10)</f>
        <v/>
      </c>
      <c r="N10" s="25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>
      <c r="A11" s="5" t="inlineStr">
        <is>
          <t>TERCERO</t>
        </is>
      </c>
      <c r="B11" s="5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5">
        <f>IF(D11=0,"",G11/D11)</f>
        <v/>
      </c>
      <c r="N11" s="25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 hidden="1">
      <c r="A12" s="5" t="inlineStr">
        <is>
          <t>MEC</t>
        </is>
      </c>
      <c r="B12" s="5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5">
        <f>IF(D12=0,"",G12/D12)</f>
        <v/>
      </c>
      <c r="N12" s="25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 hidden="1">
      <c r="A13" s="5" t="inlineStr">
        <is>
          <t>ELE</t>
        </is>
      </c>
      <c r="B13" s="5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5">
        <f>IF(D13=0,"",G13/D13)</f>
        <v/>
      </c>
      <c r="N13" s="25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 hidden="1">
      <c r="A14" s="5" t="inlineStr">
        <is>
          <t>AUT</t>
        </is>
      </c>
      <c r="B14" s="5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5">
        <f>IF(D14=0,"",G14/D14)</f>
        <v/>
      </c>
      <c r="N14" s="25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 hidden="1">
      <c r="A15" s="5" t="inlineStr">
        <is>
          <t>TERCERO</t>
        </is>
      </c>
      <c r="B15" s="5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5">
        <f>IF(D15=0,"",G15/D15)</f>
        <v/>
      </c>
      <c r="N15" s="25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 hidden="1">
      <c r="A16" s="5" t="inlineStr">
        <is>
          <t>MEC</t>
        </is>
      </c>
      <c r="B16" s="5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5">
        <f>IF(D16=0,"",G16/D16)</f>
        <v/>
      </c>
      <c r="N16" s="25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 hidden="1">
      <c r="A17" s="5" t="inlineStr">
        <is>
          <t>ELE</t>
        </is>
      </c>
      <c r="B17" s="5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5">
        <f>IF(D17=0,"",G17/D17)</f>
        <v/>
      </c>
      <c r="N17" s="25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 hidden="1">
      <c r="A18" s="5" t="inlineStr">
        <is>
          <t>AUT</t>
        </is>
      </c>
      <c r="B18" s="5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5">
        <f>IF(D18=0,"",G18/D18)</f>
        <v/>
      </c>
      <c r="N18" s="25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 hidden="1">
      <c r="A19" s="5" t="inlineStr">
        <is>
          <t>TERCERO</t>
        </is>
      </c>
      <c r="B19" s="5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5">
        <f>IF(D19=0,"",G19/D19)</f>
        <v/>
      </c>
      <c r="N19" s="25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 hidden="1">
      <c r="A20" s="5" t="inlineStr">
        <is>
          <t>MEC</t>
        </is>
      </c>
      <c r="B20" s="5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5">
        <f>IF(D20=0,"",G20/D20)</f>
        <v/>
      </c>
      <c r="N20" s="25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 hidden="1">
      <c r="A21" s="5" t="inlineStr">
        <is>
          <t>ELE</t>
        </is>
      </c>
      <c r="B21" s="5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5">
        <f>IF(D21=0,"",G21/D21)</f>
        <v/>
      </c>
      <c r="N21" s="25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 hidden="1">
      <c r="A22" s="5" t="inlineStr">
        <is>
          <t>AUT</t>
        </is>
      </c>
      <c r="B22" s="5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5">
        <f>IF(D22=0,"",G22/D22)</f>
        <v/>
      </c>
      <c r="N22" s="25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 hidden="1">
      <c r="A23" s="5" t="inlineStr">
        <is>
          <t>TERCERO</t>
        </is>
      </c>
      <c r="B23" s="5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5">
        <f>IF(D23=0,"",G23/D23)</f>
        <v/>
      </c>
      <c r="N23" s="25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 hidden="1">
      <c r="A24" s="5" t="inlineStr">
        <is>
          <t>MEC</t>
        </is>
      </c>
      <c r="B24" s="5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5">
        <f>IF(D24=0,"",G24/D24)</f>
        <v/>
      </c>
      <c r="N24" s="25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 hidden="1">
      <c r="A25" s="5" t="inlineStr">
        <is>
          <t>ELE</t>
        </is>
      </c>
      <c r="B25" s="5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5">
        <f>IF(D25=0,"",G25/D25)</f>
        <v/>
      </c>
      <c r="N25" s="25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 hidden="1">
      <c r="A26" s="5" t="inlineStr">
        <is>
          <t>AUT</t>
        </is>
      </c>
      <c r="B26" s="5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5">
        <f>IF(D26=0,"",G26/D26)</f>
        <v/>
      </c>
      <c r="N26" s="25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 hidden="1">
      <c r="A27" s="5" t="inlineStr">
        <is>
          <t>TERCERO</t>
        </is>
      </c>
      <c r="B27" s="5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5">
        <f>IF(D27=0,"",G27/D27)</f>
        <v/>
      </c>
      <c r="N27" s="25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 hidden="1">
      <c r="A28" s="5" t="inlineStr">
        <is>
          <t>MEC</t>
        </is>
      </c>
      <c r="B28" s="5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5">
        <f>IF(D28=0,"",G28/D28)</f>
        <v/>
      </c>
      <c r="N28" s="25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 hidden="1">
      <c r="A29" s="5" t="inlineStr">
        <is>
          <t>ELE</t>
        </is>
      </c>
      <c r="B29" s="5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5">
        <f>IF(D29=0,"",G29/D29)</f>
        <v/>
      </c>
      <c r="N29" s="25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 hidden="1">
      <c r="A30" s="5" t="inlineStr">
        <is>
          <t>AUT</t>
        </is>
      </c>
      <c r="B30" s="5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5">
        <f>IF(D30=0,"",G30/D30)</f>
        <v/>
      </c>
      <c r="N30" s="25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 hidden="1">
      <c r="A31" s="5" t="inlineStr">
        <is>
          <t>TERCERO</t>
        </is>
      </c>
      <c r="B31" s="5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5">
        <f>IF(D31=0,"",G31/D31)</f>
        <v/>
      </c>
      <c r="N31" s="25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 hidden="1">
      <c r="A32" s="5" t="inlineStr">
        <is>
          <t>MEC</t>
        </is>
      </c>
      <c r="B32" s="5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5">
        <f>IF(D32=0,"",G32/D32)</f>
        <v/>
      </c>
      <c r="N32" s="25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 hidden="1">
      <c r="A33" s="5" t="inlineStr">
        <is>
          <t>ELE</t>
        </is>
      </c>
      <c r="B33" s="5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5">
        <f>IF(D33=0,"",G33/D33)</f>
        <v/>
      </c>
      <c r="N33" s="25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 hidden="1">
      <c r="A34" s="5" t="inlineStr">
        <is>
          <t>AUT</t>
        </is>
      </c>
      <c r="B34" s="5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5">
        <f>IF(D34=0,"",G34/D34)</f>
        <v/>
      </c>
      <c r="N34" s="25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 hidden="1">
      <c r="A35" s="5" t="inlineStr">
        <is>
          <t>TERCERO</t>
        </is>
      </c>
      <c r="B35" s="5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5">
        <f>IF(D35=0,"",G35/D35)</f>
        <v/>
      </c>
      <c r="N35" s="25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 hidden="1">
      <c r="A36" s="5" t="inlineStr">
        <is>
          <t>MEC</t>
        </is>
      </c>
      <c r="B36" s="5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5">
        <f>IF(D36=0,"",G36/D36)</f>
        <v/>
      </c>
      <c r="N36" s="25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 hidden="1">
      <c r="A37" s="5" t="inlineStr">
        <is>
          <t>ELE</t>
        </is>
      </c>
      <c r="B37" s="5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5">
        <f>IF(D37=0,"",G37/D37)</f>
        <v/>
      </c>
      <c r="N37" s="25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 hidden="1">
      <c r="A38" s="5" t="inlineStr">
        <is>
          <t>AUT</t>
        </is>
      </c>
      <c r="B38" s="5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5">
        <f>IF(D38=0,"",G38/D38)</f>
        <v/>
      </c>
      <c r="N38" s="25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 hidden="1">
      <c r="A39" s="5" t="inlineStr">
        <is>
          <t>TERCERO</t>
        </is>
      </c>
      <c r="B39" s="5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5">
        <f>IF(D39=0,"",G39/D39)</f>
        <v/>
      </c>
      <c r="N39" s="25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 hidden="1">
      <c r="A40" s="5" t="inlineStr">
        <is>
          <t>MEC</t>
        </is>
      </c>
      <c r="B40" s="5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5">
        <f>IF(D40=0,"",G40/D40)</f>
        <v/>
      </c>
      <c r="N40" s="25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 hidden="1">
      <c r="A41" s="5" t="inlineStr">
        <is>
          <t>ELE</t>
        </is>
      </c>
      <c r="B41" s="5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5">
        <f>IF(D41=0,"",G41/D41)</f>
        <v/>
      </c>
      <c r="N41" s="25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 hidden="1">
      <c r="A42" s="5" t="inlineStr">
        <is>
          <t>AUT</t>
        </is>
      </c>
      <c r="B42" s="5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5">
        <f>IF(D42=0,"",G42/D42)</f>
        <v/>
      </c>
      <c r="N42" s="25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 hidden="1">
      <c r="A43" s="5" t="inlineStr">
        <is>
          <t>TERCERO</t>
        </is>
      </c>
      <c r="B43" s="5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5">
        <f>IF(D43=0,"",G43/D43)</f>
        <v/>
      </c>
      <c r="N43" s="25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 hidden="1">
      <c r="A44" s="5" t="inlineStr">
        <is>
          <t>MEC</t>
        </is>
      </c>
      <c r="B44" s="5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5">
        <f>IF(D44=0,"",G44/D44)</f>
        <v/>
      </c>
      <c r="N44" s="25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 hidden="1">
      <c r="A45" s="5" t="inlineStr">
        <is>
          <t>ELE</t>
        </is>
      </c>
      <c r="B45" s="5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5">
        <f>IF(D45=0,"",G45/D45)</f>
        <v/>
      </c>
      <c r="N45" s="25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 hidden="1">
      <c r="A46" s="5" t="inlineStr">
        <is>
          <t>AUT</t>
        </is>
      </c>
      <c r="B46" s="5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5">
        <f>IF(D46=0,"",G46/D46)</f>
        <v/>
      </c>
      <c r="N46" s="25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 hidden="1">
      <c r="A47" s="5" t="inlineStr">
        <is>
          <t>TERCERO</t>
        </is>
      </c>
      <c r="B47" s="5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5">
        <f>IF(D47=0,"",G47/D47)</f>
        <v/>
      </c>
      <c r="N47" s="25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 hidden="1">
      <c r="A48" s="5" t="inlineStr">
        <is>
          <t>MEC</t>
        </is>
      </c>
      <c r="B48" s="5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5">
        <f>IF(D48=0,"",G48/D48)</f>
        <v/>
      </c>
      <c r="N48" s="25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 hidden="1">
      <c r="A49" s="5" t="inlineStr">
        <is>
          <t>ELE</t>
        </is>
      </c>
      <c r="B49" s="5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5">
        <f>IF(D49=0,"",G49/D49)</f>
        <v/>
      </c>
      <c r="N49" s="25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 hidden="1">
      <c r="A50" s="5" t="inlineStr">
        <is>
          <t>AUT</t>
        </is>
      </c>
      <c r="B50" s="5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5">
        <f>IF(D50=0,"",G50/D50)</f>
        <v/>
      </c>
      <c r="N50" s="25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 hidden="1">
      <c r="A51" s="5" t="inlineStr">
        <is>
          <t>TERCERO</t>
        </is>
      </c>
      <c r="B51" s="5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5">
        <f>IF(D51=0,"",G51/D51)</f>
        <v/>
      </c>
      <c r="N51" s="25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 hidden="1">
      <c r="A52" s="5" t="inlineStr">
        <is>
          <t>MEC</t>
        </is>
      </c>
      <c r="B52" s="5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5">
        <f>IF(D52=0,"",G52/D52)</f>
        <v/>
      </c>
      <c r="N52" s="25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 hidden="1">
      <c r="A53" s="5" t="inlineStr">
        <is>
          <t>ELE</t>
        </is>
      </c>
      <c r="B53" s="5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5">
        <f>IF(D53=0,"",G53/D53)</f>
        <v/>
      </c>
      <c r="N53" s="25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 hidden="1">
      <c r="A54" s="5" t="inlineStr">
        <is>
          <t>AUT</t>
        </is>
      </c>
      <c r="B54" s="5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5">
        <f>IF(D54=0,"",G54/D54)</f>
        <v/>
      </c>
      <c r="N54" s="25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 hidden="1">
      <c r="A55" s="5" t="inlineStr">
        <is>
          <t>TERCERO</t>
        </is>
      </c>
      <c r="B55" s="5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5">
        <f>IF(D55=0,"",G55/D55)</f>
        <v/>
      </c>
      <c r="N55" s="25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 hidden="1">
      <c r="A56" s="5" t="inlineStr">
        <is>
          <t>MEC</t>
        </is>
      </c>
      <c r="B56" s="5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5">
        <f>IF(D56=0,"",G56/D56)</f>
        <v/>
      </c>
      <c r="N56" s="25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 hidden="1">
      <c r="A57" s="5" t="inlineStr">
        <is>
          <t>ELE</t>
        </is>
      </c>
      <c r="B57" s="5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5">
        <f>IF(D57=0,"",G57/D57)</f>
        <v/>
      </c>
      <c r="N57" s="25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 hidden="1">
      <c r="A58" s="5" t="inlineStr">
        <is>
          <t>AUT</t>
        </is>
      </c>
      <c r="B58" s="5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5">
        <f>IF(D58=0,"",G58/D58)</f>
        <v/>
      </c>
      <c r="N58" s="25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 hidden="1">
      <c r="A59" s="5" t="inlineStr">
        <is>
          <t>TERCERO</t>
        </is>
      </c>
      <c r="B59" s="5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5">
        <f>IF(D59=0,"",G59/D59)</f>
        <v/>
      </c>
      <c r="N59" s="25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 hidden="1">
      <c r="A60" s="5" t="inlineStr">
        <is>
          <t>MEC</t>
        </is>
      </c>
      <c r="B60" s="5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5">
        <f>IF(D60=0,"",G60/D60)</f>
        <v/>
      </c>
      <c r="N60" s="25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 hidden="1">
      <c r="A61" s="5" t="inlineStr">
        <is>
          <t>ELE</t>
        </is>
      </c>
      <c r="B61" s="5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5">
        <f>IF(D61=0,"",G61/D61)</f>
        <v/>
      </c>
      <c r="N61" s="25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 hidden="1">
      <c r="A62" s="5" t="inlineStr">
        <is>
          <t>AUT</t>
        </is>
      </c>
      <c r="B62" s="5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5">
        <f>IF(D62=0,"",G62/D62)</f>
        <v/>
      </c>
      <c r="N62" s="25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 hidden="1">
      <c r="A63" s="5" t="inlineStr">
        <is>
          <t>TERCERO</t>
        </is>
      </c>
      <c r="B63" s="5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5">
        <f>IF(D63=0,"",G63/D63)</f>
        <v/>
      </c>
      <c r="N63" s="25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 hidden="1">
      <c r="A64" s="5" t="inlineStr">
        <is>
          <t>MEC</t>
        </is>
      </c>
      <c r="B64" s="5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5">
        <f>IF(D64=0,"",G64/D64)</f>
        <v/>
      </c>
    </row>
    <row r="65" hidden="1">
      <c r="A65" s="5" t="inlineStr">
        <is>
          <t>ELE</t>
        </is>
      </c>
      <c r="B65" s="5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5">
        <f>IF(D65=0,"",G65/D65)</f>
        <v/>
      </c>
    </row>
    <row r="66" hidden="1">
      <c r="A66" s="5" t="inlineStr">
        <is>
          <t>AUT</t>
        </is>
      </c>
      <c r="B66" s="5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5">
        <f>IF(D66=0,"",G66/D66)</f>
        <v/>
      </c>
    </row>
    <row r="67" hidden="1">
      <c r="A67" s="5" t="inlineStr">
        <is>
          <t>TERCERO</t>
        </is>
      </c>
      <c r="B67" s="5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5">
        <f>IF(D67=0,"",G67/D67)</f>
        <v/>
      </c>
    </row>
    <row r="68" hidden="1">
      <c r="A68" s="5" t="inlineStr">
        <is>
          <t>MEC</t>
        </is>
      </c>
      <c r="B68" s="5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5">
        <f>IF(D68=0,"",G68/D68)</f>
        <v/>
      </c>
    </row>
    <row r="69" hidden="1">
      <c r="A69" s="5" t="inlineStr">
        <is>
          <t>ELE</t>
        </is>
      </c>
      <c r="B69" s="5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5">
        <f>IF(D69=0,"",G69/D69)</f>
        <v/>
      </c>
    </row>
    <row r="70" hidden="1">
      <c r="A70" s="5" t="inlineStr">
        <is>
          <t>AUT</t>
        </is>
      </c>
      <c r="B70" s="5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5">
        <f>IF(D70=0,"",G70/D70)</f>
        <v/>
      </c>
    </row>
    <row r="71" hidden="1">
      <c r="A71" s="5" t="inlineStr">
        <is>
          <t>TERCERO</t>
        </is>
      </c>
      <c r="B71" s="5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5">
        <f>IF(D71=0,"",G71/D71)</f>
        <v/>
      </c>
    </row>
    <row r="72" hidden="1">
      <c r="A72" s="5" t="inlineStr">
        <is>
          <t>MEC</t>
        </is>
      </c>
      <c r="B72" s="5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5">
        <f>IF(D72=0,"",G72/D72)</f>
        <v/>
      </c>
    </row>
    <row r="73" hidden="1">
      <c r="A73" s="5" t="inlineStr">
        <is>
          <t>ELE</t>
        </is>
      </c>
      <c r="B73" s="5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5">
        <f>IF(D73=0,"",G73/D73)</f>
        <v/>
      </c>
    </row>
    <row r="74" hidden="1">
      <c r="A74" s="5" t="inlineStr">
        <is>
          <t>AUT</t>
        </is>
      </c>
      <c r="B74" s="5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5">
        <f>IF(D74=0,"",G74/D74)</f>
        <v/>
      </c>
    </row>
    <row r="75" hidden="1">
      <c r="A75" s="5" t="inlineStr">
        <is>
          <t>TERCERO</t>
        </is>
      </c>
      <c r="B75" s="5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5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5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5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5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5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5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5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5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5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5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5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5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5">
        <f>IF(D87=0,"",G87/D87)</f>
        <v/>
      </c>
    </row>
    <row r="88" hidden="1">
      <c r="A88" s="5" t="inlineStr">
        <is>
          <t>MEC</t>
        </is>
      </c>
      <c r="B88" s="5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5">
        <f>IF(D88=0,"",G88/D88)</f>
        <v/>
      </c>
    </row>
    <row r="89" hidden="1">
      <c r="A89" s="5" t="inlineStr">
        <is>
          <t>ELE</t>
        </is>
      </c>
      <c r="B89" s="5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5">
        <f>IF(D89=0,"",G89/D89)</f>
        <v/>
      </c>
    </row>
    <row r="90" hidden="1">
      <c r="A90" s="5" t="inlineStr">
        <is>
          <t>AUT</t>
        </is>
      </c>
      <c r="B90" s="5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5">
        <f>IF(D90=0,"",G90/D90)</f>
        <v/>
      </c>
    </row>
    <row r="91" hidden="1">
      <c r="A91" s="5" t="inlineStr">
        <is>
          <t>TERCERO</t>
        </is>
      </c>
      <c r="B91" s="5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5">
        <f>IF(D91=0,"",G91/D91)</f>
        <v/>
      </c>
    </row>
    <row r="92" hidden="1">
      <c r="A92" s="5" t="inlineStr">
        <is>
          <t>MEC</t>
        </is>
      </c>
      <c r="B92" s="5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5">
        <f>IF(D92=0,"",G92/D92)</f>
        <v/>
      </c>
    </row>
    <row r="93" hidden="1">
      <c r="A93" s="5" t="inlineStr">
        <is>
          <t>ELE</t>
        </is>
      </c>
      <c r="B93" s="5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5">
        <f>IF(D93=0,"",G93/D93)</f>
        <v/>
      </c>
    </row>
    <row r="94" hidden="1">
      <c r="A94" s="5" t="inlineStr">
        <is>
          <t>AUT</t>
        </is>
      </c>
      <c r="B94" s="5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5">
        <f>IF(D94=0,"",G94/D94)</f>
        <v/>
      </c>
    </row>
    <row r="95" hidden="1">
      <c r="A95" s="5" t="inlineStr">
        <is>
          <t>TERCERO</t>
        </is>
      </c>
      <c r="B95" s="5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5">
        <f>IF(D95=0,"",G95/D95)</f>
        <v/>
      </c>
    </row>
    <row r="96" hidden="1">
      <c r="A96" s="5" t="inlineStr">
        <is>
          <t>MEC</t>
        </is>
      </c>
      <c r="B96" s="5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5">
        <f>IF(D96=0,"",G96/D96)</f>
        <v/>
      </c>
    </row>
    <row r="97" hidden="1">
      <c r="A97" s="5" t="inlineStr">
        <is>
          <t>ELE</t>
        </is>
      </c>
      <c r="B97" s="5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5">
        <f>IF(D97=0,"",G97/D97)</f>
        <v/>
      </c>
    </row>
    <row r="98" hidden="1">
      <c r="A98" s="5" t="inlineStr">
        <is>
          <t>AUT</t>
        </is>
      </c>
      <c r="B98" s="5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5">
        <f>IF(D98=0,"",G98/D98)</f>
        <v/>
      </c>
    </row>
    <row r="99" hidden="1">
      <c r="A99" s="5" t="inlineStr">
        <is>
          <t>TERCERO</t>
        </is>
      </c>
      <c r="B99" s="5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5">
        <f>IF(D99=0,"",G99/D99)</f>
        <v/>
      </c>
    </row>
    <row r="100" hidden="1">
      <c r="A100" s="5" t="inlineStr">
        <is>
          <t>MEC</t>
        </is>
      </c>
      <c r="B100" s="5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5">
        <f>IF(D100=0,"",G100/D100)</f>
        <v/>
      </c>
    </row>
    <row r="101" hidden="1">
      <c r="A101" s="5" t="inlineStr">
        <is>
          <t>ELE</t>
        </is>
      </c>
      <c r="B101" s="5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5">
        <f>IF(D101=0,"",G101/D101)</f>
        <v/>
      </c>
    </row>
    <row r="102" hidden="1">
      <c r="A102" s="5" t="inlineStr">
        <is>
          <t>AUT</t>
        </is>
      </c>
      <c r="B102" s="5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5">
        <f>IF(D102=0,"",G102/D102)</f>
        <v/>
      </c>
    </row>
    <row r="103" hidden="1">
      <c r="A103" s="5" t="inlineStr">
        <is>
          <t>TERCERO</t>
        </is>
      </c>
      <c r="B103" s="5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5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5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5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5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5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5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5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5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5">
        <f>IF(D111=0,"",G111/D111)</f>
        <v/>
      </c>
    </row>
    <row r="112" hidden="1">
      <c r="A112" s="5" t="inlineStr">
        <is>
          <t>MEC</t>
        </is>
      </c>
      <c r="B112" s="5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5">
        <f>IF(D112=0,"",G112/D112)</f>
        <v/>
      </c>
    </row>
    <row r="113" hidden="1">
      <c r="A113" s="5" t="inlineStr">
        <is>
          <t>ELE</t>
        </is>
      </c>
      <c r="B113" s="5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5">
        <f>IF(D113=0,"",G113/D113)</f>
        <v/>
      </c>
    </row>
    <row r="114" hidden="1">
      <c r="A114" s="5" t="inlineStr">
        <is>
          <t>AUT</t>
        </is>
      </c>
      <c r="B114" s="5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5">
        <f>IF(D114=0,"",G114/D114)</f>
        <v/>
      </c>
    </row>
    <row r="115" hidden="1">
      <c r="A115" s="5" t="inlineStr">
        <is>
          <t>TERCERO</t>
        </is>
      </c>
      <c r="B115" s="5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5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5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5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5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5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5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5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5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5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5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5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5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5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5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5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5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5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5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5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5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5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5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5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5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5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5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5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5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5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5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5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5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5">
        <f>IF(D147=0,"",G147/D147)</f>
        <v/>
      </c>
    </row>
    <row r="148" hidden="1">
      <c r="A148" s="5" t="inlineStr">
        <is>
          <t>MEC</t>
        </is>
      </c>
      <c r="B148" s="5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5">
        <f>IF(D148=0,"",G148/D148)</f>
        <v/>
      </c>
    </row>
    <row r="149" hidden="1">
      <c r="A149" s="5" t="inlineStr">
        <is>
          <t>ELE</t>
        </is>
      </c>
      <c r="B149" s="5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5">
        <f>IF(D149=0,"",G149/D149)</f>
        <v/>
      </c>
    </row>
    <row r="150" hidden="1">
      <c r="A150" s="5" t="inlineStr">
        <is>
          <t>AUT</t>
        </is>
      </c>
      <c r="B150" s="5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5">
        <f>IF(D150=0,"",G150/D150)</f>
        <v/>
      </c>
    </row>
    <row r="151" hidden="1">
      <c r="A151" s="5" t="inlineStr">
        <is>
          <t>TERCERO</t>
        </is>
      </c>
      <c r="B151" s="5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5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5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5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5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5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5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5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5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5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5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5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5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5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5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5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5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5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5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5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5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5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5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5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5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5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5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5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5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5">
        <f>IF(D179=0,"",G179/D179)</f>
        <v/>
      </c>
    </row>
    <row r="180" hidden="1">
      <c r="A180" s="5" t="inlineStr">
        <is>
          <t>MEC</t>
        </is>
      </c>
      <c r="B180" s="5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5">
        <f>IF(D180=0,"",G180/D180)</f>
        <v/>
      </c>
    </row>
    <row r="181" hidden="1">
      <c r="A181" s="5" t="inlineStr">
        <is>
          <t>ELE</t>
        </is>
      </c>
      <c r="B181" s="5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5">
        <f>IF(D181=0,"",G181/D181)</f>
        <v/>
      </c>
    </row>
    <row r="182" hidden="1">
      <c r="A182" s="5" t="inlineStr">
        <is>
          <t>AUT</t>
        </is>
      </c>
      <c r="B182" s="5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5">
        <f>IF(D182=0,"",G182/D182)</f>
        <v/>
      </c>
    </row>
    <row r="183" hidden="1">
      <c r="A183" s="5" t="inlineStr">
        <is>
          <t>TERCERO</t>
        </is>
      </c>
      <c r="B183" s="5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5">
        <f>IF(D183=0,"",G183/D183)</f>
        <v/>
      </c>
    </row>
    <row r="184" hidden="1">
      <c r="A184" s="5" t="inlineStr">
        <is>
          <t>MEC</t>
        </is>
      </c>
      <c r="B184" s="5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5">
        <f>IF(D184=0,"",G184/D184)</f>
        <v/>
      </c>
    </row>
    <row r="185" hidden="1">
      <c r="A185" s="5" t="inlineStr">
        <is>
          <t>ELE</t>
        </is>
      </c>
      <c r="B185" s="5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5">
        <f>IF(D185=0,"",G185/D185)</f>
        <v/>
      </c>
    </row>
    <row r="186" hidden="1">
      <c r="A186" s="5" t="inlineStr">
        <is>
          <t>AUT</t>
        </is>
      </c>
      <c r="B186" s="5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5">
        <f>IF(D186=0,"",G186/D186)</f>
        <v/>
      </c>
    </row>
    <row r="187" hidden="1">
      <c r="A187" s="5" t="inlineStr">
        <is>
          <t>TERCERO</t>
        </is>
      </c>
      <c r="B187" s="5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5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5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5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5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5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5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5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5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5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5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5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5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5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5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5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5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5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5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5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5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5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5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5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5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5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5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5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5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5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5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5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5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5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5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5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5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5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5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5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5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5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5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5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5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5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5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5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5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5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5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5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5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5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5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5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5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5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5">
        <f>$O$4</f>
        <v/>
      </c>
      <c r="B247" s="15">
        <f>$I$4</f>
        <v/>
      </c>
      <c r="C247" s="15">
        <f>$I$5</f>
        <v/>
      </c>
      <c r="D247" s="15">
        <f>$I$6</f>
        <v/>
      </c>
      <c r="E247" s="15">
        <f>$I$7</f>
        <v/>
      </c>
    </row>
    <row r="248">
      <c r="A248" s="5">
        <f>$O$5</f>
        <v/>
      </c>
      <c r="B248" s="15">
        <f>$I$8</f>
        <v/>
      </c>
      <c r="C248" s="15">
        <f>$I$9</f>
        <v/>
      </c>
      <c r="D248" s="15">
        <f>$I$10</f>
        <v/>
      </c>
      <c r="E248" s="15">
        <f>$I$11</f>
        <v/>
      </c>
    </row>
    <row r="249" hidden="1">
      <c r="A249" s="5">
        <f>$O$6</f>
        <v/>
      </c>
      <c r="B249" s="15">
        <f>$I$12</f>
        <v/>
      </c>
      <c r="C249" s="15">
        <f>$I$13</f>
        <v/>
      </c>
      <c r="D249" s="15">
        <f>$I$14</f>
        <v/>
      </c>
      <c r="E249" s="15">
        <f>$I$15</f>
        <v/>
      </c>
    </row>
    <row r="250" hidden="1">
      <c r="A250" s="5">
        <f>$O$7</f>
        <v/>
      </c>
      <c r="B250" s="15">
        <f>$I$16</f>
        <v/>
      </c>
      <c r="C250" s="15">
        <f>$I$17</f>
        <v/>
      </c>
      <c r="D250" s="15">
        <f>$I$18</f>
        <v/>
      </c>
      <c r="E250" s="15">
        <f>$I$19</f>
        <v/>
      </c>
    </row>
    <row r="251" hidden="1">
      <c r="A251" s="5">
        <f>$O$8</f>
        <v/>
      </c>
      <c r="B251" s="15">
        <f>$I$20</f>
        <v/>
      </c>
      <c r="C251" s="15">
        <f>$I$21</f>
        <v/>
      </c>
      <c r="D251" s="15">
        <f>$I$22</f>
        <v/>
      </c>
      <c r="E251" s="15">
        <f>$I$23</f>
        <v/>
      </c>
    </row>
    <row r="252" hidden="1">
      <c r="A252" s="5">
        <f>$O$9</f>
        <v/>
      </c>
      <c r="B252" s="15">
        <f>$I$24</f>
        <v/>
      </c>
      <c r="C252" s="15">
        <f>$I$25</f>
        <v/>
      </c>
      <c r="D252" s="15">
        <f>$I$26</f>
        <v/>
      </c>
      <c r="E252" s="15">
        <f>$I$27</f>
        <v/>
      </c>
    </row>
    <row r="253" hidden="1">
      <c r="A253" s="5">
        <f>$O$10</f>
        <v/>
      </c>
      <c r="B253" s="15">
        <f>$I$28</f>
        <v/>
      </c>
      <c r="C253" s="15">
        <f>$I$29</f>
        <v/>
      </c>
      <c r="D253" s="15">
        <f>$I$30</f>
        <v/>
      </c>
      <c r="E253" s="15">
        <f>$I$31</f>
        <v/>
      </c>
    </row>
    <row r="254" hidden="1">
      <c r="A254" s="5">
        <f>$O$11</f>
        <v/>
      </c>
      <c r="B254" s="15">
        <f>$I$32</f>
        <v/>
      </c>
      <c r="C254" s="15">
        <f>$I$33</f>
        <v/>
      </c>
      <c r="D254" s="15">
        <f>$I$34</f>
        <v/>
      </c>
      <c r="E254" s="15">
        <f>$I$35</f>
        <v/>
      </c>
    </row>
    <row r="255" hidden="1">
      <c r="A255" s="5">
        <f>$O$12</f>
        <v/>
      </c>
      <c r="B255" s="15">
        <f>$I$36</f>
        <v/>
      </c>
      <c r="C255" s="15">
        <f>$I$37</f>
        <v/>
      </c>
      <c r="D255" s="15">
        <f>$I$38</f>
        <v/>
      </c>
      <c r="E255" s="15">
        <f>$I$39</f>
        <v/>
      </c>
    </row>
    <row r="256" hidden="1">
      <c r="A256" s="5">
        <f>$O$13</f>
        <v/>
      </c>
      <c r="B256" s="15">
        <f>$I$40</f>
        <v/>
      </c>
      <c r="C256" s="15">
        <f>$I$41</f>
        <v/>
      </c>
      <c r="D256" s="15">
        <f>$I$42</f>
        <v/>
      </c>
      <c r="E256" s="15">
        <f>$I$43</f>
        <v/>
      </c>
    </row>
    <row r="257" hidden="1">
      <c r="A257" s="5">
        <f>$O$14</f>
        <v/>
      </c>
      <c r="B257" s="15">
        <f>$I$44</f>
        <v/>
      </c>
      <c r="C257" s="15">
        <f>$I$45</f>
        <v/>
      </c>
      <c r="D257" s="15">
        <f>$I$46</f>
        <v/>
      </c>
      <c r="E257" s="15">
        <f>$I$47</f>
        <v/>
      </c>
    </row>
    <row r="258" hidden="1">
      <c r="A258" s="5">
        <f>$O$15</f>
        <v/>
      </c>
      <c r="B258" s="15">
        <f>$I$48</f>
        <v/>
      </c>
      <c r="C258" s="15">
        <f>$I$49</f>
        <v/>
      </c>
      <c r="D258" s="15">
        <f>$I$50</f>
        <v/>
      </c>
      <c r="E258" s="15">
        <f>$I$51</f>
        <v/>
      </c>
    </row>
    <row r="259" hidden="1">
      <c r="A259" s="5">
        <f>$O$16</f>
        <v/>
      </c>
      <c r="B259" s="15">
        <f>$I$52</f>
        <v/>
      </c>
      <c r="C259" s="15">
        <f>$I$53</f>
        <v/>
      </c>
      <c r="D259" s="15">
        <f>$I$54</f>
        <v/>
      </c>
      <c r="E259" s="15">
        <f>$I$55</f>
        <v/>
      </c>
    </row>
    <row r="260" hidden="1">
      <c r="A260" s="5">
        <f>$O$17</f>
        <v/>
      </c>
      <c r="B260" s="15">
        <f>$I$56</f>
        <v/>
      </c>
      <c r="C260" s="15">
        <f>$I$57</f>
        <v/>
      </c>
      <c r="D260" s="15">
        <f>$I$58</f>
        <v/>
      </c>
      <c r="E260" s="15">
        <f>$I$59</f>
        <v/>
      </c>
    </row>
    <row r="261" hidden="1">
      <c r="A261" s="5">
        <f>$O$18</f>
        <v/>
      </c>
      <c r="B261" s="15">
        <f>$I$60</f>
        <v/>
      </c>
      <c r="C261" s="15">
        <f>$I$61</f>
        <v/>
      </c>
      <c r="D261" s="15">
        <f>$I$62</f>
        <v/>
      </c>
      <c r="E261" s="15">
        <f>$I$63</f>
        <v/>
      </c>
    </row>
    <row r="262" hidden="1">
      <c r="A262" s="5">
        <f>$O$19</f>
        <v/>
      </c>
      <c r="B262" s="15">
        <f>$I$64</f>
        <v/>
      </c>
      <c r="C262" s="15">
        <f>$I$65</f>
        <v/>
      </c>
      <c r="D262" s="15">
        <f>$I$66</f>
        <v/>
      </c>
      <c r="E262" s="15">
        <f>$I$67</f>
        <v/>
      </c>
    </row>
    <row r="263" hidden="1">
      <c r="A263" s="5">
        <f>$O$20</f>
        <v/>
      </c>
      <c r="B263" s="15">
        <f>$I$68</f>
        <v/>
      </c>
      <c r="C263" s="15">
        <f>$I$69</f>
        <v/>
      </c>
      <c r="D263" s="15">
        <f>$I$70</f>
        <v/>
      </c>
      <c r="E263" s="15">
        <f>$I$71</f>
        <v/>
      </c>
    </row>
    <row r="264" hidden="1">
      <c r="A264" s="5">
        <f>$O$21</f>
        <v/>
      </c>
      <c r="B264" s="15">
        <f>$I$72</f>
        <v/>
      </c>
      <c r="C264" s="15">
        <f>$I$73</f>
        <v/>
      </c>
      <c r="D264" s="15">
        <f>$I$74</f>
        <v/>
      </c>
      <c r="E264" s="15">
        <f>$I$75</f>
        <v/>
      </c>
    </row>
    <row r="265" hidden="1">
      <c r="A265" s="5">
        <f>$O$22</f>
        <v/>
      </c>
      <c r="B265" s="15">
        <f>$I$76</f>
        <v/>
      </c>
      <c r="C265" s="15">
        <f>$I$77</f>
        <v/>
      </c>
      <c r="D265" s="15">
        <f>$I$78</f>
        <v/>
      </c>
      <c r="E265" s="15">
        <f>$I$79</f>
        <v/>
      </c>
    </row>
    <row r="266" hidden="1">
      <c r="A266" s="5">
        <f>$O$23</f>
        <v/>
      </c>
      <c r="B266" s="15">
        <f>$I$80</f>
        <v/>
      </c>
      <c r="C266" s="15">
        <f>$I$81</f>
        <v/>
      </c>
      <c r="D266" s="15">
        <f>$I$82</f>
        <v/>
      </c>
      <c r="E266" s="15">
        <f>$I$83</f>
        <v/>
      </c>
    </row>
    <row r="267" hidden="1">
      <c r="A267" s="5">
        <f>$O$24</f>
        <v/>
      </c>
      <c r="B267" s="15">
        <f>$I$84</f>
        <v/>
      </c>
      <c r="C267" s="15">
        <f>$I$85</f>
        <v/>
      </c>
      <c r="D267" s="15">
        <f>$I$86</f>
        <v/>
      </c>
      <c r="E267" s="15">
        <f>$I$87</f>
        <v/>
      </c>
    </row>
    <row r="268" hidden="1">
      <c r="A268" s="5">
        <f>$O$25</f>
        <v/>
      </c>
      <c r="B268" s="15">
        <f>$I$88</f>
        <v/>
      </c>
      <c r="C268" s="15">
        <f>$I$89</f>
        <v/>
      </c>
      <c r="D268" s="15">
        <f>$I$90</f>
        <v/>
      </c>
      <c r="E268" s="15">
        <f>$I$91</f>
        <v/>
      </c>
    </row>
    <row r="269" hidden="1">
      <c r="A269" s="5">
        <f>$O$26</f>
        <v/>
      </c>
      <c r="B269" s="15">
        <f>$I$92</f>
        <v/>
      </c>
      <c r="C269" s="15">
        <f>$I$93</f>
        <v/>
      </c>
      <c r="D269" s="15">
        <f>$I$94</f>
        <v/>
      </c>
      <c r="E269" s="15">
        <f>$I$95</f>
        <v/>
      </c>
    </row>
    <row r="270" hidden="1">
      <c r="A270" s="5">
        <f>$O$27</f>
        <v/>
      </c>
      <c r="B270" s="15">
        <f>$I$96</f>
        <v/>
      </c>
      <c r="C270" s="15">
        <f>$I$97</f>
        <v/>
      </c>
      <c r="D270" s="15">
        <f>$I$98</f>
        <v/>
      </c>
      <c r="E270" s="15">
        <f>$I$99</f>
        <v/>
      </c>
    </row>
    <row r="271" hidden="1">
      <c r="A271" s="5">
        <f>$O$28</f>
        <v/>
      </c>
      <c r="B271" s="15">
        <f>$I$100</f>
        <v/>
      </c>
      <c r="C271" s="15">
        <f>$I$101</f>
        <v/>
      </c>
      <c r="D271" s="15">
        <f>$I$102</f>
        <v/>
      </c>
      <c r="E271" s="15">
        <f>$I$103</f>
        <v/>
      </c>
    </row>
    <row r="272" hidden="1">
      <c r="A272" s="5">
        <f>$O$29</f>
        <v/>
      </c>
      <c r="B272" s="15">
        <f>$I$104</f>
        <v/>
      </c>
      <c r="C272" s="15">
        <f>$I$105</f>
        <v/>
      </c>
      <c r="D272" s="15">
        <f>$I$106</f>
        <v/>
      </c>
      <c r="E272" s="15">
        <f>$I$107</f>
        <v/>
      </c>
    </row>
    <row r="273" hidden="1">
      <c r="A273" s="5">
        <f>$O$30</f>
        <v/>
      </c>
      <c r="B273" s="15">
        <f>$I$108</f>
        <v/>
      </c>
      <c r="C273" s="15">
        <f>$I$109</f>
        <v/>
      </c>
      <c r="D273" s="15">
        <f>$I$110</f>
        <v/>
      </c>
      <c r="E273" s="15">
        <f>$I$111</f>
        <v/>
      </c>
    </row>
    <row r="274" hidden="1">
      <c r="A274" s="5">
        <f>$O$31</f>
        <v/>
      </c>
      <c r="B274" s="15">
        <f>$I$112</f>
        <v/>
      </c>
      <c r="C274" s="15">
        <f>$I$113</f>
        <v/>
      </c>
      <c r="D274" s="15">
        <f>$I$114</f>
        <v/>
      </c>
      <c r="E274" s="15">
        <f>$I$115</f>
        <v/>
      </c>
    </row>
    <row r="275" hidden="1">
      <c r="A275" s="5">
        <f>$O$32</f>
        <v/>
      </c>
      <c r="B275" s="15">
        <f>$I$116</f>
        <v/>
      </c>
      <c r="C275" s="15">
        <f>$I$117</f>
        <v/>
      </c>
      <c r="D275" s="15">
        <f>$I$118</f>
        <v/>
      </c>
      <c r="E275" s="15">
        <f>$I$119</f>
        <v/>
      </c>
    </row>
    <row r="276" hidden="1">
      <c r="A276" s="5">
        <f>$O$33</f>
        <v/>
      </c>
      <c r="B276" s="15">
        <f>$I$120</f>
        <v/>
      </c>
      <c r="C276" s="15">
        <f>$I$121</f>
        <v/>
      </c>
      <c r="D276" s="15">
        <f>$I$122</f>
        <v/>
      </c>
      <c r="E276" s="15">
        <f>$I$123</f>
        <v/>
      </c>
    </row>
    <row r="277" hidden="1">
      <c r="A277" s="5">
        <f>$O$34</f>
        <v/>
      </c>
      <c r="B277" s="15">
        <f>$I$124</f>
        <v/>
      </c>
      <c r="C277" s="15">
        <f>$I$125</f>
        <v/>
      </c>
      <c r="D277" s="15">
        <f>$I$126</f>
        <v/>
      </c>
      <c r="E277" s="15">
        <f>$I$127</f>
        <v/>
      </c>
    </row>
    <row r="278" hidden="1">
      <c r="A278" s="5">
        <f>$O$35</f>
        <v/>
      </c>
      <c r="B278" s="15">
        <f>$I$128</f>
        <v/>
      </c>
      <c r="C278" s="15">
        <f>$I$129</f>
        <v/>
      </c>
      <c r="D278" s="15">
        <f>$I$130</f>
        <v/>
      </c>
      <c r="E278" s="15">
        <f>$I$131</f>
        <v/>
      </c>
    </row>
    <row r="279" hidden="1">
      <c r="A279" s="5">
        <f>$O$36</f>
        <v/>
      </c>
      <c r="B279" s="15">
        <f>$I$132</f>
        <v/>
      </c>
      <c r="C279" s="15">
        <f>$I$133</f>
        <v/>
      </c>
      <c r="D279" s="15">
        <f>$I$134</f>
        <v/>
      </c>
      <c r="E279" s="15">
        <f>$I$135</f>
        <v/>
      </c>
    </row>
    <row r="280" hidden="1">
      <c r="A280" s="5">
        <f>$O$37</f>
        <v/>
      </c>
      <c r="B280" s="15">
        <f>$I$136</f>
        <v/>
      </c>
      <c r="C280" s="15">
        <f>$I$137</f>
        <v/>
      </c>
      <c r="D280" s="15">
        <f>$I$138</f>
        <v/>
      </c>
      <c r="E280" s="15">
        <f>$I$139</f>
        <v/>
      </c>
    </row>
    <row r="281" hidden="1">
      <c r="A281" s="5">
        <f>$O$38</f>
        <v/>
      </c>
      <c r="B281" s="15">
        <f>$I$140</f>
        <v/>
      </c>
      <c r="C281" s="15">
        <f>$I$141</f>
        <v/>
      </c>
      <c r="D281" s="15">
        <f>$I$142</f>
        <v/>
      </c>
      <c r="E281" s="15">
        <f>$I$143</f>
        <v/>
      </c>
    </row>
    <row r="282" hidden="1">
      <c r="A282" s="5">
        <f>$O$39</f>
        <v/>
      </c>
      <c r="B282" s="15">
        <f>$I$144</f>
        <v/>
      </c>
      <c r="C282" s="15">
        <f>$I$145</f>
        <v/>
      </c>
      <c r="D282" s="15">
        <f>$I$146</f>
        <v/>
      </c>
      <c r="E282" s="15">
        <f>$I$147</f>
        <v/>
      </c>
    </row>
    <row r="283" hidden="1">
      <c r="A283" s="5">
        <f>$O$40</f>
        <v/>
      </c>
      <c r="B283" s="15">
        <f>$I$148</f>
        <v/>
      </c>
      <c r="C283" s="15">
        <f>$I$149</f>
        <v/>
      </c>
      <c r="D283" s="15">
        <f>$I$150</f>
        <v/>
      </c>
      <c r="E283" s="15">
        <f>$I$151</f>
        <v/>
      </c>
    </row>
    <row r="284" hidden="1">
      <c r="A284" s="5">
        <f>$O$41</f>
        <v/>
      </c>
      <c r="B284" s="15">
        <f>$I$152</f>
        <v/>
      </c>
      <c r="C284" s="15">
        <f>$I$153</f>
        <v/>
      </c>
      <c r="D284" s="15">
        <f>$I$154</f>
        <v/>
      </c>
      <c r="E284" s="15">
        <f>$I$155</f>
        <v/>
      </c>
    </row>
    <row r="285" hidden="1">
      <c r="A285" s="5">
        <f>$O$42</f>
        <v/>
      </c>
      <c r="B285" s="15">
        <f>$I$156</f>
        <v/>
      </c>
      <c r="C285" s="15">
        <f>$I$157</f>
        <v/>
      </c>
      <c r="D285" s="15">
        <f>$I$158</f>
        <v/>
      </c>
      <c r="E285" s="15">
        <f>$I$159</f>
        <v/>
      </c>
    </row>
    <row r="286" hidden="1">
      <c r="A286" s="5">
        <f>$O$43</f>
        <v/>
      </c>
      <c r="B286" s="15">
        <f>$I$160</f>
        <v/>
      </c>
      <c r="C286" s="15">
        <f>$I$161</f>
        <v/>
      </c>
      <c r="D286" s="15">
        <f>$I$162</f>
        <v/>
      </c>
      <c r="E286" s="15">
        <f>$I$163</f>
        <v/>
      </c>
    </row>
    <row r="287" hidden="1">
      <c r="A287" s="5">
        <f>$O$44</f>
        <v/>
      </c>
      <c r="B287" s="15">
        <f>$I$164</f>
        <v/>
      </c>
      <c r="C287" s="15">
        <f>$I$165</f>
        <v/>
      </c>
      <c r="D287" s="15">
        <f>$I$166</f>
        <v/>
      </c>
      <c r="E287" s="15">
        <f>$I$167</f>
        <v/>
      </c>
    </row>
    <row r="288" hidden="1">
      <c r="A288" s="5">
        <f>$O$45</f>
        <v/>
      </c>
      <c r="B288" s="15">
        <f>$I$168</f>
        <v/>
      </c>
      <c r="C288" s="15">
        <f>$I$169</f>
        <v/>
      </c>
      <c r="D288" s="15">
        <f>$I$170</f>
        <v/>
      </c>
      <c r="E288" s="15">
        <f>$I$171</f>
        <v/>
      </c>
    </row>
    <row r="289" hidden="1">
      <c r="A289" s="5">
        <f>$O$46</f>
        <v/>
      </c>
      <c r="B289" s="15">
        <f>$I$172</f>
        <v/>
      </c>
      <c r="C289" s="15">
        <f>$I$173</f>
        <v/>
      </c>
      <c r="D289" s="15">
        <f>$I$174</f>
        <v/>
      </c>
      <c r="E289" s="15">
        <f>$I$175</f>
        <v/>
      </c>
    </row>
    <row r="290" hidden="1">
      <c r="A290" s="5">
        <f>$O$47</f>
        <v/>
      </c>
      <c r="B290" s="15">
        <f>$I$176</f>
        <v/>
      </c>
      <c r="C290" s="15">
        <f>$I$177</f>
        <v/>
      </c>
      <c r="D290" s="15">
        <f>$I$178</f>
        <v/>
      </c>
      <c r="E290" s="15">
        <f>$I$179</f>
        <v/>
      </c>
    </row>
    <row r="291" hidden="1">
      <c r="A291" s="5">
        <f>$O$48</f>
        <v/>
      </c>
      <c r="B291" s="15">
        <f>$I$180</f>
        <v/>
      </c>
      <c r="C291" s="15">
        <f>$I$181</f>
        <v/>
      </c>
      <c r="D291" s="15">
        <f>$I$182</f>
        <v/>
      </c>
      <c r="E291" s="15">
        <f>$I$183</f>
        <v/>
      </c>
    </row>
    <row r="292" hidden="1">
      <c r="A292" s="5">
        <f>$O$49</f>
        <v/>
      </c>
      <c r="B292" s="15">
        <f>$I$184</f>
        <v/>
      </c>
      <c r="C292" s="15">
        <f>$I$185</f>
        <v/>
      </c>
      <c r="D292" s="15">
        <f>$I$186</f>
        <v/>
      </c>
      <c r="E292" s="15">
        <f>$I$187</f>
        <v/>
      </c>
    </row>
    <row r="293" hidden="1">
      <c r="A293" s="5">
        <f>$O$50</f>
        <v/>
      </c>
      <c r="B293" s="15">
        <f>$I$188</f>
        <v/>
      </c>
      <c r="C293" s="15">
        <f>$I$189</f>
        <v/>
      </c>
      <c r="D293" s="15">
        <f>$I$190</f>
        <v/>
      </c>
      <c r="E293" s="15">
        <f>$I$191</f>
        <v/>
      </c>
    </row>
    <row r="294" hidden="1">
      <c r="A294" s="5">
        <f>$O$51</f>
        <v/>
      </c>
      <c r="B294" s="15">
        <f>$I$192</f>
        <v/>
      </c>
      <c r="C294" s="15">
        <f>$I$193</f>
        <v/>
      </c>
      <c r="D294" s="15">
        <f>$I$194</f>
        <v/>
      </c>
      <c r="E294" s="15">
        <f>$I$195</f>
        <v/>
      </c>
    </row>
    <row r="295" hidden="1">
      <c r="A295" s="5">
        <f>$O$52</f>
        <v/>
      </c>
      <c r="B295" s="15">
        <f>$I$196</f>
        <v/>
      </c>
      <c r="C295" s="15">
        <f>$I$197</f>
        <v/>
      </c>
      <c r="D295" s="15">
        <f>$I$198</f>
        <v/>
      </c>
      <c r="E295" s="15">
        <f>$I$199</f>
        <v/>
      </c>
    </row>
    <row r="296" hidden="1">
      <c r="A296" s="5">
        <f>$O$53</f>
        <v/>
      </c>
      <c r="B296" s="15">
        <f>$I$200</f>
        <v/>
      </c>
      <c r="C296" s="15">
        <f>$I$201</f>
        <v/>
      </c>
      <c r="D296" s="15">
        <f>$I$202</f>
        <v/>
      </c>
      <c r="E296" s="15">
        <f>$I$203</f>
        <v/>
      </c>
    </row>
    <row r="297" hidden="1">
      <c r="A297" s="5">
        <f>$O$54</f>
        <v/>
      </c>
      <c r="B297" s="15">
        <f>$I$204</f>
        <v/>
      </c>
      <c r="C297" s="15">
        <f>$I$205</f>
        <v/>
      </c>
      <c r="D297" s="15">
        <f>$I$206</f>
        <v/>
      </c>
      <c r="E297" s="15">
        <f>$I$207</f>
        <v/>
      </c>
    </row>
    <row r="298" hidden="1">
      <c r="A298" s="5">
        <f>$O$55</f>
        <v/>
      </c>
      <c r="B298" s="15">
        <f>$I$208</f>
        <v/>
      </c>
      <c r="C298" s="15">
        <f>$I$209</f>
        <v/>
      </c>
      <c r="D298" s="15">
        <f>$I$210</f>
        <v/>
      </c>
      <c r="E298" s="15">
        <f>$I$211</f>
        <v/>
      </c>
    </row>
    <row r="299" hidden="1">
      <c r="A299" s="5">
        <f>$O$56</f>
        <v/>
      </c>
      <c r="B299" s="15">
        <f>$I$212</f>
        <v/>
      </c>
      <c r="C299" s="15">
        <f>$I$213</f>
        <v/>
      </c>
      <c r="D299" s="15">
        <f>$I$214</f>
        <v/>
      </c>
      <c r="E299" s="15">
        <f>$I$215</f>
        <v/>
      </c>
    </row>
    <row r="300" hidden="1">
      <c r="A300" s="5">
        <f>$O$57</f>
        <v/>
      </c>
      <c r="B300" s="15">
        <f>$I$216</f>
        <v/>
      </c>
      <c r="C300" s="15">
        <f>$I$217</f>
        <v/>
      </c>
      <c r="D300" s="15">
        <f>$I$218</f>
        <v/>
      </c>
      <c r="E300" s="15">
        <f>$I$219</f>
        <v/>
      </c>
    </row>
    <row r="301" hidden="1">
      <c r="A301" s="5">
        <f>$O$58</f>
        <v/>
      </c>
      <c r="B301" s="15">
        <f>$I$220</f>
        <v/>
      </c>
      <c r="C301" s="15">
        <f>$I$221</f>
        <v/>
      </c>
      <c r="D301" s="15">
        <f>$I$222</f>
        <v/>
      </c>
      <c r="E301" s="15">
        <f>$I$223</f>
        <v/>
      </c>
    </row>
    <row r="302" hidden="1">
      <c r="A302" s="5">
        <f>$O$59</f>
        <v/>
      </c>
      <c r="B302" s="15">
        <f>$I$224</f>
        <v/>
      </c>
      <c r="C302" s="15">
        <f>$I$225</f>
        <v/>
      </c>
      <c r="D302" s="15">
        <f>$I$226</f>
        <v/>
      </c>
      <c r="E302" s="15">
        <f>$I$227</f>
        <v/>
      </c>
    </row>
    <row r="303" hidden="1">
      <c r="A303" s="5">
        <f>$O$60</f>
        <v/>
      </c>
      <c r="B303" s="15">
        <f>$I$228</f>
        <v/>
      </c>
      <c r="C303" s="15">
        <f>$I$229</f>
        <v/>
      </c>
      <c r="D303" s="15">
        <f>$I$230</f>
        <v/>
      </c>
      <c r="E303" s="15">
        <f>$I$231</f>
        <v/>
      </c>
    </row>
    <row r="304" hidden="1">
      <c r="A304" s="5">
        <f>$O$61</f>
        <v/>
      </c>
      <c r="B304" s="15">
        <f>$I$232</f>
        <v/>
      </c>
      <c r="C304" s="15">
        <f>$I$233</f>
        <v/>
      </c>
      <c r="D304" s="15">
        <f>$I$234</f>
        <v/>
      </c>
      <c r="E304" s="15">
        <f>$I$235</f>
        <v/>
      </c>
    </row>
    <row r="305" hidden="1">
      <c r="A305" s="5">
        <f>$O$62</f>
        <v/>
      </c>
      <c r="B305" s="15">
        <f>$I$236</f>
        <v/>
      </c>
      <c r="C305" s="15">
        <f>$I$237</f>
        <v/>
      </c>
      <c r="D305" s="15">
        <f>$I$238</f>
        <v/>
      </c>
      <c r="E305" s="15">
        <f>$I$239</f>
        <v/>
      </c>
    </row>
    <row r="306" hidden="1">
      <c r="A306" s="5">
        <f>$O$63</f>
        <v/>
      </c>
      <c r="B306" s="15">
        <f>$I$240</f>
        <v/>
      </c>
      <c r="C306" s="15">
        <f>$I$241</f>
        <v/>
      </c>
      <c r="D306" s="15">
        <f>$I$242</f>
        <v/>
      </c>
      <c r="E306" s="15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5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5">
        <f>IF(B310=0,"",C310/B310)</f>
        <v/>
      </c>
      <c r="E310" s="15">
        <f>IF(B310+C310=0,"",C310/(B310+C310))</f>
        <v/>
      </c>
      <c r="F310" s="5">
        <f>IF(E310="","",IF(E310&lt;=1-p_meta_ratio_prev_corr,"SI","NO"))</f>
        <v/>
      </c>
    </row>
    <row r="311">
      <c r="A311" s="5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5">
        <f>IF(B311=0,"",C311/B311)</f>
        <v/>
      </c>
      <c r="E311" s="15">
        <f>IF(B311+C311=0,"",C311/(B311+C311))</f>
        <v/>
      </c>
      <c r="F311" s="5">
        <f>IF(E311="","",IF(E311&lt;=1-p_meta_ratio_prev_corr,"SI","NO"))</f>
        <v/>
      </c>
    </row>
    <row r="312" hidden="1">
      <c r="A312" s="5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5">
        <f>IF(B312=0,"",C312/B312)</f>
        <v/>
      </c>
      <c r="E312" s="15">
        <f>IF(B312+C312=0,"",C312/(B312+C312))</f>
        <v/>
      </c>
      <c r="F312" s="5">
        <f>IF(E312="","",IF(E312&lt;=1-p_meta_ratio_prev_corr,"SI","NO"))</f>
        <v/>
      </c>
    </row>
    <row r="313" hidden="1">
      <c r="A313" s="5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5">
        <f>IF(B313=0,"",C313/B313)</f>
        <v/>
      </c>
      <c r="E313" s="15">
        <f>IF(B313+C313=0,"",C313/(B313+C313))</f>
        <v/>
      </c>
      <c r="F313" s="5">
        <f>IF(E313="","",IF(E313&lt;=1-p_meta_ratio_prev_corr,"SI","NO"))</f>
        <v/>
      </c>
    </row>
    <row r="314" hidden="1">
      <c r="A314" s="5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5">
        <f>IF(B314=0,"",C314/B314)</f>
        <v/>
      </c>
      <c r="E314" s="15">
        <f>IF(B314+C314=0,"",C314/(B314+C314))</f>
        <v/>
      </c>
      <c r="F314" s="5">
        <f>IF(E314="","",IF(E314&lt;=1-p_meta_ratio_prev_corr,"SI","NO"))</f>
        <v/>
      </c>
    </row>
    <row r="315" hidden="1">
      <c r="A315" s="5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5">
        <f>IF(B315=0,"",C315/B315)</f>
        <v/>
      </c>
      <c r="E315" s="15">
        <f>IF(B315+C315=0,"",C315/(B315+C315))</f>
        <v/>
      </c>
      <c r="F315" s="5">
        <f>IF(E315="","",IF(E315&lt;=1-p_meta_ratio_prev_corr,"SI","NO"))</f>
        <v/>
      </c>
    </row>
    <row r="316" hidden="1">
      <c r="A316" s="5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5">
        <f>IF(B316=0,"",C316/B316)</f>
        <v/>
      </c>
      <c r="E316" s="15">
        <f>IF(B316+C316=0,"",C316/(B316+C316))</f>
        <v/>
      </c>
      <c r="F316" s="5">
        <f>IF(E316="","",IF(E316&lt;=1-p_meta_ratio_prev_corr,"SI","NO"))</f>
        <v/>
      </c>
    </row>
    <row r="317" hidden="1">
      <c r="A317" s="5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5">
        <f>IF(B317=0,"",C317/B317)</f>
        <v/>
      </c>
      <c r="E317" s="15">
        <f>IF(B317+C317=0,"",C317/(B317+C317))</f>
        <v/>
      </c>
      <c r="F317" s="5">
        <f>IF(E317="","",IF(E317&lt;=1-p_meta_ratio_prev_corr,"SI","NO"))</f>
        <v/>
      </c>
    </row>
    <row r="318" hidden="1">
      <c r="A318" s="5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5">
        <f>IF(B318=0,"",C318/B318)</f>
        <v/>
      </c>
      <c r="E318" s="15">
        <f>IF(B318+C318=0,"",C318/(B318+C318))</f>
        <v/>
      </c>
      <c r="F318" s="5">
        <f>IF(E318="","",IF(E318&lt;=1-p_meta_ratio_prev_corr,"SI","NO"))</f>
        <v/>
      </c>
    </row>
    <row r="319" hidden="1">
      <c r="A319" s="5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5">
        <f>IF(B319=0,"",C319/B319)</f>
        <v/>
      </c>
      <c r="E319" s="15">
        <f>IF(B319+C319=0,"",C319/(B319+C319))</f>
        <v/>
      </c>
      <c r="F319" s="5">
        <f>IF(E319="","",IF(E319&lt;=1-p_meta_ratio_prev_corr,"SI","NO"))</f>
        <v/>
      </c>
    </row>
    <row r="320" hidden="1">
      <c r="A320" s="5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5">
        <f>IF(B320=0,"",C320/B320)</f>
        <v/>
      </c>
      <c r="E320" s="15">
        <f>IF(B320+C320=0,"",C320/(B320+C320))</f>
        <v/>
      </c>
      <c r="F320" s="5">
        <f>IF(E320="","",IF(E320&lt;=1-p_meta_ratio_prev_corr,"SI","NO"))</f>
        <v/>
      </c>
    </row>
    <row r="321" hidden="1">
      <c r="A321" s="5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5">
        <f>IF(B321=0,"",C321/B321)</f>
        <v/>
      </c>
      <c r="E321" s="15">
        <f>IF(B321+C321=0,"",C321/(B321+C321))</f>
        <v/>
      </c>
      <c r="F321" s="5">
        <f>IF(E321="","",IF(E321&lt;=1-p_meta_ratio_prev_corr,"SI","NO"))</f>
        <v/>
      </c>
    </row>
    <row r="322" hidden="1">
      <c r="A322" s="5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5">
        <f>IF(B322=0,"",C322/B322)</f>
        <v/>
      </c>
      <c r="E322" s="15">
        <f>IF(B322+C322=0,"",C322/(B322+C322))</f>
        <v/>
      </c>
      <c r="F322" s="5">
        <f>IF(E322="","",IF(E322&lt;=1-p_meta_ratio_prev_corr,"SI","NO"))</f>
        <v/>
      </c>
    </row>
    <row r="323" hidden="1">
      <c r="A323" s="5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5">
        <f>IF(B323=0,"",C323/B323)</f>
        <v/>
      </c>
      <c r="E323" s="15">
        <f>IF(B323+C323=0,"",C323/(B323+C323))</f>
        <v/>
      </c>
      <c r="F323" s="5">
        <f>IF(E323="","",IF(E323&lt;=1-p_meta_ratio_prev_corr,"SI","NO"))</f>
        <v/>
      </c>
    </row>
    <row r="324" hidden="1">
      <c r="A324" s="5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5">
        <f>IF(B324=0,"",C324/B324)</f>
        <v/>
      </c>
      <c r="E324" s="15">
        <f>IF(B324+C324=0,"",C324/(B324+C324))</f>
        <v/>
      </c>
      <c r="F324" s="5">
        <f>IF(E324="","",IF(E324&lt;=1-p_meta_ratio_prev_corr,"SI","NO"))</f>
        <v/>
      </c>
    </row>
    <row r="325" hidden="1">
      <c r="A325" s="5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5">
        <f>IF(B325=0,"",C325/B325)</f>
        <v/>
      </c>
      <c r="E325" s="15">
        <f>IF(B325+C325=0,"",C325/(B325+C325))</f>
        <v/>
      </c>
      <c r="F325" s="5">
        <f>IF(E325="","",IF(E325&lt;=1-p_meta_ratio_prev_corr,"SI","NO"))</f>
        <v/>
      </c>
    </row>
    <row r="326" hidden="1">
      <c r="A326" s="5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5">
        <f>IF(B326=0,"",C326/B326)</f>
        <v/>
      </c>
      <c r="E326" s="15">
        <f>IF(B326+C326=0,"",C326/(B326+C326))</f>
        <v/>
      </c>
      <c r="F326" s="5">
        <f>IF(E326="","",IF(E326&lt;=1-p_meta_ratio_prev_corr,"SI","NO"))</f>
        <v/>
      </c>
    </row>
    <row r="327" hidden="1">
      <c r="A327" s="5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5">
        <f>IF(B327=0,"",C327/B327)</f>
        <v/>
      </c>
      <c r="E327" s="15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5">
        <f>IF(B328=0,"",C328/B328)</f>
        <v/>
      </c>
      <c r="E328" s="15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5">
        <f>IF(B329=0,"",C329/B329)</f>
        <v/>
      </c>
      <c r="E329" s="15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5">
        <f>IF(B330=0,"",C330/B330)</f>
        <v/>
      </c>
      <c r="E330" s="15">
        <f>IF(B330+C330=0,"",C330/(B330+C330))</f>
        <v/>
      </c>
      <c r="F330" s="5">
        <f>IF(E330="","",IF(E330&lt;=1-p_meta_ratio_prev_corr,"SI","NO"))</f>
        <v/>
      </c>
    </row>
    <row r="331" hidden="1">
      <c r="A331" s="5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5">
        <f>IF(B331=0,"",C331/B331)</f>
        <v/>
      </c>
      <c r="E331" s="15">
        <f>IF(B331+C331=0,"",C331/(B331+C331))</f>
        <v/>
      </c>
      <c r="F331" s="5">
        <f>IF(E331="","",IF(E331&lt;=1-p_meta_ratio_prev_corr,"SI","NO"))</f>
        <v/>
      </c>
    </row>
    <row r="332" hidden="1">
      <c r="A332" s="5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5">
        <f>IF(B332=0,"",C332/B332)</f>
        <v/>
      </c>
      <c r="E332" s="15">
        <f>IF(B332+C332=0,"",C332/(B332+C332))</f>
        <v/>
      </c>
      <c r="F332" s="5">
        <f>IF(E332="","",IF(E332&lt;=1-p_meta_ratio_prev_corr,"SI","NO"))</f>
        <v/>
      </c>
    </row>
    <row r="333" hidden="1">
      <c r="A333" s="5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5">
        <f>IF(B333=0,"",C333/B333)</f>
        <v/>
      </c>
      <c r="E333" s="15">
        <f>IF(B333+C333=0,"",C333/(B333+C333))</f>
        <v/>
      </c>
      <c r="F333" s="5">
        <f>IF(E333="","",IF(E333&lt;=1-p_meta_ratio_prev_corr,"SI","NO"))</f>
        <v/>
      </c>
    </row>
    <row r="334" hidden="1">
      <c r="A334" s="5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5">
        <f>IF(B334=0,"",C334/B334)</f>
        <v/>
      </c>
      <c r="E334" s="15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5">
        <f>IF(B335=0,"",C335/B335)</f>
        <v/>
      </c>
      <c r="E335" s="15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5">
        <f>IF(B336=0,"",C336/B336)</f>
        <v/>
      </c>
      <c r="E336" s="15">
        <f>IF(B336+C336=0,"",C336/(B336+C336))</f>
        <v/>
      </c>
      <c r="F336" s="5">
        <f>IF(E336="","",IF(E336&lt;=1-p_meta_ratio_prev_corr,"SI","NO"))</f>
        <v/>
      </c>
    </row>
    <row r="337" hidden="1">
      <c r="A337" s="5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5">
        <f>IF(B337=0,"",C337/B337)</f>
        <v/>
      </c>
      <c r="E337" s="15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5">
        <f>IF(B338=0,"",C338/B338)</f>
        <v/>
      </c>
      <c r="E338" s="15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5">
        <f>IF(B339=0,"",C339/B339)</f>
        <v/>
      </c>
      <c r="E339" s="15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5">
        <f>IF(B340=0,"",C340/B340)</f>
        <v/>
      </c>
      <c r="E340" s="15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5">
        <f>IF(B341=0,"",C341/B341)</f>
        <v/>
      </c>
      <c r="E341" s="15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5">
        <f>IF(B342=0,"",C342/B342)</f>
        <v/>
      </c>
      <c r="E342" s="15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5">
        <f>IF(B343=0,"",C343/B343)</f>
        <v/>
      </c>
      <c r="E343" s="15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5">
        <f>IF(B344=0,"",C344/B344)</f>
        <v/>
      </c>
      <c r="E344" s="15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5">
        <f>IF(B345=0,"",C345/B345)</f>
        <v/>
      </c>
      <c r="E345" s="15">
        <f>IF(B345+C345=0,"",C345/(B345+C345))</f>
        <v/>
      </c>
      <c r="F345" s="5">
        <f>IF(E345="","",IF(E345&lt;=1-p_meta_ratio_prev_corr,"SI","NO"))</f>
        <v/>
      </c>
    </row>
    <row r="346" hidden="1">
      <c r="A346" s="5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5">
        <f>IF(B346=0,"",C346/B346)</f>
        <v/>
      </c>
      <c r="E346" s="15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5">
        <f>IF(B347=0,"",C347/B347)</f>
        <v/>
      </c>
      <c r="E347" s="15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5">
        <f>IF(B348=0,"",C348/B348)</f>
        <v/>
      </c>
      <c r="E348" s="15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5">
        <f>IF(B349=0,"",C349/B349)</f>
        <v/>
      </c>
      <c r="E349" s="15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5">
        <f>IF(B350=0,"",C350/B350)</f>
        <v/>
      </c>
      <c r="E350" s="15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5">
        <f>IF(B351=0,"",C351/B351)</f>
        <v/>
      </c>
      <c r="E351" s="15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5">
        <f>IF(B352=0,"",C352/B352)</f>
        <v/>
      </c>
      <c r="E352" s="15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5">
        <f>IF(B353=0,"",C353/B353)</f>
        <v/>
      </c>
      <c r="E353" s="15">
        <f>IF(B353+C353=0,"",C353/(B353+C353))</f>
        <v/>
      </c>
      <c r="F353" s="5">
        <f>IF(E353="","",IF(E353&lt;=1-p_meta_ratio_prev_corr,"SI","NO"))</f>
        <v/>
      </c>
    </row>
    <row r="354" hidden="1">
      <c r="A354" s="5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5">
        <f>IF(B354=0,"",C354/B354)</f>
        <v/>
      </c>
      <c r="E354" s="15">
        <f>IF(B354+C354=0,"",C354/(B354+C354))</f>
        <v/>
      </c>
      <c r="F354" s="5">
        <f>IF(E354="","",IF(E354&lt;=1-p_meta_ratio_prev_corr,"SI","NO"))</f>
        <v/>
      </c>
    </row>
    <row r="355" hidden="1">
      <c r="A355" s="5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5">
        <f>IF(B355=0,"",C355/B355)</f>
        <v/>
      </c>
      <c r="E355" s="15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5">
        <f>IF(B356=0,"",C356/B356)</f>
        <v/>
      </c>
      <c r="E356" s="15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5">
        <f>IF(B357=0,"",C357/B357)</f>
        <v/>
      </c>
      <c r="E357" s="15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5">
        <f>IF(B358=0,"",C358/B358)</f>
        <v/>
      </c>
      <c r="E358" s="15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5">
        <f>IF(B359=0,"",C359/B359)</f>
        <v/>
      </c>
      <c r="E359" s="15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5">
        <f>IF(B360=0,"",C360/B360)</f>
        <v/>
      </c>
      <c r="E360" s="15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5">
        <f>IF(B361=0,"",C361/B361)</f>
        <v/>
      </c>
      <c r="E361" s="15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5">
        <f>IF(B362=0,"",C362/B362)</f>
        <v/>
      </c>
      <c r="E362" s="15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5">
        <f>IF(B363=0,"",C363/B363)</f>
        <v/>
      </c>
      <c r="E363" s="15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5">
        <f>IF(B364=0,"",C364/B364)</f>
        <v/>
      </c>
      <c r="E364" s="15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5">
        <f>IF(B365=0,"",C365/B365)</f>
        <v/>
      </c>
      <c r="E365" s="15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5">
        <f>IF(B366=0,"",C366/B366)</f>
        <v/>
      </c>
      <c r="E366" s="15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5">
        <f>IF(B367=0,"",C367/B367)</f>
        <v/>
      </c>
      <c r="E367" s="15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5">
        <f>IF(B368=0,"",C368/B368)</f>
        <v/>
      </c>
      <c r="E368" s="15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5">
        <f>IF(B369=0,"",C369/B369)</f>
        <v/>
      </c>
      <c r="E369" s="15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2026-07</t>
        </is>
      </c>
      <c r="B373" s="25">
        <f>IF($A373="","",IF($A373=YEAR(p_fecha_datos)&amp;"-"&amp;TEXT(MONTH(p_fecha_datos),"00"),p_fecha_datos-1,DATE(VALUE(LEFT($A373,4)),VALUE(RIGHT($A373,2))+1,0)))</f>
        <v/>
      </c>
      <c r="C373" s="25">
        <f>DATE(VALUE(LEFT($A373,4)),VALUE(RIGHT($A373,2)),1)</f>
        <v/>
      </c>
      <c r="D373" s="17">
        <f>SUMIFS(tblOrdenes[horas_efectivas],tblOrdenes[especialidad],"MEC",tblOrdenes[mes_clave],$A373,tblOrdenes[fecha_inicio],"&lt;="&amp;$B373)</f>
        <v/>
      </c>
      <c r="E373" s="17">
        <f>SUMIFS(tblAsignaciones[horas_disponibles],tblAsignaciones[especialidad],"MEC",tblAsignaciones[fecha],"&gt;="&amp;$C373,tblAsignaciones[fecha],"&lt;="&amp;$B373)*p_factor_productividad</f>
        <v/>
      </c>
      <c r="F373" s="17">
        <f>SUMIFS(tblOrdenes[horas_efectivas],tblOrdenes[especialidad],"ELE",tblOrdenes[mes_clave],$A373,tblOrdenes[fecha_inicio],"&lt;="&amp;$B373)</f>
        <v/>
      </c>
      <c r="G373" s="17">
        <f>SUMIFS(tblAsignaciones[horas_disponibles],tblAsignaciones[especialidad],"ELE",tblAsignaciones[fecha],"&gt;="&amp;$C373,tblAsignaciones[fecha],"&lt;="&amp;$B373)*p_factor_productividad</f>
        <v/>
      </c>
      <c r="H373" s="17">
        <f>SUMIFS(tblOrdenes[horas_efectivas],tblOrdenes[especialidad],"AUT",tblOrdenes[mes_clave],$A373,tblOrdenes[fecha_inicio],"&lt;="&amp;$B373)</f>
        <v/>
      </c>
      <c r="I373" s="17">
        <f>SUMIFS(tblAsignaciones[horas_disponibles],tblAsignaciones[especialidad],"AUT",tblAsignaciones[fecha],"&gt;="&amp;$C373,tblAsignaciones[fecha],"&lt;="&amp;$B373)*p_factor_productividad</f>
        <v/>
      </c>
      <c r="J373" s="17">
        <f>D373+F373+H373</f>
        <v/>
      </c>
      <c r="K373" s="17">
        <f>E373+G373+I373</f>
        <v/>
      </c>
      <c r="L373" s="15">
        <f>IF(K373=0,"",J373/K373)</f>
        <v/>
      </c>
    </row>
    <row r="374">
      <c r="A374" s="5" t="inlineStr">
        <is>
          <t>2026-08</t>
        </is>
      </c>
      <c r="B374" s="25">
        <f>IF($A374="","",IF($A374=YEAR(p_fecha_datos)&amp;"-"&amp;TEXT(MONTH(p_fecha_datos),"00"),p_fecha_datos-1,DATE(VALUE(LEFT($A374,4)),VALUE(RIGHT($A374,2))+1,0)))</f>
        <v/>
      </c>
      <c r="C374" s="25">
        <f>DATE(VALUE(LEFT($A374,4)),VALUE(RIGHT($A374,2)),1)</f>
        <v/>
      </c>
      <c r="D374" s="17">
        <f>SUMIFS(tblOrdenes[horas_efectivas],tblOrdenes[especialidad],"MEC",tblOrdenes[mes_clave],$A374,tblOrdenes[fecha_inicio],"&lt;="&amp;$B374)</f>
        <v/>
      </c>
      <c r="E374" s="17">
        <f>SUMIFS(tblAsignaciones[horas_disponibles],tblAsignaciones[especialidad],"MEC",tblAsignaciones[fecha],"&gt;="&amp;$C374,tblAsignaciones[fecha],"&lt;="&amp;$B374)*p_factor_productividad</f>
        <v/>
      </c>
      <c r="F374" s="17">
        <f>SUMIFS(tblOrdenes[horas_efectivas],tblOrdenes[especialidad],"ELE",tblOrdenes[mes_clave],$A374,tblOrdenes[fecha_inicio],"&lt;="&amp;$B374)</f>
        <v/>
      </c>
      <c r="G374" s="17">
        <f>SUMIFS(tblAsignaciones[horas_disponibles],tblAsignaciones[especialidad],"ELE",tblAsignaciones[fecha],"&gt;="&amp;$C374,tblAsignaciones[fecha],"&lt;="&amp;$B374)*p_factor_productividad</f>
        <v/>
      </c>
      <c r="H374" s="17">
        <f>SUMIFS(tblOrdenes[horas_efectivas],tblOrdenes[especialidad],"AUT",tblOrdenes[mes_clave],$A374,tblOrdenes[fecha_inicio],"&lt;="&amp;$B374)</f>
        <v/>
      </c>
      <c r="I374" s="17">
        <f>SUMIFS(tblAsignaciones[horas_disponibles],tblAsignaciones[especialidad],"AUT",tblAsignaciones[fecha],"&gt;="&amp;$C374,tblAsignaciones[fecha],"&lt;="&amp;$B374)*p_factor_productividad</f>
        <v/>
      </c>
      <c r="J374" s="17">
        <f>D374+F374+H374</f>
        <v/>
      </c>
      <c r="K374" s="17">
        <f>E374+G374+I374</f>
        <v/>
      </c>
      <c r="L374" s="15">
        <f>IF(K374=0,"",J374/K374)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74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14" t="inlineStr">
        <is>
          <t>ordenes</t>
        </is>
      </c>
      <c r="C3" s="1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14" t="inlineStr">
        <is>
          <t>0-30</t>
        </is>
      </c>
      <c r="C11" s="14" t="inlineStr">
        <is>
          <t>31-60</t>
        </is>
      </c>
      <c r="D11" s="14" t="inlineStr">
        <is>
          <t>61-90</t>
        </is>
      </c>
      <c r="E11" s="1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2026-07</t>
        </is>
      </c>
      <c r="B34" s="25">
        <f>IF($A34="","",IF($A34=YEAR(p_fecha_datos)&amp;"-"&amp;TEXT(MONTH(p_fecha_datos),"00"),p_fecha_datos-1,DATE(VALUE(LEFT($A34,4)),VALUE(RIGHT($A34,2))+1,0)))</f>
        <v/>
      </c>
      <c r="C34" s="5">
        <f>COUNTIFS(tblOrdenes[estado],"Pendiente",tblOrdenes[fecha_inicio],"&lt;="&amp;$B34)</f>
        <v/>
      </c>
      <c r="D34" s="17">
        <f>SUMIFS(tblOrdenes[horas_efectivas],tblOrdenes[estado],"Pendiente",tblOrdenes[fecha_inicio],"&lt;="&amp;$B34)</f>
        <v/>
      </c>
      <c r="E34" s="17">
        <f>p_base_semanal_horas*p_factor_productividad*COUNTIFS(tblTecnicos[activo],"sí")</f>
        <v/>
      </c>
      <c r="F34" s="17">
        <f>IF($E34=0,"",$D34/$E34)</f>
        <v/>
      </c>
    </row>
    <row r="35">
      <c r="A35" s="5" t="inlineStr">
        <is>
          <t>2026-08</t>
        </is>
      </c>
      <c r="B35" s="25">
        <f>IF($A35="","",IF($A35=YEAR(p_fecha_datos)&amp;"-"&amp;TEXT(MONTH(p_fecha_datos),"00"),p_fecha_datos-1,DATE(VALUE(LEFT($A35,4)),VALUE(RIGHT($A35,2))+1,0)))</f>
        <v/>
      </c>
      <c r="C35" s="5">
        <f>COUNTIFS(tblOrdenes[estado],"Pendiente",tblOrdenes[fecha_inicio],"&lt;="&amp;$B35)</f>
        <v/>
      </c>
      <c r="D35" s="17">
        <f>SUMIFS(tblOrdenes[horas_efectivas],tblOrdenes[estado],"Pendiente",tblOrdenes[fecha_inicio],"&lt;="&amp;$B35)</f>
        <v/>
      </c>
      <c r="E35" s="17">
        <f>p_base_semanal_horas*p_factor_productividad*COUNTIFS(tblTecnicos[activo],"sí")</f>
        <v/>
      </c>
      <c r="F35" s="17">
        <f>IF($E35=0,"",$D35/$E35)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</row>
    <row r="5">
      <c r="A5" s="2" t="inlineStr">
        <is>
          <t>mes</t>
        </is>
      </c>
      <c r="B5" s="14" t="n">
        <v>7</v>
      </c>
      <c r="C5" s="14" t="n">
        <v>8</v>
      </c>
      <c r="D5" s="14" t="inlineStr">
        <is>
          <t>TOTAL</t>
        </is>
      </c>
    </row>
    <row r="6">
      <c r="A6" s="5" t="inlineStr">
        <is>
          <t>PRODUCCION</t>
        </is>
      </c>
      <c r="B6" s="18">
        <f>SUMIFS(tblOrdenes[costo_plan],tblOrdenes[area],$A6,tblOrdenes[anio],B$4,tblOrdenes[mes],B$5)</f>
        <v/>
      </c>
      <c r="C6" s="18">
        <f>SUMIFS(tblOrdenes[costo_plan],tblOrdenes[area],$A6,tblOrdenes[anio],C$4,tblOrdenes[mes],C$5)</f>
        <v/>
      </c>
      <c r="D6" s="18">
        <f>SUM(B6:C6)</f>
        <v/>
      </c>
    </row>
    <row r="7">
      <c r="A7" s="5" t="inlineStr">
        <is>
          <t>EMPAQUE</t>
        </is>
      </c>
      <c r="B7" s="18">
        <f>SUMIFS(tblOrdenes[costo_plan],tblOrdenes[area],$A7,tblOrdenes[anio],B$4,tblOrdenes[mes],B$5)</f>
        <v/>
      </c>
      <c r="C7" s="18">
        <f>SUMIFS(tblOrdenes[costo_plan],tblOrdenes[area],$A7,tblOrdenes[anio],C$4,tblOrdenes[mes],C$5)</f>
        <v/>
      </c>
      <c r="D7" s="18">
        <f>SUM(B7:C7)</f>
        <v/>
      </c>
    </row>
    <row r="8">
      <c r="A8" s="5" t="inlineStr">
        <is>
          <t>SERVICIOS</t>
        </is>
      </c>
      <c r="B8" s="18">
        <f>SUMIFS(tblOrdenes[costo_plan],tblOrdenes[area],$A8,tblOrdenes[anio],B$4,tblOrdenes[mes],B$5)</f>
        <v/>
      </c>
      <c r="C8" s="18">
        <f>SUMIFS(tblOrdenes[costo_plan],tblOrdenes[area],$A8,tblOrdenes[anio],C$4,tblOrdenes[mes],C$5)</f>
        <v/>
      </c>
      <c r="D8" s="18">
        <f>SUM(B8:C8)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</row>
    <row r="13">
      <c r="A13" s="2" t="inlineStr">
        <is>
          <t>mes</t>
        </is>
      </c>
      <c r="B13" s="14" t="n">
        <v>7</v>
      </c>
      <c r="C13" s="14" t="n">
        <v>8</v>
      </c>
      <c r="D13" s="14" t="inlineStr">
        <is>
          <t>TOTAL</t>
        </is>
      </c>
    </row>
    <row r="14">
      <c r="A14" s="5" t="inlineStr">
        <is>
          <t>PRODUCCION</t>
        </is>
      </c>
      <c r="B14" s="18">
        <f>SUMIFS(tblOrdenes[costo_total],tblOrdenes[area],$A14,tblOrdenes[anio],B$12,tblOrdenes[mes],B$13)</f>
        <v/>
      </c>
      <c r="C14" s="18">
        <f>SUMIFS(tblOrdenes[costo_total],tblOrdenes[area],$A14,tblOrdenes[anio],C$12,tblOrdenes[mes],C$13)</f>
        <v/>
      </c>
      <c r="D14" s="18">
        <f>SUM(B14:C14)</f>
        <v/>
      </c>
    </row>
    <row r="15">
      <c r="A15" s="5" t="inlineStr">
        <is>
          <t>EMPAQUE</t>
        </is>
      </c>
      <c r="B15" s="18">
        <f>SUMIFS(tblOrdenes[costo_total],tblOrdenes[area],$A15,tblOrdenes[anio],B$12,tblOrdenes[mes],B$13)</f>
        <v/>
      </c>
      <c r="C15" s="18">
        <f>SUMIFS(tblOrdenes[costo_total],tblOrdenes[area],$A15,tblOrdenes[anio],C$12,tblOrdenes[mes],C$13)</f>
        <v/>
      </c>
      <c r="D15" s="18">
        <f>SUM(B15:C15)</f>
        <v/>
      </c>
    </row>
    <row r="16">
      <c r="A16" s="5" t="inlineStr">
        <is>
          <t>SERVICIOS</t>
        </is>
      </c>
      <c r="B16" s="18">
        <f>SUMIFS(tblOrdenes[costo_total],tblOrdenes[area],$A16,tblOrdenes[anio],B$12,tblOrdenes[mes],B$13)</f>
        <v/>
      </c>
      <c r="C16" s="18">
        <f>SUMIFS(tblOrdenes[costo_total],tblOrdenes[area],$A16,tblOrdenes[anio],C$12,tblOrdenes[mes],C$13)</f>
        <v/>
      </c>
      <c r="D16" s="18">
        <f>SUM(B16:C16)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</row>
    <row r="27">
      <c r="A27" s="2" t="inlineStr">
        <is>
          <t>mes</t>
        </is>
      </c>
      <c r="B27" s="14" t="n">
        <v>7</v>
      </c>
      <c r="C27" s="14" t="n">
        <v>8</v>
      </c>
      <c r="D27" s="14" t="inlineStr">
        <is>
          <t>TOTAL</t>
        </is>
      </c>
    </row>
    <row r="28">
      <c r="A28" s="5" t="inlineStr">
        <is>
          <t>PRODUCCION</t>
        </is>
      </c>
      <c r="B28" s="18">
        <f>SUMIFS(tblOrdenes[costo_total],tblOrdenes[sub_area],$A28,tblOrdenes[anio],B$26,tblOrdenes[mes],B$27)</f>
        <v/>
      </c>
      <c r="C28" s="18">
        <f>SUMIFS(tblOrdenes[costo_total],tblOrdenes[sub_area],$A28,tblOrdenes[anio],C$26,tblOrdenes[mes],C$27)</f>
        <v/>
      </c>
      <c r="D28" s="18">
        <f>SUM(B28:C28)</f>
        <v/>
      </c>
    </row>
    <row r="29">
      <c r="A29" s="5" t="inlineStr">
        <is>
          <t>EMPAQUE</t>
        </is>
      </c>
      <c r="B29" s="18">
        <f>SUMIFS(tblOrdenes[costo_total],tblOrdenes[sub_area],$A29,tblOrdenes[anio],B$26,tblOrdenes[mes],B$27)</f>
        <v/>
      </c>
      <c r="C29" s="18">
        <f>SUMIFS(tblOrdenes[costo_total],tblOrdenes[sub_area],$A29,tblOrdenes[anio],C$26,tblOrdenes[mes],C$27)</f>
        <v/>
      </c>
      <c r="D29" s="18">
        <f>SUM(B29:C29)</f>
        <v/>
      </c>
    </row>
    <row r="30">
      <c r="A30" s="5" t="inlineStr">
        <is>
          <t>Vapor</t>
        </is>
      </c>
      <c r="B30" s="18">
        <f>SUMIFS(tblOrdenes[costo_total],tblOrdenes[sub_area],$A30,tblOrdenes[anio],B$26,tblOrdenes[mes],B$27)</f>
        <v/>
      </c>
      <c r="C30" s="18">
        <f>SUMIFS(tblOrdenes[costo_total],tblOrdenes[sub_area],$A30,tblOrdenes[anio],C$26,tblOrdenes[mes],C$27)</f>
        <v/>
      </c>
      <c r="D30" s="18">
        <f>SUM(B30:C30)</f>
        <v/>
      </c>
    </row>
    <row r="31">
      <c r="A31" s="5" t="inlineStr">
        <is>
          <t>Refrigeración</t>
        </is>
      </c>
      <c r="B31" s="18">
        <f>SUMIFS(tblOrdenes[costo_total],tblOrdenes[sub_area],$A31,tblOrdenes[anio],B$26,tblOrdenes[mes],B$27)</f>
        <v/>
      </c>
      <c r="C31" s="18">
        <f>SUMIFS(tblOrdenes[costo_total],tblOrdenes[sub_area],$A31,tblOrdenes[anio],C$26,tblOrdenes[mes],C$27)</f>
        <v/>
      </c>
      <c r="D31" s="18">
        <f>SUM(B31:C31)</f>
        <v/>
      </c>
    </row>
    <row r="32">
      <c r="A32" s="5" t="inlineStr">
        <is>
          <t>CO2</t>
        </is>
      </c>
      <c r="B32" s="18">
        <f>SUMIFS(tblOrdenes[costo_total],tblOrdenes[sub_area],$A32,tblOrdenes[anio],B$26,tblOrdenes[mes],B$27)</f>
        <v/>
      </c>
      <c r="C32" s="18">
        <f>SUMIFS(tblOrdenes[costo_total],tblOrdenes[sub_area],$A32,tblOrdenes[anio],C$26,tblOrdenes[mes],C$27)</f>
        <v/>
      </c>
      <c r="D32" s="18">
        <f>SUM(B32:C32)</f>
        <v/>
      </c>
    </row>
    <row r="33">
      <c r="A33" s="5" t="inlineStr">
        <is>
          <t>Aire comprimido</t>
        </is>
      </c>
      <c r="B33" s="18">
        <f>SUMIFS(tblOrdenes[costo_total],tblOrdenes[sub_area],$A33,tblOrdenes[anio],B$26,tblOrdenes[mes],B$27)</f>
        <v/>
      </c>
      <c r="C33" s="18">
        <f>SUMIFS(tblOrdenes[costo_total],tblOrdenes[sub_area],$A33,tblOrdenes[anio],C$26,tblOrdenes[mes],C$27)</f>
        <v/>
      </c>
      <c r="D33" s="18">
        <f>SUM(B33:C33)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</row>
    <row r="38">
      <c r="A38" s="2" t="inlineStr">
        <is>
          <t>mes</t>
        </is>
      </c>
      <c r="B38" s="14" t="n">
        <v>7</v>
      </c>
      <c r="C38" s="14" t="n">
        <v>8</v>
      </c>
      <c r="D38" s="14" t="inlineStr">
        <is>
          <t>TOTAL</t>
        </is>
      </c>
    </row>
    <row r="39">
      <c r="A39" s="5" t="inlineStr">
        <is>
          <t>L1</t>
        </is>
      </c>
      <c r="B39" s="18">
        <f>SUMIFS(tblOrdenes[costo_total],tblOrdenes[linea],$A39,tblOrdenes[anio],B$37,tblOrdenes[mes],B$38)</f>
        <v/>
      </c>
      <c r="C39" s="18">
        <f>SUMIFS(tblOrdenes[costo_total],tblOrdenes[linea],$A39,tblOrdenes[anio],C$37,tblOrdenes[mes],C$38)</f>
        <v/>
      </c>
      <c r="D39" s="18">
        <f>SUM(B39:C39)</f>
        <v/>
      </c>
    </row>
    <row r="40">
      <c r="A40" s="5" t="inlineStr">
        <is>
          <t>L2</t>
        </is>
      </c>
      <c r="B40" s="18">
        <f>SUMIFS(tblOrdenes[costo_total],tblOrdenes[linea],$A40,tblOrdenes[anio],B$37,tblOrdenes[mes],B$38)</f>
        <v/>
      </c>
      <c r="C40" s="18">
        <f>SUMIFS(tblOrdenes[costo_total],tblOrdenes[linea],$A40,tblOrdenes[anio],C$37,tblOrdenes[mes],C$38)</f>
        <v/>
      </c>
      <c r="D40" s="18">
        <f>SUM(B40:C40)</f>
        <v/>
      </c>
    </row>
    <row r="41">
      <c r="A41" s="5" t="inlineStr">
        <is>
          <t>L3</t>
        </is>
      </c>
      <c r="B41" s="18">
        <f>SUMIFS(tblOrdenes[costo_total],tblOrdenes[linea],$A41,tblOrdenes[anio],B$37,tblOrdenes[mes],B$38)</f>
        <v/>
      </c>
      <c r="C41" s="18">
        <f>SUMIFS(tblOrdenes[costo_total],tblOrdenes[linea],$A41,tblOrdenes[anio],C$37,tblOrdenes[mes],C$38)</f>
        <v/>
      </c>
      <c r="D41" s="18">
        <f>SUM(B41:C41)</f>
        <v/>
      </c>
    </row>
    <row r="42">
      <c r="A42" s="5" t="inlineStr">
        <is>
          <t>L4</t>
        </is>
      </c>
      <c r="B42" s="18">
        <f>SUMIFS(tblOrdenes[costo_total],tblOrdenes[linea],$A42,tblOrdenes[anio],B$37,tblOrdenes[mes],B$38)</f>
        <v/>
      </c>
      <c r="C42" s="18">
        <f>SUMIFS(tblOrdenes[costo_total],tblOrdenes[linea],$A42,tblOrdenes[anio],C$37,tblOrdenes[mes],C$38)</f>
        <v/>
      </c>
      <c r="D42" s="18">
        <f>SUM(B42:C42)</f>
        <v/>
      </c>
    </row>
    <row r="43">
      <c r="A43" s="5" t="inlineStr">
        <is>
          <t>SG</t>
        </is>
      </c>
      <c r="B43" s="18">
        <f>SUMIFS(tblOrdenes[costo_total],tblOrdenes[linea],$A43,tblOrdenes[anio],B$37,tblOrdenes[mes],B$38)</f>
        <v/>
      </c>
      <c r="C43" s="18">
        <f>SUMIFS(tblOrdenes[costo_total],tblOrdenes[linea],$A43,tblOrdenes[anio],C$37,tblOrdenes[mes],C$38)</f>
        <v/>
      </c>
      <c r="D43" s="18">
        <f>SUM(B43:C43)</f>
        <v/>
      </c>
    </row>
    <row r="44">
      <c r="A44" s="5" t="inlineStr">
        <is>
          <t>SG</t>
        </is>
      </c>
      <c r="B44" s="18">
        <f>SUMIFS(tblOrdenes[costo_total],tblOrdenes[linea],$A44,tblOrdenes[anio],B$37,tblOrdenes[mes],B$38)</f>
        <v/>
      </c>
      <c r="C44" s="18">
        <f>SUMIFS(tblOrdenes[costo_total],tblOrdenes[linea],$A44,tblOrdenes[anio],C$37,tblOrdenes[mes],C$38)</f>
        <v/>
      </c>
      <c r="D44" s="18">
        <f>SUM(B44:C44)</f>
        <v/>
      </c>
    </row>
    <row r="45">
      <c r="A45" s="5" t="inlineStr">
        <is>
          <t>TC</t>
        </is>
      </c>
      <c r="B45" s="18">
        <f>SUMIFS(tblOrdenes[costo_total],tblOrdenes[linea],$A45,tblOrdenes[anio],B$37,tblOrdenes[mes],B$38)</f>
        <v/>
      </c>
      <c r="C45" s="18">
        <f>SUMIFS(tblOrdenes[costo_total],tblOrdenes[linea],$A45,tblOrdenes[anio],C$37,tblOrdenes[mes],C$38)</f>
        <v/>
      </c>
      <c r="D45" s="18">
        <f>SUM(B45:C45)</f>
        <v/>
      </c>
    </row>
    <row r="46">
      <c r="A46" s="5" t="inlineStr">
        <is>
          <t>TC</t>
        </is>
      </c>
      <c r="B46" s="18">
        <f>SUMIFS(tblOrdenes[costo_total],tblOrdenes[linea],$A46,tblOrdenes[anio],B$37,tblOrdenes[mes],B$38)</f>
        <v/>
      </c>
      <c r="C46" s="18">
        <f>SUMIFS(tblOrdenes[costo_total],tblOrdenes[linea],$A46,tblOrdenes[anio],C$37,tblOrdenes[mes],C$38)</f>
        <v/>
      </c>
      <c r="D46" s="18">
        <f>SUM(B46:C46)</f>
        <v/>
      </c>
    </row>
    <row r="47">
      <c r="A47" s="5" t="inlineStr">
        <is>
          <t>CO</t>
        </is>
      </c>
      <c r="B47" s="18">
        <f>SUMIFS(tblOrdenes[costo_total],tblOrdenes[linea],$A47,tblOrdenes[anio],B$37,tblOrdenes[mes],B$38)</f>
        <v/>
      </c>
      <c r="C47" s="18">
        <f>SUMIFS(tblOrdenes[costo_total],tblOrdenes[linea],$A47,tblOrdenes[anio],C$37,tblOrdenes[mes],C$38)</f>
        <v/>
      </c>
      <c r="D47" s="18">
        <f>SUM(B47:C47)</f>
        <v/>
      </c>
    </row>
    <row r="48">
      <c r="A48" s="5" t="inlineStr">
        <is>
          <t>AC</t>
        </is>
      </c>
      <c r="B48" s="18">
        <f>SUMIFS(tblOrdenes[costo_total],tblOrdenes[linea],$A48,tblOrdenes[anio],B$37,tblOrdenes[mes],B$38)</f>
        <v/>
      </c>
      <c r="C48" s="18">
        <f>SUMIFS(tblOrdenes[costo_total],tblOrdenes[linea],$A48,tblOrdenes[anio],C$37,tblOrdenes[mes],C$38)</f>
        <v/>
      </c>
      <c r="D48" s="18">
        <f>SUM(B48:C48)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14" t="inlineStr">
        <is>
          <t>categoria</t>
        </is>
      </c>
      <c r="B7" s="14" t="inlineStr">
        <is>
          <t>clasificacion</t>
        </is>
      </c>
      <c r="C7" s="14" t="inlineStr">
        <is>
          <t>ene</t>
        </is>
      </c>
      <c r="D7" s="14" t="inlineStr">
        <is>
          <t>feb</t>
        </is>
      </c>
      <c r="E7" s="14" t="inlineStr">
        <is>
          <t>mar</t>
        </is>
      </c>
      <c r="F7" s="14" t="inlineStr">
        <is>
          <t>abr</t>
        </is>
      </c>
      <c r="G7" s="14" t="inlineStr">
        <is>
          <t>may</t>
        </is>
      </c>
      <c r="H7" s="14" t="inlineStr">
        <is>
          <t>jun</t>
        </is>
      </c>
      <c r="I7" s="14" t="inlineStr">
        <is>
          <t>jul</t>
        </is>
      </c>
      <c r="J7" s="14" t="inlineStr">
        <is>
          <t>ago</t>
        </is>
      </c>
      <c r="K7" s="14" t="inlineStr">
        <is>
          <t>sep</t>
        </is>
      </c>
      <c r="L7" s="14" t="inlineStr">
        <is>
          <t>oct</t>
        </is>
      </c>
      <c r="M7" s="14" t="inlineStr">
        <is>
          <t>nov</t>
        </is>
      </c>
      <c r="N7" s="14" t="inlineStr">
        <is>
          <t>dic</t>
        </is>
      </c>
      <c r="O7" s="14" t="inlineStr">
        <is>
          <t>presupuesto_anual</t>
        </is>
      </c>
      <c r="P7" s="14" t="inlineStr">
        <is>
          <t>suma_12_meses</t>
        </is>
      </c>
      <c r="Q7" s="1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6" t="n">
        <v>0</v>
      </c>
      <c r="D8" s="26" t="n">
        <v>0</v>
      </c>
      <c r="E8" s="26" t="n">
        <v>0</v>
      </c>
      <c r="F8" s="26" t="n">
        <v>0</v>
      </c>
      <c r="G8" s="26" t="n">
        <v>0</v>
      </c>
      <c r="H8" s="26" t="n">
        <v>0</v>
      </c>
      <c r="I8" s="26" t="n">
        <v>290</v>
      </c>
      <c r="J8" s="26" t="n">
        <v>90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380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6" t="n">
        <v>0</v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400</v>
      </c>
      <c r="J9" s="26" t="n">
        <v>180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580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6" t="n">
        <v>400</v>
      </c>
      <c r="D10" s="26" t="n">
        <v>400</v>
      </c>
      <c r="E10" s="26" t="n">
        <v>400</v>
      </c>
      <c r="F10" s="26" t="n">
        <v>400</v>
      </c>
      <c r="G10" s="26" t="n">
        <v>400</v>
      </c>
      <c r="H10" s="26" t="n">
        <v>400</v>
      </c>
      <c r="I10" s="26" t="n">
        <v>400</v>
      </c>
      <c r="J10" s="26" t="n">
        <v>400</v>
      </c>
      <c r="K10" s="26" t="n">
        <v>400</v>
      </c>
      <c r="L10" s="26" t="n">
        <v>400</v>
      </c>
      <c r="M10" s="26" t="n">
        <v>400</v>
      </c>
      <c r="N10" s="26" t="n">
        <v>400</v>
      </c>
      <c r="O10" s="26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6" t="n">
        <v>0</v>
      </c>
      <c r="D11" s="26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370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370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6" t="n">
        <v>400</v>
      </c>
      <c r="D12" s="26" t="n">
        <v>400</v>
      </c>
      <c r="E12" s="26" t="n">
        <v>400</v>
      </c>
      <c r="F12" s="26" t="n">
        <v>400</v>
      </c>
      <c r="G12" s="26" t="n">
        <v>400</v>
      </c>
      <c r="H12" s="26" t="n">
        <v>400</v>
      </c>
      <c r="I12" s="26" t="n">
        <v>400</v>
      </c>
      <c r="J12" s="26" t="n">
        <v>400</v>
      </c>
      <c r="K12" s="26" t="n">
        <v>400</v>
      </c>
      <c r="L12" s="26" t="n">
        <v>400</v>
      </c>
      <c r="M12" s="26" t="n">
        <v>400</v>
      </c>
      <c r="N12" s="26" t="n">
        <v>400</v>
      </c>
      <c r="O12" s="26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6" t="n">
        <v>400</v>
      </c>
      <c r="D13" s="26" t="n">
        <v>400</v>
      </c>
      <c r="E13" s="26" t="n">
        <v>400</v>
      </c>
      <c r="F13" s="26" t="n">
        <v>400</v>
      </c>
      <c r="G13" s="26" t="n">
        <v>400</v>
      </c>
      <c r="H13" s="26" t="n">
        <v>400</v>
      </c>
      <c r="I13" s="26" t="n">
        <v>400</v>
      </c>
      <c r="J13" s="26" t="n">
        <v>400</v>
      </c>
      <c r="K13" s="26" t="n">
        <v>400</v>
      </c>
      <c r="L13" s="26" t="n">
        <v>400</v>
      </c>
      <c r="M13" s="26" t="n">
        <v>400</v>
      </c>
      <c r="N13" s="26" t="n">
        <v>400</v>
      </c>
      <c r="O13" s="26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SUMIFS(tblOrdenes[costo_total],tblOrdenes[anio],p_anio_presupuesto,tblOrdenes[mes],1,tblOrdenes[categoria_presupuesto],$A34)</f>
        <v/>
      </c>
      <c r="D34" s="18">
        <f>SUMIFS(tblOrdenes[costo_total],tblOrdenes[anio],p_anio_presupuesto,tblOrdenes[mes],2,tblOrdenes[categoria_presupuesto],$A34)</f>
        <v/>
      </c>
      <c r="E34" s="18">
        <f>SUMIFS(tblOrdenes[costo_total],tblOrdenes[anio],p_anio_presupuesto,tblOrdenes[mes],3,tblOrdenes[categoria_presupuesto],$A34)</f>
        <v/>
      </c>
      <c r="F34" s="18">
        <f>SUMIFS(tblOrdenes[costo_total],tblOrdenes[anio],p_anio_presupuesto,tblOrdenes[mes],4,tblOrdenes[categoria_presupuesto],$A34)</f>
        <v/>
      </c>
      <c r="G34" s="18">
        <f>SUMIFS(tblOrdenes[costo_total],tblOrdenes[anio],p_anio_presupuesto,tblOrdenes[mes],5,tblOrdenes[categoria_presupuesto],$A34)</f>
        <v/>
      </c>
      <c r="H34" s="18">
        <f>SUMIFS(tblOrdenes[costo_total],tblOrdenes[anio],p_anio_presupuesto,tblOrdenes[mes],6,tblOrdenes[categoria_presupuesto],$A34)</f>
        <v/>
      </c>
      <c r="I34" s="18">
        <f>SUMIFS(tblOrdenes[costo_total],tblOrdenes[anio],p_anio_presupuesto,tblOrdenes[mes],7,tblOrdenes[categoria_presupuesto],$A34)</f>
        <v/>
      </c>
      <c r="J34" s="18">
        <f>SUMIFS(tblOrdenes[costo_total],tblOrdenes[anio],p_anio_presupuesto,tblOrdenes[mes],8,tblOrdenes[categoria_presupuesto],$A34)</f>
        <v/>
      </c>
      <c r="K34" s="18">
        <f>SUMIFS(tblOrdenes[costo_total],tblOrdenes[anio],p_anio_presupuesto,tblOrdenes[mes],9,tblOrdenes[categoria_presupuesto],$A34)</f>
        <v/>
      </c>
      <c r="L34" s="18">
        <f>SUMIFS(tblOrdenes[costo_total],tblOrdenes[anio],p_anio_presupuesto,tblOrdenes[mes],10,tblOrdenes[categoria_presupuesto],$A34)</f>
        <v/>
      </c>
      <c r="M34" s="18">
        <f>SUMIFS(tblOrdenes[costo_total],tblOrdenes[anio],p_anio_presupuesto,tblOrdenes[mes],11,tblOrdenes[categoria_presupuesto],$A34)</f>
        <v/>
      </c>
      <c r="N34" s="18">
        <f>SUMIFS(tblOrdenes[costo_total],tblOrdenes[anio],p_anio_presupuesto,tblOrdenes[mes],12,tblOrdenes[categoria_presupuesto],$A34)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SUMIFS(tblOrdenes[costo_total],tblOrdenes[anio],p_anio_presupuesto,tblOrdenes[mes],1,tblOrdenes[categoria_presupuesto],$A35)</f>
        <v/>
      </c>
      <c r="D35" s="18">
        <f>SUMIFS(tblOrdenes[costo_total],tblOrdenes[anio],p_anio_presupuesto,tblOrdenes[mes],2,tblOrdenes[categoria_presupuesto],$A35)</f>
        <v/>
      </c>
      <c r="E35" s="18">
        <f>SUMIFS(tblOrdenes[costo_total],tblOrdenes[anio],p_anio_presupuesto,tblOrdenes[mes],3,tblOrdenes[categoria_presupuesto],$A35)</f>
        <v/>
      </c>
      <c r="F35" s="18">
        <f>SUMIFS(tblOrdenes[costo_total],tblOrdenes[anio],p_anio_presupuesto,tblOrdenes[mes],4,tblOrdenes[categoria_presupuesto],$A35)</f>
        <v/>
      </c>
      <c r="G35" s="18">
        <f>SUMIFS(tblOrdenes[costo_total],tblOrdenes[anio],p_anio_presupuesto,tblOrdenes[mes],5,tblOrdenes[categoria_presupuesto],$A35)</f>
        <v/>
      </c>
      <c r="H35" s="18">
        <f>SUMIFS(tblOrdenes[costo_total],tblOrdenes[anio],p_anio_presupuesto,tblOrdenes[mes],6,tblOrdenes[categoria_presupuesto],$A35)</f>
        <v/>
      </c>
      <c r="I35" s="18">
        <f>SUMIFS(tblOrdenes[costo_total],tblOrdenes[anio],p_anio_presupuesto,tblOrdenes[mes],7,tblOrdenes[categoria_presupuesto],$A35)</f>
        <v/>
      </c>
      <c r="J35" s="18">
        <f>SUMIFS(tblOrdenes[costo_total],tblOrdenes[anio],p_anio_presupuesto,tblOrdenes[mes],8,tblOrdenes[categoria_presupuesto],$A35)</f>
        <v/>
      </c>
      <c r="K35" s="18">
        <f>SUMIFS(tblOrdenes[costo_total],tblOrdenes[anio],p_anio_presupuesto,tblOrdenes[mes],9,tblOrdenes[categoria_presupuesto],$A35)</f>
        <v/>
      </c>
      <c r="L35" s="18">
        <f>SUMIFS(tblOrdenes[costo_total],tblOrdenes[anio],p_anio_presupuesto,tblOrdenes[mes],10,tblOrdenes[categoria_presupuesto],$A35)</f>
        <v/>
      </c>
      <c r="M35" s="18">
        <f>SUMIFS(tblOrdenes[costo_total],tblOrdenes[anio],p_anio_presupuesto,tblOrdenes[mes],11,tblOrdenes[categoria_presupuesto],$A35)</f>
        <v/>
      </c>
      <c r="N35" s="18">
        <f>SUMIFS(tblOrdenes[costo_total],tblOrdenes[anio],p_anio_presupuesto,tblOrdenes[mes],12,tblOrdenes[categoria_presupuesto],$A35)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SUMIFS(tblOrdenes[costo_total],tblOrdenes[anio],p_anio_presupuesto,tblOrdenes[mes],1,tblOrdenes[categoria_presupuesto],$A36)</f>
        <v/>
      </c>
      <c r="D36" s="18">
        <f>SUMIFS(tblOrdenes[costo_total],tblOrdenes[anio],p_anio_presupuesto,tblOrdenes[mes],2,tblOrdenes[categoria_presupuesto],$A36)</f>
        <v/>
      </c>
      <c r="E36" s="18">
        <f>SUMIFS(tblOrdenes[costo_total],tblOrdenes[anio],p_anio_presupuesto,tblOrdenes[mes],3,tblOrdenes[categoria_presupuesto],$A36)</f>
        <v/>
      </c>
      <c r="F36" s="18">
        <f>SUMIFS(tblOrdenes[costo_total],tblOrdenes[anio],p_anio_presupuesto,tblOrdenes[mes],4,tblOrdenes[categoria_presupuesto],$A36)</f>
        <v/>
      </c>
      <c r="G36" s="18">
        <f>SUMIFS(tblOrdenes[costo_total],tblOrdenes[anio],p_anio_presupuesto,tblOrdenes[mes],5,tblOrdenes[categoria_presupuesto],$A36)</f>
        <v/>
      </c>
      <c r="H36" s="18">
        <f>SUMIFS(tblOrdenes[costo_total],tblOrdenes[anio],p_anio_presupuesto,tblOrdenes[mes],6,tblOrdenes[categoria_presupuesto],$A36)</f>
        <v/>
      </c>
      <c r="I36" s="18">
        <f>SUMIFS(tblOrdenes[costo_total],tblOrdenes[anio],p_anio_presupuesto,tblOrdenes[mes],7,tblOrdenes[categoria_presupuesto],$A36)</f>
        <v/>
      </c>
      <c r="J36" s="18">
        <f>SUMIFS(tblOrdenes[costo_total],tblOrdenes[anio],p_anio_presupuesto,tblOrdenes[mes],8,tblOrdenes[categoria_presupuesto],$A36)</f>
        <v/>
      </c>
      <c r="K36" s="18">
        <f>SUMIFS(tblOrdenes[costo_total],tblOrdenes[anio],p_anio_presupuesto,tblOrdenes[mes],9,tblOrdenes[categoria_presupuesto],$A36)</f>
        <v/>
      </c>
      <c r="L36" s="18">
        <f>SUMIFS(tblOrdenes[costo_total],tblOrdenes[anio],p_anio_presupuesto,tblOrdenes[mes],10,tblOrdenes[categoria_presupuesto],$A36)</f>
        <v/>
      </c>
      <c r="M36" s="18">
        <f>SUMIFS(tblOrdenes[costo_total],tblOrdenes[anio],p_anio_presupuesto,tblOrdenes[mes],11,tblOrdenes[categoria_presupuesto],$A36)</f>
        <v/>
      </c>
      <c r="N36" s="18">
        <f>SUMIFS(tblOrdenes[costo_total],tblOrdenes[anio],p_anio_presupuesto,tblOrdenes[mes],12,tblOrdenes[categoria_presupuesto],$A36)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SUMIFS(tblOrdenes[costo_total],tblOrdenes[anio],p_anio_presupuesto,tblOrdenes[mes],1,tblOrdenes[categoria_presupuesto],$A37)</f>
        <v/>
      </c>
      <c r="D37" s="18">
        <f>SUMIFS(tblOrdenes[costo_total],tblOrdenes[anio],p_anio_presupuesto,tblOrdenes[mes],2,tblOrdenes[categoria_presupuesto],$A37)</f>
        <v/>
      </c>
      <c r="E37" s="18">
        <f>SUMIFS(tblOrdenes[costo_total],tblOrdenes[anio],p_anio_presupuesto,tblOrdenes[mes],3,tblOrdenes[categoria_presupuesto],$A37)</f>
        <v/>
      </c>
      <c r="F37" s="18">
        <f>SUMIFS(tblOrdenes[costo_total],tblOrdenes[anio],p_anio_presupuesto,tblOrdenes[mes],4,tblOrdenes[categoria_presupuesto],$A37)</f>
        <v/>
      </c>
      <c r="G37" s="18">
        <f>SUMIFS(tblOrdenes[costo_total],tblOrdenes[anio],p_anio_presupuesto,tblOrdenes[mes],5,tblOrdenes[categoria_presupuesto],$A37)</f>
        <v/>
      </c>
      <c r="H37" s="18">
        <f>SUMIFS(tblOrdenes[costo_total],tblOrdenes[anio],p_anio_presupuesto,tblOrdenes[mes],6,tblOrdenes[categoria_presupuesto],$A37)</f>
        <v/>
      </c>
      <c r="I37" s="18">
        <f>SUMIFS(tblOrdenes[costo_total],tblOrdenes[anio],p_anio_presupuesto,tblOrdenes[mes],7,tblOrdenes[categoria_presupuesto],$A37)</f>
        <v/>
      </c>
      <c r="J37" s="18">
        <f>SUMIFS(tblOrdenes[costo_total],tblOrdenes[anio],p_anio_presupuesto,tblOrdenes[mes],8,tblOrdenes[categoria_presupuesto],$A37)</f>
        <v/>
      </c>
      <c r="K37" s="18">
        <f>SUMIFS(tblOrdenes[costo_total],tblOrdenes[anio],p_anio_presupuesto,tblOrdenes[mes],9,tblOrdenes[categoria_presupuesto],$A37)</f>
        <v/>
      </c>
      <c r="L37" s="18">
        <f>SUMIFS(tblOrdenes[costo_total],tblOrdenes[anio],p_anio_presupuesto,tblOrdenes[mes],10,tblOrdenes[categoria_presupuesto],$A37)</f>
        <v/>
      </c>
      <c r="M37" s="18">
        <f>SUMIFS(tblOrdenes[costo_total],tblOrdenes[anio],p_anio_presupuesto,tblOrdenes[mes],11,tblOrdenes[categoria_presupuesto],$A37)</f>
        <v/>
      </c>
      <c r="N37" s="18">
        <f>SUMIFS(tblOrdenes[costo_total],tblOrdenes[anio],p_anio_presupuesto,tblOrdenes[mes],12,tblOrdenes[categoria_presupuesto],$A37)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SUMIFS(tblOrdenes[costo_total],tblOrdenes[anio],p_anio_presupuesto,tblOrdenes[mes],1,tblOrdenes[categoria_presupuesto],$A38)</f>
        <v/>
      </c>
      <c r="D38" s="18">
        <f>SUMIFS(tblOrdenes[costo_total],tblOrdenes[anio],p_anio_presupuesto,tblOrdenes[mes],2,tblOrdenes[categoria_presupuesto],$A38)</f>
        <v/>
      </c>
      <c r="E38" s="18">
        <f>SUMIFS(tblOrdenes[costo_total],tblOrdenes[anio],p_anio_presupuesto,tblOrdenes[mes],3,tblOrdenes[categoria_presupuesto],$A38)</f>
        <v/>
      </c>
      <c r="F38" s="18">
        <f>SUMIFS(tblOrdenes[costo_total],tblOrdenes[anio],p_anio_presupuesto,tblOrdenes[mes],4,tblOrdenes[categoria_presupuesto],$A38)</f>
        <v/>
      </c>
      <c r="G38" s="18">
        <f>SUMIFS(tblOrdenes[costo_total],tblOrdenes[anio],p_anio_presupuesto,tblOrdenes[mes],5,tblOrdenes[categoria_presupuesto],$A38)</f>
        <v/>
      </c>
      <c r="H38" s="18">
        <f>SUMIFS(tblOrdenes[costo_total],tblOrdenes[anio],p_anio_presupuesto,tblOrdenes[mes],6,tblOrdenes[categoria_presupuesto],$A38)</f>
        <v/>
      </c>
      <c r="I38" s="18">
        <f>SUMIFS(tblOrdenes[costo_total],tblOrdenes[anio],p_anio_presupuesto,tblOrdenes[mes],7,tblOrdenes[categoria_presupuesto],$A38)</f>
        <v/>
      </c>
      <c r="J38" s="18">
        <f>SUMIFS(tblOrdenes[costo_total],tblOrdenes[anio],p_anio_presupuesto,tblOrdenes[mes],8,tblOrdenes[categoria_presupuesto],$A38)</f>
        <v/>
      </c>
      <c r="K38" s="18">
        <f>SUMIFS(tblOrdenes[costo_total],tblOrdenes[anio],p_anio_presupuesto,tblOrdenes[mes],9,tblOrdenes[categoria_presupuesto],$A38)</f>
        <v/>
      </c>
      <c r="L38" s="18">
        <f>SUMIFS(tblOrdenes[costo_total],tblOrdenes[anio],p_anio_presupuesto,tblOrdenes[mes],10,tblOrdenes[categoria_presupuesto],$A38)</f>
        <v/>
      </c>
      <c r="M38" s="18">
        <f>SUMIFS(tblOrdenes[costo_total],tblOrdenes[anio],p_anio_presupuesto,tblOrdenes[mes],11,tblOrdenes[categoria_presupuesto],$A38)</f>
        <v/>
      </c>
      <c r="N38" s="18">
        <f>SUMIFS(tblOrdenes[costo_total],tblOrdenes[anio],p_anio_presupuesto,tblOrdenes[mes],12,tblOrdenes[categoria_presupuesto],$A38)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SUMIFS(tblOrdenes[costo_total],tblOrdenes[anio],p_anio_presupuesto,tblOrdenes[mes],1,tblOrdenes[categoria_presupuesto],$A39)</f>
        <v/>
      </c>
      <c r="D39" s="18">
        <f>SUMIFS(tblOrdenes[costo_total],tblOrdenes[anio],p_anio_presupuesto,tblOrdenes[mes],2,tblOrdenes[categoria_presupuesto],$A39)</f>
        <v/>
      </c>
      <c r="E39" s="18">
        <f>SUMIFS(tblOrdenes[costo_total],tblOrdenes[anio],p_anio_presupuesto,tblOrdenes[mes],3,tblOrdenes[categoria_presupuesto],$A39)</f>
        <v/>
      </c>
      <c r="F39" s="18">
        <f>SUMIFS(tblOrdenes[costo_total],tblOrdenes[anio],p_anio_presupuesto,tblOrdenes[mes],4,tblOrdenes[categoria_presupuesto],$A39)</f>
        <v/>
      </c>
      <c r="G39" s="18">
        <f>SUMIFS(tblOrdenes[costo_total],tblOrdenes[anio],p_anio_presupuesto,tblOrdenes[mes],5,tblOrdenes[categoria_presupuesto],$A39)</f>
        <v/>
      </c>
      <c r="H39" s="18">
        <f>SUMIFS(tblOrdenes[costo_total],tblOrdenes[anio],p_anio_presupuesto,tblOrdenes[mes],6,tblOrdenes[categoria_presupuesto],$A39)</f>
        <v/>
      </c>
      <c r="I39" s="18">
        <f>SUMIFS(tblOrdenes[costo_total],tblOrdenes[anio],p_anio_presupuesto,tblOrdenes[mes],7,tblOrdenes[categoria_presupuesto],$A39)</f>
        <v/>
      </c>
      <c r="J39" s="18">
        <f>SUMIFS(tblOrdenes[costo_total],tblOrdenes[anio],p_anio_presupuesto,tblOrdenes[mes],8,tblOrdenes[categoria_presupuesto],$A39)</f>
        <v/>
      </c>
      <c r="K39" s="18">
        <f>SUMIFS(tblOrdenes[costo_total],tblOrdenes[anio],p_anio_presupuesto,tblOrdenes[mes],9,tblOrdenes[categoria_presupuesto],$A39)</f>
        <v/>
      </c>
      <c r="L39" s="18">
        <f>SUMIFS(tblOrdenes[costo_total],tblOrdenes[anio],p_anio_presupuesto,tblOrdenes[mes],10,tblOrdenes[categoria_presupuesto],$A39)</f>
        <v/>
      </c>
      <c r="M39" s="18">
        <f>SUMIFS(tblOrdenes[costo_total],tblOrdenes[anio],p_anio_presupuesto,tblOrdenes[mes],11,tblOrdenes[categoria_presupuesto],$A39)</f>
        <v/>
      </c>
      <c r="N39" s="18">
        <f>SUMIFS(tblOrdenes[costo_total],tblOrdenes[anio],p_anio_presupuesto,tblOrdenes[mes],12,tblOrdenes[categoria_presupuesto],$A39)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SUMIFS(tblOrdenes[costo_total],tblOrdenes[anio],p_anio_presupuesto,tblOrdenes[mes],1,tblOrdenes[categoria_presupuesto],$A40)</f>
        <v/>
      </c>
      <c r="D40" s="18">
        <f>SUMIFS(tblOrdenes[costo_total],tblOrdenes[anio],p_anio_presupuesto,tblOrdenes[mes],2,tblOrdenes[categoria_presupuesto],$A40)</f>
        <v/>
      </c>
      <c r="E40" s="18">
        <f>SUMIFS(tblOrdenes[costo_total],tblOrdenes[anio],p_anio_presupuesto,tblOrdenes[mes],3,tblOrdenes[categoria_presupuesto],$A40)</f>
        <v/>
      </c>
      <c r="F40" s="18">
        <f>SUMIFS(tblOrdenes[costo_total],tblOrdenes[anio],p_anio_presupuesto,tblOrdenes[mes],4,tblOrdenes[categoria_presupuesto],$A40)</f>
        <v/>
      </c>
      <c r="G40" s="18">
        <f>SUMIFS(tblOrdenes[costo_total],tblOrdenes[anio],p_anio_presupuesto,tblOrdenes[mes],5,tblOrdenes[categoria_presupuesto],$A40)</f>
        <v/>
      </c>
      <c r="H40" s="18">
        <f>SUMIFS(tblOrdenes[costo_total],tblOrdenes[anio],p_anio_presupuesto,tblOrdenes[mes],6,tblOrdenes[categoria_presupuesto],$A40)</f>
        <v/>
      </c>
      <c r="I40" s="18">
        <f>SUMIFS(tblOrdenes[costo_total],tblOrdenes[anio],p_anio_presupuesto,tblOrdenes[mes],7,tblOrdenes[categoria_presupuesto],$A40)</f>
        <v/>
      </c>
      <c r="J40" s="18">
        <f>SUMIFS(tblOrdenes[costo_total],tblOrdenes[anio],p_anio_presupuesto,tblOrdenes[mes],8,tblOrdenes[categoria_presupuesto],$A40)</f>
        <v/>
      </c>
      <c r="K40" s="18">
        <f>SUMIFS(tblOrdenes[costo_total],tblOrdenes[anio],p_anio_presupuesto,tblOrdenes[mes],9,tblOrdenes[categoria_presupuesto],$A40)</f>
        <v/>
      </c>
      <c r="L40" s="18">
        <f>SUMIFS(tblOrdenes[costo_total],tblOrdenes[anio],p_anio_presupuesto,tblOrdenes[mes],10,tblOrdenes[categoria_presupuesto],$A40)</f>
        <v/>
      </c>
      <c r="M40" s="18">
        <f>SUMIFS(tblOrdenes[costo_total],tblOrdenes[anio],p_anio_presupuesto,tblOrdenes[mes],11,tblOrdenes[categoria_presupuesto],$A40)</f>
        <v/>
      </c>
      <c r="N40" s="18">
        <f>SUMIFS(tblOrdenes[costo_total],tblOrdenes[anio],p_anio_presupuesto,tblOrdenes[mes],12,tblOrdenes[categoria_presupuesto],$A40)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SUMIFS(tblOrdenes[costo_total],tblOrdenes[anio],p_anio_presupuesto,tblOrdenes[mes],1)</f>
        <v/>
      </c>
      <c r="D44" s="18">
        <f>SUMIFS(tblOrdenes[costo_total],tblOrdenes[anio],p_anio_presupuesto,tblOrdenes[mes],2)</f>
        <v/>
      </c>
      <c r="E44" s="18">
        <f>SUMIFS(tblOrdenes[costo_total],tblOrdenes[anio],p_anio_presupuesto,tblOrdenes[mes],3)</f>
        <v/>
      </c>
      <c r="F44" s="18">
        <f>SUMIFS(tblOrdenes[costo_total],tblOrdenes[anio],p_anio_presupuesto,tblOrdenes[mes],4)</f>
        <v/>
      </c>
      <c r="G44" s="18">
        <f>SUMIFS(tblOrdenes[costo_total],tblOrdenes[anio],p_anio_presupuesto,tblOrdenes[mes],5)</f>
        <v/>
      </c>
      <c r="H44" s="18">
        <f>SUMIFS(tblOrdenes[costo_total],tblOrdenes[anio],p_anio_presupuesto,tblOrdenes[mes],6)</f>
        <v/>
      </c>
      <c r="I44" s="18">
        <f>SUMIFS(tblOrdenes[costo_total],tblOrdenes[anio],p_anio_presupuesto,tblOrdenes[mes],7)</f>
        <v/>
      </c>
      <c r="J44" s="18">
        <f>SUMIFS(tblOrdenes[costo_total],tblOrdenes[anio],p_anio_presupuesto,tblOrdenes[mes],8)</f>
        <v/>
      </c>
      <c r="K44" s="18">
        <f>SUMIFS(tblOrdenes[costo_total],tblOrdenes[anio],p_anio_presupuesto,tblOrdenes[mes],9)</f>
        <v/>
      </c>
      <c r="L44" s="18">
        <f>SUMIFS(tblOrdenes[costo_total],tblOrdenes[anio],p_anio_presupuesto,tblOrdenes[mes],10)</f>
        <v/>
      </c>
      <c r="M44" s="18">
        <f>SUMIFS(tblOrdenes[costo_total],tblOrdenes[anio],p_anio_presupuesto,tblOrdenes[mes],11)</f>
        <v/>
      </c>
      <c r="N44" s="18">
        <f>SUMIFS(tblOrdenes[costo_total],tblOrdenes[anio],p_anio_presupuesto,tblOrdenes[mes],12)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5">
        <f>IF(C21=0,"",C49/C21)</f>
        <v/>
      </c>
      <c r="D62" s="15">
        <f>IF(D21=0,"",D49/D21)</f>
        <v/>
      </c>
      <c r="E62" s="15">
        <f>IF(E21=0,"",E49/E21)</f>
        <v/>
      </c>
      <c r="F62" s="15">
        <f>IF(F21=0,"",F49/F21)</f>
        <v/>
      </c>
      <c r="G62" s="15">
        <f>IF(G21=0,"",G49/G21)</f>
        <v/>
      </c>
      <c r="H62" s="15">
        <f>IF(H21=0,"",H49/H21)</f>
        <v/>
      </c>
      <c r="I62" s="15">
        <f>IF(I21=0,"",I49/I21)</f>
        <v/>
      </c>
      <c r="J62" s="15">
        <f>IF(J21=0,"",J49/J21)</f>
        <v/>
      </c>
      <c r="K62" s="15">
        <f>IF(K21=0,"",K49/K21)</f>
        <v/>
      </c>
      <c r="L62" s="15">
        <f>IF(L21=0,"",L49/L21)</f>
        <v/>
      </c>
      <c r="M62" s="15">
        <f>IF(M21=0,"",M49/M21)</f>
        <v/>
      </c>
      <c r="N62" s="15">
        <f>IF(N21=0,"",N49/N21)</f>
        <v/>
      </c>
      <c r="O62" s="15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5">
        <f>IF(C22=0,"",C50/C22)</f>
        <v/>
      </c>
      <c r="D63" s="15">
        <f>IF(D22=0,"",D50/D22)</f>
        <v/>
      </c>
      <c r="E63" s="15">
        <f>IF(E22=0,"",E50/E22)</f>
        <v/>
      </c>
      <c r="F63" s="15">
        <f>IF(F22=0,"",F50/F22)</f>
        <v/>
      </c>
      <c r="G63" s="15">
        <f>IF(G22=0,"",G50/G22)</f>
        <v/>
      </c>
      <c r="H63" s="15">
        <f>IF(H22=0,"",H50/H22)</f>
        <v/>
      </c>
      <c r="I63" s="15">
        <f>IF(I22=0,"",I50/I22)</f>
        <v/>
      </c>
      <c r="J63" s="15">
        <f>IF(J22=0,"",J50/J22)</f>
        <v/>
      </c>
      <c r="K63" s="15">
        <f>IF(K22=0,"",K50/K22)</f>
        <v/>
      </c>
      <c r="L63" s="15">
        <f>IF(L22=0,"",L50/L22)</f>
        <v/>
      </c>
      <c r="M63" s="15">
        <f>IF(M22=0,"",M50/M22)</f>
        <v/>
      </c>
      <c r="N63" s="15">
        <f>IF(N22=0,"",N50/N22)</f>
        <v/>
      </c>
      <c r="O63" s="15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5">
        <f>IF(C23=0,"",C51/C23)</f>
        <v/>
      </c>
      <c r="D64" s="15">
        <f>IF(D23=0,"",D51/D23)</f>
        <v/>
      </c>
      <c r="E64" s="15">
        <f>IF(E23=0,"",E51/E23)</f>
        <v/>
      </c>
      <c r="F64" s="15">
        <f>IF(F23=0,"",F51/F23)</f>
        <v/>
      </c>
      <c r="G64" s="15">
        <f>IF(G23=0,"",G51/G23)</f>
        <v/>
      </c>
      <c r="H64" s="15">
        <f>IF(H23=0,"",H51/H23)</f>
        <v/>
      </c>
      <c r="I64" s="15">
        <f>IF(I23=0,"",I51/I23)</f>
        <v/>
      </c>
      <c r="J64" s="15">
        <f>IF(J23=0,"",J51/J23)</f>
        <v/>
      </c>
      <c r="K64" s="15">
        <f>IF(K23=0,"",K51/K23)</f>
        <v/>
      </c>
      <c r="L64" s="15">
        <f>IF(L23=0,"",L51/L23)</f>
        <v/>
      </c>
      <c r="M64" s="15">
        <f>IF(M23=0,"",M51/M23)</f>
        <v/>
      </c>
      <c r="N64" s="15">
        <f>IF(N23=0,"",N51/N23)</f>
        <v/>
      </c>
      <c r="O64" s="15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5">
        <f>IF(C24=0,"",C52/C24)</f>
        <v/>
      </c>
      <c r="D65" s="15">
        <f>IF(D24=0,"",D52/D24)</f>
        <v/>
      </c>
      <c r="E65" s="15">
        <f>IF(E24=0,"",E52/E24)</f>
        <v/>
      </c>
      <c r="F65" s="15">
        <f>IF(F24=0,"",F52/F24)</f>
        <v/>
      </c>
      <c r="G65" s="15">
        <f>IF(G24=0,"",G52/G24)</f>
        <v/>
      </c>
      <c r="H65" s="15">
        <f>IF(H24=0,"",H52/H24)</f>
        <v/>
      </c>
      <c r="I65" s="15">
        <f>IF(I24=0,"",I52/I24)</f>
        <v/>
      </c>
      <c r="J65" s="15">
        <f>IF(J24=0,"",J52/J24)</f>
        <v/>
      </c>
      <c r="K65" s="15">
        <f>IF(K24=0,"",K52/K24)</f>
        <v/>
      </c>
      <c r="L65" s="15">
        <f>IF(L24=0,"",L52/L24)</f>
        <v/>
      </c>
      <c r="M65" s="15">
        <f>IF(M24=0,"",M52/M24)</f>
        <v/>
      </c>
      <c r="N65" s="15">
        <f>IF(N24=0,"",N52/N24)</f>
        <v/>
      </c>
      <c r="O65" s="15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5">
        <f>IF(C25=0,"",C53/C25)</f>
        <v/>
      </c>
      <c r="D66" s="15">
        <f>IF(D25=0,"",D53/D25)</f>
        <v/>
      </c>
      <c r="E66" s="15">
        <f>IF(E25=0,"",E53/E25)</f>
        <v/>
      </c>
      <c r="F66" s="15">
        <f>IF(F25=0,"",F53/F25)</f>
        <v/>
      </c>
      <c r="G66" s="15">
        <f>IF(G25=0,"",G53/G25)</f>
        <v/>
      </c>
      <c r="H66" s="15">
        <f>IF(H25=0,"",H53/H25)</f>
        <v/>
      </c>
      <c r="I66" s="15">
        <f>IF(I25=0,"",I53/I25)</f>
        <v/>
      </c>
      <c r="J66" s="15">
        <f>IF(J25=0,"",J53/J25)</f>
        <v/>
      </c>
      <c r="K66" s="15">
        <f>IF(K25=0,"",K53/K25)</f>
        <v/>
      </c>
      <c r="L66" s="15">
        <f>IF(L25=0,"",L53/L25)</f>
        <v/>
      </c>
      <c r="M66" s="15">
        <f>IF(M25=0,"",M53/M25)</f>
        <v/>
      </c>
      <c r="N66" s="15">
        <f>IF(N25=0,"",N53/N25)</f>
        <v/>
      </c>
      <c r="O66" s="15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5">
        <f>IF(C26=0,"",C54/C26)</f>
        <v/>
      </c>
      <c r="D67" s="15">
        <f>IF(D26=0,"",D54/D26)</f>
        <v/>
      </c>
      <c r="E67" s="15">
        <f>IF(E26=0,"",E54/E26)</f>
        <v/>
      </c>
      <c r="F67" s="15">
        <f>IF(F26=0,"",F54/F26)</f>
        <v/>
      </c>
      <c r="G67" s="15">
        <f>IF(G26=0,"",G54/G26)</f>
        <v/>
      </c>
      <c r="H67" s="15">
        <f>IF(H26=0,"",H54/H26)</f>
        <v/>
      </c>
      <c r="I67" s="15">
        <f>IF(I26=0,"",I54/I26)</f>
        <v/>
      </c>
      <c r="J67" s="15">
        <f>IF(J26=0,"",J54/J26)</f>
        <v/>
      </c>
      <c r="K67" s="15">
        <f>IF(K26=0,"",K54/K26)</f>
        <v/>
      </c>
      <c r="L67" s="15">
        <f>IF(L26=0,"",L54/L26)</f>
        <v/>
      </c>
      <c r="M67" s="15">
        <f>IF(M26=0,"",M54/M26)</f>
        <v/>
      </c>
      <c r="N67" s="15">
        <f>IF(N26=0,"",N54/N26)</f>
        <v/>
      </c>
      <c r="O67" s="15">
        <f>IF($O$26=0,"",$O$54/$O$26)</f>
        <v/>
      </c>
    </row>
    <row r="68">
      <c r="A68" s="5" t="inlineStr">
        <is>
          <t>SIN CLASIFICAR</t>
        </is>
      </c>
      <c r="B68" s="5" t="inlineStr"/>
      <c r="C68" s="15">
        <f>IF(C27=0,"",C55/C27)</f>
        <v/>
      </c>
      <c r="D68" s="15">
        <f>IF(D27=0,"",D55/D27)</f>
        <v/>
      </c>
      <c r="E68" s="15">
        <f>IF(E27=0,"",E55/E27)</f>
        <v/>
      </c>
      <c r="F68" s="15">
        <f>IF(F27=0,"",F55/F27)</f>
        <v/>
      </c>
      <c r="G68" s="15">
        <f>IF(G27=0,"",G55/G27)</f>
        <v/>
      </c>
      <c r="H68" s="15">
        <f>IF(H27=0,"",H55/H27)</f>
        <v/>
      </c>
      <c r="I68" s="15">
        <f>IF(I27=0,"",I55/I27)</f>
        <v/>
      </c>
      <c r="J68" s="15">
        <f>IF(J27=0,"",J55/J27)</f>
        <v/>
      </c>
      <c r="K68" s="15">
        <f>IF(K27=0,"",K55/K27)</f>
        <v/>
      </c>
      <c r="L68" s="15">
        <f>IF(L27=0,"",L55/L27)</f>
        <v/>
      </c>
      <c r="M68" s="15">
        <f>IF(M27=0,"",M55/M27)</f>
        <v/>
      </c>
      <c r="N68" s="15">
        <f>IF(N27=0,"",N55/N27)</f>
        <v/>
      </c>
      <c r="O68" s="15">
        <f>IF($O$27=0,"",$O$55/$O$27)</f>
        <v/>
      </c>
    </row>
    <row r="69">
      <c r="A69" s="3" t="inlineStr">
        <is>
          <t>Subtotal FIJO</t>
        </is>
      </c>
      <c r="B69" s="5" t="inlineStr"/>
      <c r="C69" s="15">
        <f>IF(C28=0,"",C56/C28)</f>
        <v/>
      </c>
      <c r="D69" s="15">
        <f>IF(D28=0,"",D56/D28)</f>
        <v/>
      </c>
      <c r="E69" s="15">
        <f>IF(E28=0,"",E56/E28)</f>
        <v/>
      </c>
      <c r="F69" s="15">
        <f>IF(F28=0,"",F56/F28)</f>
        <v/>
      </c>
      <c r="G69" s="15">
        <f>IF(G28=0,"",G56/G28)</f>
        <v/>
      </c>
      <c r="H69" s="15">
        <f>IF(H28=0,"",H56/H28)</f>
        <v/>
      </c>
      <c r="I69" s="15">
        <f>IF(I28=0,"",I56/I28)</f>
        <v/>
      </c>
      <c r="J69" s="15">
        <f>IF(J28=0,"",J56/J28)</f>
        <v/>
      </c>
      <c r="K69" s="15">
        <f>IF(K28=0,"",K56/K28)</f>
        <v/>
      </c>
      <c r="L69" s="15">
        <f>IF(L28=0,"",L56/L28)</f>
        <v/>
      </c>
      <c r="M69" s="15">
        <f>IF(M28=0,"",M56/M28)</f>
        <v/>
      </c>
      <c r="N69" s="15">
        <f>IF(N28=0,"",N56/N28)</f>
        <v/>
      </c>
      <c r="O69" s="15">
        <f>IF($O$28=0,"",$O$56/$O$28)</f>
        <v/>
      </c>
    </row>
    <row r="70">
      <c r="A70" s="3" t="inlineStr">
        <is>
          <t>Subtotal VARIABLE</t>
        </is>
      </c>
      <c r="B70" s="5" t="inlineStr"/>
      <c r="C70" s="15">
        <f>IF(C29=0,"",C57/C29)</f>
        <v/>
      </c>
      <c r="D70" s="15">
        <f>IF(D29=0,"",D57/D29)</f>
        <v/>
      </c>
      <c r="E70" s="15">
        <f>IF(E29=0,"",E57/E29)</f>
        <v/>
      </c>
      <c r="F70" s="15">
        <f>IF(F29=0,"",F57/F29)</f>
        <v/>
      </c>
      <c r="G70" s="15">
        <f>IF(G29=0,"",G57/G29)</f>
        <v/>
      </c>
      <c r="H70" s="15">
        <f>IF(H29=0,"",H57/H29)</f>
        <v/>
      </c>
      <c r="I70" s="15">
        <f>IF(I29=0,"",I57/I29)</f>
        <v/>
      </c>
      <c r="J70" s="15">
        <f>IF(J29=0,"",J57/J29)</f>
        <v/>
      </c>
      <c r="K70" s="15">
        <f>IF(K29=0,"",K57/K29)</f>
        <v/>
      </c>
      <c r="L70" s="15">
        <f>IF(L29=0,"",L57/L29)</f>
        <v/>
      </c>
      <c r="M70" s="15">
        <f>IF(M29=0,"",M57/M29)</f>
        <v/>
      </c>
      <c r="N70" s="15">
        <f>IF(N29=0,"",N57/N29)</f>
        <v/>
      </c>
      <c r="O70" s="15">
        <f>IF($O$29=0,"",$O$57/$O$29)</f>
        <v/>
      </c>
    </row>
    <row r="71">
      <c r="A71" s="3" t="inlineStr">
        <is>
          <t>TOTAL GENERAL</t>
        </is>
      </c>
      <c r="B71" s="5" t="inlineStr"/>
      <c r="C71" s="15">
        <f>IF(C30=0,"",C58/C30)</f>
        <v/>
      </c>
      <c r="D71" s="15">
        <f>IF(D30=0,"",D58/D30)</f>
        <v/>
      </c>
      <c r="E71" s="15">
        <f>IF(E30=0,"",E58/E30)</f>
        <v/>
      </c>
      <c r="F71" s="15">
        <f>IF(F30=0,"",F58/F30)</f>
        <v/>
      </c>
      <c r="G71" s="15">
        <f>IF(G30=0,"",G58/G30)</f>
        <v/>
      </c>
      <c r="H71" s="15">
        <f>IF(H30=0,"",H58/H30)</f>
        <v/>
      </c>
      <c r="I71" s="15">
        <f>IF(I30=0,"",I58/I30)</f>
        <v/>
      </c>
      <c r="J71" s="15">
        <f>IF(J30=0,"",J58/J30)</f>
        <v/>
      </c>
      <c r="K71" s="15">
        <f>IF(K30=0,"",K58/K30)</f>
        <v/>
      </c>
      <c r="L71" s="15">
        <f>IF(L30=0,"",L58/L30)</f>
        <v/>
      </c>
      <c r="M71" s="15">
        <f>IF(M30=0,"",M58/M30)</f>
        <v/>
      </c>
      <c r="N71" s="15">
        <f>IF(N30=0,"",N58/N30)</f>
        <v/>
      </c>
      <c r="O71" s="15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</row>
    <row r="4">
      <c r="A4" s="14" t="inlineStr">
        <is>
          <t>equipo \ mes</t>
        </is>
      </c>
      <c r="B4" s="14" t="n">
        <v>7</v>
      </c>
      <c r="C4" s="14" t="n">
        <v>8</v>
      </c>
      <c r="D4" s="14" t="inlineStr">
        <is>
          <t>TOTAL</t>
        </is>
      </c>
    </row>
    <row r="5">
      <c r="A5" s="5" t="inlineStr">
        <is>
          <t>EQ-EJEMPLO</t>
        </is>
      </c>
      <c r="B5" s="18">
        <f>SUMIFS(tblOrdenes[costo_total],tblOrdenes[equipo],$A5,tblOrdenes[anio],B$3,tblOrdenes[mes],B$4)</f>
        <v/>
      </c>
      <c r="C5" s="18">
        <f>SUMIFS(tblOrdenes[costo_total],tblOrdenes[equipo],$A5,tblOrdenes[anio],C$3,tblOrdenes[mes],C$4)</f>
        <v/>
      </c>
      <c r="D5" s="18">
        <f>SUM(B5:C5)</f>
        <v/>
      </c>
    </row>
    <row r="7">
      <c r="A7" s="2" t="inlineStr">
        <is>
          <t>Ordenado de mayor a menor gasto total (con los datos de ejemplo).</t>
        </is>
      </c>
    </row>
  </sheetData>
  <conditionalFormatting sqref="B5:C5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14" t="inlineStr">
        <is>
          <t>especialidad</t>
        </is>
      </c>
      <c r="D3" s="14" t="inlineStr">
        <is>
          <t>posicion</t>
        </is>
      </c>
      <c r="E3" s="14" t="inlineStr">
        <is>
          <t>horas_reales</t>
        </is>
      </c>
      <c r="F3" s="14" t="inlineStr">
        <is>
          <t>base_semanal</t>
        </is>
      </c>
      <c r="G3" s="1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14" t="inlineStr">
        <is>
          <t>horas_reales_mes</t>
        </is>
      </c>
      <c r="D3" s="14" t="inlineStr">
        <is>
          <t>horas_requeridas_mes</t>
        </is>
      </c>
      <c r="E3" s="14" t="inlineStr">
        <is>
          <t>cumple</t>
        </is>
      </c>
      <c r="F3" s="1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0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5">
        <f>IF(K8=1,IFERROR(MATCH('ORDENES'!$S4,lista_dias,0),9)*1000000000+IFERROR(MATCH('ORDENES'!$AI4,lista_turnos,0),9)*10000000+IFERROR(MATCH('ORDENES'!$AH4,tblTecnicos[nombre],0),99)*100000+1,9000000000000+1)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5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5">
        <f>IF(K9=1,IFERROR(MATCH('ORDENES'!$S5,lista_dias,0),9)*1000000000+IFERROR(MATCH('ORDENES'!$AI5,lista_turnos,0),9)*10000000+IFERROR(MATCH('ORDENES'!$AH5,tblTecnicos[nombre],0),99)*100000+2,9000000000000+2)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5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5">
        <f>IF(K10=1,IFERROR(MATCH('ORDENES'!$S6,lista_dias,0),9)*1000000000+IFERROR(MATCH('ORDENES'!$AI6,lista_turnos,0),9)*10000000+IFERROR(MATCH('ORDENES'!$AH6,tblTecnicos[nombre],0),99)*100000+3,9000000000000+3)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5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5">
        <f>IF(K11=1,IFERROR(MATCH('ORDENES'!$S7,lista_dias,0),9)*1000000000+IFERROR(MATCH('ORDENES'!$AI7,lista_turnos,0),9)*10000000+IFERROR(MATCH('ORDENES'!$AH7,tblTecnicos[nombre],0),99)*100000+4,9000000000000+4)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5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5">
        <f>IF(K12=1,IFERROR(MATCH('ORDENES'!$S8,lista_dias,0),9)*1000000000+IFERROR(MATCH('ORDENES'!$AI8,lista_turnos,0),9)*10000000+IFERROR(MATCH('ORDENES'!$AH8,tblTecnicos[nombre],0),99)*100000+5,9000000000000+5)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5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5">
        <f>IF(K13=1,IFERROR(MATCH('ORDENES'!$S9,lista_dias,0),9)*1000000000+IFERROR(MATCH('ORDENES'!$AI9,lista_turnos,0),9)*10000000+IFERROR(MATCH('ORDENES'!$AH9,tblTecnicos[nombre],0),99)*100000+6,9000000000000+6)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5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5">
        <f>IF(K14=1,IFERROR(MATCH('ORDENES'!$S10,lista_dias,0),9)*1000000000+IFERROR(MATCH('ORDENES'!$AI10,lista_turnos,0),9)*10000000+IFERROR(MATCH('ORDENES'!$AH10,tblTecnicos[nombre],0),99)*100000+7,9000000000000+7)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5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25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5">
        <f>IF(K15=1,IFERROR(MATCH('ORDENES'!$S11,lista_dias,0),9)*1000000000+IFERROR(MATCH('ORDENES'!$AI11,lista_turnos,0),9)*10000000+IFERROR(MATCH('ORDENES'!$AH11,tblTecnicos[nombre],0),99)*100000+8,9000000000000+8)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5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25">
        <f>IF($B$3="(todos)",IF(AJ8=0,"",MAX($T$8:$T$1207)),AJ14+6)</f>
        <v/>
      </c>
    </row>
    <row r="16">
      <c r="K16" s="5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5">
        <f>IF(K16=1,IFERROR(MATCH('ORDENES'!$S12,lista_dias,0),9)*1000000000+IFERROR(MATCH('ORDENES'!$AI12,lista_turnos,0),9)*10000000+IFERROR(MATCH('ORDENES'!$AH12,tblTecnicos[nombre],0),99)*100000+9,9000000000000+9)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5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5">
        <f>IF(K17=1,IFERROR(MATCH('ORDENES'!$S13,lista_dias,0),9)*1000000000+IFERROR(MATCH('ORDENES'!$AI13,lista_turnos,0),9)*10000000+IFERROR(MATCH('ORDENES'!$AH13,tblTecnicos[nombre],0),99)*100000+10,9000000000000+10)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5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5">
        <f>IF(K18=1,IFERROR(MATCH('ORDENES'!$S14,lista_dias,0),9)*1000000000+IFERROR(MATCH('ORDENES'!$AI14,lista_turnos,0),9)*10000000+IFERROR(MATCH('ORDENES'!$AH14,tblTecnicos[nombre],0),99)*100000+11,9000000000000+11)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5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5">
        <f>IF(K19=1,IFERROR(MATCH('ORDENES'!$S15,lista_dias,0),9)*1000000000+IFERROR(MATCH('ORDENES'!$AI15,lista_turnos,0),9)*10000000+IFERROR(MATCH('ORDENES'!$AH15,tblTecnicos[nombre],0),99)*100000+12,9000000000000+12)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5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5">
        <f>IF(K20=1,IFERROR(MATCH('ORDENES'!$S16,lista_dias,0),9)*1000000000+IFERROR(MATCH('ORDENES'!$AI16,lista_turnos,0),9)*10000000+IFERROR(MATCH('ORDENES'!$AH16,tblTecnicos[nombre],0),99)*100000+13,9000000000000+13)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5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5">
        <f>IF(K21=1,IFERROR(MATCH('ORDENES'!$S17,lista_dias,0),9)*1000000000+IFERROR(MATCH('ORDENES'!$AI17,lista_turnos,0),9)*10000000+IFERROR(MATCH('ORDENES'!$AH17,tblTecnicos[nombre],0),99)*100000+14,9000000000000+14)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5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5">
        <f>IF(K22=1,IFERROR(MATCH('ORDENES'!$S18,lista_dias,0),9)*1000000000+IFERROR(MATCH('ORDENES'!$AI18,lista_turnos,0),9)*10000000+IFERROR(MATCH('ORDENES'!$AH18,tblTecnicos[nombre],0),99)*100000+15,9000000000000+15)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5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5">
        <f>IF(K23=1,IFERROR(MATCH('ORDENES'!$S19,lista_dias,0),9)*1000000000+IFERROR(MATCH('ORDENES'!$AI19,lista_turnos,0),9)*10000000+IFERROR(MATCH('ORDENES'!$AH19,tblTecnicos[nombre],0),99)*100000+16,9000000000000+16)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5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5">
        <f>IF(K24=1,IFERROR(MATCH('ORDENES'!$S20,lista_dias,0),9)*1000000000+IFERROR(MATCH('ORDENES'!$AI20,lista_turnos,0),9)*10000000+IFERROR(MATCH('ORDENES'!$AH20,tblTecnicos[nombre],0),99)*100000+17,9000000000000+17)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5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5">
        <f>IF(K25=1,IFERROR(MATCH('ORDENES'!$S21,lista_dias,0),9)*1000000000+IFERROR(MATCH('ORDENES'!$AI21,lista_turnos,0),9)*10000000+IFERROR(MATCH('ORDENES'!$AH21,tblTecnicos[nombre],0),99)*100000+18,9000000000000+18)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5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5">
        <f>IF(K26=1,IFERROR(MATCH('ORDENES'!$S22,lista_dias,0),9)*1000000000+IFERROR(MATCH('ORDENES'!$AI22,lista_turnos,0),9)*10000000+IFERROR(MATCH('ORDENES'!$AH22,tblTecnicos[nombre],0),99)*100000+19,9000000000000+19)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5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5">
        <f>IF(K27=1,IFERROR(MATCH('ORDENES'!$S23,lista_dias,0),9)*1000000000+IFERROR(MATCH('ORDENES'!$AI23,lista_turnos,0),9)*10000000+IFERROR(MATCH('ORDENES'!$AH23,tblTecnicos[nombre],0),99)*100000+20,9000000000000+20)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5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5">
        <f>IF(K28=1,IFERROR(MATCH('ORDENES'!$S24,lista_dias,0),9)*1000000000+IFERROR(MATCH('ORDENES'!$AI24,lista_turnos,0),9)*10000000+IFERROR(MATCH('ORDENES'!$AH24,tblTecnicos[nombre],0),99)*100000+21,9000000000000+21)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5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5">
        <f>IF(K29=1,IFERROR(MATCH('ORDENES'!$S25,lista_dias,0),9)*1000000000+IFERROR(MATCH('ORDENES'!$AI25,lista_turnos,0),9)*10000000+IFERROR(MATCH('ORDENES'!$AH25,tblTecnicos[nombre],0),99)*100000+22,9000000000000+22)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5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5">
        <f>IF(K30=1,IFERROR(MATCH('ORDENES'!$S26,lista_dias,0),9)*1000000000+IFERROR(MATCH('ORDENES'!$AI26,lista_turnos,0),9)*10000000+IFERROR(MATCH('ORDENES'!$AH26,tblTecnicos[nombre],0),99)*100000+23,9000000000000+23)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5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5">
        <f>IF(K31=1,IFERROR(MATCH('ORDENES'!$S27,lista_dias,0),9)*1000000000+IFERROR(MATCH('ORDENES'!$AI27,lista_turnos,0),9)*10000000+IFERROR(MATCH('ORDENES'!$AH27,tblTecnicos[nombre],0),99)*100000+24,9000000000000+24)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5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5">
        <f>IF(K32=1,IFERROR(MATCH('ORDENES'!$S28,lista_dias,0),9)*1000000000+IFERROR(MATCH('ORDENES'!$AI28,lista_turnos,0),9)*10000000+IFERROR(MATCH('ORDENES'!$AH28,tblTecnicos[nombre],0),99)*100000+25,9000000000000+25)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5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5">
        <f>IF(K33=1,IFERROR(MATCH('ORDENES'!$S29,lista_dias,0),9)*1000000000+IFERROR(MATCH('ORDENES'!$AI29,lista_turnos,0),9)*10000000+IFERROR(MATCH('ORDENES'!$AH29,tblTecnicos[nombre],0),99)*100000+26,9000000000000+26)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5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5">
        <f>IF(K34=1,IFERROR(MATCH('ORDENES'!$S30,lista_dias,0),9)*1000000000+IFERROR(MATCH('ORDENES'!$AI30,lista_turnos,0),9)*10000000+IFERROR(MATCH('ORDENES'!$AH30,tblTecnicos[nombre],0),99)*100000+27,9000000000000+27)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5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5">
        <f>IF(K35=1,IFERROR(MATCH('ORDENES'!$S31,lista_dias,0),9)*1000000000+IFERROR(MATCH('ORDENES'!$AI31,lista_turnos,0),9)*10000000+IFERROR(MATCH('ORDENES'!$AH31,tblTecnicos[nombre],0),99)*100000+28,9000000000000+28)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5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5">
        <f>IF(K36=1,IFERROR(MATCH('ORDENES'!$S32,lista_dias,0),9)*1000000000+IFERROR(MATCH('ORDENES'!$AI32,lista_turnos,0),9)*10000000+IFERROR(MATCH('ORDENES'!$AH32,tblTecnicos[nombre],0),99)*100000+29,9000000000000+29)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5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5">
        <f>IF(K37=1,IFERROR(MATCH('ORDENES'!$S33,lista_dias,0),9)*1000000000+IFERROR(MATCH('ORDENES'!$AI33,lista_turnos,0),9)*10000000+IFERROR(MATCH('ORDENES'!$AH33,tblTecnicos[nombre],0),99)*100000+30,9000000000000+30)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5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5">
        <f>IF(K38=1,IFERROR(MATCH('ORDENES'!$S34,lista_dias,0),9)*1000000000+IFERROR(MATCH('ORDENES'!$AI34,lista_turnos,0),9)*10000000+IFERROR(MATCH('ORDENES'!$AH34,tblTecnicos[nombre],0),99)*100000+31,9000000000000+31)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5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5">
        <f>IF(K39=1,IFERROR(MATCH('ORDENES'!$S35,lista_dias,0),9)*1000000000+IFERROR(MATCH('ORDENES'!$AI35,lista_turnos,0),9)*10000000+IFERROR(MATCH('ORDENES'!$AH35,tblTecnicos[nombre],0),99)*100000+32,9000000000000+32)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5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5">
        <f>IF(K40=1,IFERROR(MATCH('ORDENES'!$S36,lista_dias,0),9)*1000000000+IFERROR(MATCH('ORDENES'!$AI36,lista_turnos,0),9)*10000000+IFERROR(MATCH('ORDENES'!$AH36,tblTecnicos[nombre],0),99)*100000+33,9000000000000+33)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5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5">
        <f>IF(K41=1,IFERROR(MATCH('ORDENES'!$S37,lista_dias,0),9)*1000000000+IFERROR(MATCH('ORDENES'!$AI37,lista_turnos,0),9)*10000000+IFERROR(MATCH('ORDENES'!$AH37,tblTecnicos[nombre],0),99)*100000+34,9000000000000+34)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5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5">
        <f>IF(K42=1,IFERROR(MATCH('ORDENES'!$S38,lista_dias,0),9)*1000000000+IFERROR(MATCH('ORDENES'!$AI38,lista_turnos,0),9)*10000000+IFERROR(MATCH('ORDENES'!$AH38,tblTecnicos[nombre],0),99)*100000+35,9000000000000+35)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5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5">
        <f>IF(K43=1,IFERROR(MATCH('ORDENES'!$S39,lista_dias,0),9)*1000000000+IFERROR(MATCH('ORDENES'!$AI39,lista_turnos,0),9)*10000000+IFERROR(MATCH('ORDENES'!$AH39,tblTecnicos[nombre],0),99)*100000+36,9000000000000+36)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5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5">
        <f>IF(K44=1,IFERROR(MATCH('ORDENES'!$S40,lista_dias,0),9)*1000000000+IFERROR(MATCH('ORDENES'!$AI40,lista_turnos,0),9)*10000000+IFERROR(MATCH('ORDENES'!$AH40,tblTecnicos[nombre],0),99)*100000+37,9000000000000+37)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5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5">
        <f>IF(K45=1,IFERROR(MATCH('ORDENES'!$S41,lista_dias,0),9)*1000000000+IFERROR(MATCH('ORDENES'!$AI41,lista_turnos,0),9)*10000000+IFERROR(MATCH('ORDENES'!$AH41,tblTecnicos[nombre],0),99)*100000+38,9000000000000+38)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5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5">
        <f>IF(K46=1,IFERROR(MATCH('ORDENES'!$S42,lista_dias,0),9)*1000000000+IFERROR(MATCH('ORDENES'!$AI42,lista_turnos,0),9)*10000000+IFERROR(MATCH('ORDENES'!$AH42,tblTecnicos[nombre],0),99)*100000+39,9000000000000+39)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5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5">
        <f>IF(K47=1,IFERROR(MATCH('ORDENES'!$S43,lista_dias,0),9)*1000000000+IFERROR(MATCH('ORDENES'!$AI43,lista_turnos,0),9)*10000000+IFERROR(MATCH('ORDENES'!$AH43,tblTecnicos[nombre],0),99)*100000+40,9000000000000+40)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5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5">
        <f>IF(K48=1,IFERROR(MATCH('ORDENES'!$S44,lista_dias,0),9)*1000000000+IFERROR(MATCH('ORDENES'!$AI44,lista_turnos,0),9)*10000000+IFERROR(MATCH('ORDENES'!$AH44,tblTecnicos[nombre],0),99)*100000+41,9000000000000+41)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5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5">
        <f>IF(K49=1,IFERROR(MATCH('ORDENES'!$S45,lista_dias,0),9)*1000000000+IFERROR(MATCH('ORDENES'!$AI45,lista_turnos,0),9)*10000000+IFERROR(MATCH('ORDENES'!$AH45,tblTecnicos[nombre],0),99)*100000+42,9000000000000+42)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5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5">
        <f>IF(K50=1,IFERROR(MATCH('ORDENES'!$S46,lista_dias,0),9)*1000000000+IFERROR(MATCH('ORDENES'!$AI46,lista_turnos,0),9)*10000000+IFERROR(MATCH('ORDENES'!$AH46,tblTecnicos[nombre],0),99)*100000+43,9000000000000+43)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5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5">
        <f>IF(K51=1,IFERROR(MATCH('ORDENES'!$S47,lista_dias,0),9)*1000000000+IFERROR(MATCH('ORDENES'!$AI47,lista_turnos,0),9)*10000000+IFERROR(MATCH('ORDENES'!$AH47,tblTecnicos[nombre],0),99)*100000+44,9000000000000+44)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5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5">
        <f>IF(K52=1,IFERROR(MATCH('ORDENES'!$S48,lista_dias,0),9)*1000000000+IFERROR(MATCH('ORDENES'!$AI48,lista_turnos,0),9)*10000000+IFERROR(MATCH('ORDENES'!$AH48,tblTecnicos[nombre],0),99)*100000+45,9000000000000+45)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5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5">
        <f>IF(K53=1,IFERROR(MATCH('ORDENES'!$S49,lista_dias,0),9)*1000000000+IFERROR(MATCH('ORDENES'!$AI49,lista_turnos,0),9)*10000000+IFERROR(MATCH('ORDENES'!$AH49,tblTecnicos[nombre],0),99)*100000+46,9000000000000+46)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5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5">
        <f>IF(K54=1,IFERROR(MATCH('ORDENES'!$S50,lista_dias,0),9)*1000000000+IFERROR(MATCH('ORDENES'!$AI50,lista_turnos,0),9)*10000000+IFERROR(MATCH('ORDENES'!$AH50,tblTecnicos[nombre],0),99)*100000+47,9000000000000+47)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5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5">
        <f>IF(K55=1,IFERROR(MATCH('ORDENES'!$S51,lista_dias,0),9)*1000000000+IFERROR(MATCH('ORDENES'!$AI51,lista_turnos,0),9)*10000000+IFERROR(MATCH('ORDENES'!$AH51,tblTecnicos[nombre],0),99)*100000+48,9000000000000+48)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5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5">
        <f>IF(K56=1,IFERROR(MATCH('ORDENES'!$S52,lista_dias,0),9)*1000000000+IFERROR(MATCH('ORDENES'!$AI52,lista_turnos,0),9)*10000000+IFERROR(MATCH('ORDENES'!$AH52,tblTecnicos[nombre],0),99)*100000+49,9000000000000+49)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5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5">
        <f>IF(K57=1,IFERROR(MATCH('ORDENES'!$S53,lista_dias,0),9)*1000000000+IFERROR(MATCH('ORDENES'!$AI53,lista_turnos,0),9)*10000000+IFERROR(MATCH('ORDENES'!$AH53,tblTecnicos[nombre],0),99)*100000+50,9000000000000+50)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5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5">
        <f>IF(K58=1,IFERROR(MATCH('ORDENES'!$S54,lista_dias,0),9)*1000000000+IFERROR(MATCH('ORDENES'!$AI54,lista_turnos,0),9)*10000000+IFERROR(MATCH('ORDENES'!$AH54,tblTecnicos[nombre],0),99)*100000+51,9000000000000+51)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5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5">
        <f>IF(K59=1,IFERROR(MATCH('ORDENES'!$S55,lista_dias,0),9)*1000000000+IFERROR(MATCH('ORDENES'!$AI55,lista_turnos,0),9)*10000000+IFERROR(MATCH('ORDENES'!$AH55,tblTecnicos[nombre],0),99)*100000+52,9000000000000+52)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5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5">
        <f>IF(K60=1,IFERROR(MATCH('ORDENES'!$S56,lista_dias,0),9)*1000000000+IFERROR(MATCH('ORDENES'!$AI56,lista_turnos,0),9)*10000000+IFERROR(MATCH('ORDENES'!$AH56,tblTecnicos[nombre],0),99)*100000+53,9000000000000+53)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5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5">
        <f>IF(K61=1,IFERROR(MATCH('ORDENES'!$S57,lista_dias,0),9)*1000000000+IFERROR(MATCH('ORDENES'!$AI57,lista_turnos,0),9)*10000000+IFERROR(MATCH('ORDENES'!$AH57,tblTecnicos[nombre],0),99)*100000+54,9000000000000+54)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5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5">
        <f>IF(K62=1,IFERROR(MATCH('ORDENES'!$S58,lista_dias,0),9)*1000000000+IFERROR(MATCH('ORDENES'!$AI58,lista_turnos,0),9)*10000000+IFERROR(MATCH('ORDENES'!$AH58,tblTecnicos[nombre],0),99)*100000+55,9000000000000+55)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5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5">
        <f>IF(K63=1,IFERROR(MATCH('ORDENES'!$S59,lista_dias,0),9)*1000000000+IFERROR(MATCH('ORDENES'!$AI59,lista_turnos,0),9)*10000000+IFERROR(MATCH('ORDENES'!$AH59,tblTecnicos[nombre],0),99)*100000+56,9000000000000+56)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5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5">
        <f>IF(K64=1,IFERROR(MATCH('ORDENES'!$S60,lista_dias,0),9)*1000000000+IFERROR(MATCH('ORDENES'!$AI60,lista_turnos,0),9)*10000000+IFERROR(MATCH('ORDENES'!$AH60,tblTecnicos[nombre],0),99)*100000+57,9000000000000+57)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5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5">
        <f>IF(K65=1,IFERROR(MATCH('ORDENES'!$S61,lista_dias,0),9)*1000000000+IFERROR(MATCH('ORDENES'!$AI61,lista_turnos,0),9)*10000000+IFERROR(MATCH('ORDENES'!$AH61,tblTecnicos[nombre],0),99)*100000+58,9000000000000+58)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5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5">
        <f>IF(K66=1,IFERROR(MATCH('ORDENES'!$S62,lista_dias,0),9)*1000000000+IFERROR(MATCH('ORDENES'!$AI62,lista_turnos,0),9)*10000000+IFERROR(MATCH('ORDENES'!$AH62,tblTecnicos[nombre],0),99)*100000+59,9000000000000+59)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5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5">
        <f>IF(K67=1,IFERROR(MATCH('ORDENES'!$S63,lista_dias,0),9)*1000000000+IFERROR(MATCH('ORDENES'!$AI63,lista_turnos,0),9)*10000000+IFERROR(MATCH('ORDENES'!$AH63,tblTecnicos[nombre],0),99)*100000+60,9000000000000+60)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5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5">
        <f>IF(K68=1,IFERROR(MATCH('ORDENES'!$S64,lista_dias,0),9)*1000000000+IFERROR(MATCH('ORDENES'!$AI64,lista_turnos,0),9)*10000000+IFERROR(MATCH('ORDENES'!$AH64,tblTecnicos[nombre],0),99)*100000+61,9000000000000+61)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5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5">
        <f>IF(K69=1,IFERROR(MATCH('ORDENES'!$S65,lista_dias,0),9)*1000000000+IFERROR(MATCH('ORDENES'!$AI65,lista_turnos,0),9)*10000000+IFERROR(MATCH('ORDENES'!$AH65,tblTecnicos[nombre],0),99)*100000+62,9000000000000+62)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5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5">
        <f>IF(K70=1,IFERROR(MATCH('ORDENES'!$S66,lista_dias,0),9)*1000000000+IFERROR(MATCH('ORDENES'!$AI66,lista_turnos,0),9)*10000000+IFERROR(MATCH('ORDENES'!$AH66,tblTecnicos[nombre],0),99)*100000+63,9000000000000+63)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5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5">
        <f>IF(K71=1,IFERROR(MATCH('ORDENES'!$S67,lista_dias,0),9)*1000000000+IFERROR(MATCH('ORDENES'!$AI67,lista_turnos,0),9)*10000000+IFERROR(MATCH('ORDENES'!$AH67,tblTecnicos[nombre],0),99)*100000+64,9000000000000+64)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5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5">
        <f>IF(K72=1,IFERROR(MATCH('ORDENES'!$S68,lista_dias,0),9)*1000000000+IFERROR(MATCH('ORDENES'!$AI68,lista_turnos,0),9)*10000000+IFERROR(MATCH('ORDENES'!$AH68,tblTecnicos[nombre],0),99)*100000+65,9000000000000+65)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5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5">
        <f>IF(K73=1,IFERROR(MATCH('ORDENES'!$S69,lista_dias,0),9)*1000000000+IFERROR(MATCH('ORDENES'!$AI69,lista_turnos,0),9)*10000000+IFERROR(MATCH('ORDENES'!$AH69,tblTecnicos[nombre],0),99)*100000+66,9000000000000+66)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5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5">
        <f>IF(K74=1,IFERROR(MATCH('ORDENES'!$S70,lista_dias,0),9)*1000000000+IFERROR(MATCH('ORDENES'!$AI70,lista_turnos,0),9)*10000000+IFERROR(MATCH('ORDENES'!$AH70,tblTecnicos[nombre],0),99)*100000+67,9000000000000+67)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5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5">
        <f>IF(K75=1,IFERROR(MATCH('ORDENES'!$S71,lista_dias,0),9)*1000000000+IFERROR(MATCH('ORDENES'!$AI71,lista_turnos,0),9)*10000000+IFERROR(MATCH('ORDENES'!$AH71,tblTecnicos[nombre],0),99)*100000+68,9000000000000+68)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5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5">
        <f>IF(K76=1,IFERROR(MATCH('ORDENES'!$S72,lista_dias,0),9)*1000000000+IFERROR(MATCH('ORDENES'!$AI72,lista_turnos,0),9)*10000000+IFERROR(MATCH('ORDENES'!$AH72,tblTecnicos[nombre],0),99)*100000+69,9000000000000+69)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5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5">
        <f>IF(K77=1,IFERROR(MATCH('ORDENES'!$S73,lista_dias,0),9)*1000000000+IFERROR(MATCH('ORDENES'!$AI73,lista_turnos,0),9)*10000000+IFERROR(MATCH('ORDENES'!$AH73,tblTecnicos[nombre],0),99)*100000+70,9000000000000+70)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5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5">
        <f>IF(K78=1,IFERROR(MATCH('ORDENES'!$S74,lista_dias,0),9)*1000000000+IFERROR(MATCH('ORDENES'!$AI74,lista_turnos,0),9)*10000000+IFERROR(MATCH('ORDENES'!$AH74,tblTecnicos[nombre],0),99)*100000+71,9000000000000+71)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5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5">
        <f>IF(K79=1,IFERROR(MATCH('ORDENES'!$S75,lista_dias,0),9)*1000000000+IFERROR(MATCH('ORDENES'!$AI75,lista_turnos,0),9)*10000000+IFERROR(MATCH('ORDENES'!$AH75,tblTecnicos[nombre],0),99)*100000+72,9000000000000+72)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5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5">
        <f>IF(K80=1,IFERROR(MATCH('ORDENES'!$S76,lista_dias,0),9)*1000000000+IFERROR(MATCH('ORDENES'!$AI76,lista_turnos,0),9)*10000000+IFERROR(MATCH('ORDENES'!$AH76,tblTecnicos[nombre],0),99)*100000+73,9000000000000+73)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5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5">
        <f>IF(K81=1,IFERROR(MATCH('ORDENES'!$S77,lista_dias,0),9)*1000000000+IFERROR(MATCH('ORDENES'!$AI77,lista_turnos,0),9)*10000000+IFERROR(MATCH('ORDENES'!$AH77,tblTecnicos[nombre],0),99)*100000+74,9000000000000+74)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5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5">
        <f>IF(K82=1,IFERROR(MATCH('ORDENES'!$S78,lista_dias,0),9)*1000000000+IFERROR(MATCH('ORDENES'!$AI78,lista_turnos,0),9)*10000000+IFERROR(MATCH('ORDENES'!$AH78,tblTecnicos[nombre],0),99)*100000+75,9000000000000+75)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5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5">
        <f>IF(K83=1,IFERROR(MATCH('ORDENES'!$S79,lista_dias,0),9)*1000000000+IFERROR(MATCH('ORDENES'!$AI79,lista_turnos,0),9)*10000000+IFERROR(MATCH('ORDENES'!$AH79,tblTecnicos[nombre],0),99)*100000+76,9000000000000+76)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5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5">
        <f>IF(K84=1,IFERROR(MATCH('ORDENES'!$S80,lista_dias,0),9)*1000000000+IFERROR(MATCH('ORDENES'!$AI80,lista_turnos,0),9)*10000000+IFERROR(MATCH('ORDENES'!$AH80,tblTecnicos[nombre],0),99)*100000+77,9000000000000+77)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5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5">
        <f>IF(K85=1,IFERROR(MATCH('ORDENES'!$S81,lista_dias,0),9)*1000000000+IFERROR(MATCH('ORDENES'!$AI81,lista_turnos,0),9)*10000000+IFERROR(MATCH('ORDENES'!$AH81,tblTecnicos[nombre],0),99)*100000+78,9000000000000+78)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5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5">
        <f>IF(K86=1,IFERROR(MATCH('ORDENES'!$S82,lista_dias,0),9)*1000000000+IFERROR(MATCH('ORDENES'!$AI82,lista_turnos,0),9)*10000000+IFERROR(MATCH('ORDENES'!$AH82,tblTecnicos[nombre],0),99)*100000+79,9000000000000+79)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5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5">
        <f>IF(K87=1,IFERROR(MATCH('ORDENES'!$S83,lista_dias,0),9)*1000000000+IFERROR(MATCH('ORDENES'!$AI83,lista_turnos,0),9)*10000000+IFERROR(MATCH('ORDENES'!$AH83,tblTecnicos[nombre],0),99)*100000+80,9000000000000+80)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5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5">
        <f>IF(K88=1,IFERROR(MATCH('ORDENES'!$S84,lista_dias,0),9)*1000000000+IFERROR(MATCH('ORDENES'!$AI84,lista_turnos,0),9)*10000000+IFERROR(MATCH('ORDENES'!$AH84,tblTecnicos[nombre],0),99)*100000+81,9000000000000+81)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5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5">
        <f>IF(K89=1,IFERROR(MATCH('ORDENES'!$S85,lista_dias,0),9)*1000000000+IFERROR(MATCH('ORDENES'!$AI85,lista_turnos,0),9)*10000000+IFERROR(MATCH('ORDENES'!$AH85,tblTecnicos[nombre],0),99)*100000+82,9000000000000+82)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5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5">
        <f>IF(K90=1,IFERROR(MATCH('ORDENES'!$S86,lista_dias,0),9)*1000000000+IFERROR(MATCH('ORDENES'!$AI86,lista_turnos,0),9)*10000000+IFERROR(MATCH('ORDENES'!$AH86,tblTecnicos[nombre],0),99)*100000+83,9000000000000+83)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5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5">
        <f>IF(K91=1,IFERROR(MATCH('ORDENES'!$S87,lista_dias,0),9)*1000000000+IFERROR(MATCH('ORDENES'!$AI87,lista_turnos,0),9)*10000000+IFERROR(MATCH('ORDENES'!$AH87,tblTecnicos[nombre],0),99)*100000+84,9000000000000+84)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5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5">
        <f>IF(K92=1,IFERROR(MATCH('ORDENES'!$S88,lista_dias,0),9)*1000000000+IFERROR(MATCH('ORDENES'!$AI88,lista_turnos,0),9)*10000000+IFERROR(MATCH('ORDENES'!$AH88,tblTecnicos[nombre],0),99)*100000+85,9000000000000+85)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5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5">
        <f>IF(K93=1,IFERROR(MATCH('ORDENES'!$S89,lista_dias,0),9)*1000000000+IFERROR(MATCH('ORDENES'!$AI89,lista_turnos,0),9)*10000000+IFERROR(MATCH('ORDENES'!$AH89,tblTecnicos[nombre],0),99)*100000+86,9000000000000+86)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5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5">
        <f>IF(K94=1,IFERROR(MATCH('ORDENES'!$S90,lista_dias,0),9)*1000000000+IFERROR(MATCH('ORDENES'!$AI90,lista_turnos,0),9)*10000000+IFERROR(MATCH('ORDENES'!$AH90,tblTecnicos[nombre],0),99)*100000+87,9000000000000+87)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5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5">
        <f>IF(K95=1,IFERROR(MATCH('ORDENES'!$S91,lista_dias,0),9)*1000000000+IFERROR(MATCH('ORDENES'!$AI91,lista_turnos,0),9)*10000000+IFERROR(MATCH('ORDENES'!$AH91,tblTecnicos[nombre],0),99)*100000+88,9000000000000+88)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5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5">
        <f>IF(K96=1,IFERROR(MATCH('ORDENES'!$S92,lista_dias,0),9)*1000000000+IFERROR(MATCH('ORDENES'!$AI92,lista_turnos,0),9)*10000000+IFERROR(MATCH('ORDENES'!$AH92,tblTecnicos[nombre],0),99)*100000+89,9000000000000+89)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5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5">
        <f>IF(K97=1,IFERROR(MATCH('ORDENES'!$S93,lista_dias,0),9)*1000000000+IFERROR(MATCH('ORDENES'!$AI93,lista_turnos,0),9)*10000000+IFERROR(MATCH('ORDENES'!$AH93,tblTecnicos[nombre],0),99)*100000+90,9000000000000+90)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5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5">
        <f>IF(K98=1,IFERROR(MATCH('ORDENES'!$S94,lista_dias,0),9)*1000000000+IFERROR(MATCH('ORDENES'!$AI94,lista_turnos,0),9)*10000000+IFERROR(MATCH('ORDENES'!$AH94,tblTecnicos[nombre],0),99)*100000+91,9000000000000+91)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5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5">
        <f>IF(K99=1,IFERROR(MATCH('ORDENES'!$S95,lista_dias,0),9)*1000000000+IFERROR(MATCH('ORDENES'!$AI95,lista_turnos,0),9)*10000000+IFERROR(MATCH('ORDENES'!$AH95,tblTecnicos[nombre],0),99)*100000+92,9000000000000+92)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5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5">
        <f>IF(K100=1,IFERROR(MATCH('ORDENES'!$S96,lista_dias,0),9)*1000000000+IFERROR(MATCH('ORDENES'!$AI96,lista_turnos,0),9)*10000000+IFERROR(MATCH('ORDENES'!$AH96,tblTecnicos[nombre],0),99)*100000+93,9000000000000+93)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5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5">
        <f>IF(K101=1,IFERROR(MATCH('ORDENES'!$S97,lista_dias,0),9)*1000000000+IFERROR(MATCH('ORDENES'!$AI97,lista_turnos,0),9)*10000000+IFERROR(MATCH('ORDENES'!$AH97,tblTecnicos[nombre],0),99)*100000+94,9000000000000+94)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5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5">
        <f>IF(K102=1,IFERROR(MATCH('ORDENES'!$S98,lista_dias,0),9)*1000000000+IFERROR(MATCH('ORDENES'!$AI98,lista_turnos,0),9)*10000000+IFERROR(MATCH('ORDENES'!$AH98,tblTecnicos[nombre],0),99)*100000+95,9000000000000+95)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5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5">
        <f>IF(K103=1,IFERROR(MATCH('ORDENES'!$S99,lista_dias,0),9)*1000000000+IFERROR(MATCH('ORDENES'!$AI99,lista_turnos,0),9)*10000000+IFERROR(MATCH('ORDENES'!$AH99,tblTecnicos[nombre],0),99)*100000+96,9000000000000+96)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5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5">
        <f>IF(K104=1,IFERROR(MATCH('ORDENES'!$S100,lista_dias,0),9)*1000000000+IFERROR(MATCH('ORDENES'!$AI100,lista_turnos,0),9)*10000000+IFERROR(MATCH('ORDENES'!$AH100,tblTecnicos[nombre],0),99)*100000+97,9000000000000+97)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5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5">
        <f>IF(K105=1,IFERROR(MATCH('ORDENES'!$S101,lista_dias,0),9)*1000000000+IFERROR(MATCH('ORDENES'!$AI101,lista_turnos,0),9)*10000000+IFERROR(MATCH('ORDENES'!$AH101,tblTecnicos[nombre],0),99)*100000+98,9000000000000+98)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5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5">
        <f>IF(K106=1,IFERROR(MATCH('ORDENES'!$S102,lista_dias,0),9)*1000000000+IFERROR(MATCH('ORDENES'!$AI102,lista_turnos,0),9)*10000000+IFERROR(MATCH('ORDENES'!$AH102,tblTecnicos[nombre],0),99)*100000+99,9000000000000+99)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5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5">
        <f>IF(K107=1,IFERROR(MATCH('ORDENES'!$S103,lista_dias,0),9)*1000000000+IFERROR(MATCH('ORDENES'!$AI103,lista_turnos,0),9)*10000000+IFERROR(MATCH('ORDENES'!$AH103,tblTecnicos[nombre],0),99)*100000+100,9000000000000+100)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5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5">
        <f>IF(K108=1,IFERROR(MATCH('ORDENES'!$S104,lista_dias,0),9)*1000000000+IFERROR(MATCH('ORDENES'!$AI104,lista_turnos,0),9)*10000000+IFERROR(MATCH('ORDENES'!$AH104,tblTecnicos[nombre],0),99)*100000+101,9000000000000+101)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5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5">
        <f>IF(K109=1,IFERROR(MATCH('ORDENES'!$S105,lista_dias,0),9)*1000000000+IFERROR(MATCH('ORDENES'!$AI105,lista_turnos,0),9)*10000000+IFERROR(MATCH('ORDENES'!$AH105,tblTecnicos[nombre],0),99)*100000+102,9000000000000+102)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5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5">
        <f>IF(K110=1,IFERROR(MATCH('ORDENES'!$S106,lista_dias,0),9)*1000000000+IFERROR(MATCH('ORDENES'!$AI106,lista_turnos,0),9)*10000000+IFERROR(MATCH('ORDENES'!$AH106,tblTecnicos[nombre],0),99)*100000+103,9000000000000+103)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5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5">
        <f>IF(K111=1,IFERROR(MATCH('ORDENES'!$S107,lista_dias,0),9)*1000000000+IFERROR(MATCH('ORDENES'!$AI107,lista_turnos,0),9)*10000000+IFERROR(MATCH('ORDENES'!$AH107,tblTecnicos[nombre],0),99)*100000+104,9000000000000+104)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5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5">
        <f>IF(K112=1,IFERROR(MATCH('ORDENES'!$S108,lista_dias,0),9)*1000000000+IFERROR(MATCH('ORDENES'!$AI108,lista_turnos,0),9)*10000000+IFERROR(MATCH('ORDENES'!$AH108,tblTecnicos[nombre],0),99)*100000+105,9000000000000+105)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5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5">
        <f>IF(K113=1,IFERROR(MATCH('ORDENES'!$S109,lista_dias,0),9)*1000000000+IFERROR(MATCH('ORDENES'!$AI109,lista_turnos,0),9)*10000000+IFERROR(MATCH('ORDENES'!$AH109,tblTecnicos[nombre],0),99)*100000+106,9000000000000+106)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5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5">
        <f>IF(K114=1,IFERROR(MATCH('ORDENES'!$S110,lista_dias,0),9)*1000000000+IFERROR(MATCH('ORDENES'!$AI110,lista_turnos,0),9)*10000000+IFERROR(MATCH('ORDENES'!$AH110,tblTecnicos[nombre],0),99)*100000+107,9000000000000+107)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5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5">
        <f>IF(K115=1,IFERROR(MATCH('ORDENES'!$S111,lista_dias,0),9)*1000000000+IFERROR(MATCH('ORDENES'!$AI111,lista_turnos,0),9)*10000000+IFERROR(MATCH('ORDENES'!$AH111,tblTecnicos[nombre],0),99)*100000+108,9000000000000+108)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5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5">
        <f>IF(K116=1,IFERROR(MATCH('ORDENES'!$S112,lista_dias,0),9)*1000000000+IFERROR(MATCH('ORDENES'!$AI112,lista_turnos,0),9)*10000000+IFERROR(MATCH('ORDENES'!$AH112,tblTecnicos[nombre],0),99)*100000+109,9000000000000+109)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5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5">
        <f>IF(K117=1,IFERROR(MATCH('ORDENES'!$S113,lista_dias,0),9)*1000000000+IFERROR(MATCH('ORDENES'!$AI113,lista_turnos,0),9)*10000000+IFERROR(MATCH('ORDENES'!$AH113,tblTecnicos[nombre],0),99)*100000+110,9000000000000+110)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5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5">
        <f>IF(K118=1,IFERROR(MATCH('ORDENES'!$S114,lista_dias,0),9)*1000000000+IFERROR(MATCH('ORDENES'!$AI114,lista_turnos,0),9)*10000000+IFERROR(MATCH('ORDENES'!$AH114,tblTecnicos[nombre],0),99)*100000+111,9000000000000+111)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5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5">
        <f>IF(K119=1,IFERROR(MATCH('ORDENES'!$S115,lista_dias,0),9)*1000000000+IFERROR(MATCH('ORDENES'!$AI115,lista_turnos,0),9)*10000000+IFERROR(MATCH('ORDENES'!$AH115,tblTecnicos[nombre],0),99)*100000+112,9000000000000+112)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5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5">
        <f>IF(K120=1,IFERROR(MATCH('ORDENES'!$S116,lista_dias,0),9)*1000000000+IFERROR(MATCH('ORDENES'!$AI116,lista_turnos,0),9)*10000000+IFERROR(MATCH('ORDENES'!$AH116,tblTecnicos[nombre],0),99)*100000+113,9000000000000+113)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5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5">
        <f>IF(K121=1,IFERROR(MATCH('ORDENES'!$S117,lista_dias,0),9)*1000000000+IFERROR(MATCH('ORDENES'!$AI117,lista_turnos,0),9)*10000000+IFERROR(MATCH('ORDENES'!$AH117,tblTecnicos[nombre],0),99)*100000+114,9000000000000+114)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5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5">
        <f>IF(K122=1,IFERROR(MATCH('ORDENES'!$S118,lista_dias,0),9)*1000000000+IFERROR(MATCH('ORDENES'!$AI118,lista_turnos,0),9)*10000000+IFERROR(MATCH('ORDENES'!$AH118,tblTecnicos[nombre],0),99)*100000+115,9000000000000+115)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5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5">
        <f>IF(K123=1,IFERROR(MATCH('ORDENES'!$S119,lista_dias,0),9)*1000000000+IFERROR(MATCH('ORDENES'!$AI119,lista_turnos,0),9)*10000000+IFERROR(MATCH('ORDENES'!$AH119,tblTecnicos[nombre],0),99)*100000+116,9000000000000+116)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5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5">
        <f>IF(K124=1,IFERROR(MATCH('ORDENES'!$S120,lista_dias,0),9)*1000000000+IFERROR(MATCH('ORDENES'!$AI120,lista_turnos,0),9)*10000000+IFERROR(MATCH('ORDENES'!$AH120,tblTecnicos[nombre],0),99)*100000+117,9000000000000+117)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5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5">
        <f>IF(K125=1,IFERROR(MATCH('ORDENES'!$S121,lista_dias,0),9)*1000000000+IFERROR(MATCH('ORDENES'!$AI121,lista_turnos,0),9)*10000000+IFERROR(MATCH('ORDENES'!$AH121,tblTecnicos[nombre],0),99)*100000+118,9000000000000+118)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5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5">
        <f>IF(K126=1,IFERROR(MATCH('ORDENES'!$S122,lista_dias,0),9)*1000000000+IFERROR(MATCH('ORDENES'!$AI122,lista_turnos,0),9)*10000000+IFERROR(MATCH('ORDENES'!$AH122,tblTecnicos[nombre],0),99)*100000+119,9000000000000+119)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5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5">
        <f>IF(K127=1,IFERROR(MATCH('ORDENES'!$S123,lista_dias,0),9)*1000000000+IFERROR(MATCH('ORDENES'!$AI123,lista_turnos,0),9)*10000000+IFERROR(MATCH('ORDENES'!$AH123,tblTecnicos[nombre],0),99)*100000+120,9000000000000+120)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5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5">
        <f>IF(K128=1,IFERROR(MATCH('ORDENES'!$S124,lista_dias,0),9)*1000000000+IFERROR(MATCH('ORDENES'!$AI124,lista_turnos,0),9)*10000000+IFERROR(MATCH('ORDENES'!$AH124,tblTecnicos[nombre],0),99)*100000+121,9000000000000+121)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5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5">
        <f>IF(K129=1,IFERROR(MATCH('ORDENES'!$S125,lista_dias,0),9)*1000000000+IFERROR(MATCH('ORDENES'!$AI125,lista_turnos,0),9)*10000000+IFERROR(MATCH('ORDENES'!$AH125,tblTecnicos[nombre],0),99)*100000+122,9000000000000+122)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5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5">
        <f>IF(K130=1,IFERROR(MATCH('ORDENES'!$S126,lista_dias,0),9)*1000000000+IFERROR(MATCH('ORDENES'!$AI126,lista_turnos,0),9)*10000000+IFERROR(MATCH('ORDENES'!$AH126,tblTecnicos[nombre],0),99)*100000+123,9000000000000+123)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5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5">
        <f>IF(K131=1,IFERROR(MATCH('ORDENES'!$S127,lista_dias,0),9)*1000000000+IFERROR(MATCH('ORDENES'!$AI127,lista_turnos,0),9)*10000000+IFERROR(MATCH('ORDENES'!$AH127,tblTecnicos[nombre],0),99)*100000+124,9000000000000+124)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5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5">
        <f>IF(K132=1,IFERROR(MATCH('ORDENES'!$S128,lista_dias,0),9)*1000000000+IFERROR(MATCH('ORDENES'!$AI128,lista_turnos,0),9)*10000000+IFERROR(MATCH('ORDENES'!$AH128,tblTecnicos[nombre],0),99)*100000+125,9000000000000+125)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5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5">
        <f>IF(K133=1,IFERROR(MATCH('ORDENES'!$S129,lista_dias,0),9)*1000000000+IFERROR(MATCH('ORDENES'!$AI129,lista_turnos,0),9)*10000000+IFERROR(MATCH('ORDENES'!$AH129,tblTecnicos[nombre],0),99)*100000+126,9000000000000+126)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5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5">
        <f>IF(K134=1,IFERROR(MATCH('ORDENES'!$S130,lista_dias,0),9)*1000000000+IFERROR(MATCH('ORDENES'!$AI130,lista_turnos,0),9)*10000000+IFERROR(MATCH('ORDENES'!$AH130,tblTecnicos[nombre],0),99)*100000+127,9000000000000+127)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5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5">
        <f>IF(K135=1,IFERROR(MATCH('ORDENES'!$S131,lista_dias,0),9)*1000000000+IFERROR(MATCH('ORDENES'!$AI131,lista_turnos,0),9)*10000000+IFERROR(MATCH('ORDENES'!$AH131,tblTecnicos[nombre],0),99)*100000+128,9000000000000+128)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5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5">
        <f>IF(K136=1,IFERROR(MATCH('ORDENES'!$S132,lista_dias,0),9)*1000000000+IFERROR(MATCH('ORDENES'!$AI132,lista_turnos,0),9)*10000000+IFERROR(MATCH('ORDENES'!$AH132,tblTecnicos[nombre],0),99)*100000+129,9000000000000+129)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5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5">
        <f>IF(K137=1,IFERROR(MATCH('ORDENES'!$S133,lista_dias,0),9)*1000000000+IFERROR(MATCH('ORDENES'!$AI133,lista_turnos,0),9)*10000000+IFERROR(MATCH('ORDENES'!$AH133,tblTecnicos[nombre],0),99)*100000+130,9000000000000+130)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5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5">
        <f>IF(K138=1,IFERROR(MATCH('ORDENES'!$S134,lista_dias,0),9)*1000000000+IFERROR(MATCH('ORDENES'!$AI134,lista_turnos,0),9)*10000000+IFERROR(MATCH('ORDENES'!$AH134,tblTecnicos[nombre],0),99)*100000+131,9000000000000+131)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5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5">
        <f>IF(K139=1,IFERROR(MATCH('ORDENES'!$S135,lista_dias,0),9)*1000000000+IFERROR(MATCH('ORDENES'!$AI135,lista_turnos,0),9)*10000000+IFERROR(MATCH('ORDENES'!$AH135,tblTecnicos[nombre],0),99)*100000+132,9000000000000+132)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5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5">
        <f>IF(K140=1,IFERROR(MATCH('ORDENES'!$S136,lista_dias,0),9)*1000000000+IFERROR(MATCH('ORDENES'!$AI136,lista_turnos,0),9)*10000000+IFERROR(MATCH('ORDENES'!$AH136,tblTecnicos[nombre],0),99)*100000+133,9000000000000+133)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5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5">
        <f>IF(K141=1,IFERROR(MATCH('ORDENES'!$S137,lista_dias,0),9)*1000000000+IFERROR(MATCH('ORDENES'!$AI137,lista_turnos,0),9)*10000000+IFERROR(MATCH('ORDENES'!$AH137,tblTecnicos[nombre],0),99)*100000+134,9000000000000+134)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5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5">
        <f>IF(K142=1,IFERROR(MATCH('ORDENES'!$S138,lista_dias,0),9)*1000000000+IFERROR(MATCH('ORDENES'!$AI138,lista_turnos,0),9)*10000000+IFERROR(MATCH('ORDENES'!$AH138,tblTecnicos[nombre],0),99)*100000+135,9000000000000+135)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5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5">
        <f>IF(K143=1,IFERROR(MATCH('ORDENES'!$S139,lista_dias,0),9)*1000000000+IFERROR(MATCH('ORDENES'!$AI139,lista_turnos,0),9)*10000000+IFERROR(MATCH('ORDENES'!$AH139,tblTecnicos[nombre],0),99)*100000+136,9000000000000+136)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5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5">
        <f>IF(K144=1,IFERROR(MATCH('ORDENES'!$S140,lista_dias,0),9)*1000000000+IFERROR(MATCH('ORDENES'!$AI140,lista_turnos,0),9)*10000000+IFERROR(MATCH('ORDENES'!$AH140,tblTecnicos[nombre],0),99)*100000+137,9000000000000+137)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5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5">
        <f>IF(K145=1,IFERROR(MATCH('ORDENES'!$S141,lista_dias,0),9)*1000000000+IFERROR(MATCH('ORDENES'!$AI141,lista_turnos,0),9)*10000000+IFERROR(MATCH('ORDENES'!$AH141,tblTecnicos[nombre],0),99)*100000+138,9000000000000+138)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5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5">
        <f>IF(K146=1,IFERROR(MATCH('ORDENES'!$S142,lista_dias,0),9)*1000000000+IFERROR(MATCH('ORDENES'!$AI142,lista_turnos,0),9)*10000000+IFERROR(MATCH('ORDENES'!$AH142,tblTecnicos[nombre],0),99)*100000+139,9000000000000+139)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5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5">
        <f>IF(K147=1,IFERROR(MATCH('ORDENES'!$S143,lista_dias,0),9)*1000000000+IFERROR(MATCH('ORDENES'!$AI143,lista_turnos,0),9)*10000000+IFERROR(MATCH('ORDENES'!$AH143,tblTecnicos[nombre],0),99)*100000+140,9000000000000+140)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5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5">
        <f>IF(K148=1,IFERROR(MATCH('ORDENES'!$S144,lista_dias,0),9)*1000000000+IFERROR(MATCH('ORDENES'!$AI144,lista_turnos,0),9)*10000000+IFERROR(MATCH('ORDENES'!$AH144,tblTecnicos[nombre],0),99)*100000+141,9000000000000+141)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5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5">
        <f>IF(K149=1,IFERROR(MATCH('ORDENES'!$S145,lista_dias,0),9)*1000000000+IFERROR(MATCH('ORDENES'!$AI145,lista_turnos,0),9)*10000000+IFERROR(MATCH('ORDENES'!$AH145,tblTecnicos[nombre],0),99)*100000+142,9000000000000+142)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5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5">
        <f>IF(K150=1,IFERROR(MATCH('ORDENES'!$S146,lista_dias,0),9)*1000000000+IFERROR(MATCH('ORDENES'!$AI146,lista_turnos,0),9)*10000000+IFERROR(MATCH('ORDENES'!$AH146,tblTecnicos[nombre],0),99)*100000+143,9000000000000+143)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5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5">
        <f>IF(K151=1,IFERROR(MATCH('ORDENES'!$S147,lista_dias,0),9)*1000000000+IFERROR(MATCH('ORDENES'!$AI147,lista_turnos,0),9)*10000000+IFERROR(MATCH('ORDENES'!$AH147,tblTecnicos[nombre],0),99)*100000+144,9000000000000+144)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5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5">
        <f>IF(K152=1,IFERROR(MATCH('ORDENES'!$S148,lista_dias,0),9)*1000000000+IFERROR(MATCH('ORDENES'!$AI148,lista_turnos,0),9)*10000000+IFERROR(MATCH('ORDENES'!$AH148,tblTecnicos[nombre],0),99)*100000+145,9000000000000+145)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5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5">
        <f>IF(K153=1,IFERROR(MATCH('ORDENES'!$S149,lista_dias,0),9)*1000000000+IFERROR(MATCH('ORDENES'!$AI149,lista_turnos,0),9)*10000000+IFERROR(MATCH('ORDENES'!$AH149,tblTecnicos[nombre],0),99)*100000+146,9000000000000+146)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5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5">
        <f>IF(K154=1,IFERROR(MATCH('ORDENES'!$S150,lista_dias,0),9)*1000000000+IFERROR(MATCH('ORDENES'!$AI150,lista_turnos,0),9)*10000000+IFERROR(MATCH('ORDENES'!$AH150,tblTecnicos[nombre],0),99)*100000+147,9000000000000+147)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5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5">
        <f>IF(K155=1,IFERROR(MATCH('ORDENES'!$S151,lista_dias,0),9)*1000000000+IFERROR(MATCH('ORDENES'!$AI151,lista_turnos,0),9)*10000000+IFERROR(MATCH('ORDENES'!$AH151,tblTecnicos[nombre],0),99)*100000+148,9000000000000+148)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5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5">
        <f>IF(K156=1,IFERROR(MATCH('ORDENES'!$S152,lista_dias,0),9)*1000000000+IFERROR(MATCH('ORDENES'!$AI152,lista_turnos,0),9)*10000000+IFERROR(MATCH('ORDENES'!$AH152,tblTecnicos[nombre],0),99)*100000+149,9000000000000+149)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5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5">
        <f>IF(K157=1,IFERROR(MATCH('ORDENES'!$S153,lista_dias,0),9)*1000000000+IFERROR(MATCH('ORDENES'!$AI153,lista_turnos,0),9)*10000000+IFERROR(MATCH('ORDENES'!$AH153,tblTecnicos[nombre],0),99)*100000+150,9000000000000+150)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5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5">
        <f>IF(K158=1,IFERROR(MATCH('ORDENES'!$S154,lista_dias,0),9)*1000000000+IFERROR(MATCH('ORDENES'!$AI154,lista_turnos,0),9)*10000000+IFERROR(MATCH('ORDENES'!$AH154,tblTecnicos[nombre],0),99)*100000+151,9000000000000+151)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5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5">
        <f>IF(K159=1,IFERROR(MATCH('ORDENES'!$S155,lista_dias,0),9)*1000000000+IFERROR(MATCH('ORDENES'!$AI155,lista_turnos,0),9)*10000000+IFERROR(MATCH('ORDENES'!$AH155,tblTecnicos[nombre],0),99)*100000+152,9000000000000+152)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5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5">
        <f>IF(K160=1,IFERROR(MATCH('ORDENES'!$S156,lista_dias,0),9)*1000000000+IFERROR(MATCH('ORDENES'!$AI156,lista_turnos,0),9)*10000000+IFERROR(MATCH('ORDENES'!$AH156,tblTecnicos[nombre],0),99)*100000+153,9000000000000+153)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5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5">
        <f>IF(K161=1,IFERROR(MATCH('ORDENES'!$S157,lista_dias,0),9)*1000000000+IFERROR(MATCH('ORDENES'!$AI157,lista_turnos,0),9)*10000000+IFERROR(MATCH('ORDENES'!$AH157,tblTecnicos[nombre],0),99)*100000+154,9000000000000+154)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5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5">
        <f>IF(K162=1,IFERROR(MATCH('ORDENES'!$S158,lista_dias,0),9)*1000000000+IFERROR(MATCH('ORDENES'!$AI158,lista_turnos,0),9)*10000000+IFERROR(MATCH('ORDENES'!$AH158,tblTecnicos[nombre],0),99)*100000+155,9000000000000+155)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5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5">
        <f>IF(K163=1,IFERROR(MATCH('ORDENES'!$S159,lista_dias,0),9)*1000000000+IFERROR(MATCH('ORDENES'!$AI159,lista_turnos,0),9)*10000000+IFERROR(MATCH('ORDENES'!$AH159,tblTecnicos[nombre],0),99)*100000+156,9000000000000+156)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5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5">
        <f>IF(K164=1,IFERROR(MATCH('ORDENES'!$S160,lista_dias,0),9)*1000000000+IFERROR(MATCH('ORDENES'!$AI160,lista_turnos,0),9)*10000000+IFERROR(MATCH('ORDENES'!$AH160,tblTecnicos[nombre],0),99)*100000+157,9000000000000+157)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5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5">
        <f>IF(K165=1,IFERROR(MATCH('ORDENES'!$S161,lista_dias,0),9)*1000000000+IFERROR(MATCH('ORDENES'!$AI161,lista_turnos,0),9)*10000000+IFERROR(MATCH('ORDENES'!$AH161,tblTecnicos[nombre],0),99)*100000+158,9000000000000+158)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5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5">
        <f>IF(K166=1,IFERROR(MATCH('ORDENES'!$S162,lista_dias,0),9)*1000000000+IFERROR(MATCH('ORDENES'!$AI162,lista_turnos,0),9)*10000000+IFERROR(MATCH('ORDENES'!$AH162,tblTecnicos[nombre],0),99)*100000+159,9000000000000+159)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5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5">
        <f>IF(K167=1,IFERROR(MATCH('ORDENES'!$S163,lista_dias,0),9)*1000000000+IFERROR(MATCH('ORDENES'!$AI163,lista_turnos,0),9)*10000000+IFERROR(MATCH('ORDENES'!$AH163,tblTecnicos[nombre],0),99)*100000+160,9000000000000+160)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5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5">
        <f>IF(K168=1,IFERROR(MATCH('ORDENES'!$S164,lista_dias,0),9)*1000000000+IFERROR(MATCH('ORDENES'!$AI164,lista_turnos,0),9)*10000000+IFERROR(MATCH('ORDENES'!$AH164,tblTecnicos[nombre],0),99)*100000+161,9000000000000+161)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5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5">
        <f>IF(K169=1,IFERROR(MATCH('ORDENES'!$S165,lista_dias,0),9)*1000000000+IFERROR(MATCH('ORDENES'!$AI165,lista_turnos,0),9)*10000000+IFERROR(MATCH('ORDENES'!$AH165,tblTecnicos[nombre],0),99)*100000+162,9000000000000+162)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5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5">
        <f>IF(K170=1,IFERROR(MATCH('ORDENES'!$S166,lista_dias,0),9)*1000000000+IFERROR(MATCH('ORDENES'!$AI166,lista_turnos,0),9)*10000000+IFERROR(MATCH('ORDENES'!$AH166,tblTecnicos[nombre],0),99)*100000+163,9000000000000+163)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5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5">
        <f>IF(K171=1,IFERROR(MATCH('ORDENES'!$S167,lista_dias,0),9)*1000000000+IFERROR(MATCH('ORDENES'!$AI167,lista_turnos,0),9)*10000000+IFERROR(MATCH('ORDENES'!$AH167,tblTecnicos[nombre],0),99)*100000+164,9000000000000+164)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5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5">
        <f>IF(K172=1,IFERROR(MATCH('ORDENES'!$S168,lista_dias,0),9)*1000000000+IFERROR(MATCH('ORDENES'!$AI168,lista_turnos,0),9)*10000000+IFERROR(MATCH('ORDENES'!$AH168,tblTecnicos[nombre],0),99)*100000+165,9000000000000+165)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5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5">
        <f>IF(K173=1,IFERROR(MATCH('ORDENES'!$S169,lista_dias,0),9)*1000000000+IFERROR(MATCH('ORDENES'!$AI169,lista_turnos,0),9)*10000000+IFERROR(MATCH('ORDENES'!$AH169,tblTecnicos[nombre],0),99)*100000+166,9000000000000+166)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5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5">
        <f>IF(K174=1,IFERROR(MATCH('ORDENES'!$S170,lista_dias,0),9)*1000000000+IFERROR(MATCH('ORDENES'!$AI170,lista_turnos,0),9)*10000000+IFERROR(MATCH('ORDENES'!$AH170,tblTecnicos[nombre],0),99)*100000+167,9000000000000+167)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5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5">
        <f>IF(K175=1,IFERROR(MATCH('ORDENES'!$S171,lista_dias,0),9)*1000000000+IFERROR(MATCH('ORDENES'!$AI171,lista_turnos,0),9)*10000000+IFERROR(MATCH('ORDENES'!$AH171,tblTecnicos[nombre],0),99)*100000+168,9000000000000+168)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5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5">
        <f>IF(K176=1,IFERROR(MATCH('ORDENES'!$S172,lista_dias,0),9)*1000000000+IFERROR(MATCH('ORDENES'!$AI172,lista_turnos,0),9)*10000000+IFERROR(MATCH('ORDENES'!$AH172,tblTecnicos[nombre],0),99)*100000+169,9000000000000+169)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5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5">
        <f>IF(K177=1,IFERROR(MATCH('ORDENES'!$S173,lista_dias,0),9)*1000000000+IFERROR(MATCH('ORDENES'!$AI173,lista_turnos,0),9)*10000000+IFERROR(MATCH('ORDENES'!$AH173,tblTecnicos[nombre],0),99)*100000+170,9000000000000+170)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5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5">
        <f>IF(K178=1,IFERROR(MATCH('ORDENES'!$S174,lista_dias,0),9)*1000000000+IFERROR(MATCH('ORDENES'!$AI174,lista_turnos,0),9)*10000000+IFERROR(MATCH('ORDENES'!$AH174,tblTecnicos[nombre],0),99)*100000+171,9000000000000+171)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5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5">
        <f>IF(K179=1,IFERROR(MATCH('ORDENES'!$S175,lista_dias,0),9)*1000000000+IFERROR(MATCH('ORDENES'!$AI175,lista_turnos,0),9)*10000000+IFERROR(MATCH('ORDENES'!$AH175,tblTecnicos[nombre],0),99)*100000+172,9000000000000+172)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5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5">
        <f>IF(K180=1,IFERROR(MATCH('ORDENES'!$S176,lista_dias,0),9)*1000000000+IFERROR(MATCH('ORDENES'!$AI176,lista_turnos,0),9)*10000000+IFERROR(MATCH('ORDENES'!$AH176,tblTecnicos[nombre],0),99)*100000+173,9000000000000+173)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5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5">
        <f>IF(K181=1,IFERROR(MATCH('ORDENES'!$S177,lista_dias,0),9)*1000000000+IFERROR(MATCH('ORDENES'!$AI177,lista_turnos,0),9)*10000000+IFERROR(MATCH('ORDENES'!$AH177,tblTecnicos[nombre],0),99)*100000+174,9000000000000+174)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5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5">
        <f>IF(K182=1,IFERROR(MATCH('ORDENES'!$S178,lista_dias,0),9)*1000000000+IFERROR(MATCH('ORDENES'!$AI178,lista_turnos,0),9)*10000000+IFERROR(MATCH('ORDENES'!$AH178,tblTecnicos[nombre],0),99)*100000+175,9000000000000+175)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5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5">
        <f>IF(K183=1,IFERROR(MATCH('ORDENES'!$S179,lista_dias,0),9)*1000000000+IFERROR(MATCH('ORDENES'!$AI179,lista_turnos,0),9)*10000000+IFERROR(MATCH('ORDENES'!$AH179,tblTecnicos[nombre],0),99)*100000+176,9000000000000+176)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5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5">
        <f>IF(K184=1,IFERROR(MATCH('ORDENES'!$S180,lista_dias,0),9)*1000000000+IFERROR(MATCH('ORDENES'!$AI180,lista_turnos,0),9)*10000000+IFERROR(MATCH('ORDENES'!$AH180,tblTecnicos[nombre],0),99)*100000+177,9000000000000+177)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5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5">
        <f>IF(K185=1,IFERROR(MATCH('ORDENES'!$S181,lista_dias,0),9)*1000000000+IFERROR(MATCH('ORDENES'!$AI181,lista_turnos,0),9)*10000000+IFERROR(MATCH('ORDENES'!$AH181,tblTecnicos[nombre],0),99)*100000+178,9000000000000+178)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5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5">
        <f>IF(K186=1,IFERROR(MATCH('ORDENES'!$S182,lista_dias,0),9)*1000000000+IFERROR(MATCH('ORDENES'!$AI182,lista_turnos,0),9)*10000000+IFERROR(MATCH('ORDENES'!$AH182,tblTecnicos[nombre],0),99)*100000+179,9000000000000+179)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5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5">
        <f>IF(K187=1,IFERROR(MATCH('ORDENES'!$S183,lista_dias,0),9)*1000000000+IFERROR(MATCH('ORDENES'!$AI183,lista_turnos,0),9)*10000000+IFERROR(MATCH('ORDENES'!$AH183,tblTecnicos[nombre],0),99)*100000+180,9000000000000+180)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5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5">
        <f>IF(K188=1,IFERROR(MATCH('ORDENES'!$S184,lista_dias,0),9)*1000000000+IFERROR(MATCH('ORDENES'!$AI184,lista_turnos,0),9)*10000000+IFERROR(MATCH('ORDENES'!$AH184,tblTecnicos[nombre],0),99)*100000+181,9000000000000+181)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5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5">
        <f>IF(K189=1,IFERROR(MATCH('ORDENES'!$S185,lista_dias,0),9)*1000000000+IFERROR(MATCH('ORDENES'!$AI185,lista_turnos,0),9)*10000000+IFERROR(MATCH('ORDENES'!$AH185,tblTecnicos[nombre],0),99)*100000+182,9000000000000+182)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5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5">
        <f>IF(K190=1,IFERROR(MATCH('ORDENES'!$S186,lista_dias,0),9)*1000000000+IFERROR(MATCH('ORDENES'!$AI186,lista_turnos,0),9)*10000000+IFERROR(MATCH('ORDENES'!$AH186,tblTecnicos[nombre],0),99)*100000+183,9000000000000+183)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5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5">
        <f>IF(K191=1,IFERROR(MATCH('ORDENES'!$S187,lista_dias,0),9)*1000000000+IFERROR(MATCH('ORDENES'!$AI187,lista_turnos,0),9)*10000000+IFERROR(MATCH('ORDENES'!$AH187,tblTecnicos[nombre],0),99)*100000+184,9000000000000+184)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5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5">
        <f>IF(K192=1,IFERROR(MATCH('ORDENES'!$S188,lista_dias,0),9)*1000000000+IFERROR(MATCH('ORDENES'!$AI188,lista_turnos,0),9)*10000000+IFERROR(MATCH('ORDENES'!$AH188,tblTecnicos[nombre],0),99)*100000+185,9000000000000+185)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5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5">
        <f>IF(K193=1,IFERROR(MATCH('ORDENES'!$S189,lista_dias,0),9)*1000000000+IFERROR(MATCH('ORDENES'!$AI189,lista_turnos,0),9)*10000000+IFERROR(MATCH('ORDENES'!$AH189,tblTecnicos[nombre],0),99)*100000+186,9000000000000+186)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5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5">
        <f>IF(K194=1,IFERROR(MATCH('ORDENES'!$S190,lista_dias,0),9)*1000000000+IFERROR(MATCH('ORDENES'!$AI190,lista_turnos,0),9)*10000000+IFERROR(MATCH('ORDENES'!$AH190,tblTecnicos[nombre],0),99)*100000+187,9000000000000+187)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5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5">
        <f>IF(K195=1,IFERROR(MATCH('ORDENES'!$S191,lista_dias,0),9)*1000000000+IFERROR(MATCH('ORDENES'!$AI191,lista_turnos,0),9)*10000000+IFERROR(MATCH('ORDENES'!$AH191,tblTecnicos[nombre],0),99)*100000+188,9000000000000+188)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5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5">
        <f>IF(K196=1,IFERROR(MATCH('ORDENES'!$S192,lista_dias,0),9)*1000000000+IFERROR(MATCH('ORDENES'!$AI192,lista_turnos,0),9)*10000000+IFERROR(MATCH('ORDENES'!$AH192,tblTecnicos[nombre],0),99)*100000+189,9000000000000+189)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5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5">
        <f>IF(K197=1,IFERROR(MATCH('ORDENES'!$S193,lista_dias,0),9)*1000000000+IFERROR(MATCH('ORDENES'!$AI193,lista_turnos,0),9)*10000000+IFERROR(MATCH('ORDENES'!$AH193,tblTecnicos[nombre],0),99)*100000+190,9000000000000+190)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5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5">
        <f>IF(K198=1,IFERROR(MATCH('ORDENES'!$S194,lista_dias,0),9)*1000000000+IFERROR(MATCH('ORDENES'!$AI194,lista_turnos,0),9)*10000000+IFERROR(MATCH('ORDENES'!$AH194,tblTecnicos[nombre],0),99)*100000+191,9000000000000+191)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5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5">
        <f>IF(K199=1,IFERROR(MATCH('ORDENES'!$S195,lista_dias,0),9)*1000000000+IFERROR(MATCH('ORDENES'!$AI195,lista_turnos,0),9)*10000000+IFERROR(MATCH('ORDENES'!$AH195,tblTecnicos[nombre],0),99)*100000+192,9000000000000+192)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5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5">
        <f>IF(K200=1,IFERROR(MATCH('ORDENES'!$S196,lista_dias,0),9)*1000000000+IFERROR(MATCH('ORDENES'!$AI196,lista_turnos,0),9)*10000000+IFERROR(MATCH('ORDENES'!$AH196,tblTecnicos[nombre],0),99)*100000+193,9000000000000+193)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5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5">
        <f>IF(K201=1,IFERROR(MATCH('ORDENES'!$S197,lista_dias,0),9)*1000000000+IFERROR(MATCH('ORDENES'!$AI197,lista_turnos,0),9)*10000000+IFERROR(MATCH('ORDENES'!$AH197,tblTecnicos[nombre],0),99)*100000+194,9000000000000+194)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5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5">
        <f>IF(K202=1,IFERROR(MATCH('ORDENES'!$S198,lista_dias,0),9)*1000000000+IFERROR(MATCH('ORDENES'!$AI198,lista_turnos,0),9)*10000000+IFERROR(MATCH('ORDENES'!$AH198,tblTecnicos[nombre],0),99)*100000+195,9000000000000+195)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5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5">
        <f>IF(K203=1,IFERROR(MATCH('ORDENES'!$S199,lista_dias,0),9)*1000000000+IFERROR(MATCH('ORDENES'!$AI199,lista_turnos,0),9)*10000000+IFERROR(MATCH('ORDENES'!$AH199,tblTecnicos[nombre],0),99)*100000+196,9000000000000+196)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5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5">
        <f>IF(K204=1,IFERROR(MATCH('ORDENES'!$S200,lista_dias,0),9)*1000000000+IFERROR(MATCH('ORDENES'!$AI200,lista_turnos,0),9)*10000000+IFERROR(MATCH('ORDENES'!$AH200,tblTecnicos[nombre],0),99)*100000+197,9000000000000+197)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5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5">
        <f>IF(K205=1,IFERROR(MATCH('ORDENES'!$S201,lista_dias,0),9)*1000000000+IFERROR(MATCH('ORDENES'!$AI201,lista_turnos,0),9)*10000000+IFERROR(MATCH('ORDENES'!$AH201,tblTecnicos[nombre],0),99)*100000+198,9000000000000+198)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5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5">
        <f>IF(K206=1,IFERROR(MATCH('ORDENES'!$S202,lista_dias,0),9)*1000000000+IFERROR(MATCH('ORDENES'!$AI202,lista_turnos,0),9)*10000000+IFERROR(MATCH('ORDENES'!$AH202,tblTecnicos[nombre],0),99)*100000+199,9000000000000+199)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5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5">
        <f>IF(K207=1,IFERROR(MATCH('ORDENES'!$S203,lista_dias,0),9)*1000000000+IFERROR(MATCH('ORDENES'!$AI203,lista_turnos,0),9)*10000000+IFERROR(MATCH('ORDENES'!$AH203,tblTecnicos[nombre],0),99)*100000+200,9000000000000+200)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5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5">
        <f>IF(K208=1,IFERROR(MATCH('ORDENES'!$S204,lista_dias,0),9)*1000000000+IFERROR(MATCH('ORDENES'!$AI204,lista_turnos,0),9)*10000000+IFERROR(MATCH('ORDENES'!$AH204,tblTecnicos[nombre],0),99)*100000+201,9000000000000+201)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5">
        <f>IF(K208=1,'ORDENES'!$J204,"")</f>
        <v/>
      </c>
    </row>
    <row r="209">
      <c r="K209" s="5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5">
        <f>IF(K209=1,IFERROR(MATCH('ORDENES'!$S205,lista_dias,0),9)*1000000000+IFERROR(MATCH('ORDENES'!$AI205,lista_turnos,0),9)*10000000+IFERROR(MATCH('ORDENES'!$AH205,tblTecnicos[nombre],0),99)*100000+202,9000000000000+202)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5">
        <f>IF(K209=1,'ORDENES'!$J205,"")</f>
        <v/>
      </c>
    </row>
    <row r="210">
      <c r="K210" s="5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5">
        <f>IF(K210=1,IFERROR(MATCH('ORDENES'!$S206,lista_dias,0),9)*1000000000+IFERROR(MATCH('ORDENES'!$AI206,lista_turnos,0),9)*10000000+IFERROR(MATCH('ORDENES'!$AH206,tblTecnicos[nombre],0),99)*100000+203,9000000000000+203)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5">
        <f>IF(K210=1,'ORDENES'!$J206,"")</f>
        <v/>
      </c>
    </row>
    <row r="211">
      <c r="K211" s="5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5">
        <f>IF(K211=1,IFERROR(MATCH('ORDENES'!$S207,lista_dias,0),9)*1000000000+IFERROR(MATCH('ORDENES'!$AI207,lista_turnos,0),9)*10000000+IFERROR(MATCH('ORDENES'!$AH207,tblTecnicos[nombre],0),99)*100000+204,9000000000000+204)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5">
        <f>IF(K211=1,'ORDENES'!$J207,"")</f>
        <v/>
      </c>
    </row>
    <row r="212">
      <c r="K212" s="5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5">
        <f>IF(K212=1,IFERROR(MATCH('ORDENES'!$S208,lista_dias,0),9)*1000000000+IFERROR(MATCH('ORDENES'!$AI208,lista_turnos,0),9)*10000000+IFERROR(MATCH('ORDENES'!$AH208,tblTecnicos[nombre],0),99)*100000+205,9000000000000+205)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5">
        <f>IF(K212=1,'ORDENES'!$J208,"")</f>
        <v/>
      </c>
    </row>
    <row r="213">
      <c r="K213" s="5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5">
        <f>IF(K213=1,IFERROR(MATCH('ORDENES'!$S209,lista_dias,0),9)*1000000000+IFERROR(MATCH('ORDENES'!$AI209,lista_turnos,0),9)*10000000+IFERROR(MATCH('ORDENES'!$AH209,tblTecnicos[nombre],0),99)*100000+206,9000000000000+206)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5">
        <f>IF(K213=1,'ORDENES'!$J209,"")</f>
        <v/>
      </c>
    </row>
    <row r="214">
      <c r="K214" s="5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5">
        <f>IF(K214=1,IFERROR(MATCH('ORDENES'!$S210,lista_dias,0),9)*1000000000+IFERROR(MATCH('ORDENES'!$AI210,lista_turnos,0),9)*10000000+IFERROR(MATCH('ORDENES'!$AH210,tblTecnicos[nombre],0),99)*100000+207,9000000000000+207)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5">
        <f>IF(K214=1,'ORDENES'!$J210,"")</f>
        <v/>
      </c>
    </row>
    <row r="215">
      <c r="K215" s="5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5">
        <f>IF(K215=1,IFERROR(MATCH('ORDENES'!$S211,lista_dias,0),9)*1000000000+IFERROR(MATCH('ORDENES'!$AI211,lista_turnos,0),9)*10000000+IFERROR(MATCH('ORDENES'!$AH211,tblTecnicos[nombre],0),99)*100000+208,9000000000000+208)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5">
        <f>IF(K215=1,'ORDENES'!$J211,"")</f>
        <v/>
      </c>
    </row>
    <row r="216">
      <c r="K216" s="5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5">
        <f>IF(K216=1,IFERROR(MATCH('ORDENES'!$S212,lista_dias,0),9)*1000000000+IFERROR(MATCH('ORDENES'!$AI212,lista_turnos,0),9)*10000000+IFERROR(MATCH('ORDENES'!$AH212,tblTecnicos[nombre],0),99)*100000+209,9000000000000+209)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5">
        <f>IF(K216=1,'ORDENES'!$J212,"")</f>
        <v/>
      </c>
    </row>
    <row r="217">
      <c r="K217" s="5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5">
        <f>IF(K217=1,IFERROR(MATCH('ORDENES'!$S213,lista_dias,0),9)*1000000000+IFERROR(MATCH('ORDENES'!$AI213,lista_turnos,0),9)*10000000+IFERROR(MATCH('ORDENES'!$AH213,tblTecnicos[nombre],0),99)*100000+210,9000000000000+210)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5">
        <f>IF(K217=1,'ORDENES'!$J213,"")</f>
        <v/>
      </c>
    </row>
    <row r="218">
      <c r="K218" s="5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5">
        <f>IF(K218=1,IFERROR(MATCH('ORDENES'!$S214,lista_dias,0),9)*1000000000+IFERROR(MATCH('ORDENES'!$AI214,lista_turnos,0),9)*10000000+IFERROR(MATCH('ORDENES'!$AH214,tblTecnicos[nombre],0),99)*100000+211,9000000000000+211)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5">
        <f>IF(K218=1,'ORDENES'!$J214,"")</f>
        <v/>
      </c>
    </row>
    <row r="219">
      <c r="K219" s="5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5">
        <f>IF(K219=1,IFERROR(MATCH('ORDENES'!$S215,lista_dias,0),9)*1000000000+IFERROR(MATCH('ORDENES'!$AI215,lista_turnos,0),9)*10000000+IFERROR(MATCH('ORDENES'!$AH215,tblTecnicos[nombre],0),99)*100000+212,9000000000000+212)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5">
        <f>IF(K219=1,'ORDENES'!$J215,"")</f>
        <v/>
      </c>
    </row>
    <row r="220">
      <c r="K220" s="5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5">
        <f>IF(K220=1,IFERROR(MATCH('ORDENES'!$S216,lista_dias,0),9)*1000000000+IFERROR(MATCH('ORDENES'!$AI216,lista_turnos,0),9)*10000000+IFERROR(MATCH('ORDENES'!$AH216,tblTecnicos[nombre],0),99)*100000+213,9000000000000+213)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5">
        <f>IF(K220=1,'ORDENES'!$J216,"")</f>
        <v/>
      </c>
    </row>
    <row r="221">
      <c r="K221" s="5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5">
        <f>IF(K221=1,IFERROR(MATCH('ORDENES'!$S217,lista_dias,0),9)*1000000000+IFERROR(MATCH('ORDENES'!$AI217,lista_turnos,0),9)*10000000+IFERROR(MATCH('ORDENES'!$AH217,tblTecnicos[nombre],0),99)*100000+214,9000000000000+214)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5">
        <f>IF(K221=1,'ORDENES'!$J217,"")</f>
        <v/>
      </c>
    </row>
    <row r="222">
      <c r="K222" s="5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5">
        <f>IF(K222=1,IFERROR(MATCH('ORDENES'!$S218,lista_dias,0),9)*1000000000+IFERROR(MATCH('ORDENES'!$AI218,lista_turnos,0),9)*10000000+IFERROR(MATCH('ORDENES'!$AH218,tblTecnicos[nombre],0),99)*100000+215,9000000000000+215)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5">
        <f>IF(K222=1,'ORDENES'!$J218,"")</f>
        <v/>
      </c>
    </row>
    <row r="223">
      <c r="K223" s="5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5">
        <f>IF(K223=1,IFERROR(MATCH('ORDENES'!$S219,lista_dias,0),9)*1000000000+IFERROR(MATCH('ORDENES'!$AI219,lista_turnos,0),9)*10000000+IFERROR(MATCH('ORDENES'!$AH219,tblTecnicos[nombre],0),99)*100000+216,9000000000000+216)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5">
        <f>IF(K223=1,'ORDENES'!$J219,"")</f>
        <v/>
      </c>
    </row>
    <row r="224">
      <c r="K224" s="5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5">
        <f>IF(K224=1,IFERROR(MATCH('ORDENES'!$S220,lista_dias,0),9)*1000000000+IFERROR(MATCH('ORDENES'!$AI220,lista_turnos,0),9)*10000000+IFERROR(MATCH('ORDENES'!$AH220,tblTecnicos[nombre],0),99)*100000+217,9000000000000+217)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5">
        <f>IF(K224=1,'ORDENES'!$J220,"")</f>
        <v/>
      </c>
    </row>
    <row r="225">
      <c r="K225" s="5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5">
        <f>IF(K225=1,IFERROR(MATCH('ORDENES'!$S221,lista_dias,0),9)*1000000000+IFERROR(MATCH('ORDENES'!$AI221,lista_turnos,0),9)*10000000+IFERROR(MATCH('ORDENES'!$AH221,tblTecnicos[nombre],0),99)*100000+218,9000000000000+218)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5">
        <f>IF(K225=1,'ORDENES'!$J221,"")</f>
        <v/>
      </c>
    </row>
    <row r="226">
      <c r="K226" s="5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5">
        <f>IF(K226=1,IFERROR(MATCH('ORDENES'!$S222,lista_dias,0),9)*1000000000+IFERROR(MATCH('ORDENES'!$AI222,lista_turnos,0),9)*10000000+IFERROR(MATCH('ORDENES'!$AH222,tblTecnicos[nombre],0),99)*100000+219,9000000000000+219)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5">
        <f>IF(K226=1,'ORDENES'!$J222,"")</f>
        <v/>
      </c>
    </row>
    <row r="227">
      <c r="K227" s="5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5">
        <f>IF(K227=1,IFERROR(MATCH('ORDENES'!$S223,lista_dias,0),9)*1000000000+IFERROR(MATCH('ORDENES'!$AI223,lista_turnos,0),9)*10000000+IFERROR(MATCH('ORDENES'!$AH223,tblTecnicos[nombre],0),99)*100000+220,9000000000000+220)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5">
        <f>IF(K227=1,'ORDENES'!$J223,"")</f>
        <v/>
      </c>
    </row>
    <row r="228">
      <c r="K228" s="5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5">
        <f>IF(K228=1,IFERROR(MATCH('ORDENES'!$S224,lista_dias,0),9)*1000000000+IFERROR(MATCH('ORDENES'!$AI224,lista_turnos,0),9)*10000000+IFERROR(MATCH('ORDENES'!$AH224,tblTecnicos[nombre],0),99)*100000+221,9000000000000+221)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5">
        <f>IF(K228=1,'ORDENES'!$J224,"")</f>
        <v/>
      </c>
    </row>
    <row r="229">
      <c r="K229" s="5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5">
        <f>IF(K229=1,IFERROR(MATCH('ORDENES'!$S225,lista_dias,0),9)*1000000000+IFERROR(MATCH('ORDENES'!$AI225,lista_turnos,0),9)*10000000+IFERROR(MATCH('ORDENES'!$AH225,tblTecnicos[nombre],0),99)*100000+222,9000000000000+222)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5">
        <f>IF(K229=1,'ORDENES'!$J225,"")</f>
        <v/>
      </c>
    </row>
    <row r="230">
      <c r="K230" s="5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5">
        <f>IF(K230=1,IFERROR(MATCH('ORDENES'!$S226,lista_dias,0),9)*1000000000+IFERROR(MATCH('ORDENES'!$AI226,lista_turnos,0),9)*10000000+IFERROR(MATCH('ORDENES'!$AH226,tblTecnicos[nombre],0),99)*100000+223,9000000000000+223)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5">
        <f>IF(K230=1,'ORDENES'!$J226,"")</f>
        <v/>
      </c>
    </row>
    <row r="231">
      <c r="K231" s="5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5">
        <f>IF(K231=1,IFERROR(MATCH('ORDENES'!$S227,lista_dias,0),9)*1000000000+IFERROR(MATCH('ORDENES'!$AI227,lista_turnos,0),9)*10000000+IFERROR(MATCH('ORDENES'!$AH227,tblTecnicos[nombre],0),99)*100000+224,9000000000000+224)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5">
        <f>IF(K231=1,'ORDENES'!$J227,"")</f>
        <v/>
      </c>
    </row>
    <row r="232">
      <c r="K232" s="5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5">
        <f>IF(K232=1,IFERROR(MATCH('ORDENES'!$S228,lista_dias,0),9)*1000000000+IFERROR(MATCH('ORDENES'!$AI228,lista_turnos,0),9)*10000000+IFERROR(MATCH('ORDENES'!$AH228,tblTecnicos[nombre],0),99)*100000+225,9000000000000+225)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5">
        <f>IF(K232=1,'ORDENES'!$J228,"")</f>
        <v/>
      </c>
    </row>
    <row r="233">
      <c r="K233" s="5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5">
        <f>IF(K233=1,IFERROR(MATCH('ORDENES'!$S229,lista_dias,0),9)*1000000000+IFERROR(MATCH('ORDENES'!$AI229,lista_turnos,0),9)*10000000+IFERROR(MATCH('ORDENES'!$AH229,tblTecnicos[nombre],0),99)*100000+226,9000000000000+226)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5">
        <f>IF(K233=1,'ORDENES'!$J229,"")</f>
        <v/>
      </c>
    </row>
    <row r="234">
      <c r="K234" s="5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5">
        <f>IF(K234=1,IFERROR(MATCH('ORDENES'!$S230,lista_dias,0),9)*1000000000+IFERROR(MATCH('ORDENES'!$AI230,lista_turnos,0),9)*10000000+IFERROR(MATCH('ORDENES'!$AH230,tblTecnicos[nombre],0),99)*100000+227,9000000000000+227)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5">
        <f>IF(K234=1,'ORDENES'!$J230,"")</f>
        <v/>
      </c>
    </row>
    <row r="235">
      <c r="K235" s="5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5">
        <f>IF(K235=1,IFERROR(MATCH('ORDENES'!$S231,lista_dias,0),9)*1000000000+IFERROR(MATCH('ORDENES'!$AI231,lista_turnos,0),9)*10000000+IFERROR(MATCH('ORDENES'!$AH231,tblTecnicos[nombre],0),99)*100000+228,9000000000000+228)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5">
        <f>IF(K235=1,'ORDENES'!$J231,"")</f>
        <v/>
      </c>
    </row>
    <row r="236">
      <c r="K236" s="5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5">
        <f>IF(K236=1,IFERROR(MATCH('ORDENES'!$S232,lista_dias,0),9)*1000000000+IFERROR(MATCH('ORDENES'!$AI232,lista_turnos,0),9)*10000000+IFERROR(MATCH('ORDENES'!$AH232,tblTecnicos[nombre],0),99)*100000+229,9000000000000+229)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5">
        <f>IF(K236=1,'ORDENES'!$J232,"")</f>
        <v/>
      </c>
    </row>
    <row r="237">
      <c r="K237" s="5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5">
        <f>IF(K237=1,IFERROR(MATCH('ORDENES'!$S233,lista_dias,0),9)*1000000000+IFERROR(MATCH('ORDENES'!$AI233,lista_turnos,0),9)*10000000+IFERROR(MATCH('ORDENES'!$AH233,tblTecnicos[nombre],0),99)*100000+230,9000000000000+230)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5">
        <f>IF(K237=1,'ORDENES'!$J233,"")</f>
        <v/>
      </c>
    </row>
    <row r="238">
      <c r="K238" s="5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5">
        <f>IF(K238=1,IFERROR(MATCH('ORDENES'!$S234,lista_dias,0),9)*1000000000+IFERROR(MATCH('ORDENES'!$AI234,lista_turnos,0),9)*10000000+IFERROR(MATCH('ORDENES'!$AH234,tblTecnicos[nombre],0),99)*100000+231,9000000000000+231)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5">
        <f>IF(K238=1,'ORDENES'!$J234,"")</f>
        <v/>
      </c>
    </row>
    <row r="239">
      <c r="K239" s="5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5">
        <f>IF(K239=1,IFERROR(MATCH('ORDENES'!$S235,lista_dias,0),9)*1000000000+IFERROR(MATCH('ORDENES'!$AI235,lista_turnos,0),9)*10000000+IFERROR(MATCH('ORDENES'!$AH235,tblTecnicos[nombre],0),99)*100000+232,9000000000000+232)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5">
        <f>IF(K239=1,'ORDENES'!$J235,"")</f>
        <v/>
      </c>
    </row>
    <row r="240">
      <c r="K240" s="5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5">
        <f>IF(K240=1,IFERROR(MATCH('ORDENES'!$S236,lista_dias,0),9)*1000000000+IFERROR(MATCH('ORDENES'!$AI236,lista_turnos,0),9)*10000000+IFERROR(MATCH('ORDENES'!$AH236,tblTecnicos[nombre],0),99)*100000+233,9000000000000+233)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5">
        <f>IF(K240=1,'ORDENES'!$J236,"")</f>
        <v/>
      </c>
    </row>
    <row r="241">
      <c r="K241" s="5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5">
        <f>IF(K241=1,IFERROR(MATCH('ORDENES'!$S237,lista_dias,0),9)*1000000000+IFERROR(MATCH('ORDENES'!$AI237,lista_turnos,0),9)*10000000+IFERROR(MATCH('ORDENES'!$AH237,tblTecnicos[nombre],0),99)*100000+234,9000000000000+234)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5">
        <f>IF(K241=1,'ORDENES'!$J237,"")</f>
        <v/>
      </c>
    </row>
    <row r="242">
      <c r="K242" s="5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5">
        <f>IF(K242=1,IFERROR(MATCH('ORDENES'!$S238,lista_dias,0),9)*1000000000+IFERROR(MATCH('ORDENES'!$AI238,lista_turnos,0),9)*10000000+IFERROR(MATCH('ORDENES'!$AH238,tblTecnicos[nombre],0),99)*100000+235,9000000000000+235)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5">
        <f>IF(K242=1,'ORDENES'!$J238,"")</f>
        <v/>
      </c>
    </row>
    <row r="243">
      <c r="K243" s="5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5">
        <f>IF(K243=1,IFERROR(MATCH('ORDENES'!$S239,lista_dias,0),9)*1000000000+IFERROR(MATCH('ORDENES'!$AI239,lista_turnos,0),9)*10000000+IFERROR(MATCH('ORDENES'!$AH239,tblTecnicos[nombre],0),99)*100000+236,9000000000000+236)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5">
        <f>IF(K243=1,'ORDENES'!$J239,"")</f>
        <v/>
      </c>
    </row>
    <row r="244">
      <c r="K244" s="5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5">
        <f>IF(K244=1,IFERROR(MATCH('ORDENES'!$S240,lista_dias,0),9)*1000000000+IFERROR(MATCH('ORDENES'!$AI240,lista_turnos,0),9)*10000000+IFERROR(MATCH('ORDENES'!$AH240,tblTecnicos[nombre],0),99)*100000+237,9000000000000+237)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5">
        <f>IF(K244=1,'ORDENES'!$J240,"")</f>
        <v/>
      </c>
    </row>
    <row r="245">
      <c r="K245" s="5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5">
        <f>IF(K245=1,IFERROR(MATCH('ORDENES'!$S241,lista_dias,0),9)*1000000000+IFERROR(MATCH('ORDENES'!$AI241,lista_turnos,0),9)*10000000+IFERROR(MATCH('ORDENES'!$AH241,tblTecnicos[nombre],0),99)*100000+238,9000000000000+238)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5">
        <f>IF(K245=1,'ORDENES'!$J241,"")</f>
        <v/>
      </c>
    </row>
    <row r="246">
      <c r="K246" s="5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5">
        <f>IF(K246=1,IFERROR(MATCH('ORDENES'!$S242,lista_dias,0),9)*1000000000+IFERROR(MATCH('ORDENES'!$AI242,lista_turnos,0),9)*10000000+IFERROR(MATCH('ORDENES'!$AH242,tblTecnicos[nombre],0),99)*100000+239,9000000000000+239)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5">
        <f>IF(K246=1,'ORDENES'!$J242,"")</f>
        <v/>
      </c>
    </row>
    <row r="247">
      <c r="K247" s="5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5">
        <f>IF(K247=1,IFERROR(MATCH('ORDENES'!$S243,lista_dias,0),9)*1000000000+IFERROR(MATCH('ORDENES'!$AI243,lista_turnos,0),9)*10000000+IFERROR(MATCH('ORDENES'!$AH243,tblTecnicos[nombre],0),99)*100000+240,9000000000000+240)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5">
        <f>IF(K247=1,'ORDENES'!$J243,"")</f>
        <v/>
      </c>
    </row>
    <row r="248">
      <c r="K248" s="5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5">
        <f>IF(K248=1,IFERROR(MATCH('ORDENES'!$S244,lista_dias,0),9)*1000000000+IFERROR(MATCH('ORDENES'!$AI244,lista_turnos,0),9)*10000000+IFERROR(MATCH('ORDENES'!$AH244,tblTecnicos[nombre],0),99)*100000+241,9000000000000+241)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5">
        <f>IF(K248=1,'ORDENES'!$J244,"")</f>
        <v/>
      </c>
    </row>
    <row r="249">
      <c r="K249" s="5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5">
        <f>IF(K249=1,IFERROR(MATCH('ORDENES'!$S245,lista_dias,0),9)*1000000000+IFERROR(MATCH('ORDENES'!$AI245,lista_turnos,0),9)*10000000+IFERROR(MATCH('ORDENES'!$AH245,tblTecnicos[nombre],0),99)*100000+242,9000000000000+242)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5">
        <f>IF(K249=1,'ORDENES'!$J245,"")</f>
        <v/>
      </c>
    </row>
    <row r="250">
      <c r="K250" s="5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5">
        <f>IF(K250=1,IFERROR(MATCH('ORDENES'!$S246,lista_dias,0),9)*1000000000+IFERROR(MATCH('ORDENES'!$AI246,lista_turnos,0),9)*10000000+IFERROR(MATCH('ORDENES'!$AH246,tblTecnicos[nombre],0),99)*100000+243,9000000000000+243)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5">
        <f>IF(K250=1,'ORDENES'!$J246,"")</f>
        <v/>
      </c>
    </row>
    <row r="251">
      <c r="K251" s="5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5">
        <f>IF(K251=1,IFERROR(MATCH('ORDENES'!$S247,lista_dias,0),9)*1000000000+IFERROR(MATCH('ORDENES'!$AI247,lista_turnos,0),9)*10000000+IFERROR(MATCH('ORDENES'!$AH247,tblTecnicos[nombre],0),99)*100000+244,9000000000000+244)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5">
        <f>IF(K251=1,'ORDENES'!$J247,"")</f>
        <v/>
      </c>
    </row>
    <row r="252">
      <c r="K252" s="5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5">
        <f>IF(K252=1,IFERROR(MATCH('ORDENES'!$S248,lista_dias,0),9)*1000000000+IFERROR(MATCH('ORDENES'!$AI248,lista_turnos,0),9)*10000000+IFERROR(MATCH('ORDENES'!$AH248,tblTecnicos[nombre],0),99)*100000+245,9000000000000+245)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5">
        <f>IF(K252=1,'ORDENES'!$J248,"")</f>
        <v/>
      </c>
    </row>
    <row r="253">
      <c r="K253" s="5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5">
        <f>IF(K253=1,IFERROR(MATCH('ORDENES'!$S249,lista_dias,0),9)*1000000000+IFERROR(MATCH('ORDENES'!$AI249,lista_turnos,0),9)*10000000+IFERROR(MATCH('ORDENES'!$AH249,tblTecnicos[nombre],0),99)*100000+246,9000000000000+246)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5">
        <f>IF(K253=1,'ORDENES'!$J249,"")</f>
        <v/>
      </c>
    </row>
    <row r="254">
      <c r="K254" s="5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5">
        <f>IF(K254=1,IFERROR(MATCH('ORDENES'!$S250,lista_dias,0),9)*1000000000+IFERROR(MATCH('ORDENES'!$AI250,lista_turnos,0),9)*10000000+IFERROR(MATCH('ORDENES'!$AH250,tblTecnicos[nombre],0),99)*100000+247,9000000000000+247)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5">
        <f>IF(K254=1,'ORDENES'!$J250,"")</f>
        <v/>
      </c>
    </row>
    <row r="255">
      <c r="K255" s="5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5">
        <f>IF(K255=1,IFERROR(MATCH('ORDENES'!$S251,lista_dias,0),9)*1000000000+IFERROR(MATCH('ORDENES'!$AI251,lista_turnos,0),9)*10000000+IFERROR(MATCH('ORDENES'!$AH251,tblTecnicos[nombre],0),99)*100000+248,9000000000000+248)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5">
        <f>IF(K255=1,'ORDENES'!$J251,"")</f>
        <v/>
      </c>
    </row>
    <row r="256">
      <c r="K256" s="5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5">
        <f>IF(K256=1,IFERROR(MATCH('ORDENES'!$S252,lista_dias,0),9)*1000000000+IFERROR(MATCH('ORDENES'!$AI252,lista_turnos,0),9)*10000000+IFERROR(MATCH('ORDENES'!$AH252,tblTecnicos[nombre],0),99)*100000+249,9000000000000+249)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5">
        <f>IF(K256=1,'ORDENES'!$J252,"")</f>
        <v/>
      </c>
    </row>
    <row r="257">
      <c r="K257" s="5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5">
        <f>IF(K257=1,IFERROR(MATCH('ORDENES'!$S253,lista_dias,0),9)*1000000000+IFERROR(MATCH('ORDENES'!$AI253,lista_turnos,0),9)*10000000+IFERROR(MATCH('ORDENES'!$AH253,tblTecnicos[nombre],0),99)*100000+250,9000000000000+250)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5">
        <f>IF(K257=1,'ORDENES'!$J253,"")</f>
        <v/>
      </c>
    </row>
    <row r="258">
      <c r="K258" s="5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5">
        <f>IF(K258=1,IFERROR(MATCH('ORDENES'!$S254,lista_dias,0),9)*1000000000+IFERROR(MATCH('ORDENES'!$AI254,lista_turnos,0),9)*10000000+IFERROR(MATCH('ORDENES'!$AH254,tblTecnicos[nombre],0),99)*100000+251,9000000000000+251)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5">
        <f>IF(K258=1,'ORDENES'!$J254,"")</f>
        <v/>
      </c>
    </row>
    <row r="259">
      <c r="K259" s="5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5">
        <f>IF(K259=1,IFERROR(MATCH('ORDENES'!$S255,lista_dias,0),9)*1000000000+IFERROR(MATCH('ORDENES'!$AI255,lista_turnos,0),9)*10000000+IFERROR(MATCH('ORDENES'!$AH255,tblTecnicos[nombre],0),99)*100000+252,9000000000000+252)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5">
        <f>IF(K259=1,'ORDENES'!$J255,"")</f>
        <v/>
      </c>
    </row>
    <row r="260">
      <c r="K260" s="5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5">
        <f>IF(K260=1,IFERROR(MATCH('ORDENES'!$S256,lista_dias,0),9)*1000000000+IFERROR(MATCH('ORDENES'!$AI256,lista_turnos,0),9)*10000000+IFERROR(MATCH('ORDENES'!$AH256,tblTecnicos[nombre],0),99)*100000+253,9000000000000+253)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5">
        <f>IF(K260=1,'ORDENES'!$J256,"")</f>
        <v/>
      </c>
    </row>
    <row r="261">
      <c r="K261" s="5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5">
        <f>IF(K261=1,IFERROR(MATCH('ORDENES'!$S257,lista_dias,0),9)*1000000000+IFERROR(MATCH('ORDENES'!$AI257,lista_turnos,0),9)*10000000+IFERROR(MATCH('ORDENES'!$AH257,tblTecnicos[nombre],0),99)*100000+254,9000000000000+254)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5">
        <f>IF(K261=1,'ORDENES'!$J257,"")</f>
        <v/>
      </c>
    </row>
    <row r="262">
      <c r="K262" s="5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5">
        <f>IF(K262=1,IFERROR(MATCH('ORDENES'!$S258,lista_dias,0),9)*1000000000+IFERROR(MATCH('ORDENES'!$AI258,lista_turnos,0),9)*10000000+IFERROR(MATCH('ORDENES'!$AH258,tblTecnicos[nombre],0),99)*100000+255,9000000000000+255)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5">
        <f>IF(K262=1,'ORDENES'!$J258,"")</f>
        <v/>
      </c>
    </row>
    <row r="263">
      <c r="K263" s="5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5">
        <f>IF(K263=1,IFERROR(MATCH('ORDENES'!$S259,lista_dias,0),9)*1000000000+IFERROR(MATCH('ORDENES'!$AI259,lista_turnos,0),9)*10000000+IFERROR(MATCH('ORDENES'!$AH259,tblTecnicos[nombre],0),99)*100000+256,9000000000000+256)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5">
        <f>IF(K263=1,'ORDENES'!$J259,"")</f>
        <v/>
      </c>
    </row>
    <row r="264">
      <c r="K264" s="5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5">
        <f>IF(K264=1,IFERROR(MATCH('ORDENES'!$S260,lista_dias,0),9)*1000000000+IFERROR(MATCH('ORDENES'!$AI260,lista_turnos,0),9)*10000000+IFERROR(MATCH('ORDENES'!$AH260,tblTecnicos[nombre],0),99)*100000+257,9000000000000+257)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5">
        <f>IF(K264=1,'ORDENES'!$J260,"")</f>
        <v/>
      </c>
    </row>
    <row r="265">
      <c r="K265" s="5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5">
        <f>IF(K265=1,IFERROR(MATCH('ORDENES'!$S261,lista_dias,0),9)*1000000000+IFERROR(MATCH('ORDENES'!$AI261,lista_turnos,0),9)*10000000+IFERROR(MATCH('ORDENES'!$AH261,tblTecnicos[nombre],0),99)*100000+258,9000000000000+258)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5">
        <f>IF(K265=1,'ORDENES'!$J261,"")</f>
        <v/>
      </c>
    </row>
    <row r="266">
      <c r="K266" s="5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5">
        <f>IF(K266=1,IFERROR(MATCH('ORDENES'!$S262,lista_dias,0),9)*1000000000+IFERROR(MATCH('ORDENES'!$AI262,lista_turnos,0),9)*10000000+IFERROR(MATCH('ORDENES'!$AH262,tblTecnicos[nombre],0),99)*100000+259,9000000000000+259)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5">
        <f>IF(K266=1,'ORDENES'!$J262,"")</f>
        <v/>
      </c>
    </row>
    <row r="267">
      <c r="K267" s="5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5">
        <f>IF(K267=1,IFERROR(MATCH('ORDENES'!$S263,lista_dias,0),9)*1000000000+IFERROR(MATCH('ORDENES'!$AI263,lista_turnos,0),9)*10000000+IFERROR(MATCH('ORDENES'!$AH263,tblTecnicos[nombre],0),99)*100000+260,9000000000000+260)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5">
        <f>IF(K267=1,'ORDENES'!$J263,"")</f>
        <v/>
      </c>
    </row>
    <row r="268">
      <c r="K268" s="5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5">
        <f>IF(K268=1,IFERROR(MATCH('ORDENES'!$S264,lista_dias,0),9)*1000000000+IFERROR(MATCH('ORDENES'!$AI264,lista_turnos,0),9)*10000000+IFERROR(MATCH('ORDENES'!$AH264,tblTecnicos[nombre],0),99)*100000+261,9000000000000+261)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5">
        <f>IF(K268=1,'ORDENES'!$J264,"")</f>
        <v/>
      </c>
    </row>
    <row r="269">
      <c r="K269" s="5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5">
        <f>IF(K269=1,IFERROR(MATCH('ORDENES'!$S265,lista_dias,0),9)*1000000000+IFERROR(MATCH('ORDENES'!$AI265,lista_turnos,0),9)*10000000+IFERROR(MATCH('ORDENES'!$AH265,tblTecnicos[nombre],0),99)*100000+262,9000000000000+262)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5">
        <f>IF(K269=1,'ORDENES'!$J265,"")</f>
        <v/>
      </c>
    </row>
    <row r="270">
      <c r="K270" s="5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5">
        <f>IF(K270=1,IFERROR(MATCH('ORDENES'!$S266,lista_dias,0),9)*1000000000+IFERROR(MATCH('ORDENES'!$AI266,lista_turnos,0),9)*10000000+IFERROR(MATCH('ORDENES'!$AH266,tblTecnicos[nombre],0),99)*100000+263,9000000000000+263)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5">
        <f>IF(K270=1,'ORDENES'!$J266,"")</f>
        <v/>
      </c>
    </row>
    <row r="271">
      <c r="K271" s="5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5">
        <f>IF(K271=1,IFERROR(MATCH('ORDENES'!$S267,lista_dias,0),9)*1000000000+IFERROR(MATCH('ORDENES'!$AI267,lista_turnos,0),9)*10000000+IFERROR(MATCH('ORDENES'!$AH267,tblTecnicos[nombre],0),99)*100000+264,9000000000000+264)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5">
        <f>IF(K271=1,'ORDENES'!$J267,"")</f>
        <v/>
      </c>
    </row>
    <row r="272">
      <c r="K272" s="5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5">
        <f>IF(K272=1,IFERROR(MATCH('ORDENES'!$S268,lista_dias,0),9)*1000000000+IFERROR(MATCH('ORDENES'!$AI268,lista_turnos,0),9)*10000000+IFERROR(MATCH('ORDENES'!$AH268,tblTecnicos[nombre],0),99)*100000+265,9000000000000+265)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5">
        <f>IF(K272=1,'ORDENES'!$J268,"")</f>
        <v/>
      </c>
    </row>
    <row r="273">
      <c r="K273" s="5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5">
        <f>IF(K273=1,IFERROR(MATCH('ORDENES'!$S269,lista_dias,0),9)*1000000000+IFERROR(MATCH('ORDENES'!$AI269,lista_turnos,0),9)*10000000+IFERROR(MATCH('ORDENES'!$AH269,tblTecnicos[nombre],0),99)*100000+266,9000000000000+266)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5">
        <f>IF(K273=1,'ORDENES'!$J269,"")</f>
        <v/>
      </c>
    </row>
    <row r="274">
      <c r="K274" s="5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5">
        <f>IF(K274=1,IFERROR(MATCH('ORDENES'!$S270,lista_dias,0),9)*1000000000+IFERROR(MATCH('ORDENES'!$AI270,lista_turnos,0),9)*10000000+IFERROR(MATCH('ORDENES'!$AH270,tblTecnicos[nombre],0),99)*100000+267,9000000000000+267)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5">
        <f>IF(K274=1,'ORDENES'!$J270,"")</f>
        <v/>
      </c>
    </row>
    <row r="275">
      <c r="K275" s="5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5">
        <f>IF(K275=1,IFERROR(MATCH('ORDENES'!$S271,lista_dias,0),9)*1000000000+IFERROR(MATCH('ORDENES'!$AI271,lista_turnos,0),9)*10000000+IFERROR(MATCH('ORDENES'!$AH271,tblTecnicos[nombre],0),99)*100000+268,9000000000000+268)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5">
        <f>IF(K275=1,'ORDENES'!$J271,"")</f>
        <v/>
      </c>
    </row>
    <row r="276">
      <c r="K276" s="5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5">
        <f>IF(K276=1,IFERROR(MATCH('ORDENES'!$S272,lista_dias,0),9)*1000000000+IFERROR(MATCH('ORDENES'!$AI272,lista_turnos,0),9)*10000000+IFERROR(MATCH('ORDENES'!$AH272,tblTecnicos[nombre],0),99)*100000+269,9000000000000+269)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5">
        <f>IF(K276=1,'ORDENES'!$J272,"")</f>
        <v/>
      </c>
    </row>
    <row r="277">
      <c r="K277" s="5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5">
        <f>IF(K277=1,IFERROR(MATCH('ORDENES'!$S273,lista_dias,0),9)*1000000000+IFERROR(MATCH('ORDENES'!$AI273,lista_turnos,0),9)*10000000+IFERROR(MATCH('ORDENES'!$AH273,tblTecnicos[nombre],0),99)*100000+270,9000000000000+270)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5">
        <f>IF(K277=1,'ORDENES'!$J273,"")</f>
        <v/>
      </c>
    </row>
    <row r="278">
      <c r="K278" s="5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5">
        <f>IF(K278=1,IFERROR(MATCH('ORDENES'!$S274,lista_dias,0),9)*1000000000+IFERROR(MATCH('ORDENES'!$AI274,lista_turnos,0),9)*10000000+IFERROR(MATCH('ORDENES'!$AH274,tblTecnicos[nombre],0),99)*100000+271,9000000000000+271)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5">
        <f>IF(K278=1,'ORDENES'!$J274,"")</f>
        <v/>
      </c>
    </row>
    <row r="279">
      <c r="K279" s="5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5">
        <f>IF(K279=1,IFERROR(MATCH('ORDENES'!$S275,lista_dias,0),9)*1000000000+IFERROR(MATCH('ORDENES'!$AI275,lista_turnos,0),9)*10000000+IFERROR(MATCH('ORDENES'!$AH275,tblTecnicos[nombre],0),99)*100000+272,9000000000000+272)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5">
        <f>IF(K279=1,'ORDENES'!$J275,"")</f>
        <v/>
      </c>
    </row>
    <row r="280">
      <c r="K280" s="5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5">
        <f>IF(K280=1,IFERROR(MATCH('ORDENES'!$S276,lista_dias,0),9)*1000000000+IFERROR(MATCH('ORDENES'!$AI276,lista_turnos,0),9)*10000000+IFERROR(MATCH('ORDENES'!$AH276,tblTecnicos[nombre],0),99)*100000+273,9000000000000+273)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5">
        <f>IF(K280=1,'ORDENES'!$J276,"")</f>
        <v/>
      </c>
    </row>
    <row r="281">
      <c r="K281" s="5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5">
        <f>IF(K281=1,IFERROR(MATCH('ORDENES'!$S277,lista_dias,0),9)*1000000000+IFERROR(MATCH('ORDENES'!$AI277,lista_turnos,0),9)*10000000+IFERROR(MATCH('ORDENES'!$AH277,tblTecnicos[nombre],0),99)*100000+274,9000000000000+274)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5">
        <f>IF(K281=1,'ORDENES'!$J277,"")</f>
        <v/>
      </c>
    </row>
    <row r="282">
      <c r="K282" s="5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5">
        <f>IF(K282=1,IFERROR(MATCH('ORDENES'!$S278,lista_dias,0),9)*1000000000+IFERROR(MATCH('ORDENES'!$AI278,lista_turnos,0),9)*10000000+IFERROR(MATCH('ORDENES'!$AH278,tblTecnicos[nombre],0),99)*100000+275,9000000000000+275)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5">
        <f>IF(K282=1,'ORDENES'!$J278,"")</f>
        <v/>
      </c>
    </row>
    <row r="283">
      <c r="K283" s="5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5">
        <f>IF(K283=1,IFERROR(MATCH('ORDENES'!$S279,lista_dias,0),9)*1000000000+IFERROR(MATCH('ORDENES'!$AI279,lista_turnos,0),9)*10000000+IFERROR(MATCH('ORDENES'!$AH279,tblTecnicos[nombre],0),99)*100000+276,9000000000000+276)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5">
        <f>IF(K283=1,'ORDENES'!$J279,"")</f>
        <v/>
      </c>
    </row>
    <row r="284">
      <c r="K284" s="5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5">
        <f>IF(K284=1,IFERROR(MATCH('ORDENES'!$S280,lista_dias,0),9)*1000000000+IFERROR(MATCH('ORDENES'!$AI280,lista_turnos,0),9)*10000000+IFERROR(MATCH('ORDENES'!$AH280,tblTecnicos[nombre],0),99)*100000+277,9000000000000+277)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5">
        <f>IF(K284=1,'ORDENES'!$J280,"")</f>
        <v/>
      </c>
    </row>
    <row r="285">
      <c r="K285" s="5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5">
        <f>IF(K285=1,IFERROR(MATCH('ORDENES'!$S281,lista_dias,0),9)*1000000000+IFERROR(MATCH('ORDENES'!$AI281,lista_turnos,0),9)*10000000+IFERROR(MATCH('ORDENES'!$AH281,tblTecnicos[nombre],0),99)*100000+278,9000000000000+278)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5">
        <f>IF(K285=1,'ORDENES'!$J281,"")</f>
        <v/>
      </c>
    </row>
    <row r="286">
      <c r="K286" s="5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5">
        <f>IF(K286=1,IFERROR(MATCH('ORDENES'!$S282,lista_dias,0),9)*1000000000+IFERROR(MATCH('ORDENES'!$AI282,lista_turnos,0),9)*10000000+IFERROR(MATCH('ORDENES'!$AH282,tblTecnicos[nombre],0),99)*100000+279,9000000000000+279)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5">
        <f>IF(K286=1,'ORDENES'!$J282,"")</f>
        <v/>
      </c>
    </row>
    <row r="287">
      <c r="K287" s="5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5">
        <f>IF(K287=1,IFERROR(MATCH('ORDENES'!$S283,lista_dias,0),9)*1000000000+IFERROR(MATCH('ORDENES'!$AI283,lista_turnos,0),9)*10000000+IFERROR(MATCH('ORDENES'!$AH283,tblTecnicos[nombre],0),99)*100000+280,9000000000000+280)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5">
        <f>IF(K287=1,'ORDENES'!$J283,"")</f>
        <v/>
      </c>
    </row>
    <row r="288">
      <c r="K288" s="5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5">
        <f>IF(K288=1,IFERROR(MATCH('ORDENES'!$S284,lista_dias,0),9)*1000000000+IFERROR(MATCH('ORDENES'!$AI284,lista_turnos,0),9)*10000000+IFERROR(MATCH('ORDENES'!$AH284,tblTecnicos[nombre],0),99)*100000+281,9000000000000+281)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5">
        <f>IF(K288=1,'ORDENES'!$J284,"")</f>
        <v/>
      </c>
    </row>
    <row r="289">
      <c r="K289" s="5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5">
        <f>IF(K289=1,IFERROR(MATCH('ORDENES'!$S285,lista_dias,0),9)*1000000000+IFERROR(MATCH('ORDENES'!$AI285,lista_turnos,0),9)*10000000+IFERROR(MATCH('ORDENES'!$AH285,tblTecnicos[nombre],0),99)*100000+282,9000000000000+282)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5">
        <f>IF(K289=1,'ORDENES'!$J285,"")</f>
        <v/>
      </c>
    </row>
    <row r="290">
      <c r="K290" s="5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5">
        <f>IF(K290=1,IFERROR(MATCH('ORDENES'!$S286,lista_dias,0),9)*1000000000+IFERROR(MATCH('ORDENES'!$AI286,lista_turnos,0),9)*10000000+IFERROR(MATCH('ORDENES'!$AH286,tblTecnicos[nombre],0),99)*100000+283,9000000000000+283)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5">
        <f>IF(K290=1,'ORDENES'!$J286,"")</f>
        <v/>
      </c>
    </row>
    <row r="291">
      <c r="K291" s="5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5">
        <f>IF(K291=1,IFERROR(MATCH('ORDENES'!$S287,lista_dias,0),9)*1000000000+IFERROR(MATCH('ORDENES'!$AI287,lista_turnos,0),9)*10000000+IFERROR(MATCH('ORDENES'!$AH287,tblTecnicos[nombre],0),99)*100000+284,9000000000000+284)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5">
        <f>IF(K291=1,'ORDENES'!$J287,"")</f>
        <v/>
      </c>
    </row>
    <row r="292">
      <c r="K292" s="5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5">
        <f>IF(K292=1,IFERROR(MATCH('ORDENES'!$S288,lista_dias,0),9)*1000000000+IFERROR(MATCH('ORDENES'!$AI288,lista_turnos,0),9)*10000000+IFERROR(MATCH('ORDENES'!$AH288,tblTecnicos[nombre],0),99)*100000+285,9000000000000+285)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5">
        <f>IF(K292=1,'ORDENES'!$J288,"")</f>
        <v/>
      </c>
    </row>
    <row r="293">
      <c r="K293" s="5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5">
        <f>IF(K293=1,IFERROR(MATCH('ORDENES'!$S289,lista_dias,0),9)*1000000000+IFERROR(MATCH('ORDENES'!$AI289,lista_turnos,0),9)*10000000+IFERROR(MATCH('ORDENES'!$AH289,tblTecnicos[nombre],0),99)*100000+286,9000000000000+286)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5">
        <f>IF(K293=1,'ORDENES'!$J289,"")</f>
        <v/>
      </c>
    </row>
    <row r="294">
      <c r="K294" s="5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5">
        <f>IF(K294=1,IFERROR(MATCH('ORDENES'!$S290,lista_dias,0),9)*1000000000+IFERROR(MATCH('ORDENES'!$AI290,lista_turnos,0),9)*10000000+IFERROR(MATCH('ORDENES'!$AH290,tblTecnicos[nombre],0),99)*100000+287,9000000000000+287)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5">
        <f>IF(K294=1,'ORDENES'!$J290,"")</f>
        <v/>
      </c>
    </row>
    <row r="295">
      <c r="K295" s="5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5">
        <f>IF(K295=1,IFERROR(MATCH('ORDENES'!$S291,lista_dias,0),9)*1000000000+IFERROR(MATCH('ORDENES'!$AI291,lista_turnos,0),9)*10000000+IFERROR(MATCH('ORDENES'!$AH291,tblTecnicos[nombre],0),99)*100000+288,9000000000000+288)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5">
        <f>IF(K295=1,'ORDENES'!$J291,"")</f>
        <v/>
      </c>
    </row>
    <row r="296">
      <c r="K296" s="5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5">
        <f>IF(K296=1,IFERROR(MATCH('ORDENES'!$S292,lista_dias,0),9)*1000000000+IFERROR(MATCH('ORDENES'!$AI292,lista_turnos,0),9)*10000000+IFERROR(MATCH('ORDENES'!$AH292,tblTecnicos[nombre],0),99)*100000+289,9000000000000+289)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5">
        <f>IF(K296=1,'ORDENES'!$J292,"")</f>
        <v/>
      </c>
    </row>
    <row r="297">
      <c r="K297" s="5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5">
        <f>IF(K297=1,IFERROR(MATCH('ORDENES'!$S293,lista_dias,0),9)*1000000000+IFERROR(MATCH('ORDENES'!$AI293,lista_turnos,0),9)*10000000+IFERROR(MATCH('ORDENES'!$AH293,tblTecnicos[nombre],0),99)*100000+290,9000000000000+290)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5">
        <f>IF(K297=1,'ORDENES'!$J293,"")</f>
        <v/>
      </c>
    </row>
    <row r="298">
      <c r="K298" s="5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5">
        <f>IF(K298=1,IFERROR(MATCH('ORDENES'!$S294,lista_dias,0),9)*1000000000+IFERROR(MATCH('ORDENES'!$AI294,lista_turnos,0),9)*10000000+IFERROR(MATCH('ORDENES'!$AH294,tblTecnicos[nombre],0),99)*100000+291,9000000000000+291)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5">
        <f>IF(K298=1,'ORDENES'!$J294,"")</f>
        <v/>
      </c>
    </row>
    <row r="299">
      <c r="K299" s="5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5">
        <f>IF(K299=1,IFERROR(MATCH('ORDENES'!$S295,lista_dias,0),9)*1000000000+IFERROR(MATCH('ORDENES'!$AI295,lista_turnos,0),9)*10000000+IFERROR(MATCH('ORDENES'!$AH295,tblTecnicos[nombre],0),99)*100000+292,9000000000000+292)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5">
        <f>IF(K299=1,'ORDENES'!$J295,"")</f>
        <v/>
      </c>
    </row>
    <row r="300">
      <c r="K300" s="5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5">
        <f>IF(K300=1,IFERROR(MATCH('ORDENES'!$S296,lista_dias,0),9)*1000000000+IFERROR(MATCH('ORDENES'!$AI296,lista_turnos,0),9)*10000000+IFERROR(MATCH('ORDENES'!$AH296,tblTecnicos[nombre],0),99)*100000+293,9000000000000+293)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5">
        <f>IF(K300=1,'ORDENES'!$J296,"")</f>
        <v/>
      </c>
    </row>
    <row r="301">
      <c r="K301" s="5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5">
        <f>IF(K301=1,IFERROR(MATCH('ORDENES'!$S297,lista_dias,0),9)*1000000000+IFERROR(MATCH('ORDENES'!$AI297,lista_turnos,0),9)*10000000+IFERROR(MATCH('ORDENES'!$AH297,tblTecnicos[nombre],0),99)*100000+294,9000000000000+294)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5">
        <f>IF(K301=1,'ORDENES'!$J297,"")</f>
        <v/>
      </c>
    </row>
    <row r="302">
      <c r="K302" s="5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5">
        <f>IF(K302=1,IFERROR(MATCH('ORDENES'!$S298,lista_dias,0),9)*1000000000+IFERROR(MATCH('ORDENES'!$AI298,lista_turnos,0),9)*10000000+IFERROR(MATCH('ORDENES'!$AH298,tblTecnicos[nombre],0),99)*100000+295,9000000000000+295)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5">
        <f>IF(K302=1,'ORDENES'!$J298,"")</f>
        <v/>
      </c>
    </row>
    <row r="303">
      <c r="K303" s="5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5">
        <f>IF(K303=1,IFERROR(MATCH('ORDENES'!$S299,lista_dias,0),9)*1000000000+IFERROR(MATCH('ORDENES'!$AI299,lista_turnos,0),9)*10000000+IFERROR(MATCH('ORDENES'!$AH299,tblTecnicos[nombre],0),99)*100000+296,9000000000000+296)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5">
        <f>IF(K303=1,'ORDENES'!$J299,"")</f>
        <v/>
      </c>
    </row>
    <row r="304">
      <c r="K304" s="5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5">
        <f>IF(K304=1,IFERROR(MATCH('ORDENES'!$S300,lista_dias,0),9)*1000000000+IFERROR(MATCH('ORDENES'!$AI300,lista_turnos,0),9)*10000000+IFERROR(MATCH('ORDENES'!$AH300,tblTecnicos[nombre],0),99)*100000+297,9000000000000+297)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5">
        <f>IF(K304=1,'ORDENES'!$J300,"")</f>
        <v/>
      </c>
    </row>
    <row r="305">
      <c r="K305" s="5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5">
        <f>IF(K305=1,IFERROR(MATCH('ORDENES'!$S301,lista_dias,0),9)*1000000000+IFERROR(MATCH('ORDENES'!$AI301,lista_turnos,0),9)*10000000+IFERROR(MATCH('ORDENES'!$AH301,tblTecnicos[nombre],0),99)*100000+298,9000000000000+298)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5">
        <f>IF(K305=1,'ORDENES'!$J301,"")</f>
        <v/>
      </c>
    </row>
    <row r="306">
      <c r="K306" s="5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5">
        <f>IF(K306=1,IFERROR(MATCH('ORDENES'!$S302,lista_dias,0),9)*1000000000+IFERROR(MATCH('ORDENES'!$AI302,lista_turnos,0),9)*10000000+IFERROR(MATCH('ORDENES'!$AH302,tblTecnicos[nombre],0),99)*100000+299,9000000000000+299)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5">
        <f>IF(K306=1,'ORDENES'!$J302,"")</f>
        <v/>
      </c>
    </row>
    <row r="307">
      <c r="K307" s="5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5">
        <f>IF(K307=1,IFERROR(MATCH('ORDENES'!$S303,lista_dias,0),9)*1000000000+IFERROR(MATCH('ORDENES'!$AI303,lista_turnos,0),9)*10000000+IFERROR(MATCH('ORDENES'!$AH303,tblTecnicos[nombre],0),99)*100000+300,9000000000000+300)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5">
        <f>IF(K307=1,'ORDENES'!$J303,"")</f>
        <v/>
      </c>
    </row>
    <row r="308">
      <c r="K308" s="5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5">
        <f>IF(K308=1,IFERROR(MATCH('ORDENES'!$S304,lista_dias,0),9)*1000000000+IFERROR(MATCH('ORDENES'!$AI304,lista_turnos,0),9)*10000000+IFERROR(MATCH('ORDENES'!$AH304,tblTecnicos[nombre],0),99)*100000+301,9000000000000+301)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5">
        <f>IF(K308=1,'ORDENES'!$J304,"")</f>
        <v/>
      </c>
    </row>
    <row r="309">
      <c r="K309" s="5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5">
        <f>IF(K309=1,IFERROR(MATCH('ORDENES'!$S305,lista_dias,0),9)*1000000000+IFERROR(MATCH('ORDENES'!$AI305,lista_turnos,0),9)*10000000+IFERROR(MATCH('ORDENES'!$AH305,tblTecnicos[nombre],0),99)*100000+302,9000000000000+302)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5">
        <f>IF(K309=1,'ORDENES'!$J305,"")</f>
        <v/>
      </c>
    </row>
    <row r="310">
      <c r="K310" s="5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5">
        <f>IF(K310=1,IFERROR(MATCH('ORDENES'!$S306,lista_dias,0),9)*1000000000+IFERROR(MATCH('ORDENES'!$AI306,lista_turnos,0),9)*10000000+IFERROR(MATCH('ORDENES'!$AH306,tblTecnicos[nombre],0),99)*100000+303,9000000000000+303)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5">
        <f>IF(K310=1,'ORDENES'!$J306,"")</f>
        <v/>
      </c>
    </row>
    <row r="311">
      <c r="K311" s="5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5">
        <f>IF(K311=1,IFERROR(MATCH('ORDENES'!$S307,lista_dias,0),9)*1000000000+IFERROR(MATCH('ORDENES'!$AI307,lista_turnos,0),9)*10000000+IFERROR(MATCH('ORDENES'!$AH307,tblTecnicos[nombre],0),99)*100000+304,9000000000000+304)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5">
        <f>IF(K311=1,'ORDENES'!$J307,"")</f>
        <v/>
      </c>
    </row>
    <row r="312">
      <c r="K312" s="5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5">
        <f>IF(K312=1,IFERROR(MATCH('ORDENES'!$S308,lista_dias,0),9)*1000000000+IFERROR(MATCH('ORDENES'!$AI308,lista_turnos,0),9)*10000000+IFERROR(MATCH('ORDENES'!$AH308,tblTecnicos[nombre],0),99)*100000+305,9000000000000+305)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5">
        <f>IF(K312=1,'ORDENES'!$J308,"")</f>
        <v/>
      </c>
    </row>
    <row r="313">
      <c r="K313" s="5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5">
        <f>IF(K313=1,IFERROR(MATCH('ORDENES'!$S309,lista_dias,0),9)*1000000000+IFERROR(MATCH('ORDENES'!$AI309,lista_turnos,0),9)*10000000+IFERROR(MATCH('ORDENES'!$AH309,tblTecnicos[nombre],0),99)*100000+306,9000000000000+306)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5">
        <f>IF(K313=1,'ORDENES'!$J309,"")</f>
        <v/>
      </c>
    </row>
    <row r="314">
      <c r="K314" s="5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5">
        <f>IF(K314=1,IFERROR(MATCH('ORDENES'!$S310,lista_dias,0),9)*1000000000+IFERROR(MATCH('ORDENES'!$AI310,lista_turnos,0),9)*10000000+IFERROR(MATCH('ORDENES'!$AH310,tblTecnicos[nombre],0),99)*100000+307,9000000000000+307)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5">
        <f>IF(K314=1,'ORDENES'!$J310,"")</f>
        <v/>
      </c>
    </row>
    <row r="315">
      <c r="K315" s="5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5">
        <f>IF(K315=1,IFERROR(MATCH('ORDENES'!$S311,lista_dias,0),9)*1000000000+IFERROR(MATCH('ORDENES'!$AI311,lista_turnos,0),9)*10000000+IFERROR(MATCH('ORDENES'!$AH311,tblTecnicos[nombre],0),99)*100000+308,9000000000000+308)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5">
        <f>IF(K315=1,'ORDENES'!$J311,"")</f>
        <v/>
      </c>
    </row>
    <row r="316">
      <c r="K316" s="5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5">
        <f>IF(K316=1,IFERROR(MATCH('ORDENES'!$S312,lista_dias,0),9)*1000000000+IFERROR(MATCH('ORDENES'!$AI312,lista_turnos,0),9)*10000000+IFERROR(MATCH('ORDENES'!$AH312,tblTecnicos[nombre],0),99)*100000+309,9000000000000+309)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5">
        <f>IF(K316=1,'ORDENES'!$J312,"")</f>
        <v/>
      </c>
    </row>
    <row r="317">
      <c r="K317" s="5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5">
        <f>IF(K317=1,IFERROR(MATCH('ORDENES'!$S313,lista_dias,0),9)*1000000000+IFERROR(MATCH('ORDENES'!$AI313,lista_turnos,0),9)*10000000+IFERROR(MATCH('ORDENES'!$AH313,tblTecnicos[nombre],0),99)*100000+310,9000000000000+310)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5">
        <f>IF(K317=1,'ORDENES'!$J313,"")</f>
        <v/>
      </c>
    </row>
    <row r="318">
      <c r="K318" s="5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5">
        <f>IF(K318=1,IFERROR(MATCH('ORDENES'!$S314,lista_dias,0),9)*1000000000+IFERROR(MATCH('ORDENES'!$AI314,lista_turnos,0),9)*10000000+IFERROR(MATCH('ORDENES'!$AH314,tblTecnicos[nombre],0),99)*100000+311,9000000000000+311)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5">
        <f>IF(K318=1,'ORDENES'!$J314,"")</f>
        <v/>
      </c>
    </row>
    <row r="319">
      <c r="K319" s="5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5">
        <f>IF(K319=1,IFERROR(MATCH('ORDENES'!$S315,lista_dias,0),9)*1000000000+IFERROR(MATCH('ORDENES'!$AI315,lista_turnos,0),9)*10000000+IFERROR(MATCH('ORDENES'!$AH315,tblTecnicos[nombre],0),99)*100000+312,9000000000000+312)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5">
        <f>IF(K319=1,'ORDENES'!$J315,"")</f>
        <v/>
      </c>
    </row>
    <row r="320">
      <c r="K320" s="5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5">
        <f>IF(K320=1,IFERROR(MATCH('ORDENES'!$S316,lista_dias,0),9)*1000000000+IFERROR(MATCH('ORDENES'!$AI316,lista_turnos,0),9)*10000000+IFERROR(MATCH('ORDENES'!$AH316,tblTecnicos[nombre],0),99)*100000+313,9000000000000+313)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5">
        <f>IF(K320=1,'ORDENES'!$J316,"")</f>
        <v/>
      </c>
    </row>
    <row r="321">
      <c r="K321" s="5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5">
        <f>IF(K321=1,IFERROR(MATCH('ORDENES'!$S317,lista_dias,0),9)*1000000000+IFERROR(MATCH('ORDENES'!$AI317,lista_turnos,0),9)*10000000+IFERROR(MATCH('ORDENES'!$AH317,tblTecnicos[nombre],0),99)*100000+314,9000000000000+314)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5">
        <f>IF(K321=1,'ORDENES'!$J317,"")</f>
        <v/>
      </c>
    </row>
    <row r="322">
      <c r="K322" s="5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5">
        <f>IF(K322=1,IFERROR(MATCH('ORDENES'!$S318,lista_dias,0),9)*1000000000+IFERROR(MATCH('ORDENES'!$AI318,lista_turnos,0),9)*10000000+IFERROR(MATCH('ORDENES'!$AH318,tblTecnicos[nombre],0),99)*100000+315,9000000000000+315)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5">
        <f>IF(K322=1,'ORDENES'!$J318,"")</f>
        <v/>
      </c>
    </row>
    <row r="323">
      <c r="K323" s="5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5">
        <f>IF(K323=1,IFERROR(MATCH('ORDENES'!$S319,lista_dias,0),9)*1000000000+IFERROR(MATCH('ORDENES'!$AI319,lista_turnos,0),9)*10000000+IFERROR(MATCH('ORDENES'!$AH319,tblTecnicos[nombre],0),99)*100000+316,9000000000000+316)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5">
        <f>IF(K323=1,'ORDENES'!$J319,"")</f>
        <v/>
      </c>
    </row>
    <row r="324">
      <c r="K324" s="5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5">
        <f>IF(K324=1,IFERROR(MATCH('ORDENES'!$S320,lista_dias,0),9)*1000000000+IFERROR(MATCH('ORDENES'!$AI320,lista_turnos,0),9)*10000000+IFERROR(MATCH('ORDENES'!$AH320,tblTecnicos[nombre],0),99)*100000+317,9000000000000+317)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5">
        <f>IF(K324=1,'ORDENES'!$J320,"")</f>
        <v/>
      </c>
    </row>
    <row r="325">
      <c r="K325" s="5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5">
        <f>IF(K325=1,IFERROR(MATCH('ORDENES'!$S321,lista_dias,0),9)*1000000000+IFERROR(MATCH('ORDENES'!$AI321,lista_turnos,0),9)*10000000+IFERROR(MATCH('ORDENES'!$AH321,tblTecnicos[nombre],0),99)*100000+318,9000000000000+318)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5">
        <f>IF(K325=1,'ORDENES'!$J321,"")</f>
        <v/>
      </c>
    </row>
    <row r="326">
      <c r="K326" s="5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5">
        <f>IF(K326=1,IFERROR(MATCH('ORDENES'!$S322,lista_dias,0),9)*1000000000+IFERROR(MATCH('ORDENES'!$AI322,lista_turnos,0),9)*10000000+IFERROR(MATCH('ORDENES'!$AH322,tblTecnicos[nombre],0),99)*100000+319,9000000000000+319)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5">
        <f>IF(K326=1,'ORDENES'!$J322,"")</f>
        <v/>
      </c>
    </row>
    <row r="327">
      <c r="K327" s="5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5">
        <f>IF(K327=1,IFERROR(MATCH('ORDENES'!$S323,lista_dias,0),9)*1000000000+IFERROR(MATCH('ORDENES'!$AI323,lista_turnos,0),9)*10000000+IFERROR(MATCH('ORDENES'!$AH323,tblTecnicos[nombre],0),99)*100000+320,9000000000000+320)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5">
        <f>IF(K327=1,'ORDENES'!$J323,"")</f>
        <v/>
      </c>
    </row>
    <row r="328">
      <c r="K328" s="5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5">
        <f>IF(K328=1,IFERROR(MATCH('ORDENES'!$S324,lista_dias,0),9)*1000000000+IFERROR(MATCH('ORDENES'!$AI324,lista_turnos,0),9)*10000000+IFERROR(MATCH('ORDENES'!$AH324,tblTecnicos[nombre],0),99)*100000+321,9000000000000+321)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5">
        <f>IF(K328=1,'ORDENES'!$J324,"")</f>
        <v/>
      </c>
    </row>
    <row r="329">
      <c r="K329" s="5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5">
        <f>IF(K329=1,IFERROR(MATCH('ORDENES'!$S325,lista_dias,0),9)*1000000000+IFERROR(MATCH('ORDENES'!$AI325,lista_turnos,0),9)*10000000+IFERROR(MATCH('ORDENES'!$AH325,tblTecnicos[nombre],0),99)*100000+322,9000000000000+322)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5">
        <f>IF(K329=1,'ORDENES'!$J325,"")</f>
        <v/>
      </c>
    </row>
    <row r="330">
      <c r="K330" s="5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5">
        <f>IF(K330=1,IFERROR(MATCH('ORDENES'!$S326,lista_dias,0),9)*1000000000+IFERROR(MATCH('ORDENES'!$AI326,lista_turnos,0),9)*10000000+IFERROR(MATCH('ORDENES'!$AH326,tblTecnicos[nombre],0),99)*100000+323,9000000000000+323)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5">
        <f>IF(K330=1,'ORDENES'!$J326,"")</f>
        <v/>
      </c>
    </row>
    <row r="331">
      <c r="K331" s="5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5">
        <f>IF(K331=1,IFERROR(MATCH('ORDENES'!$S327,lista_dias,0),9)*1000000000+IFERROR(MATCH('ORDENES'!$AI327,lista_turnos,0),9)*10000000+IFERROR(MATCH('ORDENES'!$AH327,tblTecnicos[nombre],0),99)*100000+324,9000000000000+324)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5">
        <f>IF(K331=1,'ORDENES'!$J327,"")</f>
        <v/>
      </c>
    </row>
    <row r="332">
      <c r="K332" s="5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5">
        <f>IF(K332=1,IFERROR(MATCH('ORDENES'!$S328,lista_dias,0),9)*1000000000+IFERROR(MATCH('ORDENES'!$AI328,lista_turnos,0),9)*10000000+IFERROR(MATCH('ORDENES'!$AH328,tblTecnicos[nombre],0),99)*100000+325,9000000000000+325)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5">
        <f>IF(K332=1,'ORDENES'!$J328,"")</f>
        <v/>
      </c>
    </row>
    <row r="333">
      <c r="K333" s="5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5">
        <f>IF(K333=1,IFERROR(MATCH('ORDENES'!$S329,lista_dias,0),9)*1000000000+IFERROR(MATCH('ORDENES'!$AI329,lista_turnos,0),9)*10000000+IFERROR(MATCH('ORDENES'!$AH329,tblTecnicos[nombre],0),99)*100000+326,9000000000000+326)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5">
        <f>IF(K333=1,'ORDENES'!$J329,"")</f>
        <v/>
      </c>
    </row>
    <row r="334">
      <c r="K334" s="5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5">
        <f>IF(K334=1,IFERROR(MATCH('ORDENES'!$S330,lista_dias,0),9)*1000000000+IFERROR(MATCH('ORDENES'!$AI330,lista_turnos,0),9)*10000000+IFERROR(MATCH('ORDENES'!$AH330,tblTecnicos[nombre],0),99)*100000+327,9000000000000+327)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5">
        <f>IF(K334=1,'ORDENES'!$J330,"")</f>
        <v/>
      </c>
    </row>
    <row r="335">
      <c r="K335" s="5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5">
        <f>IF(K335=1,IFERROR(MATCH('ORDENES'!$S331,lista_dias,0),9)*1000000000+IFERROR(MATCH('ORDENES'!$AI331,lista_turnos,0),9)*10000000+IFERROR(MATCH('ORDENES'!$AH331,tblTecnicos[nombre],0),99)*100000+328,9000000000000+328)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5">
        <f>IF(K335=1,'ORDENES'!$J331,"")</f>
        <v/>
      </c>
    </row>
    <row r="336">
      <c r="K336" s="5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5">
        <f>IF(K336=1,IFERROR(MATCH('ORDENES'!$S332,lista_dias,0),9)*1000000000+IFERROR(MATCH('ORDENES'!$AI332,lista_turnos,0),9)*10000000+IFERROR(MATCH('ORDENES'!$AH332,tblTecnicos[nombre],0),99)*100000+329,9000000000000+329)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5">
        <f>IF(K336=1,'ORDENES'!$J332,"")</f>
        <v/>
      </c>
    </row>
    <row r="337">
      <c r="K337" s="5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5">
        <f>IF(K337=1,IFERROR(MATCH('ORDENES'!$S333,lista_dias,0),9)*1000000000+IFERROR(MATCH('ORDENES'!$AI333,lista_turnos,0),9)*10000000+IFERROR(MATCH('ORDENES'!$AH333,tblTecnicos[nombre],0),99)*100000+330,9000000000000+330)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5">
        <f>IF(K337=1,'ORDENES'!$J333,"")</f>
        <v/>
      </c>
    </row>
    <row r="338">
      <c r="K338" s="5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5">
        <f>IF(K338=1,IFERROR(MATCH('ORDENES'!$S334,lista_dias,0),9)*1000000000+IFERROR(MATCH('ORDENES'!$AI334,lista_turnos,0),9)*10000000+IFERROR(MATCH('ORDENES'!$AH334,tblTecnicos[nombre],0),99)*100000+331,9000000000000+331)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5">
        <f>IF(K338=1,'ORDENES'!$J334,"")</f>
        <v/>
      </c>
    </row>
    <row r="339">
      <c r="K339" s="5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5">
        <f>IF(K339=1,IFERROR(MATCH('ORDENES'!$S335,lista_dias,0),9)*1000000000+IFERROR(MATCH('ORDENES'!$AI335,lista_turnos,0),9)*10000000+IFERROR(MATCH('ORDENES'!$AH335,tblTecnicos[nombre],0),99)*100000+332,9000000000000+332)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5">
        <f>IF(K339=1,'ORDENES'!$J335,"")</f>
        <v/>
      </c>
    </row>
    <row r="340">
      <c r="K340" s="5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5">
        <f>IF(K340=1,IFERROR(MATCH('ORDENES'!$S336,lista_dias,0),9)*1000000000+IFERROR(MATCH('ORDENES'!$AI336,lista_turnos,0),9)*10000000+IFERROR(MATCH('ORDENES'!$AH336,tblTecnicos[nombre],0),99)*100000+333,9000000000000+333)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5">
        <f>IF(K340=1,'ORDENES'!$J336,"")</f>
        <v/>
      </c>
    </row>
    <row r="341">
      <c r="K341" s="5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5">
        <f>IF(K341=1,IFERROR(MATCH('ORDENES'!$S337,lista_dias,0),9)*1000000000+IFERROR(MATCH('ORDENES'!$AI337,lista_turnos,0),9)*10000000+IFERROR(MATCH('ORDENES'!$AH337,tblTecnicos[nombre],0),99)*100000+334,9000000000000+334)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5">
        <f>IF(K341=1,'ORDENES'!$J337,"")</f>
        <v/>
      </c>
    </row>
    <row r="342">
      <c r="K342" s="5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5">
        <f>IF(K342=1,IFERROR(MATCH('ORDENES'!$S338,lista_dias,0),9)*1000000000+IFERROR(MATCH('ORDENES'!$AI338,lista_turnos,0),9)*10000000+IFERROR(MATCH('ORDENES'!$AH338,tblTecnicos[nombre],0),99)*100000+335,9000000000000+335)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5">
        <f>IF(K342=1,'ORDENES'!$J338,"")</f>
        <v/>
      </c>
    </row>
    <row r="343">
      <c r="K343" s="5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5">
        <f>IF(K343=1,IFERROR(MATCH('ORDENES'!$S339,lista_dias,0),9)*1000000000+IFERROR(MATCH('ORDENES'!$AI339,lista_turnos,0),9)*10000000+IFERROR(MATCH('ORDENES'!$AH339,tblTecnicos[nombre],0),99)*100000+336,9000000000000+336)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5">
        <f>IF(K343=1,'ORDENES'!$J339,"")</f>
        <v/>
      </c>
    </row>
    <row r="344">
      <c r="K344" s="5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5">
        <f>IF(K344=1,IFERROR(MATCH('ORDENES'!$S340,lista_dias,0),9)*1000000000+IFERROR(MATCH('ORDENES'!$AI340,lista_turnos,0),9)*10000000+IFERROR(MATCH('ORDENES'!$AH340,tblTecnicos[nombre],0),99)*100000+337,9000000000000+337)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5">
        <f>IF(K344=1,'ORDENES'!$J340,"")</f>
        <v/>
      </c>
    </row>
    <row r="345">
      <c r="K345" s="5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5">
        <f>IF(K345=1,IFERROR(MATCH('ORDENES'!$S341,lista_dias,0),9)*1000000000+IFERROR(MATCH('ORDENES'!$AI341,lista_turnos,0),9)*10000000+IFERROR(MATCH('ORDENES'!$AH341,tblTecnicos[nombre],0),99)*100000+338,9000000000000+338)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5">
        <f>IF(K345=1,'ORDENES'!$J341,"")</f>
        <v/>
      </c>
    </row>
    <row r="346">
      <c r="K346" s="5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5">
        <f>IF(K346=1,IFERROR(MATCH('ORDENES'!$S342,lista_dias,0),9)*1000000000+IFERROR(MATCH('ORDENES'!$AI342,lista_turnos,0),9)*10000000+IFERROR(MATCH('ORDENES'!$AH342,tblTecnicos[nombre],0),99)*100000+339,9000000000000+339)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5">
        <f>IF(K346=1,'ORDENES'!$J342,"")</f>
        <v/>
      </c>
    </row>
    <row r="347">
      <c r="K347" s="5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5">
        <f>IF(K347=1,IFERROR(MATCH('ORDENES'!$S343,lista_dias,0),9)*1000000000+IFERROR(MATCH('ORDENES'!$AI343,lista_turnos,0),9)*10000000+IFERROR(MATCH('ORDENES'!$AH343,tblTecnicos[nombre],0),99)*100000+340,9000000000000+340)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5">
        <f>IF(K347=1,'ORDENES'!$J343,"")</f>
        <v/>
      </c>
    </row>
    <row r="348">
      <c r="K348" s="5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5">
        <f>IF(K348=1,IFERROR(MATCH('ORDENES'!$S344,lista_dias,0),9)*1000000000+IFERROR(MATCH('ORDENES'!$AI344,lista_turnos,0),9)*10000000+IFERROR(MATCH('ORDENES'!$AH344,tblTecnicos[nombre],0),99)*100000+341,9000000000000+341)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5">
        <f>IF(K348=1,'ORDENES'!$J344,"")</f>
        <v/>
      </c>
    </row>
    <row r="349">
      <c r="K349" s="5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5">
        <f>IF(K349=1,IFERROR(MATCH('ORDENES'!$S345,lista_dias,0),9)*1000000000+IFERROR(MATCH('ORDENES'!$AI345,lista_turnos,0),9)*10000000+IFERROR(MATCH('ORDENES'!$AH345,tblTecnicos[nombre],0),99)*100000+342,9000000000000+342)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5">
        <f>IF(K349=1,'ORDENES'!$J345,"")</f>
        <v/>
      </c>
    </row>
    <row r="350">
      <c r="K350" s="5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5">
        <f>IF(K350=1,IFERROR(MATCH('ORDENES'!$S346,lista_dias,0),9)*1000000000+IFERROR(MATCH('ORDENES'!$AI346,lista_turnos,0),9)*10000000+IFERROR(MATCH('ORDENES'!$AH346,tblTecnicos[nombre],0),99)*100000+343,9000000000000+343)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5">
        <f>IF(K350=1,'ORDENES'!$J346,"")</f>
        <v/>
      </c>
    </row>
    <row r="351">
      <c r="K351" s="5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5">
        <f>IF(K351=1,IFERROR(MATCH('ORDENES'!$S347,lista_dias,0),9)*1000000000+IFERROR(MATCH('ORDENES'!$AI347,lista_turnos,0),9)*10000000+IFERROR(MATCH('ORDENES'!$AH347,tblTecnicos[nombre],0),99)*100000+344,9000000000000+344)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5">
        <f>IF(K351=1,'ORDENES'!$J347,"")</f>
        <v/>
      </c>
    </row>
    <row r="352">
      <c r="K352" s="5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5">
        <f>IF(K352=1,IFERROR(MATCH('ORDENES'!$S348,lista_dias,0),9)*1000000000+IFERROR(MATCH('ORDENES'!$AI348,lista_turnos,0),9)*10000000+IFERROR(MATCH('ORDENES'!$AH348,tblTecnicos[nombre],0),99)*100000+345,9000000000000+345)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5">
        <f>IF(K352=1,'ORDENES'!$J348,"")</f>
        <v/>
      </c>
    </row>
    <row r="353">
      <c r="K353" s="5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5">
        <f>IF(K353=1,IFERROR(MATCH('ORDENES'!$S349,lista_dias,0),9)*1000000000+IFERROR(MATCH('ORDENES'!$AI349,lista_turnos,0),9)*10000000+IFERROR(MATCH('ORDENES'!$AH349,tblTecnicos[nombre],0),99)*100000+346,9000000000000+346)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5">
        <f>IF(K353=1,'ORDENES'!$J349,"")</f>
        <v/>
      </c>
    </row>
    <row r="354">
      <c r="K354" s="5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5">
        <f>IF(K354=1,IFERROR(MATCH('ORDENES'!$S350,lista_dias,0),9)*1000000000+IFERROR(MATCH('ORDENES'!$AI350,lista_turnos,0),9)*10000000+IFERROR(MATCH('ORDENES'!$AH350,tblTecnicos[nombre],0),99)*100000+347,9000000000000+347)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5">
        <f>IF(K354=1,'ORDENES'!$J350,"")</f>
        <v/>
      </c>
    </row>
    <row r="355">
      <c r="K355" s="5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5">
        <f>IF(K355=1,IFERROR(MATCH('ORDENES'!$S351,lista_dias,0),9)*1000000000+IFERROR(MATCH('ORDENES'!$AI351,lista_turnos,0),9)*10000000+IFERROR(MATCH('ORDENES'!$AH351,tblTecnicos[nombre],0),99)*100000+348,9000000000000+348)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5">
        <f>IF(K355=1,'ORDENES'!$J351,"")</f>
        <v/>
      </c>
    </row>
    <row r="356">
      <c r="K356" s="5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5">
        <f>IF(K356=1,IFERROR(MATCH('ORDENES'!$S352,lista_dias,0),9)*1000000000+IFERROR(MATCH('ORDENES'!$AI352,lista_turnos,0),9)*10000000+IFERROR(MATCH('ORDENES'!$AH352,tblTecnicos[nombre],0),99)*100000+349,9000000000000+349)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5">
        <f>IF(K356=1,'ORDENES'!$J352,"")</f>
        <v/>
      </c>
    </row>
    <row r="357">
      <c r="K357" s="5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5">
        <f>IF(K357=1,IFERROR(MATCH('ORDENES'!$S353,lista_dias,0),9)*1000000000+IFERROR(MATCH('ORDENES'!$AI353,lista_turnos,0),9)*10000000+IFERROR(MATCH('ORDENES'!$AH353,tblTecnicos[nombre],0),99)*100000+350,9000000000000+350)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5">
        <f>IF(K357=1,'ORDENES'!$J353,"")</f>
        <v/>
      </c>
    </row>
    <row r="358">
      <c r="K358" s="5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5">
        <f>IF(K358=1,IFERROR(MATCH('ORDENES'!$S354,lista_dias,0),9)*1000000000+IFERROR(MATCH('ORDENES'!$AI354,lista_turnos,0),9)*10000000+IFERROR(MATCH('ORDENES'!$AH354,tblTecnicos[nombre],0),99)*100000+351,9000000000000+351)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5">
        <f>IF(K358=1,'ORDENES'!$J354,"")</f>
        <v/>
      </c>
    </row>
    <row r="359">
      <c r="K359" s="5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5">
        <f>IF(K359=1,IFERROR(MATCH('ORDENES'!$S355,lista_dias,0),9)*1000000000+IFERROR(MATCH('ORDENES'!$AI355,lista_turnos,0),9)*10000000+IFERROR(MATCH('ORDENES'!$AH355,tblTecnicos[nombre],0),99)*100000+352,9000000000000+352)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5">
        <f>IF(K359=1,'ORDENES'!$J355,"")</f>
        <v/>
      </c>
    </row>
    <row r="360">
      <c r="K360" s="5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5">
        <f>IF(K360=1,IFERROR(MATCH('ORDENES'!$S356,lista_dias,0),9)*1000000000+IFERROR(MATCH('ORDENES'!$AI356,lista_turnos,0),9)*10000000+IFERROR(MATCH('ORDENES'!$AH356,tblTecnicos[nombre],0),99)*100000+353,9000000000000+353)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5">
        <f>IF(K360=1,'ORDENES'!$J356,"")</f>
        <v/>
      </c>
    </row>
    <row r="361">
      <c r="K361" s="5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5">
        <f>IF(K361=1,IFERROR(MATCH('ORDENES'!$S357,lista_dias,0),9)*1000000000+IFERROR(MATCH('ORDENES'!$AI357,lista_turnos,0),9)*10000000+IFERROR(MATCH('ORDENES'!$AH357,tblTecnicos[nombre],0),99)*100000+354,9000000000000+354)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5">
        <f>IF(K361=1,'ORDENES'!$J357,"")</f>
        <v/>
      </c>
    </row>
    <row r="362">
      <c r="K362" s="5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5">
        <f>IF(K362=1,IFERROR(MATCH('ORDENES'!$S358,lista_dias,0),9)*1000000000+IFERROR(MATCH('ORDENES'!$AI358,lista_turnos,0),9)*10000000+IFERROR(MATCH('ORDENES'!$AH358,tblTecnicos[nombre],0),99)*100000+355,9000000000000+355)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5">
        <f>IF(K362=1,'ORDENES'!$J358,"")</f>
        <v/>
      </c>
    </row>
    <row r="363">
      <c r="K363" s="5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5">
        <f>IF(K363=1,IFERROR(MATCH('ORDENES'!$S359,lista_dias,0),9)*1000000000+IFERROR(MATCH('ORDENES'!$AI359,lista_turnos,0),9)*10000000+IFERROR(MATCH('ORDENES'!$AH359,tblTecnicos[nombre],0),99)*100000+356,9000000000000+356)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5">
        <f>IF(K363=1,'ORDENES'!$J359,"")</f>
        <v/>
      </c>
    </row>
    <row r="364">
      <c r="K364" s="5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5">
        <f>IF(K364=1,IFERROR(MATCH('ORDENES'!$S360,lista_dias,0),9)*1000000000+IFERROR(MATCH('ORDENES'!$AI360,lista_turnos,0),9)*10000000+IFERROR(MATCH('ORDENES'!$AH360,tblTecnicos[nombre],0),99)*100000+357,9000000000000+357)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5">
        <f>IF(K364=1,'ORDENES'!$J360,"")</f>
        <v/>
      </c>
    </row>
    <row r="365">
      <c r="K365" s="5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5">
        <f>IF(K365=1,IFERROR(MATCH('ORDENES'!$S361,lista_dias,0),9)*1000000000+IFERROR(MATCH('ORDENES'!$AI361,lista_turnos,0),9)*10000000+IFERROR(MATCH('ORDENES'!$AH361,tblTecnicos[nombre],0),99)*100000+358,9000000000000+358)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5">
        <f>IF(K365=1,'ORDENES'!$J361,"")</f>
        <v/>
      </c>
    </row>
    <row r="366">
      <c r="K366" s="5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5">
        <f>IF(K366=1,IFERROR(MATCH('ORDENES'!$S362,lista_dias,0),9)*1000000000+IFERROR(MATCH('ORDENES'!$AI362,lista_turnos,0),9)*10000000+IFERROR(MATCH('ORDENES'!$AH362,tblTecnicos[nombre],0),99)*100000+359,9000000000000+359)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5">
        <f>IF(K366=1,'ORDENES'!$J362,"")</f>
        <v/>
      </c>
    </row>
    <row r="367">
      <c r="K367" s="5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5">
        <f>IF(K367=1,IFERROR(MATCH('ORDENES'!$S363,lista_dias,0),9)*1000000000+IFERROR(MATCH('ORDENES'!$AI363,lista_turnos,0),9)*10000000+IFERROR(MATCH('ORDENES'!$AH363,tblTecnicos[nombre],0),99)*100000+360,9000000000000+360)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5">
        <f>IF(K367=1,'ORDENES'!$J363,"")</f>
        <v/>
      </c>
    </row>
    <row r="368">
      <c r="K368" s="5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5">
        <f>IF(K368=1,IFERROR(MATCH('ORDENES'!$S364,lista_dias,0),9)*1000000000+IFERROR(MATCH('ORDENES'!$AI364,lista_turnos,0),9)*10000000+IFERROR(MATCH('ORDENES'!$AH364,tblTecnicos[nombre],0),99)*100000+361,9000000000000+361)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5">
        <f>IF(K368=1,'ORDENES'!$J364,"")</f>
        <v/>
      </c>
    </row>
    <row r="369">
      <c r="K369" s="5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5">
        <f>IF(K369=1,IFERROR(MATCH('ORDENES'!$S365,lista_dias,0),9)*1000000000+IFERROR(MATCH('ORDENES'!$AI365,lista_turnos,0),9)*10000000+IFERROR(MATCH('ORDENES'!$AH365,tblTecnicos[nombre],0),99)*100000+362,9000000000000+362)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5">
        <f>IF(K369=1,'ORDENES'!$J365,"")</f>
        <v/>
      </c>
    </row>
    <row r="370">
      <c r="K370" s="5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5">
        <f>IF(K370=1,IFERROR(MATCH('ORDENES'!$S366,lista_dias,0),9)*1000000000+IFERROR(MATCH('ORDENES'!$AI366,lista_turnos,0),9)*10000000+IFERROR(MATCH('ORDENES'!$AH366,tblTecnicos[nombre],0),99)*100000+363,9000000000000+363)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5">
        <f>IF(K370=1,'ORDENES'!$J366,"")</f>
        <v/>
      </c>
    </row>
    <row r="371">
      <c r="K371" s="5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5">
        <f>IF(K371=1,IFERROR(MATCH('ORDENES'!$S367,lista_dias,0),9)*1000000000+IFERROR(MATCH('ORDENES'!$AI367,lista_turnos,0),9)*10000000+IFERROR(MATCH('ORDENES'!$AH367,tblTecnicos[nombre],0),99)*100000+364,9000000000000+364)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5">
        <f>IF(K371=1,'ORDENES'!$J367,"")</f>
        <v/>
      </c>
    </row>
    <row r="372">
      <c r="K372" s="5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5">
        <f>IF(K372=1,IFERROR(MATCH('ORDENES'!$S368,lista_dias,0),9)*1000000000+IFERROR(MATCH('ORDENES'!$AI368,lista_turnos,0),9)*10000000+IFERROR(MATCH('ORDENES'!$AH368,tblTecnicos[nombre],0),99)*100000+365,9000000000000+365)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5">
        <f>IF(K372=1,'ORDENES'!$J368,"")</f>
        <v/>
      </c>
    </row>
    <row r="373">
      <c r="K373" s="5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5">
        <f>IF(K373=1,IFERROR(MATCH('ORDENES'!$S369,lista_dias,0),9)*1000000000+IFERROR(MATCH('ORDENES'!$AI369,lista_turnos,0),9)*10000000+IFERROR(MATCH('ORDENES'!$AH369,tblTecnicos[nombre],0),99)*100000+366,9000000000000+366)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5">
        <f>IF(K373=1,'ORDENES'!$J369,"")</f>
        <v/>
      </c>
    </row>
    <row r="374">
      <c r="K374" s="5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5">
        <f>IF(K374=1,IFERROR(MATCH('ORDENES'!$S370,lista_dias,0),9)*1000000000+IFERROR(MATCH('ORDENES'!$AI370,lista_turnos,0),9)*10000000+IFERROR(MATCH('ORDENES'!$AH370,tblTecnicos[nombre],0),99)*100000+367,9000000000000+367)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5">
        <f>IF(K374=1,'ORDENES'!$J370,"")</f>
        <v/>
      </c>
    </row>
    <row r="375">
      <c r="K375" s="5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5">
        <f>IF(K375=1,IFERROR(MATCH('ORDENES'!$S371,lista_dias,0),9)*1000000000+IFERROR(MATCH('ORDENES'!$AI371,lista_turnos,0),9)*10000000+IFERROR(MATCH('ORDENES'!$AH371,tblTecnicos[nombre],0),99)*100000+368,9000000000000+368)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5">
        <f>IF(K375=1,'ORDENES'!$J371,"")</f>
        <v/>
      </c>
    </row>
    <row r="376">
      <c r="K376" s="5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5">
        <f>IF(K376=1,IFERROR(MATCH('ORDENES'!$S372,lista_dias,0),9)*1000000000+IFERROR(MATCH('ORDENES'!$AI372,lista_turnos,0),9)*10000000+IFERROR(MATCH('ORDENES'!$AH372,tblTecnicos[nombre],0),99)*100000+369,9000000000000+369)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5">
        <f>IF(K376=1,'ORDENES'!$J372,"")</f>
        <v/>
      </c>
    </row>
    <row r="377">
      <c r="K377" s="5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5">
        <f>IF(K377=1,IFERROR(MATCH('ORDENES'!$S373,lista_dias,0),9)*1000000000+IFERROR(MATCH('ORDENES'!$AI373,lista_turnos,0),9)*10000000+IFERROR(MATCH('ORDENES'!$AH373,tblTecnicos[nombre],0),99)*100000+370,9000000000000+370)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5">
        <f>IF(K377=1,'ORDENES'!$J373,"")</f>
        <v/>
      </c>
    </row>
    <row r="378">
      <c r="K378" s="5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5">
        <f>IF(K378=1,IFERROR(MATCH('ORDENES'!$S374,lista_dias,0),9)*1000000000+IFERROR(MATCH('ORDENES'!$AI374,lista_turnos,0),9)*10000000+IFERROR(MATCH('ORDENES'!$AH374,tblTecnicos[nombre],0),99)*100000+371,9000000000000+371)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5">
        <f>IF(K378=1,'ORDENES'!$J374,"")</f>
        <v/>
      </c>
    </row>
    <row r="379">
      <c r="K379" s="5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5">
        <f>IF(K379=1,IFERROR(MATCH('ORDENES'!$S375,lista_dias,0),9)*1000000000+IFERROR(MATCH('ORDENES'!$AI375,lista_turnos,0),9)*10000000+IFERROR(MATCH('ORDENES'!$AH375,tblTecnicos[nombre],0),99)*100000+372,9000000000000+372)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5">
        <f>IF(K379=1,'ORDENES'!$J375,"")</f>
        <v/>
      </c>
    </row>
    <row r="380">
      <c r="K380" s="5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5">
        <f>IF(K380=1,IFERROR(MATCH('ORDENES'!$S376,lista_dias,0),9)*1000000000+IFERROR(MATCH('ORDENES'!$AI376,lista_turnos,0),9)*10000000+IFERROR(MATCH('ORDENES'!$AH376,tblTecnicos[nombre],0),99)*100000+373,9000000000000+373)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5">
        <f>IF(K380=1,'ORDENES'!$J376,"")</f>
        <v/>
      </c>
    </row>
    <row r="381">
      <c r="K381" s="5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5">
        <f>IF(K381=1,IFERROR(MATCH('ORDENES'!$S377,lista_dias,0),9)*1000000000+IFERROR(MATCH('ORDENES'!$AI377,lista_turnos,0),9)*10000000+IFERROR(MATCH('ORDENES'!$AH377,tblTecnicos[nombre],0),99)*100000+374,9000000000000+374)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5">
        <f>IF(K381=1,'ORDENES'!$J377,"")</f>
        <v/>
      </c>
    </row>
    <row r="382">
      <c r="K382" s="5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5">
        <f>IF(K382=1,IFERROR(MATCH('ORDENES'!$S378,lista_dias,0),9)*1000000000+IFERROR(MATCH('ORDENES'!$AI378,lista_turnos,0),9)*10000000+IFERROR(MATCH('ORDENES'!$AH378,tblTecnicos[nombre],0),99)*100000+375,9000000000000+375)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5">
        <f>IF(K382=1,'ORDENES'!$J378,"")</f>
        <v/>
      </c>
    </row>
    <row r="383">
      <c r="K383" s="5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5">
        <f>IF(K383=1,IFERROR(MATCH('ORDENES'!$S379,lista_dias,0),9)*1000000000+IFERROR(MATCH('ORDENES'!$AI379,lista_turnos,0),9)*10000000+IFERROR(MATCH('ORDENES'!$AH379,tblTecnicos[nombre],0),99)*100000+376,9000000000000+376)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5">
        <f>IF(K383=1,'ORDENES'!$J379,"")</f>
        <v/>
      </c>
    </row>
    <row r="384">
      <c r="K384" s="5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5">
        <f>IF(K384=1,IFERROR(MATCH('ORDENES'!$S380,lista_dias,0),9)*1000000000+IFERROR(MATCH('ORDENES'!$AI380,lista_turnos,0),9)*10000000+IFERROR(MATCH('ORDENES'!$AH380,tblTecnicos[nombre],0),99)*100000+377,9000000000000+377)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5">
        <f>IF(K384=1,'ORDENES'!$J380,"")</f>
        <v/>
      </c>
    </row>
    <row r="385">
      <c r="K385" s="5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5">
        <f>IF(K385=1,IFERROR(MATCH('ORDENES'!$S381,lista_dias,0),9)*1000000000+IFERROR(MATCH('ORDENES'!$AI381,lista_turnos,0),9)*10000000+IFERROR(MATCH('ORDENES'!$AH381,tblTecnicos[nombre],0),99)*100000+378,9000000000000+378)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5">
        <f>IF(K385=1,'ORDENES'!$J381,"")</f>
        <v/>
      </c>
    </row>
    <row r="386">
      <c r="K386" s="5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5">
        <f>IF(K386=1,IFERROR(MATCH('ORDENES'!$S382,lista_dias,0),9)*1000000000+IFERROR(MATCH('ORDENES'!$AI382,lista_turnos,0),9)*10000000+IFERROR(MATCH('ORDENES'!$AH382,tblTecnicos[nombre],0),99)*100000+379,9000000000000+379)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5">
        <f>IF(K386=1,'ORDENES'!$J382,"")</f>
        <v/>
      </c>
    </row>
    <row r="387">
      <c r="K387" s="5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5">
        <f>IF(K387=1,IFERROR(MATCH('ORDENES'!$S383,lista_dias,0),9)*1000000000+IFERROR(MATCH('ORDENES'!$AI383,lista_turnos,0),9)*10000000+IFERROR(MATCH('ORDENES'!$AH383,tblTecnicos[nombre],0),99)*100000+380,9000000000000+380)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5">
        <f>IF(K387=1,'ORDENES'!$J383,"")</f>
        <v/>
      </c>
    </row>
    <row r="388">
      <c r="K388" s="5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5">
        <f>IF(K388=1,IFERROR(MATCH('ORDENES'!$S384,lista_dias,0),9)*1000000000+IFERROR(MATCH('ORDENES'!$AI384,lista_turnos,0),9)*10000000+IFERROR(MATCH('ORDENES'!$AH384,tblTecnicos[nombre],0),99)*100000+381,9000000000000+381)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5">
        <f>IF(K388=1,'ORDENES'!$J384,"")</f>
        <v/>
      </c>
    </row>
    <row r="389">
      <c r="K389" s="5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5">
        <f>IF(K389=1,IFERROR(MATCH('ORDENES'!$S385,lista_dias,0),9)*1000000000+IFERROR(MATCH('ORDENES'!$AI385,lista_turnos,0),9)*10000000+IFERROR(MATCH('ORDENES'!$AH385,tblTecnicos[nombre],0),99)*100000+382,9000000000000+382)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5">
        <f>IF(K389=1,'ORDENES'!$J385,"")</f>
        <v/>
      </c>
    </row>
    <row r="390">
      <c r="K390" s="5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5">
        <f>IF(K390=1,IFERROR(MATCH('ORDENES'!$S386,lista_dias,0),9)*1000000000+IFERROR(MATCH('ORDENES'!$AI386,lista_turnos,0),9)*10000000+IFERROR(MATCH('ORDENES'!$AH386,tblTecnicos[nombre],0),99)*100000+383,9000000000000+383)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5">
        <f>IF(K390=1,'ORDENES'!$J386,"")</f>
        <v/>
      </c>
    </row>
    <row r="391">
      <c r="K391" s="5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5">
        <f>IF(K391=1,IFERROR(MATCH('ORDENES'!$S387,lista_dias,0),9)*1000000000+IFERROR(MATCH('ORDENES'!$AI387,lista_turnos,0),9)*10000000+IFERROR(MATCH('ORDENES'!$AH387,tblTecnicos[nombre],0),99)*100000+384,9000000000000+384)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5">
        <f>IF(K391=1,'ORDENES'!$J387,"")</f>
        <v/>
      </c>
    </row>
    <row r="392">
      <c r="K392" s="5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5">
        <f>IF(K392=1,IFERROR(MATCH('ORDENES'!$S388,lista_dias,0),9)*1000000000+IFERROR(MATCH('ORDENES'!$AI388,lista_turnos,0),9)*10000000+IFERROR(MATCH('ORDENES'!$AH388,tblTecnicos[nombre],0),99)*100000+385,9000000000000+385)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5">
        <f>IF(K392=1,'ORDENES'!$J388,"")</f>
        <v/>
      </c>
    </row>
    <row r="393">
      <c r="K393" s="5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5">
        <f>IF(K393=1,IFERROR(MATCH('ORDENES'!$S389,lista_dias,0),9)*1000000000+IFERROR(MATCH('ORDENES'!$AI389,lista_turnos,0),9)*10000000+IFERROR(MATCH('ORDENES'!$AH389,tblTecnicos[nombre],0),99)*100000+386,9000000000000+386)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5">
        <f>IF(K393=1,'ORDENES'!$J389,"")</f>
        <v/>
      </c>
    </row>
    <row r="394">
      <c r="K394" s="5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5">
        <f>IF(K394=1,IFERROR(MATCH('ORDENES'!$S390,lista_dias,0),9)*1000000000+IFERROR(MATCH('ORDENES'!$AI390,lista_turnos,0),9)*10000000+IFERROR(MATCH('ORDENES'!$AH390,tblTecnicos[nombre],0),99)*100000+387,9000000000000+387)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5">
        <f>IF(K394=1,'ORDENES'!$J390,"")</f>
        <v/>
      </c>
    </row>
    <row r="395">
      <c r="K395" s="5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5">
        <f>IF(K395=1,IFERROR(MATCH('ORDENES'!$S391,lista_dias,0),9)*1000000000+IFERROR(MATCH('ORDENES'!$AI391,lista_turnos,0),9)*10000000+IFERROR(MATCH('ORDENES'!$AH391,tblTecnicos[nombre],0),99)*100000+388,9000000000000+388)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5">
        <f>IF(K395=1,'ORDENES'!$J391,"")</f>
        <v/>
      </c>
    </row>
    <row r="396">
      <c r="K396" s="5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5">
        <f>IF(K396=1,IFERROR(MATCH('ORDENES'!$S392,lista_dias,0),9)*1000000000+IFERROR(MATCH('ORDENES'!$AI392,lista_turnos,0),9)*10000000+IFERROR(MATCH('ORDENES'!$AH392,tblTecnicos[nombre],0),99)*100000+389,9000000000000+389)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5">
        <f>IF(K396=1,'ORDENES'!$J392,"")</f>
        <v/>
      </c>
    </row>
    <row r="397">
      <c r="K397" s="5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5">
        <f>IF(K397=1,IFERROR(MATCH('ORDENES'!$S393,lista_dias,0),9)*1000000000+IFERROR(MATCH('ORDENES'!$AI393,lista_turnos,0),9)*10000000+IFERROR(MATCH('ORDENES'!$AH393,tblTecnicos[nombre],0),99)*100000+390,9000000000000+390)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5">
        <f>IF(K397=1,'ORDENES'!$J393,"")</f>
        <v/>
      </c>
    </row>
    <row r="398">
      <c r="K398" s="5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5">
        <f>IF(K398=1,IFERROR(MATCH('ORDENES'!$S394,lista_dias,0),9)*1000000000+IFERROR(MATCH('ORDENES'!$AI394,lista_turnos,0),9)*10000000+IFERROR(MATCH('ORDENES'!$AH394,tblTecnicos[nombre],0),99)*100000+391,9000000000000+391)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5">
        <f>IF(K398=1,'ORDENES'!$J394,"")</f>
        <v/>
      </c>
    </row>
    <row r="399">
      <c r="K399" s="5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5">
        <f>IF(K399=1,IFERROR(MATCH('ORDENES'!$S395,lista_dias,0),9)*1000000000+IFERROR(MATCH('ORDENES'!$AI395,lista_turnos,0),9)*10000000+IFERROR(MATCH('ORDENES'!$AH395,tblTecnicos[nombre],0),99)*100000+392,9000000000000+392)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5">
        <f>IF(K399=1,'ORDENES'!$J395,"")</f>
        <v/>
      </c>
    </row>
    <row r="400">
      <c r="K400" s="5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5">
        <f>IF(K400=1,IFERROR(MATCH('ORDENES'!$S396,lista_dias,0),9)*1000000000+IFERROR(MATCH('ORDENES'!$AI396,lista_turnos,0),9)*10000000+IFERROR(MATCH('ORDENES'!$AH396,tblTecnicos[nombre],0),99)*100000+393,9000000000000+393)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5">
        <f>IF(K400=1,'ORDENES'!$J396,"")</f>
        <v/>
      </c>
    </row>
    <row r="401">
      <c r="K401" s="5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5">
        <f>IF(K401=1,IFERROR(MATCH('ORDENES'!$S397,lista_dias,0),9)*1000000000+IFERROR(MATCH('ORDENES'!$AI397,lista_turnos,0),9)*10000000+IFERROR(MATCH('ORDENES'!$AH397,tblTecnicos[nombre],0),99)*100000+394,9000000000000+394)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5">
        <f>IF(K401=1,'ORDENES'!$J397,"")</f>
        <v/>
      </c>
    </row>
    <row r="402">
      <c r="K402" s="5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5">
        <f>IF(K402=1,IFERROR(MATCH('ORDENES'!$S398,lista_dias,0),9)*1000000000+IFERROR(MATCH('ORDENES'!$AI398,lista_turnos,0),9)*10000000+IFERROR(MATCH('ORDENES'!$AH398,tblTecnicos[nombre],0),99)*100000+395,9000000000000+395)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5">
        <f>IF(K402=1,'ORDENES'!$J398,"")</f>
        <v/>
      </c>
    </row>
    <row r="403">
      <c r="K403" s="5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5">
        <f>IF(K403=1,IFERROR(MATCH('ORDENES'!$S399,lista_dias,0),9)*1000000000+IFERROR(MATCH('ORDENES'!$AI399,lista_turnos,0),9)*10000000+IFERROR(MATCH('ORDENES'!$AH399,tblTecnicos[nombre],0),99)*100000+396,9000000000000+396)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5">
        <f>IF(K403=1,'ORDENES'!$J399,"")</f>
        <v/>
      </c>
    </row>
    <row r="404">
      <c r="K404" s="5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5">
        <f>IF(K404=1,IFERROR(MATCH('ORDENES'!$S400,lista_dias,0),9)*1000000000+IFERROR(MATCH('ORDENES'!$AI400,lista_turnos,0),9)*10000000+IFERROR(MATCH('ORDENES'!$AH400,tblTecnicos[nombre],0),99)*100000+397,9000000000000+397)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5">
        <f>IF(K404=1,'ORDENES'!$J400,"")</f>
        <v/>
      </c>
    </row>
    <row r="405">
      <c r="K405" s="5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5">
        <f>IF(K405=1,IFERROR(MATCH('ORDENES'!$S401,lista_dias,0),9)*1000000000+IFERROR(MATCH('ORDENES'!$AI401,lista_turnos,0),9)*10000000+IFERROR(MATCH('ORDENES'!$AH401,tblTecnicos[nombre],0),99)*100000+398,9000000000000+398)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5">
        <f>IF(K405=1,'ORDENES'!$J401,"")</f>
        <v/>
      </c>
    </row>
    <row r="406">
      <c r="K406" s="5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5">
        <f>IF(K406=1,IFERROR(MATCH('ORDENES'!$S402,lista_dias,0),9)*1000000000+IFERROR(MATCH('ORDENES'!$AI402,lista_turnos,0),9)*10000000+IFERROR(MATCH('ORDENES'!$AH402,tblTecnicos[nombre],0),99)*100000+399,9000000000000+399)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5">
        <f>IF(K406=1,'ORDENES'!$J402,"")</f>
        <v/>
      </c>
    </row>
    <row r="407">
      <c r="K407" s="5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5">
        <f>IF(K407=1,IFERROR(MATCH('ORDENES'!$S403,lista_dias,0),9)*1000000000+IFERROR(MATCH('ORDENES'!$AI403,lista_turnos,0),9)*10000000+IFERROR(MATCH('ORDENES'!$AH403,tblTecnicos[nombre],0),99)*100000+400,9000000000000+400)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5">
        <f>IF(K407=1,'ORDENES'!$J403,"")</f>
        <v/>
      </c>
    </row>
    <row r="408">
      <c r="K408" s="5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5">
        <f>IF(K408=1,IFERROR(MATCH('ORDENES'!$S404,lista_dias,0),9)*1000000000+IFERROR(MATCH('ORDENES'!$AI404,lista_turnos,0),9)*10000000+IFERROR(MATCH('ORDENES'!$AH404,tblTecnicos[nombre],0),99)*100000+401,9000000000000+401)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5">
        <f>IF(K408=1,'ORDENES'!$J404,"")</f>
        <v/>
      </c>
    </row>
    <row r="409">
      <c r="K409" s="5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5">
        <f>IF(K409=1,IFERROR(MATCH('ORDENES'!$S405,lista_dias,0),9)*1000000000+IFERROR(MATCH('ORDENES'!$AI405,lista_turnos,0),9)*10000000+IFERROR(MATCH('ORDENES'!$AH405,tblTecnicos[nombre],0),99)*100000+402,9000000000000+402)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5">
        <f>IF(K409=1,'ORDENES'!$J405,"")</f>
        <v/>
      </c>
    </row>
    <row r="410">
      <c r="K410" s="5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5">
        <f>IF(K410=1,IFERROR(MATCH('ORDENES'!$S406,lista_dias,0),9)*1000000000+IFERROR(MATCH('ORDENES'!$AI406,lista_turnos,0),9)*10000000+IFERROR(MATCH('ORDENES'!$AH406,tblTecnicos[nombre],0),99)*100000+403,9000000000000+403)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5">
        <f>IF(K410=1,'ORDENES'!$J406,"")</f>
        <v/>
      </c>
    </row>
    <row r="411">
      <c r="K411" s="5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5">
        <f>IF(K411=1,IFERROR(MATCH('ORDENES'!$S407,lista_dias,0),9)*1000000000+IFERROR(MATCH('ORDENES'!$AI407,lista_turnos,0),9)*10000000+IFERROR(MATCH('ORDENES'!$AH407,tblTecnicos[nombre],0),99)*100000+404,9000000000000+404)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5">
        <f>IF(K411=1,'ORDENES'!$J407,"")</f>
        <v/>
      </c>
    </row>
    <row r="412">
      <c r="K412" s="5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5">
        <f>IF(K412=1,IFERROR(MATCH('ORDENES'!$S408,lista_dias,0),9)*1000000000+IFERROR(MATCH('ORDENES'!$AI408,lista_turnos,0),9)*10000000+IFERROR(MATCH('ORDENES'!$AH408,tblTecnicos[nombre],0),99)*100000+405,9000000000000+405)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5">
        <f>IF(K412=1,'ORDENES'!$J408,"")</f>
        <v/>
      </c>
    </row>
    <row r="413">
      <c r="K413" s="5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5">
        <f>IF(K413=1,IFERROR(MATCH('ORDENES'!$S409,lista_dias,0),9)*1000000000+IFERROR(MATCH('ORDENES'!$AI409,lista_turnos,0),9)*10000000+IFERROR(MATCH('ORDENES'!$AH409,tblTecnicos[nombre],0),99)*100000+406,9000000000000+406)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5">
        <f>IF(K413=1,'ORDENES'!$J409,"")</f>
        <v/>
      </c>
    </row>
    <row r="414">
      <c r="K414" s="5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5">
        <f>IF(K414=1,IFERROR(MATCH('ORDENES'!$S410,lista_dias,0),9)*1000000000+IFERROR(MATCH('ORDENES'!$AI410,lista_turnos,0),9)*10000000+IFERROR(MATCH('ORDENES'!$AH410,tblTecnicos[nombre],0),99)*100000+407,9000000000000+407)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5">
        <f>IF(K414=1,'ORDENES'!$J410,"")</f>
        <v/>
      </c>
    </row>
    <row r="415">
      <c r="K415" s="5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5">
        <f>IF(K415=1,IFERROR(MATCH('ORDENES'!$S411,lista_dias,0),9)*1000000000+IFERROR(MATCH('ORDENES'!$AI411,lista_turnos,0),9)*10000000+IFERROR(MATCH('ORDENES'!$AH411,tblTecnicos[nombre],0),99)*100000+408,9000000000000+408)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5">
        <f>IF(K415=1,'ORDENES'!$J411,"")</f>
        <v/>
      </c>
    </row>
    <row r="416">
      <c r="K416" s="5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5">
        <f>IF(K416=1,IFERROR(MATCH('ORDENES'!$S412,lista_dias,0),9)*1000000000+IFERROR(MATCH('ORDENES'!$AI412,lista_turnos,0),9)*10000000+IFERROR(MATCH('ORDENES'!$AH412,tblTecnicos[nombre],0),99)*100000+409,9000000000000+409)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5">
        <f>IF(K416=1,'ORDENES'!$J412,"")</f>
        <v/>
      </c>
    </row>
    <row r="417">
      <c r="K417" s="5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5">
        <f>IF(K417=1,IFERROR(MATCH('ORDENES'!$S413,lista_dias,0),9)*1000000000+IFERROR(MATCH('ORDENES'!$AI413,lista_turnos,0),9)*10000000+IFERROR(MATCH('ORDENES'!$AH413,tblTecnicos[nombre],0),99)*100000+410,9000000000000+410)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5">
        <f>IF(K417=1,'ORDENES'!$J413,"")</f>
        <v/>
      </c>
    </row>
    <row r="418">
      <c r="K418" s="5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5">
        <f>IF(K418=1,IFERROR(MATCH('ORDENES'!$S414,lista_dias,0),9)*1000000000+IFERROR(MATCH('ORDENES'!$AI414,lista_turnos,0),9)*10000000+IFERROR(MATCH('ORDENES'!$AH414,tblTecnicos[nombre],0),99)*100000+411,9000000000000+411)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5">
        <f>IF(K418=1,'ORDENES'!$J414,"")</f>
        <v/>
      </c>
    </row>
    <row r="419">
      <c r="K419" s="5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5">
        <f>IF(K419=1,IFERROR(MATCH('ORDENES'!$S415,lista_dias,0),9)*1000000000+IFERROR(MATCH('ORDENES'!$AI415,lista_turnos,0),9)*10000000+IFERROR(MATCH('ORDENES'!$AH415,tblTecnicos[nombre],0),99)*100000+412,9000000000000+412)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5">
        <f>IF(K419=1,'ORDENES'!$J415,"")</f>
        <v/>
      </c>
    </row>
    <row r="420">
      <c r="K420" s="5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5">
        <f>IF(K420=1,IFERROR(MATCH('ORDENES'!$S416,lista_dias,0),9)*1000000000+IFERROR(MATCH('ORDENES'!$AI416,lista_turnos,0),9)*10000000+IFERROR(MATCH('ORDENES'!$AH416,tblTecnicos[nombre],0),99)*100000+413,9000000000000+413)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5">
        <f>IF(K420=1,'ORDENES'!$J416,"")</f>
        <v/>
      </c>
    </row>
    <row r="421">
      <c r="K421" s="5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5">
        <f>IF(K421=1,IFERROR(MATCH('ORDENES'!$S417,lista_dias,0),9)*1000000000+IFERROR(MATCH('ORDENES'!$AI417,lista_turnos,0),9)*10000000+IFERROR(MATCH('ORDENES'!$AH417,tblTecnicos[nombre],0),99)*100000+414,9000000000000+414)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5">
        <f>IF(K421=1,'ORDENES'!$J417,"")</f>
        <v/>
      </c>
    </row>
    <row r="422">
      <c r="K422" s="5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5">
        <f>IF(K422=1,IFERROR(MATCH('ORDENES'!$S418,lista_dias,0),9)*1000000000+IFERROR(MATCH('ORDENES'!$AI418,lista_turnos,0),9)*10000000+IFERROR(MATCH('ORDENES'!$AH418,tblTecnicos[nombre],0),99)*100000+415,9000000000000+415)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5">
        <f>IF(K422=1,'ORDENES'!$J418,"")</f>
        <v/>
      </c>
    </row>
    <row r="423">
      <c r="K423" s="5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5">
        <f>IF(K423=1,IFERROR(MATCH('ORDENES'!$S419,lista_dias,0),9)*1000000000+IFERROR(MATCH('ORDENES'!$AI419,lista_turnos,0),9)*10000000+IFERROR(MATCH('ORDENES'!$AH419,tblTecnicos[nombre],0),99)*100000+416,9000000000000+416)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5">
        <f>IF(K423=1,'ORDENES'!$J419,"")</f>
        <v/>
      </c>
    </row>
    <row r="424">
      <c r="K424" s="5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5">
        <f>IF(K424=1,IFERROR(MATCH('ORDENES'!$S420,lista_dias,0),9)*1000000000+IFERROR(MATCH('ORDENES'!$AI420,lista_turnos,0),9)*10000000+IFERROR(MATCH('ORDENES'!$AH420,tblTecnicos[nombre],0),99)*100000+417,9000000000000+417)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5">
        <f>IF(K424=1,'ORDENES'!$J420,"")</f>
        <v/>
      </c>
    </row>
    <row r="425">
      <c r="K425" s="5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5">
        <f>IF(K425=1,IFERROR(MATCH('ORDENES'!$S421,lista_dias,0),9)*1000000000+IFERROR(MATCH('ORDENES'!$AI421,lista_turnos,0),9)*10000000+IFERROR(MATCH('ORDENES'!$AH421,tblTecnicos[nombre],0),99)*100000+418,9000000000000+418)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5">
        <f>IF(K425=1,'ORDENES'!$J421,"")</f>
        <v/>
      </c>
    </row>
    <row r="426">
      <c r="K426" s="5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5">
        <f>IF(K426=1,IFERROR(MATCH('ORDENES'!$S422,lista_dias,0),9)*1000000000+IFERROR(MATCH('ORDENES'!$AI422,lista_turnos,0),9)*10000000+IFERROR(MATCH('ORDENES'!$AH422,tblTecnicos[nombre],0),99)*100000+419,9000000000000+419)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5">
        <f>IF(K426=1,'ORDENES'!$J422,"")</f>
        <v/>
      </c>
    </row>
    <row r="427">
      <c r="K427" s="5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5">
        <f>IF(K427=1,IFERROR(MATCH('ORDENES'!$S423,lista_dias,0),9)*1000000000+IFERROR(MATCH('ORDENES'!$AI423,lista_turnos,0),9)*10000000+IFERROR(MATCH('ORDENES'!$AH423,tblTecnicos[nombre],0),99)*100000+420,9000000000000+420)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5">
        <f>IF(K427=1,'ORDENES'!$J423,"")</f>
        <v/>
      </c>
    </row>
    <row r="428">
      <c r="K428" s="5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5">
        <f>IF(K428=1,IFERROR(MATCH('ORDENES'!$S424,lista_dias,0),9)*1000000000+IFERROR(MATCH('ORDENES'!$AI424,lista_turnos,0),9)*10000000+IFERROR(MATCH('ORDENES'!$AH424,tblTecnicos[nombre],0),99)*100000+421,9000000000000+421)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5">
        <f>IF(K428=1,'ORDENES'!$J424,"")</f>
        <v/>
      </c>
    </row>
    <row r="429">
      <c r="K429" s="5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5">
        <f>IF(K429=1,IFERROR(MATCH('ORDENES'!$S425,lista_dias,0),9)*1000000000+IFERROR(MATCH('ORDENES'!$AI425,lista_turnos,0),9)*10000000+IFERROR(MATCH('ORDENES'!$AH425,tblTecnicos[nombre],0),99)*100000+422,9000000000000+422)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5">
        <f>IF(K429=1,'ORDENES'!$J425,"")</f>
        <v/>
      </c>
    </row>
    <row r="430">
      <c r="K430" s="5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5">
        <f>IF(K430=1,IFERROR(MATCH('ORDENES'!$S426,lista_dias,0),9)*1000000000+IFERROR(MATCH('ORDENES'!$AI426,lista_turnos,0),9)*10000000+IFERROR(MATCH('ORDENES'!$AH426,tblTecnicos[nombre],0),99)*100000+423,9000000000000+423)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5">
        <f>IF(K430=1,'ORDENES'!$J426,"")</f>
        <v/>
      </c>
    </row>
    <row r="431">
      <c r="K431" s="5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5">
        <f>IF(K431=1,IFERROR(MATCH('ORDENES'!$S427,lista_dias,0),9)*1000000000+IFERROR(MATCH('ORDENES'!$AI427,lista_turnos,0),9)*10000000+IFERROR(MATCH('ORDENES'!$AH427,tblTecnicos[nombre],0),99)*100000+424,9000000000000+424)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5">
        <f>IF(K431=1,'ORDENES'!$J427,"")</f>
        <v/>
      </c>
    </row>
    <row r="432">
      <c r="K432" s="5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5">
        <f>IF(K432=1,IFERROR(MATCH('ORDENES'!$S428,lista_dias,0),9)*1000000000+IFERROR(MATCH('ORDENES'!$AI428,lista_turnos,0),9)*10000000+IFERROR(MATCH('ORDENES'!$AH428,tblTecnicos[nombre],0),99)*100000+425,9000000000000+425)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5">
        <f>IF(K432=1,'ORDENES'!$J428,"")</f>
        <v/>
      </c>
    </row>
    <row r="433">
      <c r="K433" s="5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5">
        <f>IF(K433=1,IFERROR(MATCH('ORDENES'!$S429,lista_dias,0),9)*1000000000+IFERROR(MATCH('ORDENES'!$AI429,lista_turnos,0),9)*10000000+IFERROR(MATCH('ORDENES'!$AH429,tblTecnicos[nombre],0),99)*100000+426,9000000000000+426)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5">
        <f>IF(K433=1,'ORDENES'!$J429,"")</f>
        <v/>
      </c>
    </row>
    <row r="434">
      <c r="K434" s="5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5">
        <f>IF(K434=1,IFERROR(MATCH('ORDENES'!$S430,lista_dias,0),9)*1000000000+IFERROR(MATCH('ORDENES'!$AI430,lista_turnos,0),9)*10000000+IFERROR(MATCH('ORDENES'!$AH430,tblTecnicos[nombre],0),99)*100000+427,9000000000000+427)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5">
        <f>IF(K434=1,'ORDENES'!$J430,"")</f>
        <v/>
      </c>
    </row>
    <row r="435">
      <c r="K435" s="5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5">
        <f>IF(K435=1,IFERROR(MATCH('ORDENES'!$S431,lista_dias,0),9)*1000000000+IFERROR(MATCH('ORDENES'!$AI431,lista_turnos,0),9)*10000000+IFERROR(MATCH('ORDENES'!$AH431,tblTecnicos[nombre],0),99)*100000+428,9000000000000+428)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5">
        <f>IF(K435=1,'ORDENES'!$J431,"")</f>
        <v/>
      </c>
    </row>
    <row r="436">
      <c r="K436" s="5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5">
        <f>IF(K436=1,IFERROR(MATCH('ORDENES'!$S432,lista_dias,0),9)*1000000000+IFERROR(MATCH('ORDENES'!$AI432,lista_turnos,0),9)*10000000+IFERROR(MATCH('ORDENES'!$AH432,tblTecnicos[nombre],0),99)*100000+429,9000000000000+429)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5">
        <f>IF(K436=1,'ORDENES'!$J432,"")</f>
        <v/>
      </c>
    </row>
    <row r="437">
      <c r="K437" s="5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5">
        <f>IF(K437=1,IFERROR(MATCH('ORDENES'!$S433,lista_dias,0),9)*1000000000+IFERROR(MATCH('ORDENES'!$AI433,lista_turnos,0),9)*10000000+IFERROR(MATCH('ORDENES'!$AH433,tblTecnicos[nombre],0),99)*100000+430,9000000000000+430)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5">
        <f>IF(K437=1,'ORDENES'!$J433,"")</f>
        <v/>
      </c>
    </row>
    <row r="438">
      <c r="K438" s="5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5">
        <f>IF(K438=1,IFERROR(MATCH('ORDENES'!$S434,lista_dias,0),9)*1000000000+IFERROR(MATCH('ORDENES'!$AI434,lista_turnos,0),9)*10000000+IFERROR(MATCH('ORDENES'!$AH434,tblTecnicos[nombre],0),99)*100000+431,9000000000000+431)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5">
        <f>IF(K438=1,'ORDENES'!$J434,"")</f>
        <v/>
      </c>
    </row>
    <row r="439">
      <c r="K439" s="5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5">
        <f>IF(K439=1,IFERROR(MATCH('ORDENES'!$S435,lista_dias,0),9)*1000000000+IFERROR(MATCH('ORDENES'!$AI435,lista_turnos,0),9)*10000000+IFERROR(MATCH('ORDENES'!$AH435,tblTecnicos[nombre],0),99)*100000+432,9000000000000+432)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5">
        <f>IF(K439=1,'ORDENES'!$J435,"")</f>
        <v/>
      </c>
    </row>
    <row r="440">
      <c r="K440" s="5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5">
        <f>IF(K440=1,IFERROR(MATCH('ORDENES'!$S436,lista_dias,0),9)*1000000000+IFERROR(MATCH('ORDENES'!$AI436,lista_turnos,0),9)*10000000+IFERROR(MATCH('ORDENES'!$AH436,tblTecnicos[nombre],0),99)*100000+433,9000000000000+433)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5">
        <f>IF(K440=1,'ORDENES'!$J436,"")</f>
        <v/>
      </c>
    </row>
    <row r="441">
      <c r="K441" s="5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5">
        <f>IF(K441=1,IFERROR(MATCH('ORDENES'!$S437,lista_dias,0),9)*1000000000+IFERROR(MATCH('ORDENES'!$AI437,lista_turnos,0),9)*10000000+IFERROR(MATCH('ORDENES'!$AH437,tblTecnicos[nombre],0),99)*100000+434,9000000000000+434)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5">
        <f>IF(K441=1,'ORDENES'!$J437,"")</f>
        <v/>
      </c>
    </row>
    <row r="442">
      <c r="K442" s="5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5">
        <f>IF(K442=1,IFERROR(MATCH('ORDENES'!$S438,lista_dias,0),9)*1000000000+IFERROR(MATCH('ORDENES'!$AI438,lista_turnos,0),9)*10000000+IFERROR(MATCH('ORDENES'!$AH438,tblTecnicos[nombre],0),99)*100000+435,9000000000000+435)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5">
        <f>IF(K442=1,'ORDENES'!$J438,"")</f>
        <v/>
      </c>
    </row>
    <row r="443">
      <c r="K443" s="5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5">
        <f>IF(K443=1,IFERROR(MATCH('ORDENES'!$S439,lista_dias,0),9)*1000000000+IFERROR(MATCH('ORDENES'!$AI439,lista_turnos,0),9)*10000000+IFERROR(MATCH('ORDENES'!$AH439,tblTecnicos[nombre],0),99)*100000+436,9000000000000+436)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5">
        <f>IF(K443=1,'ORDENES'!$J439,"")</f>
        <v/>
      </c>
    </row>
    <row r="444">
      <c r="K444" s="5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5">
        <f>IF(K444=1,IFERROR(MATCH('ORDENES'!$S440,lista_dias,0),9)*1000000000+IFERROR(MATCH('ORDENES'!$AI440,lista_turnos,0),9)*10000000+IFERROR(MATCH('ORDENES'!$AH440,tblTecnicos[nombre],0),99)*100000+437,9000000000000+437)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5">
        <f>IF(K444=1,'ORDENES'!$J440,"")</f>
        <v/>
      </c>
    </row>
    <row r="445">
      <c r="K445" s="5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5">
        <f>IF(K445=1,IFERROR(MATCH('ORDENES'!$S441,lista_dias,0),9)*1000000000+IFERROR(MATCH('ORDENES'!$AI441,lista_turnos,0),9)*10000000+IFERROR(MATCH('ORDENES'!$AH441,tblTecnicos[nombre],0),99)*100000+438,9000000000000+438)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5">
        <f>IF(K445=1,'ORDENES'!$J441,"")</f>
        <v/>
      </c>
    </row>
    <row r="446">
      <c r="K446" s="5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5">
        <f>IF(K446=1,IFERROR(MATCH('ORDENES'!$S442,lista_dias,0),9)*1000000000+IFERROR(MATCH('ORDENES'!$AI442,lista_turnos,0),9)*10000000+IFERROR(MATCH('ORDENES'!$AH442,tblTecnicos[nombre],0),99)*100000+439,9000000000000+439)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5">
        <f>IF(K446=1,'ORDENES'!$J442,"")</f>
        <v/>
      </c>
    </row>
    <row r="447">
      <c r="K447" s="5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5">
        <f>IF(K447=1,IFERROR(MATCH('ORDENES'!$S443,lista_dias,0),9)*1000000000+IFERROR(MATCH('ORDENES'!$AI443,lista_turnos,0),9)*10000000+IFERROR(MATCH('ORDENES'!$AH443,tblTecnicos[nombre],0),99)*100000+440,9000000000000+440)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5">
        <f>IF(K447=1,'ORDENES'!$J443,"")</f>
        <v/>
      </c>
    </row>
    <row r="448">
      <c r="K448" s="5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5">
        <f>IF(K448=1,IFERROR(MATCH('ORDENES'!$S444,lista_dias,0),9)*1000000000+IFERROR(MATCH('ORDENES'!$AI444,lista_turnos,0),9)*10000000+IFERROR(MATCH('ORDENES'!$AH444,tblTecnicos[nombre],0),99)*100000+441,9000000000000+441)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5">
        <f>IF(K448=1,'ORDENES'!$J444,"")</f>
        <v/>
      </c>
    </row>
    <row r="449">
      <c r="K449" s="5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5">
        <f>IF(K449=1,IFERROR(MATCH('ORDENES'!$S445,lista_dias,0),9)*1000000000+IFERROR(MATCH('ORDENES'!$AI445,lista_turnos,0),9)*10000000+IFERROR(MATCH('ORDENES'!$AH445,tblTecnicos[nombre],0),99)*100000+442,9000000000000+442)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5">
        <f>IF(K449=1,'ORDENES'!$J445,"")</f>
        <v/>
      </c>
    </row>
    <row r="450">
      <c r="K450" s="5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5">
        <f>IF(K450=1,IFERROR(MATCH('ORDENES'!$S446,lista_dias,0),9)*1000000000+IFERROR(MATCH('ORDENES'!$AI446,lista_turnos,0),9)*10000000+IFERROR(MATCH('ORDENES'!$AH446,tblTecnicos[nombre],0),99)*100000+443,9000000000000+443)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5">
        <f>IF(K450=1,'ORDENES'!$J446,"")</f>
        <v/>
      </c>
    </row>
    <row r="451">
      <c r="K451" s="5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5">
        <f>IF(K451=1,IFERROR(MATCH('ORDENES'!$S447,lista_dias,0),9)*1000000000+IFERROR(MATCH('ORDENES'!$AI447,lista_turnos,0),9)*10000000+IFERROR(MATCH('ORDENES'!$AH447,tblTecnicos[nombre],0),99)*100000+444,9000000000000+444)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5">
        <f>IF(K451=1,'ORDENES'!$J447,"")</f>
        <v/>
      </c>
    </row>
    <row r="452">
      <c r="K452" s="5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5">
        <f>IF(K452=1,IFERROR(MATCH('ORDENES'!$S448,lista_dias,0),9)*1000000000+IFERROR(MATCH('ORDENES'!$AI448,lista_turnos,0),9)*10000000+IFERROR(MATCH('ORDENES'!$AH448,tblTecnicos[nombre],0),99)*100000+445,9000000000000+445)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5">
        <f>IF(K452=1,'ORDENES'!$J448,"")</f>
        <v/>
      </c>
    </row>
    <row r="453">
      <c r="K453" s="5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5">
        <f>IF(K453=1,IFERROR(MATCH('ORDENES'!$S449,lista_dias,0),9)*1000000000+IFERROR(MATCH('ORDENES'!$AI449,lista_turnos,0),9)*10000000+IFERROR(MATCH('ORDENES'!$AH449,tblTecnicos[nombre],0),99)*100000+446,9000000000000+446)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5">
        <f>IF(K453=1,'ORDENES'!$J449,"")</f>
        <v/>
      </c>
    </row>
    <row r="454">
      <c r="K454" s="5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5">
        <f>IF(K454=1,IFERROR(MATCH('ORDENES'!$S450,lista_dias,0),9)*1000000000+IFERROR(MATCH('ORDENES'!$AI450,lista_turnos,0),9)*10000000+IFERROR(MATCH('ORDENES'!$AH450,tblTecnicos[nombre],0),99)*100000+447,9000000000000+447)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5">
        <f>IF(K454=1,'ORDENES'!$J450,"")</f>
        <v/>
      </c>
    </row>
    <row r="455">
      <c r="K455" s="5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5">
        <f>IF(K455=1,IFERROR(MATCH('ORDENES'!$S451,lista_dias,0),9)*1000000000+IFERROR(MATCH('ORDENES'!$AI451,lista_turnos,0),9)*10000000+IFERROR(MATCH('ORDENES'!$AH451,tblTecnicos[nombre],0),99)*100000+448,9000000000000+448)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5">
        <f>IF(K455=1,'ORDENES'!$J451,"")</f>
        <v/>
      </c>
    </row>
    <row r="456">
      <c r="K456" s="5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5">
        <f>IF(K456=1,IFERROR(MATCH('ORDENES'!$S452,lista_dias,0),9)*1000000000+IFERROR(MATCH('ORDENES'!$AI452,lista_turnos,0),9)*10000000+IFERROR(MATCH('ORDENES'!$AH452,tblTecnicos[nombre],0),99)*100000+449,9000000000000+449)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5">
        <f>IF(K456=1,'ORDENES'!$J452,"")</f>
        <v/>
      </c>
    </row>
    <row r="457">
      <c r="K457" s="5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5">
        <f>IF(K457=1,IFERROR(MATCH('ORDENES'!$S453,lista_dias,0),9)*1000000000+IFERROR(MATCH('ORDENES'!$AI453,lista_turnos,0),9)*10000000+IFERROR(MATCH('ORDENES'!$AH453,tblTecnicos[nombre],0),99)*100000+450,9000000000000+450)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5">
        <f>IF(K457=1,'ORDENES'!$J453,"")</f>
        <v/>
      </c>
    </row>
    <row r="458">
      <c r="K458" s="5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5">
        <f>IF(K458=1,IFERROR(MATCH('ORDENES'!$S454,lista_dias,0),9)*1000000000+IFERROR(MATCH('ORDENES'!$AI454,lista_turnos,0),9)*10000000+IFERROR(MATCH('ORDENES'!$AH454,tblTecnicos[nombre],0),99)*100000+451,9000000000000+451)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5">
        <f>IF(K458=1,'ORDENES'!$J454,"")</f>
        <v/>
      </c>
    </row>
    <row r="459">
      <c r="K459" s="5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5">
        <f>IF(K459=1,IFERROR(MATCH('ORDENES'!$S455,lista_dias,0),9)*1000000000+IFERROR(MATCH('ORDENES'!$AI455,lista_turnos,0),9)*10000000+IFERROR(MATCH('ORDENES'!$AH455,tblTecnicos[nombre],0),99)*100000+452,9000000000000+452)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5">
        <f>IF(K459=1,'ORDENES'!$J455,"")</f>
        <v/>
      </c>
    </row>
    <row r="460">
      <c r="K460" s="5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5">
        <f>IF(K460=1,IFERROR(MATCH('ORDENES'!$S456,lista_dias,0),9)*1000000000+IFERROR(MATCH('ORDENES'!$AI456,lista_turnos,0),9)*10000000+IFERROR(MATCH('ORDENES'!$AH456,tblTecnicos[nombre],0),99)*100000+453,9000000000000+453)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5">
        <f>IF(K460=1,'ORDENES'!$J456,"")</f>
        <v/>
      </c>
    </row>
    <row r="461">
      <c r="K461" s="5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5">
        <f>IF(K461=1,IFERROR(MATCH('ORDENES'!$S457,lista_dias,0),9)*1000000000+IFERROR(MATCH('ORDENES'!$AI457,lista_turnos,0),9)*10000000+IFERROR(MATCH('ORDENES'!$AH457,tblTecnicos[nombre],0),99)*100000+454,9000000000000+454)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5">
        <f>IF(K461=1,'ORDENES'!$J457,"")</f>
        <v/>
      </c>
    </row>
    <row r="462">
      <c r="K462" s="5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5">
        <f>IF(K462=1,IFERROR(MATCH('ORDENES'!$S458,lista_dias,0),9)*1000000000+IFERROR(MATCH('ORDENES'!$AI458,lista_turnos,0),9)*10000000+IFERROR(MATCH('ORDENES'!$AH458,tblTecnicos[nombre],0),99)*100000+455,9000000000000+455)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5">
        <f>IF(K462=1,'ORDENES'!$J458,"")</f>
        <v/>
      </c>
    </row>
    <row r="463">
      <c r="K463" s="5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5">
        <f>IF(K463=1,IFERROR(MATCH('ORDENES'!$S459,lista_dias,0),9)*1000000000+IFERROR(MATCH('ORDENES'!$AI459,lista_turnos,0),9)*10000000+IFERROR(MATCH('ORDENES'!$AH459,tblTecnicos[nombre],0),99)*100000+456,9000000000000+456)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5">
        <f>IF(K463=1,'ORDENES'!$J459,"")</f>
        <v/>
      </c>
    </row>
    <row r="464">
      <c r="K464" s="5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5">
        <f>IF(K464=1,IFERROR(MATCH('ORDENES'!$S460,lista_dias,0),9)*1000000000+IFERROR(MATCH('ORDENES'!$AI460,lista_turnos,0),9)*10000000+IFERROR(MATCH('ORDENES'!$AH460,tblTecnicos[nombre],0),99)*100000+457,9000000000000+457)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5">
        <f>IF(K464=1,'ORDENES'!$J460,"")</f>
        <v/>
      </c>
    </row>
    <row r="465">
      <c r="K465" s="5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5">
        <f>IF(K465=1,IFERROR(MATCH('ORDENES'!$S461,lista_dias,0),9)*1000000000+IFERROR(MATCH('ORDENES'!$AI461,lista_turnos,0),9)*10000000+IFERROR(MATCH('ORDENES'!$AH461,tblTecnicos[nombre],0),99)*100000+458,9000000000000+458)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5">
        <f>IF(K465=1,'ORDENES'!$J461,"")</f>
        <v/>
      </c>
    </row>
    <row r="466">
      <c r="K466" s="5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5">
        <f>IF(K466=1,IFERROR(MATCH('ORDENES'!$S462,lista_dias,0),9)*1000000000+IFERROR(MATCH('ORDENES'!$AI462,lista_turnos,0),9)*10000000+IFERROR(MATCH('ORDENES'!$AH462,tblTecnicos[nombre],0),99)*100000+459,9000000000000+459)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5">
        <f>IF(K466=1,'ORDENES'!$J462,"")</f>
        <v/>
      </c>
    </row>
    <row r="467">
      <c r="K467" s="5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5">
        <f>IF(K467=1,IFERROR(MATCH('ORDENES'!$S463,lista_dias,0),9)*1000000000+IFERROR(MATCH('ORDENES'!$AI463,lista_turnos,0),9)*10000000+IFERROR(MATCH('ORDENES'!$AH463,tblTecnicos[nombre],0),99)*100000+460,9000000000000+460)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5">
        <f>IF(K467=1,'ORDENES'!$J463,"")</f>
        <v/>
      </c>
    </row>
    <row r="468">
      <c r="K468" s="5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5">
        <f>IF(K468=1,IFERROR(MATCH('ORDENES'!$S464,lista_dias,0),9)*1000000000+IFERROR(MATCH('ORDENES'!$AI464,lista_turnos,0),9)*10000000+IFERROR(MATCH('ORDENES'!$AH464,tblTecnicos[nombre],0),99)*100000+461,9000000000000+461)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5">
        <f>IF(K468=1,'ORDENES'!$J464,"")</f>
        <v/>
      </c>
    </row>
    <row r="469">
      <c r="K469" s="5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5">
        <f>IF(K469=1,IFERROR(MATCH('ORDENES'!$S465,lista_dias,0),9)*1000000000+IFERROR(MATCH('ORDENES'!$AI465,lista_turnos,0),9)*10000000+IFERROR(MATCH('ORDENES'!$AH465,tblTecnicos[nombre],0),99)*100000+462,9000000000000+462)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5">
        <f>IF(K469=1,'ORDENES'!$J465,"")</f>
        <v/>
      </c>
    </row>
    <row r="470">
      <c r="K470" s="5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5">
        <f>IF(K470=1,IFERROR(MATCH('ORDENES'!$S466,lista_dias,0),9)*1000000000+IFERROR(MATCH('ORDENES'!$AI466,lista_turnos,0),9)*10000000+IFERROR(MATCH('ORDENES'!$AH466,tblTecnicos[nombre],0),99)*100000+463,9000000000000+463)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5">
        <f>IF(K470=1,'ORDENES'!$J466,"")</f>
        <v/>
      </c>
    </row>
    <row r="471">
      <c r="K471" s="5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5">
        <f>IF(K471=1,IFERROR(MATCH('ORDENES'!$S467,lista_dias,0),9)*1000000000+IFERROR(MATCH('ORDENES'!$AI467,lista_turnos,0),9)*10000000+IFERROR(MATCH('ORDENES'!$AH467,tblTecnicos[nombre],0),99)*100000+464,9000000000000+464)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5">
        <f>IF(K471=1,'ORDENES'!$J467,"")</f>
        <v/>
      </c>
    </row>
    <row r="472">
      <c r="K472" s="5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5">
        <f>IF(K472=1,IFERROR(MATCH('ORDENES'!$S468,lista_dias,0),9)*1000000000+IFERROR(MATCH('ORDENES'!$AI468,lista_turnos,0),9)*10000000+IFERROR(MATCH('ORDENES'!$AH468,tblTecnicos[nombre],0),99)*100000+465,9000000000000+465)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5">
        <f>IF(K472=1,'ORDENES'!$J468,"")</f>
        <v/>
      </c>
    </row>
    <row r="473">
      <c r="K473" s="5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5">
        <f>IF(K473=1,IFERROR(MATCH('ORDENES'!$S469,lista_dias,0),9)*1000000000+IFERROR(MATCH('ORDENES'!$AI469,lista_turnos,0),9)*10000000+IFERROR(MATCH('ORDENES'!$AH469,tblTecnicos[nombre],0),99)*100000+466,9000000000000+466)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5">
        <f>IF(K473=1,'ORDENES'!$J469,"")</f>
        <v/>
      </c>
    </row>
    <row r="474">
      <c r="K474" s="5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5">
        <f>IF(K474=1,IFERROR(MATCH('ORDENES'!$S470,lista_dias,0),9)*1000000000+IFERROR(MATCH('ORDENES'!$AI470,lista_turnos,0),9)*10000000+IFERROR(MATCH('ORDENES'!$AH470,tblTecnicos[nombre],0),99)*100000+467,9000000000000+467)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5">
        <f>IF(K474=1,'ORDENES'!$J470,"")</f>
        <v/>
      </c>
    </row>
    <row r="475">
      <c r="K475" s="5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5">
        <f>IF(K475=1,IFERROR(MATCH('ORDENES'!$S471,lista_dias,0),9)*1000000000+IFERROR(MATCH('ORDENES'!$AI471,lista_turnos,0),9)*10000000+IFERROR(MATCH('ORDENES'!$AH471,tblTecnicos[nombre],0),99)*100000+468,9000000000000+468)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5">
        <f>IF(K475=1,'ORDENES'!$J471,"")</f>
        <v/>
      </c>
    </row>
    <row r="476">
      <c r="K476" s="5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5">
        <f>IF(K476=1,IFERROR(MATCH('ORDENES'!$S472,lista_dias,0),9)*1000000000+IFERROR(MATCH('ORDENES'!$AI472,lista_turnos,0),9)*10000000+IFERROR(MATCH('ORDENES'!$AH472,tblTecnicos[nombre],0),99)*100000+469,9000000000000+469)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5">
        <f>IF(K476=1,'ORDENES'!$J472,"")</f>
        <v/>
      </c>
    </row>
    <row r="477">
      <c r="K477" s="5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5">
        <f>IF(K477=1,IFERROR(MATCH('ORDENES'!$S473,lista_dias,0),9)*1000000000+IFERROR(MATCH('ORDENES'!$AI473,lista_turnos,0),9)*10000000+IFERROR(MATCH('ORDENES'!$AH473,tblTecnicos[nombre],0),99)*100000+470,9000000000000+470)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5">
        <f>IF(K477=1,'ORDENES'!$J473,"")</f>
        <v/>
      </c>
    </row>
    <row r="478">
      <c r="K478" s="5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5">
        <f>IF(K478=1,IFERROR(MATCH('ORDENES'!$S474,lista_dias,0),9)*1000000000+IFERROR(MATCH('ORDENES'!$AI474,lista_turnos,0),9)*10000000+IFERROR(MATCH('ORDENES'!$AH474,tblTecnicos[nombre],0),99)*100000+471,9000000000000+471)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5">
        <f>IF(K478=1,'ORDENES'!$J474,"")</f>
        <v/>
      </c>
    </row>
    <row r="479">
      <c r="K479" s="5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5">
        <f>IF(K479=1,IFERROR(MATCH('ORDENES'!$S475,lista_dias,0),9)*1000000000+IFERROR(MATCH('ORDENES'!$AI475,lista_turnos,0),9)*10000000+IFERROR(MATCH('ORDENES'!$AH475,tblTecnicos[nombre],0),99)*100000+472,9000000000000+472)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5">
        <f>IF(K479=1,'ORDENES'!$J475,"")</f>
        <v/>
      </c>
    </row>
    <row r="480">
      <c r="K480" s="5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5">
        <f>IF(K480=1,IFERROR(MATCH('ORDENES'!$S476,lista_dias,0),9)*1000000000+IFERROR(MATCH('ORDENES'!$AI476,lista_turnos,0),9)*10000000+IFERROR(MATCH('ORDENES'!$AH476,tblTecnicos[nombre],0),99)*100000+473,9000000000000+473)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5">
        <f>IF(K480=1,'ORDENES'!$J476,"")</f>
        <v/>
      </c>
    </row>
    <row r="481">
      <c r="K481" s="5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5">
        <f>IF(K481=1,IFERROR(MATCH('ORDENES'!$S477,lista_dias,0),9)*1000000000+IFERROR(MATCH('ORDENES'!$AI477,lista_turnos,0),9)*10000000+IFERROR(MATCH('ORDENES'!$AH477,tblTecnicos[nombre],0),99)*100000+474,9000000000000+474)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5">
        <f>IF(K481=1,'ORDENES'!$J477,"")</f>
        <v/>
      </c>
    </row>
    <row r="482">
      <c r="K482" s="5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5">
        <f>IF(K482=1,IFERROR(MATCH('ORDENES'!$S478,lista_dias,0),9)*1000000000+IFERROR(MATCH('ORDENES'!$AI478,lista_turnos,0),9)*10000000+IFERROR(MATCH('ORDENES'!$AH478,tblTecnicos[nombre],0),99)*100000+475,9000000000000+475)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5">
        <f>IF(K482=1,'ORDENES'!$J478,"")</f>
        <v/>
      </c>
    </row>
    <row r="483">
      <c r="K483" s="5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5">
        <f>IF(K483=1,IFERROR(MATCH('ORDENES'!$S479,lista_dias,0),9)*1000000000+IFERROR(MATCH('ORDENES'!$AI479,lista_turnos,0),9)*10000000+IFERROR(MATCH('ORDENES'!$AH479,tblTecnicos[nombre],0),99)*100000+476,9000000000000+476)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5">
        <f>IF(K483=1,'ORDENES'!$J479,"")</f>
        <v/>
      </c>
    </row>
    <row r="484">
      <c r="K484" s="5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5">
        <f>IF(K484=1,IFERROR(MATCH('ORDENES'!$S480,lista_dias,0),9)*1000000000+IFERROR(MATCH('ORDENES'!$AI480,lista_turnos,0),9)*10000000+IFERROR(MATCH('ORDENES'!$AH480,tblTecnicos[nombre],0),99)*100000+477,9000000000000+477)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5">
        <f>IF(K484=1,'ORDENES'!$J480,"")</f>
        <v/>
      </c>
    </row>
    <row r="485">
      <c r="K485" s="5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5">
        <f>IF(K485=1,IFERROR(MATCH('ORDENES'!$S481,lista_dias,0),9)*1000000000+IFERROR(MATCH('ORDENES'!$AI481,lista_turnos,0),9)*10000000+IFERROR(MATCH('ORDENES'!$AH481,tblTecnicos[nombre],0),99)*100000+478,9000000000000+478)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5">
        <f>IF(K485=1,'ORDENES'!$J481,"")</f>
        <v/>
      </c>
    </row>
    <row r="486">
      <c r="K486" s="5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5">
        <f>IF(K486=1,IFERROR(MATCH('ORDENES'!$S482,lista_dias,0),9)*1000000000+IFERROR(MATCH('ORDENES'!$AI482,lista_turnos,0),9)*10000000+IFERROR(MATCH('ORDENES'!$AH482,tblTecnicos[nombre],0),99)*100000+479,9000000000000+479)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5">
        <f>IF(K486=1,'ORDENES'!$J482,"")</f>
        <v/>
      </c>
    </row>
    <row r="487">
      <c r="K487" s="5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5">
        <f>IF(K487=1,IFERROR(MATCH('ORDENES'!$S483,lista_dias,0),9)*1000000000+IFERROR(MATCH('ORDENES'!$AI483,lista_turnos,0),9)*10000000+IFERROR(MATCH('ORDENES'!$AH483,tblTecnicos[nombre],0),99)*100000+480,9000000000000+480)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5">
        <f>IF(K487=1,'ORDENES'!$J483,"")</f>
        <v/>
      </c>
    </row>
    <row r="488">
      <c r="K488" s="5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5">
        <f>IF(K488=1,IFERROR(MATCH('ORDENES'!$S484,lista_dias,0),9)*1000000000+IFERROR(MATCH('ORDENES'!$AI484,lista_turnos,0),9)*10000000+IFERROR(MATCH('ORDENES'!$AH484,tblTecnicos[nombre],0),99)*100000+481,9000000000000+481)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5">
        <f>IF(K488=1,'ORDENES'!$J484,"")</f>
        <v/>
      </c>
    </row>
    <row r="489">
      <c r="K489" s="5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5">
        <f>IF(K489=1,IFERROR(MATCH('ORDENES'!$S485,lista_dias,0),9)*1000000000+IFERROR(MATCH('ORDENES'!$AI485,lista_turnos,0),9)*10000000+IFERROR(MATCH('ORDENES'!$AH485,tblTecnicos[nombre],0),99)*100000+482,9000000000000+482)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5">
        <f>IF(K489=1,'ORDENES'!$J485,"")</f>
        <v/>
      </c>
    </row>
    <row r="490">
      <c r="K490" s="5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5">
        <f>IF(K490=1,IFERROR(MATCH('ORDENES'!$S486,lista_dias,0),9)*1000000000+IFERROR(MATCH('ORDENES'!$AI486,lista_turnos,0),9)*10000000+IFERROR(MATCH('ORDENES'!$AH486,tblTecnicos[nombre],0),99)*100000+483,9000000000000+483)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5">
        <f>IF(K490=1,'ORDENES'!$J486,"")</f>
        <v/>
      </c>
    </row>
    <row r="491">
      <c r="K491" s="5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5">
        <f>IF(K491=1,IFERROR(MATCH('ORDENES'!$S487,lista_dias,0),9)*1000000000+IFERROR(MATCH('ORDENES'!$AI487,lista_turnos,0),9)*10000000+IFERROR(MATCH('ORDENES'!$AH487,tblTecnicos[nombre],0),99)*100000+484,9000000000000+484)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5">
        <f>IF(K491=1,'ORDENES'!$J487,"")</f>
        <v/>
      </c>
    </row>
    <row r="492">
      <c r="K492" s="5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5">
        <f>IF(K492=1,IFERROR(MATCH('ORDENES'!$S488,lista_dias,0),9)*1000000000+IFERROR(MATCH('ORDENES'!$AI488,lista_turnos,0),9)*10000000+IFERROR(MATCH('ORDENES'!$AH488,tblTecnicos[nombre],0),99)*100000+485,9000000000000+485)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5">
        <f>IF(K492=1,'ORDENES'!$J488,"")</f>
        <v/>
      </c>
    </row>
    <row r="493">
      <c r="K493" s="5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5">
        <f>IF(K493=1,IFERROR(MATCH('ORDENES'!$S489,lista_dias,0),9)*1000000000+IFERROR(MATCH('ORDENES'!$AI489,lista_turnos,0),9)*10000000+IFERROR(MATCH('ORDENES'!$AH489,tblTecnicos[nombre],0),99)*100000+486,9000000000000+486)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5">
        <f>IF(K493=1,'ORDENES'!$J489,"")</f>
        <v/>
      </c>
    </row>
    <row r="494">
      <c r="K494" s="5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5">
        <f>IF(K494=1,IFERROR(MATCH('ORDENES'!$S490,lista_dias,0),9)*1000000000+IFERROR(MATCH('ORDENES'!$AI490,lista_turnos,0),9)*10000000+IFERROR(MATCH('ORDENES'!$AH490,tblTecnicos[nombre],0),99)*100000+487,9000000000000+487)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5">
        <f>IF(K494=1,'ORDENES'!$J490,"")</f>
        <v/>
      </c>
    </row>
    <row r="495">
      <c r="K495" s="5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5">
        <f>IF(K495=1,IFERROR(MATCH('ORDENES'!$S491,lista_dias,0),9)*1000000000+IFERROR(MATCH('ORDENES'!$AI491,lista_turnos,0),9)*10000000+IFERROR(MATCH('ORDENES'!$AH491,tblTecnicos[nombre],0),99)*100000+488,9000000000000+488)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5">
        <f>IF(K495=1,'ORDENES'!$J491,"")</f>
        <v/>
      </c>
    </row>
    <row r="496">
      <c r="K496" s="5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5">
        <f>IF(K496=1,IFERROR(MATCH('ORDENES'!$S492,lista_dias,0),9)*1000000000+IFERROR(MATCH('ORDENES'!$AI492,lista_turnos,0),9)*10000000+IFERROR(MATCH('ORDENES'!$AH492,tblTecnicos[nombre],0),99)*100000+489,9000000000000+489)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5">
        <f>IF(K496=1,'ORDENES'!$J492,"")</f>
        <v/>
      </c>
    </row>
    <row r="497">
      <c r="K497" s="5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5">
        <f>IF(K497=1,IFERROR(MATCH('ORDENES'!$S493,lista_dias,0),9)*1000000000+IFERROR(MATCH('ORDENES'!$AI493,lista_turnos,0),9)*10000000+IFERROR(MATCH('ORDENES'!$AH493,tblTecnicos[nombre],0),99)*100000+490,9000000000000+490)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5">
        <f>IF(K497=1,'ORDENES'!$J493,"")</f>
        <v/>
      </c>
    </row>
    <row r="498">
      <c r="K498" s="5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5">
        <f>IF(K498=1,IFERROR(MATCH('ORDENES'!$S494,lista_dias,0),9)*1000000000+IFERROR(MATCH('ORDENES'!$AI494,lista_turnos,0),9)*10000000+IFERROR(MATCH('ORDENES'!$AH494,tblTecnicos[nombre],0),99)*100000+491,9000000000000+491)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5">
        <f>IF(K498=1,'ORDENES'!$J494,"")</f>
        <v/>
      </c>
    </row>
    <row r="499">
      <c r="K499" s="5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5">
        <f>IF(K499=1,IFERROR(MATCH('ORDENES'!$S495,lista_dias,0),9)*1000000000+IFERROR(MATCH('ORDENES'!$AI495,lista_turnos,0),9)*10000000+IFERROR(MATCH('ORDENES'!$AH495,tblTecnicos[nombre],0),99)*100000+492,9000000000000+492)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5">
        <f>IF(K499=1,'ORDENES'!$J495,"")</f>
        <v/>
      </c>
    </row>
    <row r="500">
      <c r="K500" s="5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5">
        <f>IF(K500=1,IFERROR(MATCH('ORDENES'!$S496,lista_dias,0),9)*1000000000+IFERROR(MATCH('ORDENES'!$AI496,lista_turnos,0),9)*10000000+IFERROR(MATCH('ORDENES'!$AH496,tblTecnicos[nombre],0),99)*100000+493,9000000000000+493)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5">
        <f>IF(K500=1,'ORDENES'!$J496,"")</f>
        <v/>
      </c>
    </row>
    <row r="501">
      <c r="K501" s="5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5">
        <f>IF(K501=1,IFERROR(MATCH('ORDENES'!$S497,lista_dias,0),9)*1000000000+IFERROR(MATCH('ORDENES'!$AI497,lista_turnos,0),9)*10000000+IFERROR(MATCH('ORDENES'!$AH497,tblTecnicos[nombre],0),99)*100000+494,9000000000000+494)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5">
        <f>IF(K501=1,'ORDENES'!$J497,"")</f>
        <v/>
      </c>
    </row>
    <row r="502">
      <c r="K502" s="5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5">
        <f>IF(K502=1,IFERROR(MATCH('ORDENES'!$S498,lista_dias,0),9)*1000000000+IFERROR(MATCH('ORDENES'!$AI498,lista_turnos,0),9)*10000000+IFERROR(MATCH('ORDENES'!$AH498,tblTecnicos[nombre],0),99)*100000+495,9000000000000+495)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5">
        <f>IF(K502=1,'ORDENES'!$J498,"")</f>
        <v/>
      </c>
    </row>
    <row r="503">
      <c r="K503" s="5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5">
        <f>IF(K503=1,IFERROR(MATCH('ORDENES'!$S499,lista_dias,0),9)*1000000000+IFERROR(MATCH('ORDENES'!$AI499,lista_turnos,0),9)*10000000+IFERROR(MATCH('ORDENES'!$AH499,tblTecnicos[nombre],0),99)*100000+496,9000000000000+496)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5">
        <f>IF(K503=1,'ORDENES'!$J499,"")</f>
        <v/>
      </c>
    </row>
    <row r="504">
      <c r="K504" s="5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5">
        <f>IF(K504=1,IFERROR(MATCH('ORDENES'!$S500,lista_dias,0),9)*1000000000+IFERROR(MATCH('ORDENES'!$AI500,lista_turnos,0),9)*10000000+IFERROR(MATCH('ORDENES'!$AH500,tblTecnicos[nombre],0),99)*100000+497,9000000000000+497)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5">
        <f>IF(K504=1,'ORDENES'!$J500,"")</f>
        <v/>
      </c>
    </row>
    <row r="505">
      <c r="K505" s="5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5">
        <f>IF(K505=1,IFERROR(MATCH('ORDENES'!$S501,lista_dias,0),9)*1000000000+IFERROR(MATCH('ORDENES'!$AI501,lista_turnos,0),9)*10000000+IFERROR(MATCH('ORDENES'!$AH501,tblTecnicos[nombre],0),99)*100000+498,9000000000000+498)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5">
        <f>IF(K505=1,'ORDENES'!$J501,"")</f>
        <v/>
      </c>
    </row>
    <row r="506">
      <c r="K506" s="5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5">
        <f>IF(K506=1,IFERROR(MATCH('ORDENES'!$S502,lista_dias,0),9)*1000000000+IFERROR(MATCH('ORDENES'!$AI502,lista_turnos,0),9)*10000000+IFERROR(MATCH('ORDENES'!$AH502,tblTecnicos[nombre],0),99)*100000+499,9000000000000+499)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5">
        <f>IF(K506=1,'ORDENES'!$J502,"")</f>
        <v/>
      </c>
    </row>
    <row r="507">
      <c r="K507" s="5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5">
        <f>IF(K507=1,IFERROR(MATCH('ORDENES'!$S503,lista_dias,0),9)*1000000000+IFERROR(MATCH('ORDENES'!$AI503,lista_turnos,0),9)*10000000+IFERROR(MATCH('ORDENES'!$AH503,tblTecnicos[nombre],0),99)*100000+500,9000000000000+500)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5">
        <f>IF(K507=1,'ORDENES'!$J503,"")</f>
        <v/>
      </c>
    </row>
    <row r="508">
      <c r="K508" s="5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5">
        <f>IF(K508=1,IFERROR(MATCH('ORDENES'!$S504,lista_dias,0),9)*1000000000+IFERROR(MATCH('ORDENES'!$AI504,lista_turnos,0),9)*10000000+IFERROR(MATCH('ORDENES'!$AH504,tblTecnicos[nombre],0),99)*100000+501,9000000000000+501)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5">
        <f>IF(K508=1,'ORDENES'!$J504,"")</f>
        <v/>
      </c>
    </row>
    <row r="509">
      <c r="K509" s="5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5">
        <f>IF(K509=1,IFERROR(MATCH('ORDENES'!$S505,lista_dias,0),9)*1000000000+IFERROR(MATCH('ORDENES'!$AI505,lista_turnos,0),9)*10000000+IFERROR(MATCH('ORDENES'!$AH505,tblTecnicos[nombre],0),99)*100000+502,9000000000000+502)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5">
        <f>IF(K509=1,'ORDENES'!$J505,"")</f>
        <v/>
      </c>
    </row>
    <row r="510">
      <c r="K510" s="5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5">
        <f>IF(K510=1,IFERROR(MATCH('ORDENES'!$S506,lista_dias,0),9)*1000000000+IFERROR(MATCH('ORDENES'!$AI506,lista_turnos,0),9)*10000000+IFERROR(MATCH('ORDENES'!$AH506,tblTecnicos[nombre],0),99)*100000+503,9000000000000+503)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5">
        <f>IF(K510=1,'ORDENES'!$J506,"")</f>
        <v/>
      </c>
    </row>
    <row r="511">
      <c r="K511" s="5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5">
        <f>IF(K511=1,IFERROR(MATCH('ORDENES'!$S507,lista_dias,0),9)*1000000000+IFERROR(MATCH('ORDENES'!$AI507,lista_turnos,0),9)*10000000+IFERROR(MATCH('ORDENES'!$AH507,tblTecnicos[nombre],0),99)*100000+504,9000000000000+504)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5">
        <f>IF(K511=1,'ORDENES'!$J507,"")</f>
        <v/>
      </c>
    </row>
    <row r="512">
      <c r="K512" s="5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5">
        <f>IF(K512=1,IFERROR(MATCH('ORDENES'!$S508,lista_dias,0),9)*1000000000+IFERROR(MATCH('ORDENES'!$AI508,lista_turnos,0),9)*10000000+IFERROR(MATCH('ORDENES'!$AH508,tblTecnicos[nombre],0),99)*100000+505,9000000000000+505)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5">
        <f>IF(K512=1,'ORDENES'!$J508,"")</f>
        <v/>
      </c>
    </row>
    <row r="513">
      <c r="K513" s="5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5">
        <f>IF(K513=1,IFERROR(MATCH('ORDENES'!$S509,lista_dias,0),9)*1000000000+IFERROR(MATCH('ORDENES'!$AI509,lista_turnos,0),9)*10000000+IFERROR(MATCH('ORDENES'!$AH509,tblTecnicos[nombre],0),99)*100000+506,9000000000000+506)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5">
        <f>IF(K513=1,'ORDENES'!$J509,"")</f>
        <v/>
      </c>
    </row>
    <row r="514">
      <c r="K514" s="5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5">
        <f>IF(K514=1,IFERROR(MATCH('ORDENES'!$S510,lista_dias,0),9)*1000000000+IFERROR(MATCH('ORDENES'!$AI510,lista_turnos,0),9)*10000000+IFERROR(MATCH('ORDENES'!$AH510,tblTecnicos[nombre],0),99)*100000+507,9000000000000+507)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5">
        <f>IF(K514=1,'ORDENES'!$J510,"")</f>
        <v/>
      </c>
    </row>
    <row r="515">
      <c r="K515" s="5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5">
        <f>IF(K515=1,IFERROR(MATCH('ORDENES'!$S511,lista_dias,0),9)*1000000000+IFERROR(MATCH('ORDENES'!$AI511,lista_turnos,0),9)*10000000+IFERROR(MATCH('ORDENES'!$AH511,tblTecnicos[nombre],0),99)*100000+508,9000000000000+508)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5">
        <f>IF(K515=1,'ORDENES'!$J511,"")</f>
        <v/>
      </c>
    </row>
    <row r="516">
      <c r="K516" s="5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5">
        <f>IF(K516=1,IFERROR(MATCH('ORDENES'!$S512,lista_dias,0),9)*1000000000+IFERROR(MATCH('ORDENES'!$AI512,lista_turnos,0),9)*10000000+IFERROR(MATCH('ORDENES'!$AH512,tblTecnicos[nombre],0),99)*100000+509,9000000000000+509)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5">
        <f>IF(K516=1,'ORDENES'!$J512,"")</f>
        <v/>
      </c>
    </row>
    <row r="517">
      <c r="K517" s="5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5">
        <f>IF(K517=1,IFERROR(MATCH('ORDENES'!$S513,lista_dias,0),9)*1000000000+IFERROR(MATCH('ORDENES'!$AI513,lista_turnos,0),9)*10000000+IFERROR(MATCH('ORDENES'!$AH513,tblTecnicos[nombre],0),99)*100000+510,9000000000000+510)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5">
        <f>IF(K517=1,'ORDENES'!$J513,"")</f>
        <v/>
      </c>
    </row>
    <row r="518">
      <c r="K518" s="5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5">
        <f>IF(K518=1,IFERROR(MATCH('ORDENES'!$S514,lista_dias,0),9)*1000000000+IFERROR(MATCH('ORDENES'!$AI514,lista_turnos,0),9)*10000000+IFERROR(MATCH('ORDENES'!$AH514,tblTecnicos[nombre],0),99)*100000+511,9000000000000+511)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5">
        <f>IF(K518=1,'ORDENES'!$J514,"")</f>
        <v/>
      </c>
    </row>
    <row r="519">
      <c r="K519" s="5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5">
        <f>IF(K519=1,IFERROR(MATCH('ORDENES'!$S515,lista_dias,0),9)*1000000000+IFERROR(MATCH('ORDENES'!$AI515,lista_turnos,0),9)*10000000+IFERROR(MATCH('ORDENES'!$AH515,tblTecnicos[nombre],0),99)*100000+512,9000000000000+512)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5">
        <f>IF(K519=1,'ORDENES'!$J515,"")</f>
        <v/>
      </c>
    </row>
    <row r="520">
      <c r="K520" s="5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5">
        <f>IF(K520=1,IFERROR(MATCH('ORDENES'!$S516,lista_dias,0),9)*1000000000+IFERROR(MATCH('ORDENES'!$AI516,lista_turnos,0),9)*10000000+IFERROR(MATCH('ORDENES'!$AH516,tblTecnicos[nombre],0),99)*100000+513,9000000000000+513)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5">
        <f>IF(K520=1,'ORDENES'!$J516,"")</f>
        <v/>
      </c>
    </row>
    <row r="521">
      <c r="K521" s="5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5">
        <f>IF(K521=1,IFERROR(MATCH('ORDENES'!$S517,lista_dias,0),9)*1000000000+IFERROR(MATCH('ORDENES'!$AI517,lista_turnos,0),9)*10000000+IFERROR(MATCH('ORDENES'!$AH517,tblTecnicos[nombre],0),99)*100000+514,9000000000000+514)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5">
        <f>IF(K521=1,'ORDENES'!$J517,"")</f>
        <v/>
      </c>
    </row>
    <row r="522">
      <c r="K522" s="5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5">
        <f>IF(K522=1,IFERROR(MATCH('ORDENES'!$S518,lista_dias,0),9)*1000000000+IFERROR(MATCH('ORDENES'!$AI518,lista_turnos,0),9)*10000000+IFERROR(MATCH('ORDENES'!$AH518,tblTecnicos[nombre],0),99)*100000+515,9000000000000+515)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5">
        <f>IF(K522=1,'ORDENES'!$J518,"")</f>
        <v/>
      </c>
    </row>
    <row r="523">
      <c r="K523" s="5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5">
        <f>IF(K523=1,IFERROR(MATCH('ORDENES'!$S519,lista_dias,0),9)*1000000000+IFERROR(MATCH('ORDENES'!$AI519,lista_turnos,0),9)*10000000+IFERROR(MATCH('ORDENES'!$AH519,tblTecnicos[nombre],0),99)*100000+516,9000000000000+516)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5">
        <f>IF(K523=1,'ORDENES'!$J519,"")</f>
        <v/>
      </c>
    </row>
    <row r="524">
      <c r="K524" s="5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5">
        <f>IF(K524=1,IFERROR(MATCH('ORDENES'!$S520,lista_dias,0),9)*1000000000+IFERROR(MATCH('ORDENES'!$AI520,lista_turnos,0),9)*10000000+IFERROR(MATCH('ORDENES'!$AH520,tblTecnicos[nombre],0),99)*100000+517,9000000000000+517)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5">
        <f>IF(K524=1,'ORDENES'!$J520,"")</f>
        <v/>
      </c>
    </row>
    <row r="525">
      <c r="K525" s="5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5">
        <f>IF(K525=1,IFERROR(MATCH('ORDENES'!$S521,lista_dias,0),9)*1000000000+IFERROR(MATCH('ORDENES'!$AI521,lista_turnos,0),9)*10000000+IFERROR(MATCH('ORDENES'!$AH521,tblTecnicos[nombre],0),99)*100000+518,9000000000000+518)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5">
        <f>IF(K525=1,'ORDENES'!$J521,"")</f>
        <v/>
      </c>
    </row>
    <row r="526">
      <c r="K526" s="5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5">
        <f>IF(K526=1,IFERROR(MATCH('ORDENES'!$S522,lista_dias,0),9)*1000000000+IFERROR(MATCH('ORDENES'!$AI522,lista_turnos,0),9)*10000000+IFERROR(MATCH('ORDENES'!$AH522,tblTecnicos[nombre],0),99)*100000+519,9000000000000+519)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5">
        <f>IF(K526=1,'ORDENES'!$J522,"")</f>
        <v/>
      </c>
    </row>
    <row r="527">
      <c r="K527" s="5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5">
        <f>IF(K527=1,IFERROR(MATCH('ORDENES'!$S523,lista_dias,0),9)*1000000000+IFERROR(MATCH('ORDENES'!$AI523,lista_turnos,0),9)*10000000+IFERROR(MATCH('ORDENES'!$AH523,tblTecnicos[nombre],0),99)*100000+520,9000000000000+520)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5">
        <f>IF(K527=1,'ORDENES'!$J523,"")</f>
        <v/>
      </c>
    </row>
    <row r="528">
      <c r="K528" s="5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5">
        <f>IF(K528=1,IFERROR(MATCH('ORDENES'!$S524,lista_dias,0),9)*1000000000+IFERROR(MATCH('ORDENES'!$AI524,lista_turnos,0),9)*10000000+IFERROR(MATCH('ORDENES'!$AH524,tblTecnicos[nombre],0),99)*100000+521,9000000000000+521)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5">
        <f>IF(K528=1,'ORDENES'!$J524,"")</f>
        <v/>
      </c>
    </row>
    <row r="529">
      <c r="K529" s="5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5">
        <f>IF(K529=1,IFERROR(MATCH('ORDENES'!$S525,lista_dias,0),9)*1000000000+IFERROR(MATCH('ORDENES'!$AI525,lista_turnos,0),9)*10000000+IFERROR(MATCH('ORDENES'!$AH525,tblTecnicos[nombre],0),99)*100000+522,9000000000000+522)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5">
        <f>IF(K529=1,'ORDENES'!$J525,"")</f>
        <v/>
      </c>
    </row>
    <row r="530">
      <c r="K530" s="5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5">
        <f>IF(K530=1,IFERROR(MATCH('ORDENES'!$S526,lista_dias,0),9)*1000000000+IFERROR(MATCH('ORDENES'!$AI526,lista_turnos,0),9)*10000000+IFERROR(MATCH('ORDENES'!$AH526,tblTecnicos[nombre],0),99)*100000+523,9000000000000+523)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5">
        <f>IF(K530=1,'ORDENES'!$J526,"")</f>
        <v/>
      </c>
    </row>
    <row r="531">
      <c r="K531" s="5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5">
        <f>IF(K531=1,IFERROR(MATCH('ORDENES'!$S527,lista_dias,0),9)*1000000000+IFERROR(MATCH('ORDENES'!$AI527,lista_turnos,0),9)*10000000+IFERROR(MATCH('ORDENES'!$AH527,tblTecnicos[nombre],0),99)*100000+524,9000000000000+524)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5">
        <f>IF(K531=1,'ORDENES'!$J527,"")</f>
        <v/>
      </c>
    </row>
    <row r="532">
      <c r="K532" s="5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5">
        <f>IF(K532=1,IFERROR(MATCH('ORDENES'!$S528,lista_dias,0),9)*1000000000+IFERROR(MATCH('ORDENES'!$AI528,lista_turnos,0),9)*10000000+IFERROR(MATCH('ORDENES'!$AH528,tblTecnicos[nombre],0),99)*100000+525,9000000000000+525)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5">
        <f>IF(K532=1,'ORDENES'!$J528,"")</f>
        <v/>
      </c>
    </row>
    <row r="533">
      <c r="K533" s="5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5">
        <f>IF(K533=1,IFERROR(MATCH('ORDENES'!$S529,lista_dias,0),9)*1000000000+IFERROR(MATCH('ORDENES'!$AI529,lista_turnos,0),9)*10000000+IFERROR(MATCH('ORDENES'!$AH529,tblTecnicos[nombre],0),99)*100000+526,9000000000000+526)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5">
        <f>IF(K533=1,'ORDENES'!$J529,"")</f>
        <v/>
      </c>
    </row>
    <row r="534">
      <c r="K534" s="5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5">
        <f>IF(K534=1,IFERROR(MATCH('ORDENES'!$S530,lista_dias,0),9)*1000000000+IFERROR(MATCH('ORDENES'!$AI530,lista_turnos,0),9)*10000000+IFERROR(MATCH('ORDENES'!$AH530,tblTecnicos[nombre],0),99)*100000+527,9000000000000+527)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5">
        <f>IF(K534=1,'ORDENES'!$J530,"")</f>
        <v/>
      </c>
    </row>
    <row r="535">
      <c r="K535" s="5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5">
        <f>IF(K535=1,IFERROR(MATCH('ORDENES'!$S531,lista_dias,0),9)*1000000000+IFERROR(MATCH('ORDENES'!$AI531,lista_turnos,0),9)*10000000+IFERROR(MATCH('ORDENES'!$AH531,tblTecnicos[nombre],0),99)*100000+528,9000000000000+528)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5">
        <f>IF(K535=1,'ORDENES'!$J531,"")</f>
        <v/>
      </c>
    </row>
    <row r="536">
      <c r="K536" s="5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5">
        <f>IF(K536=1,IFERROR(MATCH('ORDENES'!$S532,lista_dias,0),9)*1000000000+IFERROR(MATCH('ORDENES'!$AI532,lista_turnos,0),9)*10000000+IFERROR(MATCH('ORDENES'!$AH532,tblTecnicos[nombre],0),99)*100000+529,9000000000000+529)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5">
        <f>IF(K536=1,'ORDENES'!$J532,"")</f>
        <v/>
      </c>
    </row>
    <row r="537">
      <c r="K537" s="5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5">
        <f>IF(K537=1,IFERROR(MATCH('ORDENES'!$S533,lista_dias,0),9)*1000000000+IFERROR(MATCH('ORDENES'!$AI533,lista_turnos,0),9)*10000000+IFERROR(MATCH('ORDENES'!$AH533,tblTecnicos[nombre],0),99)*100000+530,9000000000000+530)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5">
        <f>IF(K537=1,'ORDENES'!$J533,"")</f>
        <v/>
      </c>
    </row>
    <row r="538">
      <c r="K538" s="5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5">
        <f>IF(K538=1,IFERROR(MATCH('ORDENES'!$S534,lista_dias,0),9)*1000000000+IFERROR(MATCH('ORDENES'!$AI534,lista_turnos,0),9)*10000000+IFERROR(MATCH('ORDENES'!$AH534,tblTecnicos[nombre],0),99)*100000+531,9000000000000+531)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5">
        <f>IF(K538=1,'ORDENES'!$J534,"")</f>
        <v/>
      </c>
    </row>
    <row r="539">
      <c r="K539" s="5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5">
        <f>IF(K539=1,IFERROR(MATCH('ORDENES'!$S535,lista_dias,0),9)*1000000000+IFERROR(MATCH('ORDENES'!$AI535,lista_turnos,0),9)*10000000+IFERROR(MATCH('ORDENES'!$AH535,tblTecnicos[nombre],0),99)*100000+532,9000000000000+532)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5">
        <f>IF(K539=1,'ORDENES'!$J535,"")</f>
        <v/>
      </c>
    </row>
    <row r="540">
      <c r="K540" s="5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5">
        <f>IF(K540=1,IFERROR(MATCH('ORDENES'!$S536,lista_dias,0),9)*1000000000+IFERROR(MATCH('ORDENES'!$AI536,lista_turnos,0),9)*10000000+IFERROR(MATCH('ORDENES'!$AH536,tblTecnicos[nombre],0),99)*100000+533,9000000000000+533)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5">
        <f>IF(K540=1,'ORDENES'!$J536,"")</f>
        <v/>
      </c>
    </row>
    <row r="541">
      <c r="K541" s="5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5">
        <f>IF(K541=1,IFERROR(MATCH('ORDENES'!$S537,lista_dias,0),9)*1000000000+IFERROR(MATCH('ORDENES'!$AI537,lista_turnos,0),9)*10000000+IFERROR(MATCH('ORDENES'!$AH537,tblTecnicos[nombre],0),99)*100000+534,9000000000000+534)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5">
        <f>IF(K541=1,'ORDENES'!$J537,"")</f>
        <v/>
      </c>
    </row>
    <row r="542">
      <c r="K542" s="5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5">
        <f>IF(K542=1,IFERROR(MATCH('ORDENES'!$S538,lista_dias,0),9)*1000000000+IFERROR(MATCH('ORDENES'!$AI538,lista_turnos,0),9)*10000000+IFERROR(MATCH('ORDENES'!$AH538,tblTecnicos[nombre],0),99)*100000+535,9000000000000+535)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5">
        <f>IF(K542=1,'ORDENES'!$J538,"")</f>
        <v/>
      </c>
    </row>
    <row r="543">
      <c r="K543" s="5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5">
        <f>IF(K543=1,IFERROR(MATCH('ORDENES'!$S539,lista_dias,0),9)*1000000000+IFERROR(MATCH('ORDENES'!$AI539,lista_turnos,0),9)*10000000+IFERROR(MATCH('ORDENES'!$AH539,tblTecnicos[nombre],0),99)*100000+536,9000000000000+536)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5">
        <f>IF(K543=1,'ORDENES'!$J539,"")</f>
        <v/>
      </c>
    </row>
    <row r="544">
      <c r="K544" s="5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5">
        <f>IF(K544=1,IFERROR(MATCH('ORDENES'!$S540,lista_dias,0),9)*1000000000+IFERROR(MATCH('ORDENES'!$AI540,lista_turnos,0),9)*10000000+IFERROR(MATCH('ORDENES'!$AH540,tblTecnicos[nombre],0),99)*100000+537,9000000000000+537)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5">
        <f>IF(K544=1,'ORDENES'!$J540,"")</f>
        <v/>
      </c>
    </row>
    <row r="545">
      <c r="K545" s="5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5">
        <f>IF(K545=1,IFERROR(MATCH('ORDENES'!$S541,lista_dias,0),9)*1000000000+IFERROR(MATCH('ORDENES'!$AI541,lista_turnos,0),9)*10000000+IFERROR(MATCH('ORDENES'!$AH541,tblTecnicos[nombre],0),99)*100000+538,9000000000000+538)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5">
        <f>IF(K545=1,'ORDENES'!$J541,"")</f>
        <v/>
      </c>
    </row>
    <row r="546">
      <c r="K546" s="5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5">
        <f>IF(K546=1,IFERROR(MATCH('ORDENES'!$S542,lista_dias,0),9)*1000000000+IFERROR(MATCH('ORDENES'!$AI542,lista_turnos,0),9)*10000000+IFERROR(MATCH('ORDENES'!$AH542,tblTecnicos[nombre],0),99)*100000+539,9000000000000+539)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5">
        <f>IF(K546=1,'ORDENES'!$J542,"")</f>
        <v/>
      </c>
    </row>
    <row r="547">
      <c r="K547" s="5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5">
        <f>IF(K547=1,IFERROR(MATCH('ORDENES'!$S543,lista_dias,0),9)*1000000000+IFERROR(MATCH('ORDENES'!$AI543,lista_turnos,0),9)*10000000+IFERROR(MATCH('ORDENES'!$AH543,tblTecnicos[nombre],0),99)*100000+540,9000000000000+540)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5">
        <f>IF(K547=1,'ORDENES'!$J543,"")</f>
        <v/>
      </c>
    </row>
    <row r="548">
      <c r="K548" s="5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5">
        <f>IF(K548=1,IFERROR(MATCH('ORDENES'!$S544,lista_dias,0),9)*1000000000+IFERROR(MATCH('ORDENES'!$AI544,lista_turnos,0),9)*10000000+IFERROR(MATCH('ORDENES'!$AH544,tblTecnicos[nombre],0),99)*100000+541,9000000000000+541)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5">
        <f>IF(K548=1,'ORDENES'!$J544,"")</f>
        <v/>
      </c>
    </row>
    <row r="549">
      <c r="K549" s="5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5">
        <f>IF(K549=1,IFERROR(MATCH('ORDENES'!$S545,lista_dias,0),9)*1000000000+IFERROR(MATCH('ORDENES'!$AI545,lista_turnos,0),9)*10000000+IFERROR(MATCH('ORDENES'!$AH545,tblTecnicos[nombre],0),99)*100000+542,9000000000000+542)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5">
        <f>IF(K549=1,'ORDENES'!$J545,"")</f>
        <v/>
      </c>
    </row>
    <row r="550">
      <c r="K550" s="5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5">
        <f>IF(K550=1,IFERROR(MATCH('ORDENES'!$S546,lista_dias,0),9)*1000000000+IFERROR(MATCH('ORDENES'!$AI546,lista_turnos,0),9)*10000000+IFERROR(MATCH('ORDENES'!$AH546,tblTecnicos[nombre],0),99)*100000+543,9000000000000+543)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5">
        <f>IF(K550=1,'ORDENES'!$J546,"")</f>
        <v/>
      </c>
    </row>
    <row r="551">
      <c r="K551" s="5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5">
        <f>IF(K551=1,IFERROR(MATCH('ORDENES'!$S547,lista_dias,0),9)*1000000000+IFERROR(MATCH('ORDENES'!$AI547,lista_turnos,0),9)*10000000+IFERROR(MATCH('ORDENES'!$AH547,tblTecnicos[nombre],0),99)*100000+544,9000000000000+544)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5">
        <f>IF(K551=1,'ORDENES'!$J547,"")</f>
        <v/>
      </c>
    </row>
    <row r="552">
      <c r="K552" s="5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5">
        <f>IF(K552=1,IFERROR(MATCH('ORDENES'!$S548,lista_dias,0),9)*1000000000+IFERROR(MATCH('ORDENES'!$AI548,lista_turnos,0),9)*10000000+IFERROR(MATCH('ORDENES'!$AH548,tblTecnicos[nombre],0),99)*100000+545,9000000000000+545)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5">
        <f>IF(K552=1,'ORDENES'!$J548,"")</f>
        <v/>
      </c>
    </row>
    <row r="553">
      <c r="K553" s="5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5">
        <f>IF(K553=1,IFERROR(MATCH('ORDENES'!$S549,lista_dias,0),9)*1000000000+IFERROR(MATCH('ORDENES'!$AI549,lista_turnos,0),9)*10000000+IFERROR(MATCH('ORDENES'!$AH549,tblTecnicos[nombre],0),99)*100000+546,9000000000000+546)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5">
        <f>IF(K553=1,'ORDENES'!$J549,"")</f>
        <v/>
      </c>
    </row>
    <row r="554">
      <c r="K554" s="5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5">
        <f>IF(K554=1,IFERROR(MATCH('ORDENES'!$S550,lista_dias,0),9)*1000000000+IFERROR(MATCH('ORDENES'!$AI550,lista_turnos,0),9)*10000000+IFERROR(MATCH('ORDENES'!$AH550,tblTecnicos[nombre],0),99)*100000+547,9000000000000+547)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5">
        <f>IF(K554=1,'ORDENES'!$J550,"")</f>
        <v/>
      </c>
    </row>
    <row r="555">
      <c r="K555" s="5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5">
        <f>IF(K555=1,IFERROR(MATCH('ORDENES'!$S551,lista_dias,0),9)*1000000000+IFERROR(MATCH('ORDENES'!$AI551,lista_turnos,0),9)*10000000+IFERROR(MATCH('ORDENES'!$AH551,tblTecnicos[nombre],0),99)*100000+548,9000000000000+548)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5">
        <f>IF(K555=1,'ORDENES'!$J551,"")</f>
        <v/>
      </c>
    </row>
    <row r="556">
      <c r="K556" s="5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5">
        <f>IF(K556=1,IFERROR(MATCH('ORDENES'!$S552,lista_dias,0),9)*1000000000+IFERROR(MATCH('ORDENES'!$AI552,lista_turnos,0),9)*10000000+IFERROR(MATCH('ORDENES'!$AH552,tblTecnicos[nombre],0),99)*100000+549,9000000000000+549)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5">
        <f>IF(K556=1,'ORDENES'!$J552,"")</f>
        <v/>
      </c>
    </row>
    <row r="557">
      <c r="K557" s="5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5">
        <f>IF(K557=1,IFERROR(MATCH('ORDENES'!$S553,lista_dias,0),9)*1000000000+IFERROR(MATCH('ORDENES'!$AI553,lista_turnos,0),9)*10000000+IFERROR(MATCH('ORDENES'!$AH553,tblTecnicos[nombre],0),99)*100000+550,9000000000000+550)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5">
        <f>IF(K557=1,'ORDENES'!$J553,"")</f>
        <v/>
      </c>
    </row>
    <row r="558">
      <c r="K558" s="5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5">
        <f>IF(K558=1,IFERROR(MATCH('ORDENES'!$S554,lista_dias,0),9)*1000000000+IFERROR(MATCH('ORDENES'!$AI554,lista_turnos,0),9)*10000000+IFERROR(MATCH('ORDENES'!$AH554,tblTecnicos[nombre],0),99)*100000+551,9000000000000+551)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5">
        <f>IF(K558=1,'ORDENES'!$J554,"")</f>
        <v/>
      </c>
    </row>
    <row r="559">
      <c r="K559" s="5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5">
        <f>IF(K559=1,IFERROR(MATCH('ORDENES'!$S555,lista_dias,0),9)*1000000000+IFERROR(MATCH('ORDENES'!$AI555,lista_turnos,0),9)*10000000+IFERROR(MATCH('ORDENES'!$AH555,tblTecnicos[nombre],0),99)*100000+552,9000000000000+552)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5">
        <f>IF(K559=1,'ORDENES'!$J555,"")</f>
        <v/>
      </c>
    </row>
    <row r="560">
      <c r="K560" s="5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5">
        <f>IF(K560=1,IFERROR(MATCH('ORDENES'!$S556,lista_dias,0),9)*1000000000+IFERROR(MATCH('ORDENES'!$AI556,lista_turnos,0),9)*10000000+IFERROR(MATCH('ORDENES'!$AH556,tblTecnicos[nombre],0),99)*100000+553,9000000000000+553)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5">
        <f>IF(K560=1,'ORDENES'!$J556,"")</f>
        <v/>
      </c>
    </row>
    <row r="561">
      <c r="K561" s="5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5">
        <f>IF(K561=1,IFERROR(MATCH('ORDENES'!$S557,lista_dias,0),9)*1000000000+IFERROR(MATCH('ORDENES'!$AI557,lista_turnos,0),9)*10000000+IFERROR(MATCH('ORDENES'!$AH557,tblTecnicos[nombre],0),99)*100000+554,9000000000000+554)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5">
        <f>IF(K561=1,'ORDENES'!$J557,"")</f>
        <v/>
      </c>
    </row>
    <row r="562">
      <c r="K562" s="5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5">
        <f>IF(K562=1,IFERROR(MATCH('ORDENES'!$S558,lista_dias,0),9)*1000000000+IFERROR(MATCH('ORDENES'!$AI558,lista_turnos,0),9)*10000000+IFERROR(MATCH('ORDENES'!$AH558,tblTecnicos[nombre],0),99)*100000+555,9000000000000+555)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5">
        <f>IF(K562=1,'ORDENES'!$J558,"")</f>
        <v/>
      </c>
    </row>
    <row r="563">
      <c r="K563" s="5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5">
        <f>IF(K563=1,IFERROR(MATCH('ORDENES'!$S559,lista_dias,0),9)*1000000000+IFERROR(MATCH('ORDENES'!$AI559,lista_turnos,0),9)*10000000+IFERROR(MATCH('ORDENES'!$AH559,tblTecnicos[nombre],0),99)*100000+556,9000000000000+556)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5">
        <f>IF(K563=1,'ORDENES'!$J559,"")</f>
        <v/>
      </c>
    </row>
    <row r="564">
      <c r="K564" s="5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5">
        <f>IF(K564=1,IFERROR(MATCH('ORDENES'!$S560,lista_dias,0),9)*1000000000+IFERROR(MATCH('ORDENES'!$AI560,lista_turnos,0),9)*10000000+IFERROR(MATCH('ORDENES'!$AH560,tblTecnicos[nombre],0),99)*100000+557,9000000000000+557)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5">
        <f>IF(K564=1,'ORDENES'!$J560,"")</f>
        <v/>
      </c>
    </row>
    <row r="565">
      <c r="K565" s="5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5">
        <f>IF(K565=1,IFERROR(MATCH('ORDENES'!$S561,lista_dias,0),9)*1000000000+IFERROR(MATCH('ORDENES'!$AI561,lista_turnos,0),9)*10000000+IFERROR(MATCH('ORDENES'!$AH561,tblTecnicos[nombre],0),99)*100000+558,9000000000000+558)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5">
        <f>IF(K565=1,'ORDENES'!$J561,"")</f>
        <v/>
      </c>
    </row>
    <row r="566">
      <c r="K566" s="5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5">
        <f>IF(K566=1,IFERROR(MATCH('ORDENES'!$S562,lista_dias,0),9)*1000000000+IFERROR(MATCH('ORDENES'!$AI562,lista_turnos,0),9)*10000000+IFERROR(MATCH('ORDENES'!$AH562,tblTecnicos[nombre],0),99)*100000+559,9000000000000+559)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5">
        <f>IF(K566=1,'ORDENES'!$J562,"")</f>
        <v/>
      </c>
    </row>
    <row r="567">
      <c r="K567" s="5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5">
        <f>IF(K567=1,IFERROR(MATCH('ORDENES'!$S563,lista_dias,0),9)*1000000000+IFERROR(MATCH('ORDENES'!$AI563,lista_turnos,0),9)*10000000+IFERROR(MATCH('ORDENES'!$AH563,tblTecnicos[nombre],0),99)*100000+560,9000000000000+560)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5">
        <f>IF(K567=1,'ORDENES'!$J563,"")</f>
        <v/>
      </c>
    </row>
    <row r="568">
      <c r="K568" s="5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5">
        <f>IF(K568=1,IFERROR(MATCH('ORDENES'!$S564,lista_dias,0),9)*1000000000+IFERROR(MATCH('ORDENES'!$AI564,lista_turnos,0),9)*10000000+IFERROR(MATCH('ORDENES'!$AH564,tblTecnicos[nombre],0),99)*100000+561,9000000000000+561)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5">
        <f>IF(K568=1,'ORDENES'!$J564,"")</f>
        <v/>
      </c>
    </row>
    <row r="569">
      <c r="K569" s="5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5">
        <f>IF(K569=1,IFERROR(MATCH('ORDENES'!$S565,lista_dias,0),9)*1000000000+IFERROR(MATCH('ORDENES'!$AI565,lista_turnos,0),9)*10000000+IFERROR(MATCH('ORDENES'!$AH565,tblTecnicos[nombre],0),99)*100000+562,9000000000000+562)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5">
        <f>IF(K569=1,'ORDENES'!$J565,"")</f>
        <v/>
      </c>
    </row>
    <row r="570">
      <c r="K570" s="5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5">
        <f>IF(K570=1,IFERROR(MATCH('ORDENES'!$S566,lista_dias,0),9)*1000000000+IFERROR(MATCH('ORDENES'!$AI566,lista_turnos,0),9)*10000000+IFERROR(MATCH('ORDENES'!$AH566,tblTecnicos[nombre],0),99)*100000+563,9000000000000+563)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5">
        <f>IF(K570=1,'ORDENES'!$J566,"")</f>
        <v/>
      </c>
    </row>
    <row r="571">
      <c r="K571" s="5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5">
        <f>IF(K571=1,IFERROR(MATCH('ORDENES'!$S567,lista_dias,0),9)*1000000000+IFERROR(MATCH('ORDENES'!$AI567,lista_turnos,0),9)*10000000+IFERROR(MATCH('ORDENES'!$AH567,tblTecnicos[nombre],0),99)*100000+564,9000000000000+564)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5">
        <f>IF(K571=1,'ORDENES'!$J567,"")</f>
        <v/>
      </c>
    </row>
    <row r="572">
      <c r="K572" s="5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5">
        <f>IF(K572=1,IFERROR(MATCH('ORDENES'!$S568,lista_dias,0),9)*1000000000+IFERROR(MATCH('ORDENES'!$AI568,lista_turnos,0),9)*10000000+IFERROR(MATCH('ORDENES'!$AH568,tblTecnicos[nombre],0),99)*100000+565,9000000000000+565)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5">
        <f>IF(K572=1,'ORDENES'!$J568,"")</f>
        <v/>
      </c>
    </row>
    <row r="573">
      <c r="K573" s="5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5">
        <f>IF(K573=1,IFERROR(MATCH('ORDENES'!$S569,lista_dias,0),9)*1000000000+IFERROR(MATCH('ORDENES'!$AI569,lista_turnos,0),9)*10000000+IFERROR(MATCH('ORDENES'!$AH569,tblTecnicos[nombre],0),99)*100000+566,9000000000000+566)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5">
        <f>IF(K573=1,'ORDENES'!$J569,"")</f>
        <v/>
      </c>
    </row>
    <row r="574">
      <c r="K574" s="5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5">
        <f>IF(K574=1,IFERROR(MATCH('ORDENES'!$S570,lista_dias,0),9)*1000000000+IFERROR(MATCH('ORDENES'!$AI570,lista_turnos,0),9)*10000000+IFERROR(MATCH('ORDENES'!$AH570,tblTecnicos[nombre],0),99)*100000+567,9000000000000+567)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5">
        <f>IF(K574=1,'ORDENES'!$J570,"")</f>
        <v/>
      </c>
    </row>
    <row r="575">
      <c r="K575" s="5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5">
        <f>IF(K575=1,IFERROR(MATCH('ORDENES'!$S571,lista_dias,0),9)*1000000000+IFERROR(MATCH('ORDENES'!$AI571,lista_turnos,0),9)*10000000+IFERROR(MATCH('ORDENES'!$AH571,tblTecnicos[nombre],0),99)*100000+568,9000000000000+568)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5">
        <f>IF(K575=1,'ORDENES'!$J571,"")</f>
        <v/>
      </c>
    </row>
    <row r="576">
      <c r="K576" s="5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5">
        <f>IF(K576=1,IFERROR(MATCH('ORDENES'!$S572,lista_dias,0),9)*1000000000+IFERROR(MATCH('ORDENES'!$AI572,lista_turnos,0),9)*10000000+IFERROR(MATCH('ORDENES'!$AH572,tblTecnicos[nombre],0),99)*100000+569,9000000000000+569)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5">
        <f>IF(K576=1,'ORDENES'!$J572,"")</f>
        <v/>
      </c>
    </row>
    <row r="577">
      <c r="K577" s="5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5">
        <f>IF(K577=1,IFERROR(MATCH('ORDENES'!$S573,lista_dias,0),9)*1000000000+IFERROR(MATCH('ORDENES'!$AI573,lista_turnos,0),9)*10000000+IFERROR(MATCH('ORDENES'!$AH573,tblTecnicos[nombre],0),99)*100000+570,9000000000000+570)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5">
        <f>IF(K577=1,'ORDENES'!$J573,"")</f>
        <v/>
      </c>
    </row>
    <row r="578">
      <c r="K578" s="5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5">
        <f>IF(K578=1,IFERROR(MATCH('ORDENES'!$S574,lista_dias,0),9)*1000000000+IFERROR(MATCH('ORDENES'!$AI574,lista_turnos,0),9)*10000000+IFERROR(MATCH('ORDENES'!$AH574,tblTecnicos[nombre],0),99)*100000+571,9000000000000+571)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5">
        <f>IF(K578=1,'ORDENES'!$J574,"")</f>
        <v/>
      </c>
    </row>
    <row r="579">
      <c r="K579" s="5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5">
        <f>IF(K579=1,IFERROR(MATCH('ORDENES'!$S575,lista_dias,0),9)*1000000000+IFERROR(MATCH('ORDENES'!$AI575,lista_turnos,0),9)*10000000+IFERROR(MATCH('ORDENES'!$AH575,tblTecnicos[nombre],0),99)*100000+572,9000000000000+572)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5">
        <f>IF(K579=1,'ORDENES'!$J575,"")</f>
        <v/>
      </c>
    </row>
    <row r="580">
      <c r="K580" s="5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5">
        <f>IF(K580=1,IFERROR(MATCH('ORDENES'!$S576,lista_dias,0),9)*1000000000+IFERROR(MATCH('ORDENES'!$AI576,lista_turnos,0),9)*10000000+IFERROR(MATCH('ORDENES'!$AH576,tblTecnicos[nombre],0),99)*100000+573,9000000000000+573)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5">
        <f>IF(K580=1,'ORDENES'!$J576,"")</f>
        <v/>
      </c>
    </row>
    <row r="581">
      <c r="K581" s="5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5">
        <f>IF(K581=1,IFERROR(MATCH('ORDENES'!$S577,lista_dias,0),9)*1000000000+IFERROR(MATCH('ORDENES'!$AI577,lista_turnos,0),9)*10000000+IFERROR(MATCH('ORDENES'!$AH577,tblTecnicos[nombre],0),99)*100000+574,9000000000000+574)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5">
        <f>IF(K581=1,'ORDENES'!$J577,"")</f>
        <v/>
      </c>
    </row>
    <row r="582">
      <c r="K582" s="5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5">
        <f>IF(K582=1,IFERROR(MATCH('ORDENES'!$S578,lista_dias,0),9)*1000000000+IFERROR(MATCH('ORDENES'!$AI578,lista_turnos,0),9)*10000000+IFERROR(MATCH('ORDENES'!$AH578,tblTecnicos[nombre],0),99)*100000+575,9000000000000+575)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5">
        <f>IF(K582=1,'ORDENES'!$J578,"")</f>
        <v/>
      </c>
    </row>
    <row r="583">
      <c r="K583" s="5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5">
        <f>IF(K583=1,IFERROR(MATCH('ORDENES'!$S579,lista_dias,0),9)*1000000000+IFERROR(MATCH('ORDENES'!$AI579,lista_turnos,0),9)*10000000+IFERROR(MATCH('ORDENES'!$AH579,tblTecnicos[nombre],0),99)*100000+576,9000000000000+576)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5">
        <f>IF(K583=1,'ORDENES'!$J579,"")</f>
        <v/>
      </c>
    </row>
    <row r="584">
      <c r="K584" s="5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5">
        <f>IF(K584=1,IFERROR(MATCH('ORDENES'!$S580,lista_dias,0),9)*1000000000+IFERROR(MATCH('ORDENES'!$AI580,lista_turnos,0),9)*10000000+IFERROR(MATCH('ORDENES'!$AH580,tblTecnicos[nombre],0),99)*100000+577,9000000000000+577)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5">
        <f>IF(K584=1,'ORDENES'!$J580,"")</f>
        <v/>
      </c>
    </row>
    <row r="585">
      <c r="K585" s="5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5">
        <f>IF(K585=1,IFERROR(MATCH('ORDENES'!$S581,lista_dias,0),9)*1000000000+IFERROR(MATCH('ORDENES'!$AI581,lista_turnos,0),9)*10000000+IFERROR(MATCH('ORDENES'!$AH581,tblTecnicos[nombre],0),99)*100000+578,9000000000000+578)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5">
        <f>IF(K585=1,'ORDENES'!$J581,"")</f>
        <v/>
      </c>
    </row>
    <row r="586">
      <c r="K586" s="5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5">
        <f>IF(K586=1,IFERROR(MATCH('ORDENES'!$S582,lista_dias,0),9)*1000000000+IFERROR(MATCH('ORDENES'!$AI582,lista_turnos,0),9)*10000000+IFERROR(MATCH('ORDENES'!$AH582,tblTecnicos[nombre],0),99)*100000+579,9000000000000+579)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5">
        <f>IF(K586=1,'ORDENES'!$J582,"")</f>
        <v/>
      </c>
    </row>
    <row r="587">
      <c r="K587" s="5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5">
        <f>IF(K587=1,IFERROR(MATCH('ORDENES'!$S583,lista_dias,0),9)*1000000000+IFERROR(MATCH('ORDENES'!$AI583,lista_turnos,0),9)*10000000+IFERROR(MATCH('ORDENES'!$AH583,tblTecnicos[nombre],0),99)*100000+580,9000000000000+580)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5">
        <f>IF(K587=1,'ORDENES'!$J583,"")</f>
        <v/>
      </c>
    </row>
    <row r="588">
      <c r="K588" s="5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5">
        <f>IF(K588=1,IFERROR(MATCH('ORDENES'!$S584,lista_dias,0),9)*1000000000+IFERROR(MATCH('ORDENES'!$AI584,lista_turnos,0),9)*10000000+IFERROR(MATCH('ORDENES'!$AH584,tblTecnicos[nombre],0),99)*100000+581,9000000000000+581)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5">
        <f>IF(K588=1,'ORDENES'!$J584,"")</f>
        <v/>
      </c>
    </row>
    <row r="589">
      <c r="K589" s="5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5">
        <f>IF(K589=1,IFERROR(MATCH('ORDENES'!$S585,lista_dias,0),9)*1000000000+IFERROR(MATCH('ORDENES'!$AI585,lista_turnos,0),9)*10000000+IFERROR(MATCH('ORDENES'!$AH585,tblTecnicos[nombre],0),99)*100000+582,9000000000000+582)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5">
        <f>IF(K589=1,'ORDENES'!$J585,"")</f>
        <v/>
      </c>
    </row>
    <row r="590">
      <c r="K590" s="5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5">
        <f>IF(K590=1,IFERROR(MATCH('ORDENES'!$S586,lista_dias,0),9)*1000000000+IFERROR(MATCH('ORDENES'!$AI586,lista_turnos,0),9)*10000000+IFERROR(MATCH('ORDENES'!$AH586,tblTecnicos[nombre],0),99)*100000+583,9000000000000+583)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5">
        <f>IF(K590=1,'ORDENES'!$J586,"")</f>
        <v/>
      </c>
    </row>
    <row r="591">
      <c r="K591" s="5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5">
        <f>IF(K591=1,IFERROR(MATCH('ORDENES'!$S587,lista_dias,0),9)*1000000000+IFERROR(MATCH('ORDENES'!$AI587,lista_turnos,0),9)*10000000+IFERROR(MATCH('ORDENES'!$AH587,tblTecnicos[nombre],0),99)*100000+584,9000000000000+584)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5">
        <f>IF(K591=1,'ORDENES'!$J587,"")</f>
        <v/>
      </c>
    </row>
    <row r="592">
      <c r="K592" s="5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5">
        <f>IF(K592=1,IFERROR(MATCH('ORDENES'!$S588,lista_dias,0),9)*1000000000+IFERROR(MATCH('ORDENES'!$AI588,lista_turnos,0),9)*10000000+IFERROR(MATCH('ORDENES'!$AH588,tblTecnicos[nombre],0),99)*100000+585,9000000000000+585)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5">
        <f>IF(K592=1,'ORDENES'!$J588,"")</f>
        <v/>
      </c>
    </row>
    <row r="593">
      <c r="K593" s="5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5">
        <f>IF(K593=1,IFERROR(MATCH('ORDENES'!$S589,lista_dias,0),9)*1000000000+IFERROR(MATCH('ORDENES'!$AI589,lista_turnos,0),9)*10000000+IFERROR(MATCH('ORDENES'!$AH589,tblTecnicos[nombre],0),99)*100000+586,9000000000000+586)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5">
        <f>IF(K593=1,'ORDENES'!$J589,"")</f>
        <v/>
      </c>
    </row>
    <row r="594">
      <c r="K594" s="5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5">
        <f>IF(K594=1,IFERROR(MATCH('ORDENES'!$S590,lista_dias,0),9)*1000000000+IFERROR(MATCH('ORDENES'!$AI590,lista_turnos,0),9)*10000000+IFERROR(MATCH('ORDENES'!$AH590,tblTecnicos[nombre],0),99)*100000+587,9000000000000+587)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5">
        <f>IF(K594=1,'ORDENES'!$J590,"")</f>
        <v/>
      </c>
    </row>
    <row r="595">
      <c r="K595" s="5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5">
        <f>IF(K595=1,IFERROR(MATCH('ORDENES'!$S591,lista_dias,0),9)*1000000000+IFERROR(MATCH('ORDENES'!$AI591,lista_turnos,0),9)*10000000+IFERROR(MATCH('ORDENES'!$AH591,tblTecnicos[nombre],0),99)*100000+588,9000000000000+588)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5">
        <f>IF(K595=1,'ORDENES'!$J591,"")</f>
        <v/>
      </c>
    </row>
    <row r="596">
      <c r="K596" s="5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5">
        <f>IF(K596=1,IFERROR(MATCH('ORDENES'!$S592,lista_dias,0),9)*1000000000+IFERROR(MATCH('ORDENES'!$AI592,lista_turnos,0),9)*10000000+IFERROR(MATCH('ORDENES'!$AH592,tblTecnicos[nombre],0),99)*100000+589,9000000000000+589)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5">
        <f>IF(K596=1,'ORDENES'!$J592,"")</f>
        <v/>
      </c>
    </row>
    <row r="597">
      <c r="K597" s="5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5">
        <f>IF(K597=1,IFERROR(MATCH('ORDENES'!$S593,lista_dias,0),9)*1000000000+IFERROR(MATCH('ORDENES'!$AI593,lista_turnos,0),9)*10000000+IFERROR(MATCH('ORDENES'!$AH593,tblTecnicos[nombre],0),99)*100000+590,9000000000000+590)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5">
        <f>IF(K597=1,'ORDENES'!$J593,"")</f>
        <v/>
      </c>
    </row>
    <row r="598">
      <c r="K598" s="5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5">
        <f>IF(K598=1,IFERROR(MATCH('ORDENES'!$S594,lista_dias,0),9)*1000000000+IFERROR(MATCH('ORDENES'!$AI594,lista_turnos,0),9)*10000000+IFERROR(MATCH('ORDENES'!$AH594,tblTecnicos[nombre],0),99)*100000+591,9000000000000+591)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5">
        <f>IF(K598=1,'ORDENES'!$J594,"")</f>
        <v/>
      </c>
    </row>
    <row r="599">
      <c r="K599" s="5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5">
        <f>IF(K599=1,IFERROR(MATCH('ORDENES'!$S595,lista_dias,0),9)*1000000000+IFERROR(MATCH('ORDENES'!$AI595,lista_turnos,0),9)*10000000+IFERROR(MATCH('ORDENES'!$AH595,tblTecnicos[nombre],0),99)*100000+592,9000000000000+592)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5">
        <f>IF(K599=1,'ORDENES'!$J595,"")</f>
        <v/>
      </c>
    </row>
    <row r="600">
      <c r="K600" s="5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5">
        <f>IF(K600=1,IFERROR(MATCH('ORDENES'!$S596,lista_dias,0),9)*1000000000+IFERROR(MATCH('ORDENES'!$AI596,lista_turnos,0),9)*10000000+IFERROR(MATCH('ORDENES'!$AH596,tblTecnicos[nombre],0),99)*100000+593,9000000000000+593)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5">
        <f>IF(K600=1,'ORDENES'!$J596,"")</f>
        <v/>
      </c>
    </row>
    <row r="601">
      <c r="K601" s="5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5">
        <f>IF(K601=1,IFERROR(MATCH('ORDENES'!$S597,lista_dias,0),9)*1000000000+IFERROR(MATCH('ORDENES'!$AI597,lista_turnos,0),9)*10000000+IFERROR(MATCH('ORDENES'!$AH597,tblTecnicos[nombre],0),99)*100000+594,9000000000000+594)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5">
        <f>IF(K601=1,'ORDENES'!$J597,"")</f>
        <v/>
      </c>
    </row>
    <row r="602">
      <c r="K602" s="5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5">
        <f>IF(K602=1,IFERROR(MATCH('ORDENES'!$S598,lista_dias,0),9)*1000000000+IFERROR(MATCH('ORDENES'!$AI598,lista_turnos,0),9)*10000000+IFERROR(MATCH('ORDENES'!$AH598,tblTecnicos[nombre],0),99)*100000+595,9000000000000+595)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5">
        <f>IF(K602=1,'ORDENES'!$J598,"")</f>
        <v/>
      </c>
    </row>
    <row r="603">
      <c r="K603" s="5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5">
        <f>IF(K603=1,IFERROR(MATCH('ORDENES'!$S599,lista_dias,0),9)*1000000000+IFERROR(MATCH('ORDENES'!$AI599,lista_turnos,0),9)*10000000+IFERROR(MATCH('ORDENES'!$AH599,tblTecnicos[nombre],0),99)*100000+596,9000000000000+596)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5">
        <f>IF(K603=1,'ORDENES'!$J599,"")</f>
        <v/>
      </c>
    </row>
    <row r="604">
      <c r="K604" s="5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5">
        <f>IF(K604=1,IFERROR(MATCH('ORDENES'!$S600,lista_dias,0),9)*1000000000+IFERROR(MATCH('ORDENES'!$AI600,lista_turnos,0),9)*10000000+IFERROR(MATCH('ORDENES'!$AH600,tblTecnicos[nombre],0),99)*100000+597,9000000000000+597)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5">
        <f>IF(K604=1,'ORDENES'!$J600,"")</f>
        <v/>
      </c>
    </row>
    <row r="605">
      <c r="K605" s="5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5">
        <f>IF(K605=1,IFERROR(MATCH('ORDENES'!$S601,lista_dias,0),9)*1000000000+IFERROR(MATCH('ORDENES'!$AI601,lista_turnos,0),9)*10000000+IFERROR(MATCH('ORDENES'!$AH601,tblTecnicos[nombre],0),99)*100000+598,9000000000000+598)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5">
        <f>IF(K605=1,'ORDENES'!$J601,"")</f>
        <v/>
      </c>
    </row>
    <row r="606">
      <c r="K606" s="5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5">
        <f>IF(K606=1,IFERROR(MATCH('ORDENES'!$S602,lista_dias,0),9)*1000000000+IFERROR(MATCH('ORDENES'!$AI602,lista_turnos,0),9)*10000000+IFERROR(MATCH('ORDENES'!$AH602,tblTecnicos[nombre],0),99)*100000+599,9000000000000+599)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5">
        <f>IF(K606=1,'ORDENES'!$J602,"")</f>
        <v/>
      </c>
    </row>
    <row r="607">
      <c r="K607" s="5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5">
        <f>IF(K607=1,IFERROR(MATCH('ORDENES'!$S603,lista_dias,0),9)*1000000000+IFERROR(MATCH('ORDENES'!$AI603,lista_turnos,0),9)*10000000+IFERROR(MATCH('ORDENES'!$AH603,tblTecnicos[nombre],0),99)*100000+600,9000000000000+600)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5">
        <f>IF(K607=1,'ORDENES'!$J603,"")</f>
        <v/>
      </c>
    </row>
    <row r="608">
      <c r="K608" s="5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5">
        <f>IF(K608=1,IFERROR(MATCH('ORDENES'!$S604,lista_dias,0),9)*1000000000+IFERROR(MATCH('ORDENES'!$AI604,lista_turnos,0),9)*10000000+IFERROR(MATCH('ORDENES'!$AH604,tblTecnicos[nombre],0),99)*100000+601,9000000000000+601)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5">
        <f>IF(K608=1,'ORDENES'!$J604,"")</f>
        <v/>
      </c>
    </row>
    <row r="609">
      <c r="K609" s="5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5">
        <f>IF(K609=1,IFERROR(MATCH('ORDENES'!$S605,lista_dias,0),9)*1000000000+IFERROR(MATCH('ORDENES'!$AI605,lista_turnos,0),9)*10000000+IFERROR(MATCH('ORDENES'!$AH605,tblTecnicos[nombre],0),99)*100000+602,9000000000000+602)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5">
        <f>IF(K609=1,'ORDENES'!$J605,"")</f>
        <v/>
      </c>
    </row>
    <row r="610">
      <c r="K610" s="5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5">
        <f>IF(K610=1,IFERROR(MATCH('ORDENES'!$S606,lista_dias,0),9)*1000000000+IFERROR(MATCH('ORDENES'!$AI606,lista_turnos,0),9)*10000000+IFERROR(MATCH('ORDENES'!$AH606,tblTecnicos[nombre],0),99)*100000+603,9000000000000+603)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5">
        <f>IF(K610=1,'ORDENES'!$J606,"")</f>
        <v/>
      </c>
    </row>
    <row r="611">
      <c r="K611" s="5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5">
        <f>IF(K611=1,IFERROR(MATCH('ORDENES'!$S607,lista_dias,0),9)*1000000000+IFERROR(MATCH('ORDENES'!$AI607,lista_turnos,0),9)*10000000+IFERROR(MATCH('ORDENES'!$AH607,tblTecnicos[nombre],0),99)*100000+604,9000000000000+604)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5">
        <f>IF(K611=1,'ORDENES'!$J607,"")</f>
        <v/>
      </c>
    </row>
    <row r="612">
      <c r="K612" s="5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5">
        <f>IF(K612=1,IFERROR(MATCH('ORDENES'!$S608,lista_dias,0),9)*1000000000+IFERROR(MATCH('ORDENES'!$AI608,lista_turnos,0),9)*10000000+IFERROR(MATCH('ORDENES'!$AH608,tblTecnicos[nombre],0),99)*100000+605,9000000000000+605)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5">
        <f>IF(K612=1,'ORDENES'!$J608,"")</f>
        <v/>
      </c>
    </row>
    <row r="613">
      <c r="K613" s="5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5">
        <f>IF(K613=1,IFERROR(MATCH('ORDENES'!$S609,lista_dias,0),9)*1000000000+IFERROR(MATCH('ORDENES'!$AI609,lista_turnos,0),9)*10000000+IFERROR(MATCH('ORDENES'!$AH609,tblTecnicos[nombre],0),99)*100000+606,9000000000000+606)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5">
        <f>IF(K613=1,'ORDENES'!$J609,"")</f>
        <v/>
      </c>
    </row>
    <row r="614">
      <c r="K614" s="5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5">
        <f>IF(K614=1,IFERROR(MATCH('ORDENES'!$S610,lista_dias,0),9)*1000000000+IFERROR(MATCH('ORDENES'!$AI610,lista_turnos,0),9)*10000000+IFERROR(MATCH('ORDENES'!$AH610,tblTecnicos[nombre],0),99)*100000+607,9000000000000+607)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5">
        <f>IF(K614=1,'ORDENES'!$J610,"")</f>
        <v/>
      </c>
    </row>
    <row r="615">
      <c r="K615" s="5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5">
        <f>IF(K615=1,IFERROR(MATCH('ORDENES'!$S611,lista_dias,0),9)*1000000000+IFERROR(MATCH('ORDENES'!$AI611,lista_turnos,0),9)*10000000+IFERROR(MATCH('ORDENES'!$AH611,tblTecnicos[nombre],0),99)*100000+608,9000000000000+608)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5">
        <f>IF(K615=1,'ORDENES'!$J611,"")</f>
        <v/>
      </c>
    </row>
    <row r="616">
      <c r="K616" s="5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5">
        <f>IF(K616=1,IFERROR(MATCH('ORDENES'!$S612,lista_dias,0),9)*1000000000+IFERROR(MATCH('ORDENES'!$AI612,lista_turnos,0),9)*10000000+IFERROR(MATCH('ORDENES'!$AH612,tblTecnicos[nombre],0),99)*100000+609,9000000000000+609)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5">
        <f>IF(K616=1,'ORDENES'!$J612,"")</f>
        <v/>
      </c>
    </row>
    <row r="617">
      <c r="K617" s="5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5">
        <f>IF(K617=1,IFERROR(MATCH('ORDENES'!$S613,lista_dias,0),9)*1000000000+IFERROR(MATCH('ORDENES'!$AI613,lista_turnos,0),9)*10000000+IFERROR(MATCH('ORDENES'!$AH613,tblTecnicos[nombre],0),99)*100000+610,9000000000000+610)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5">
        <f>IF(K617=1,'ORDENES'!$J613,"")</f>
        <v/>
      </c>
    </row>
    <row r="618">
      <c r="K618" s="5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5">
        <f>IF(K618=1,IFERROR(MATCH('ORDENES'!$S614,lista_dias,0),9)*1000000000+IFERROR(MATCH('ORDENES'!$AI614,lista_turnos,0),9)*10000000+IFERROR(MATCH('ORDENES'!$AH614,tblTecnicos[nombre],0),99)*100000+611,9000000000000+611)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5">
        <f>IF(K618=1,'ORDENES'!$J614,"")</f>
        <v/>
      </c>
    </row>
    <row r="619">
      <c r="K619" s="5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5">
        <f>IF(K619=1,IFERROR(MATCH('ORDENES'!$S615,lista_dias,0),9)*1000000000+IFERROR(MATCH('ORDENES'!$AI615,lista_turnos,0),9)*10000000+IFERROR(MATCH('ORDENES'!$AH615,tblTecnicos[nombre],0),99)*100000+612,9000000000000+612)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5">
        <f>IF(K619=1,'ORDENES'!$J615,"")</f>
        <v/>
      </c>
    </row>
    <row r="620">
      <c r="K620" s="5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5">
        <f>IF(K620=1,IFERROR(MATCH('ORDENES'!$S616,lista_dias,0),9)*1000000000+IFERROR(MATCH('ORDENES'!$AI616,lista_turnos,0),9)*10000000+IFERROR(MATCH('ORDENES'!$AH616,tblTecnicos[nombre],0),99)*100000+613,9000000000000+613)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5">
        <f>IF(K620=1,'ORDENES'!$J616,"")</f>
        <v/>
      </c>
    </row>
    <row r="621">
      <c r="K621" s="5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5">
        <f>IF(K621=1,IFERROR(MATCH('ORDENES'!$S617,lista_dias,0),9)*1000000000+IFERROR(MATCH('ORDENES'!$AI617,lista_turnos,0),9)*10000000+IFERROR(MATCH('ORDENES'!$AH617,tblTecnicos[nombre],0),99)*100000+614,9000000000000+614)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5">
        <f>IF(K621=1,'ORDENES'!$J617,"")</f>
        <v/>
      </c>
    </row>
    <row r="622">
      <c r="K622" s="5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5">
        <f>IF(K622=1,IFERROR(MATCH('ORDENES'!$S618,lista_dias,0),9)*1000000000+IFERROR(MATCH('ORDENES'!$AI618,lista_turnos,0),9)*10000000+IFERROR(MATCH('ORDENES'!$AH618,tblTecnicos[nombre],0),99)*100000+615,9000000000000+615)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5">
        <f>IF(K622=1,'ORDENES'!$J618,"")</f>
        <v/>
      </c>
    </row>
    <row r="623">
      <c r="K623" s="5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5">
        <f>IF(K623=1,IFERROR(MATCH('ORDENES'!$S619,lista_dias,0),9)*1000000000+IFERROR(MATCH('ORDENES'!$AI619,lista_turnos,0),9)*10000000+IFERROR(MATCH('ORDENES'!$AH619,tblTecnicos[nombre],0),99)*100000+616,9000000000000+616)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5">
        <f>IF(K623=1,'ORDENES'!$J619,"")</f>
        <v/>
      </c>
    </row>
    <row r="624">
      <c r="K624" s="5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5">
        <f>IF(K624=1,IFERROR(MATCH('ORDENES'!$S620,lista_dias,0),9)*1000000000+IFERROR(MATCH('ORDENES'!$AI620,lista_turnos,0),9)*10000000+IFERROR(MATCH('ORDENES'!$AH620,tblTecnicos[nombre],0),99)*100000+617,9000000000000+617)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5">
        <f>IF(K624=1,'ORDENES'!$J620,"")</f>
        <v/>
      </c>
    </row>
    <row r="625">
      <c r="K625" s="5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5">
        <f>IF(K625=1,IFERROR(MATCH('ORDENES'!$S621,lista_dias,0),9)*1000000000+IFERROR(MATCH('ORDENES'!$AI621,lista_turnos,0),9)*10000000+IFERROR(MATCH('ORDENES'!$AH621,tblTecnicos[nombre],0),99)*100000+618,9000000000000+618)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5">
        <f>IF(K625=1,'ORDENES'!$J621,"")</f>
        <v/>
      </c>
    </row>
    <row r="626">
      <c r="K626" s="5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5">
        <f>IF(K626=1,IFERROR(MATCH('ORDENES'!$S622,lista_dias,0),9)*1000000000+IFERROR(MATCH('ORDENES'!$AI622,lista_turnos,0),9)*10000000+IFERROR(MATCH('ORDENES'!$AH622,tblTecnicos[nombre],0),99)*100000+619,9000000000000+619)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5">
        <f>IF(K626=1,'ORDENES'!$J622,"")</f>
        <v/>
      </c>
    </row>
    <row r="627">
      <c r="K627" s="5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5">
        <f>IF(K627=1,IFERROR(MATCH('ORDENES'!$S623,lista_dias,0),9)*1000000000+IFERROR(MATCH('ORDENES'!$AI623,lista_turnos,0),9)*10000000+IFERROR(MATCH('ORDENES'!$AH623,tblTecnicos[nombre],0),99)*100000+620,9000000000000+620)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5">
        <f>IF(K627=1,'ORDENES'!$J623,"")</f>
        <v/>
      </c>
    </row>
    <row r="628">
      <c r="K628" s="5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5">
        <f>IF(K628=1,IFERROR(MATCH('ORDENES'!$S624,lista_dias,0),9)*1000000000+IFERROR(MATCH('ORDENES'!$AI624,lista_turnos,0),9)*10000000+IFERROR(MATCH('ORDENES'!$AH624,tblTecnicos[nombre],0),99)*100000+621,9000000000000+621)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5">
        <f>IF(K628=1,'ORDENES'!$J624,"")</f>
        <v/>
      </c>
    </row>
    <row r="629">
      <c r="K629" s="5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5">
        <f>IF(K629=1,IFERROR(MATCH('ORDENES'!$S625,lista_dias,0),9)*1000000000+IFERROR(MATCH('ORDENES'!$AI625,lista_turnos,0),9)*10000000+IFERROR(MATCH('ORDENES'!$AH625,tblTecnicos[nombre],0),99)*100000+622,9000000000000+622)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5">
        <f>IF(K629=1,'ORDENES'!$J625,"")</f>
        <v/>
      </c>
    </row>
    <row r="630">
      <c r="K630" s="5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5">
        <f>IF(K630=1,IFERROR(MATCH('ORDENES'!$S626,lista_dias,0),9)*1000000000+IFERROR(MATCH('ORDENES'!$AI626,lista_turnos,0),9)*10000000+IFERROR(MATCH('ORDENES'!$AH626,tblTecnicos[nombre],0),99)*100000+623,9000000000000+623)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5">
        <f>IF(K630=1,'ORDENES'!$J626,"")</f>
        <v/>
      </c>
    </row>
    <row r="631">
      <c r="K631" s="5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5">
        <f>IF(K631=1,IFERROR(MATCH('ORDENES'!$S627,lista_dias,0),9)*1000000000+IFERROR(MATCH('ORDENES'!$AI627,lista_turnos,0),9)*10000000+IFERROR(MATCH('ORDENES'!$AH627,tblTecnicos[nombre],0),99)*100000+624,9000000000000+624)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5">
        <f>IF(K631=1,'ORDENES'!$J627,"")</f>
        <v/>
      </c>
    </row>
    <row r="632">
      <c r="K632" s="5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5">
        <f>IF(K632=1,IFERROR(MATCH('ORDENES'!$S628,lista_dias,0),9)*1000000000+IFERROR(MATCH('ORDENES'!$AI628,lista_turnos,0),9)*10000000+IFERROR(MATCH('ORDENES'!$AH628,tblTecnicos[nombre],0),99)*100000+625,9000000000000+625)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5">
        <f>IF(K632=1,'ORDENES'!$J628,"")</f>
        <v/>
      </c>
    </row>
    <row r="633">
      <c r="K633" s="5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5">
        <f>IF(K633=1,IFERROR(MATCH('ORDENES'!$S629,lista_dias,0),9)*1000000000+IFERROR(MATCH('ORDENES'!$AI629,lista_turnos,0),9)*10000000+IFERROR(MATCH('ORDENES'!$AH629,tblTecnicos[nombre],0),99)*100000+626,9000000000000+626)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5">
        <f>IF(K633=1,'ORDENES'!$J629,"")</f>
        <v/>
      </c>
    </row>
    <row r="634">
      <c r="K634" s="5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5">
        <f>IF(K634=1,IFERROR(MATCH('ORDENES'!$S630,lista_dias,0),9)*1000000000+IFERROR(MATCH('ORDENES'!$AI630,lista_turnos,0),9)*10000000+IFERROR(MATCH('ORDENES'!$AH630,tblTecnicos[nombre],0),99)*100000+627,9000000000000+627)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5">
        <f>IF(K634=1,'ORDENES'!$J630,"")</f>
        <v/>
      </c>
    </row>
    <row r="635">
      <c r="K635" s="5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5">
        <f>IF(K635=1,IFERROR(MATCH('ORDENES'!$S631,lista_dias,0),9)*1000000000+IFERROR(MATCH('ORDENES'!$AI631,lista_turnos,0),9)*10000000+IFERROR(MATCH('ORDENES'!$AH631,tblTecnicos[nombre],0),99)*100000+628,9000000000000+628)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5">
        <f>IF(K635=1,'ORDENES'!$J631,"")</f>
        <v/>
      </c>
    </row>
    <row r="636">
      <c r="K636" s="5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5">
        <f>IF(K636=1,IFERROR(MATCH('ORDENES'!$S632,lista_dias,0),9)*1000000000+IFERROR(MATCH('ORDENES'!$AI632,lista_turnos,0),9)*10000000+IFERROR(MATCH('ORDENES'!$AH632,tblTecnicos[nombre],0),99)*100000+629,9000000000000+629)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5">
        <f>IF(K636=1,'ORDENES'!$J632,"")</f>
        <v/>
      </c>
    </row>
    <row r="637">
      <c r="K637" s="5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5">
        <f>IF(K637=1,IFERROR(MATCH('ORDENES'!$S633,lista_dias,0),9)*1000000000+IFERROR(MATCH('ORDENES'!$AI633,lista_turnos,0),9)*10000000+IFERROR(MATCH('ORDENES'!$AH633,tblTecnicos[nombre],0),99)*100000+630,9000000000000+630)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5">
        <f>IF(K637=1,'ORDENES'!$J633,"")</f>
        <v/>
      </c>
    </row>
    <row r="638">
      <c r="K638" s="5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5">
        <f>IF(K638=1,IFERROR(MATCH('ORDENES'!$S634,lista_dias,0),9)*1000000000+IFERROR(MATCH('ORDENES'!$AI634,lista_turnos,0),9)*10000000+IFERROR(MATCH('ORDENES'!$AH634,tblTecnicos[nombre],0),99)*100000+631,9000000000000+631)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5">
        <f>IF(K638=1,'ORDENES'!$J634,"")</f>
        <v/>
      </c>
    </row>
    <row r="639">
      <c r="K639" s="5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5">
        <f>IF(K639=1,IFERROR(MATCH('ORDENES'!$S635,lista_dias,0),9)*1000000000+IFERROR(MATCH('ORDENES'!$AI635,lista_turnos,0),9)*10000000+IFERROR(MATCH('ORDENES'!$AH635,tblTecnicos[nombre],0),99)*100000+632,9000000000000+632)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5">
        <f>IF(K639=1,'ORDENES'!$J635,"")</f>
        <v/>
      </c>
    </row>
    <row r="640">
      <c r="K640" s="5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5">
        <f>IF(K640=1,IFERROR(MATCH('ORDENES'!$S636,lista_dias,0),9)*1000000000+IFERROR(MATCH('ORDENES'!$AI636,lista_turnos,0),9)*10000000+IFERROR(MATCH('ORDENES'!$AH636,tblTecnicos[nombre],0),99)*100000+633,9000000000000+633)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5">
        <f>IF(K640=1,'ORDENES'!$J636,"")</f>
        <v/>
      </c>
    </row>
    <row r="641">
      <c r="K641" s="5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5">
        <f>IF(K641=1,IFERROR(MATCH('ORDENES'!$S637,lista_dias,0),9)*1000000000+IFERROR(MATCH('ORDENES'!$AI637,lista_turnos,0),9)*10000000+IFERROR(MATCH('ORDENES'!$AH637,tblTecnicos[nombre],0),99)*100000+634,9000000000000+634)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5">
        <f>IF(K641=1,'ORDENES'!$J637,"")</f>
        <v/>
      </c>
    </row>
    <row r="642">
      <c r="K642" s="5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5">
        <f>IF(K642=1,IFERROR(MATCH('ORDENES'!$S638,lista_dias,0),9)*1000000000+IFERROR(MATCH('ORDENES'!$AI638,lista_turnos,0),9)*10000000+IFERROR(MATCH('ORDENES'!$AH638,tblTecnicos[nombre],0),99)*100000+635,9000000000000+635)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5">
        <f>IF(K642=1,'ORDENES'!$J638,"")</f>
        <v/>
      </c>
    </row>
    <row r="643">
      <c r="K643" s="5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5">
        <f>IF(K643=1,IFERROR(MATCH('ORDENES'!$S639,lista_dias,0),9)*1000000000+IFERROR(MATCH('ORDENES'!$AI639,lista_turnos,0),9)*10000000+IFERROR(MATCH('ORDENES'!$AH639,tblTecnicos[nombre],0),99)*100000+636,9000000000000+636)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5">
        <f>IF(K643=1,'ORDENES'!$J639,"")</f>
        <v/>
      </c>
    </row>
    <row r="644">
      <c r="K644" s="5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5">
        <f>IF(K644=1,IFERROR(MATCH('ORDENES'!$S640,lista_dias,0),9)*1000000000+IFERROR(MATCH('ORDENES'!$AI640,lista_turnos,0),9)*10000000+IFERROR(MATCH('ORDENES'!$AH640,tblTecnicos[nombre],0),99)*100000+637,9000000000000+637)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5">
        <f>IF(K644=1,'ORDENES'!$J640,"")</f>
        <v/>
      </c>
    </row>
    <row r="645">
      <c r="K645" s="5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5">
        <f>IF(K645=1,IFERROR(MATCH('ORDENES'!$S641,lista_dias,0),9)*1000000000+IFERROR(MATCH('ORDENES'!$AI641,lista_turnos,0),9)*10000000+IFERROR(MATCH('ORDENES'!$AH641,tblTecnicos[nombre],0),99)*100000+638,9000000000000+638)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5">
        <f>IF(K645=1,'ORDENES'!$J641,"")</f>
        <v/>
      </c>
    </row>
    <row r="646">
      <c r="K646" s="5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5">
        <f>IF(K646=1,IFERROR(MATCH('ORDENES'!$S642,lista_dias,0),9)*1000000000+IFERROR(MATCH('ORDENES'!$AI642,lista_turnos,0),9)*10000000+IFERROR(MATCH('ORDENES'!$AH642,tblTecnicos[nombre],0),99)*100000+639,9000000000000+639)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5">
        <f>IF(K646=1,'ORDENES'!$J642,"")</f>
        <v/>
      </c>
    </row>
    <row r="647">
      <c r="K647" s="5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5">
        <f>IF(K647=1,IFERROR(MATCH('ORDENES'!$S643,lista_dias,0),9)*1000000000+IFERROR(MATCH('ORDENES'!$AI643,lista_turnos,0),9)*10000000+IFERROR(MATCH('ORDENES'!$AH643,tblTecnicos[nombre],0),99)*100000+640,9000000000000+640)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5">
        <f>IF(K647=1,'ORDENES'!$J643,"")</f>
        <v/>
      </c>
    </row>
    <row r="648">
      <c r="K648" s="5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5">
        <f>IF(K648=1,IFERROR(MATCH('ORDENES'!$S644,lista_dias,0),9)*1000000000+IFERROR(MATCH('ORDENES'!$AI644,lista_turnos,0),9)*10000000+IFERROR(MATCH('ORDENES'!$AH644,tblTecnicos[nombre],0),99)*100000+641,9000000000000+641)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5">
        <f>IF(K648=1,'ORDENES'!$J644,"")</f>
        <v/>
      </c>
    </row>
    <row r="649">
      <c r="K649" s="5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5">
        <f>IF(K649=1,IFERROR(MATCH('ORDENES'!$S645,lista_dias,0),9)*1000000000+IFERROR(MATCH('ORDENES'!$AI645,lista_turnos,0),9)*10000000+IFERROR(MATCH('ORDENES'!$AH645,tblTecnicos[nombre],0),99)*100000+642,9000000000000+642)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5">
        <f>IF(K649=1,'ORDENES'!$J645,"")</f>
        <v/>
      </c>
    </row>
    <row r="650">
      <c r="K650" s="5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5">
        <f>IF(K650=1,IFERROR(MATCH('ORDENES'!$S646,lista_dias,0),9)*1000000000+IFERROR(MATCH('ORDENES'!$AI646,lista_turnos,0),9)*10000000+IFERROR(MATCH('ORDENES'!$AH646,tblTecnicos[nombre],0),99)*100000+643,9000000000000+643)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5">
        <f>IF(K650=1,'ORDENES'!$J646,"")</f>
        <v/>
      </c>
    </row>
    <row r="651">
      <c r="K651" s="5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5">
        <f>IF(K651=1,IFERROR(MATCH('ORDENES'!$S647,lista_dias,0),9)*1000000000+IFERROR(MATCH('ORDENES'!$AI647,lista_turnos,0),9)*10000000+IFERROR(MATCH('ORDENES'!$AH647,tblTecnicos[nombre],0),99)*100000+644,9000000000000+644)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5">
        <f>IF(K651=1,'ORDENES'!$J647,"")</f>
        <v/>
      </c>
    </row>
    <row r="652">
      <c r="K652" s="5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5">
        <f>IF(K652=1,IFERROR(MATCH('ORDENES'!$S648,lista_dias,0),9)*1000000000+IFERROR(MATCH('ORDENES'!$AI648,lista_turnos,0),9)*10000000+IFERROR(MATCH('ORDENES'!$AH648,tblTecnicos[nombre],0),99)*100000+645,9000000000000+645)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5">
        <f>IF(K652=1,'ORDENES'!$J648,"")</f>
        <v/>
      </c>
    </row>
    <row r="653">
      <c r="K653" s="5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5">
        <f>IF(K653=1,IFERROR(MATCH('ORDENES'!$S649,lista_dias,0),9)*1000000000+IFERROR(MATCH('ORDENES'!$AI649,lista_turnos,0),9)*10000000+IFERROR(MATCH('ORDENES'!$AH649,tblTecnicos[nombre],0),99)*100000+646,9000000000000+646)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5">
        <f>IF(K653=1,'ORDENES'!$J649,"")</f>
        <v/>
      </c>
    </row>
    <row r="654">
      <c r="K654" s="5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5">
        <f>IF(K654=1,IFERROR(MATCH('ORDENES'!$S650,lista_dias,0),9)*1000000000+IFERROR(MATCH('ORDENES'!$AI650,lista_turnos,0),9)*10000000+IFERROR(MATCH('ORDENES'!$AH650,tblTecnicos[nombre],0),99)*100000+647,9000000000000+647)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5">
        <f>IF(K654=1,'ORDENES'!$J650,"")</f>
        <v/>
      </c>
    </row>
    <row r="655">
      <c r="K655" s="5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5">
        <f>IF(K655=1,IFERROR(MATCH('ORDENES'!$S651,lista_dias,0),9)*1000000000+IFERROR(MATCH('ORDENES'!$AI651,lista_turnos,0),9)*10000000+IFERROR(MATCH('ORDENES'!$AH651,tblTecnicos[nombre],0),99)*100000+648,9000000000000+648)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5">
        <f>IF(K655=1,'ORDENES'!$J651,"")</f>
        <v/>
      </c>
    </row>
    <row r="656">
      <c r="K656" s="5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5">
        <f>IF(K656=1,IFERROR(MATCH('ORDENES'!$S652,lista_dias,0),9)*1000000000+IFERROR(MATCH('ORDENES'!$AI652,lista_turnos,0),9)*10000000+IFERROR(MATCH('ORDENES'!$AH652,tblTecnicos[nombre],0),99)*100000+649,9000000000000+649)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5">
        <f>IF(K656=1,'ORDENES'!$J652,"")</f>
        <v/>
      </c>
    </row>
    <row r="657">
      <c r="K657" s="5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5">
        <f>IF(K657=1,IFERROR(MATCH('ORDENES'!$S653,lista_dias,0),9)*1000000000+IFERROR(MATCH('ORDENES'!$AI653,lista_turnos,0),9)*10000000+IFERROR(MATCH('ORDENES'!$AH653,tblTecnicos[nombre],0),99)*100000+650,9000000000000+650)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5">
        <f>IF(K657=1,'ORDENES'!$J653,"")</f>
        <v/>
      </c>
    </row>
    <row r="658">
      <c r="K658" s="5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5">
        <f>IF(K658=1,IFERROR(MATCH('ORDENES'!$S654,lista_dias,0),9)*1000000000+IFERROR(MATCH('ORDENES'!$AI654,lista_turnos,0),9)*10000000+IFERROR(MATCH('ORDENES'!$AH654,tblTecnicos[nombre],0),99)*100000+651,9000000000000+651)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5">
        <f>IF(K658=1,'ORDENES'!$J654,"")</f>
        <v/>
      </c>
    </row>
    <row r="659">
      <c r="K659" s="5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5">
        <f>IF(K659=1,IFERROR(MATCH('ORDENES'!$S655,lista_dias,0),9)*1000000000+IFERROR(MATCH('ORDENES'!$AI655,lista_turnos,0),9)*10000000+IFERROR(MATCH('ORDENES'!$AH655,tblTecnicos[nombre],0),99)*100000+652,9000000000000+652)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5">
        <f>IF(K659=1,'ORDENES'!$J655,"")</f>
        <v/>
      </c>
    </row>
    <row r="660">
      <c r="K660" s="5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5">
        <f>IF(K660=1,IFERROR(MATCH('ORDENES'!$S656,lista_dias,0),9)*1000000000+IFERROR(MATCH('ORDENES'!$AI656,lista_turnos,0),9)*10000000+IFERROR(MATCH('ORDENES'!$AH656,tblTecnicos[nombre],0),99)*100000+653,9000000000000+653)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5">
        <f>IF(K660=1,'ORDENES'!$J656,"")</f>
        <v/>
      </c>
    </row>
    <row r="661">
      <c r="K661" s="5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5">
        <f>IF(K661=1,IFERROR(MATCH('ORDENES'!$S657,lista_dias,0),9)*1000000000+IFERROR(MATCH('ORDENES'!$AI657,lista_turnos,0),9)*10000000+IFERROR(MATCH('ORDENES'!$AH657,tblTecnicos[nombre],0),99)*100000+654,9000000000000+654)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5">
        <f>IF(K661=1,'ORDENES'!$J657,"")</f>
        <v/>
      </c>
    </row>
    <row r="662">
      <c r="K662" s="5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5">
        <f>IF(K662=1,IFERROR(MATCH('ORDENES'!$S658,lista_dias,0),9)*1000000000+IFERROR(MATCH('ORDENES'!$AI658,lista_turnos,0),9)*10000000+IFERROR(MATCH('ORDENES'!$AH658,tblTecnicos[nombre],0),99)*100000+655,9000000000000+655)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5">
        <f>IF(K662=1,'ORDENES'!$J658,"")</f>
        <v/>
      </c>
    </row>
    <row r="663">
      <c r="K663" s="5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5">
        <f>IF(K663=1,IFERROR(MATCH('ORDENES'!$S659,lista_dias,0),9)*1000000000+IFERROR(MATCH('ORDENES'!$AI659,lista_turnos,0),9)*10000000+IFERROR(MATCH('ORDENES'!$AH659,tblTecnicos[nombre],0),99)*100000+656,9000000000000+656)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5">
        <f>IF(K663=1,'ORDENES'!$J659,"")</f>
        <v/>
      </c>
    </row>
    <row r="664">
      <c r="K664" s="5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5">
        <f>IF(K664=1,IFERROR(MATCH('ORDENES'!$S660,lista_dias,0),9)*1000000000+IFERROR(MATCH('ORDENES'!$AI660,lista_turnos,0),9)*10000000+IFERROR(MATCH('ORDENES'!$AH660,tblTecnicos[nombre],0),99)*100000+657,9000000000000+657)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5">
        <f>IF(K664=1,'ORDENES'!$J660,"")</f>
        <v/>
      </c>
    </row>
    <row r="665">
      <c r="K665" s="5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5">
        <f>IF(K665=1,IFERROR(MATCH('ORDENES'!$S661,lista_dias,0),9)*1000000000+IFERROR(MATCH('ORDENES'!$AI661,lista_turnos,0),9)*10000000+IFERROR(MATCH('ORDENES'!$AH661,tblTecnicos[nombre],0),99)*100000+658,9000000000000+658)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5">
        <f>IF(K665=1,'ORDENES'!$J661,"")</f>
        <v/>
      </c>
    </row>
    <row r="666">
      <c r="K666" s="5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5">
        <f>IF(K666=1,IFERROR(MATCH('ORDENES'!$S662,lista_dias,0),9)*1000000000+IFERROR(MATCH('ORDENES'!$AI662,lista_turnos,0),9)*10000000+IFERROR(MATCH('ORDENES'!$AH662,tblTecnicos[nombre],0),99)*100000+659,9000000000000+659)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5">
        <f>IF(K666=1,'ORDENES'!$J662,"")</f>
        <v/>
      </c>
    </row>
    <row r="667">
      <c r="K667" s="5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5">
        <f>IF(K667=1,IFERROR(MATCH('ORDENES'!$S663,lista_dias,0),9)*1000000000+IFERROR(MATCH('ORDENES'!$AI663,lista_turnos,0),9)*10000000+IFERROR(MATCH('ORDENES'!$AH663,tblTecnicos[nombre],0),99)*100000+660,9000000000000+660)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5">
        <f>IF(K667=1,'ORDENES'!$J663,"")</f>
        <v/>
      </c>
    </row>
    <row r="668">
      <c r="K668" s="5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5">
        <f>IF(K668=1,IFERROR(MATCH('ORDENES'!$S664,lista_dias,0),9)*1000000000+IFERROR(MATCH('ORDENES'!$AI664,lista_turnos,0),9)*10000000+IFERROR(MATCH('ORDENES'!$AH664,tblTecnicos[nombre],0),99)*100000+661,9000000000000+661)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5">
        <f>IF(K668=1,'ORDENES'!$J664,"")</f>
        <v/>
      </c>
    </row>
    <row r="669">
      <c r="K669" s="5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5">
        <f>IF(K669=1,IFERROR(MATCH('ORDENES'!$S665,lista_dias,0),9)*1000000000+IFERROR(MATCH('ORDENES'!$AI665,lista_turnos,0),9)*10000000+IFERROR(MATCH('ORDENES'!$AH665,tblTecnicos[nombre],0),99)*100000+662,9000000000000+662)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5">
        <f>IF(K669=1,'ORDENES'!$J665,"")</f>
        <v/>
      </c>
    </row>
    <row r="670">
      <c r="K670" s="5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5">
        <f>IF(K670=1,IFERROR(MATCH('ORDENES'!$S666,lista_dias,0),9)*1000000000+IFERROR(MATCH('ORDENES'!$AI666,lista_turnos,0),9)*10000000+IFERROR(MATCH('ORDENES'!$AH666,tblTecnicos[nombre],0),99)*100000+663,9000000000000+663)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5">
        <f>IF(K670=1,'ORDENES'!$J666,"")</f>
        <v/>
      </c>
    </row>
    <row r="671">
      <c r="K671" s="5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5">
        <f>IF(K671=1,IFERROR(MATCH('ORDENES'!$S667,lista_dias,0),9)*1000000000+IFERROR(MATCH('ORDENES'!$AI667,lista_turnos,0),9)*10000000+IFERROR(MATCH('ORDENES'!$AH667,tblTecnicos[nombre],0),99)*100000+664,9000000000000+664)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5">
        <f>IF(K671=1,'ORDENES'!$J667,"")</f>
        <v/>
      </c>
    </row>
    <row r="672">
      <c r="K672" s="5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5">
        <f>IF(K672=1,IFERROR(MATCH('ORDENES'!$S668,lista_dias,0),9)*1000000000+IFERROR(MATCH('ORDENES'!$AI668,lista_turnos,0),9)*10000000+IFERROR(MATCH('ORDENES'!$AH668,tblTecnicos[nombre],0),99)*100000+665,9000000000000+665)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5">
        <f>IF(K672=1,'ORDENES'!$J668,"")</f>
        <v/>
      </c>
    </row>
    <row r="673">
      <c r="K673" s="5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5">
        <f>IF(K673=1,IFERROR(MATCH('ORDENES'!$S669,lista_dias,0),9)*1000000000+IFERROR(MATCH('ORDENES'!$AI669,lista_turnos,0),9)*10000000+IFERROR(MATCH('ORDENES'!$AH669,tblTecnicos[nombre],0),99)*100000+666,9000000000000+666)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5">
        <f>IF(K673=1,'ORDENES'!$J669,"")</f>
        <v/>
      </c>
    </row>
    <row r="674">
      <c r="K674" s="5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5">
        <f>IF(K674=1,IFERROR(MATCH('ORDENES'!$S670,lista_dias,0),9)*1000000000+IFERROR(MATCH('ORDENES'!$AI670,lista_turnos,0),9)*10000000+IFERROR(MATCH('ORDENES'!$AH670,tblTecnicos[nombre],0),99)*100000+667,9000000000000+667)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5">
        <f>IF(K674=1,'ORDENES'!$J670,"")</f>
        <v/>
      </c>
    </row>
    <row r="675">
      <c r="K675" s="5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5">
        <f>IF(K675=1,IFERROR(MATCH('ORDENES'!$S671,lista_dias,0),9)*1000000000+IFERROR(MATCH('ORDENES'!$AI671,lista_turnos,0),9)*10000000+IFERROR(MATCH('ORDENES'!$AH671,tblTecnicos[nombre],0),99)*100000+668,9000000000000+668)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5">
        <f>IF(K675=1,'ORDENES'!$J671,"")</f>
        <v/>
      </c>
    </row>
    <row r="676">
      <c r="K676" s="5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5">
        <f>IF(K676=1,IFERROR(MATCH('ORDENES'!$S672,lista_dias,0),9)*1000000000+IFERROR(MATCH('ORDENES'!$AI672,lista_turnos,0),9)*10000000+IFERROR(MATCH('ORDENES'!$AH672,tblTecnicos[nombre],0),99)*100000+669,9000000000000+669)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5">
        <f>IF(K676=1,'ORDENES'!$J672,"")</f>
        <v/>
      </c>
    </row>
    <row r="677">
      <c r="K677" s="5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5">
        <f>IF(K677=1,IFERROR(MATCH('ORDENES'!$S673,lista_dias,0),9)*1000000000+IFERROR(MATCH('ORDENES'!$AI673,lista_turnos,0),9)*10000000+IFERROR(MATCH('ORDENES'!$AH673,tblTecnicos[nombre],0),99)*100000+670,9000000000000+670)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5">
        <f>IF(K677=1,'ORDENES'!$J673,"")</f>
        <v/>
      </c>
    </row>
    <row r="678">
      <c r="K678" s="5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5">
        <f>IF(K678=1,IFERROR(MATCH('ORDENES'!$S674,lista_dias,0),9)*1000000000+IFERROR(MATCH('ORDENES'!$AI674,lista_turnos,0),9)*10000000+IFERROR(MATCH('ORDENES'!$AH674,tblTecnicos[nombre],0),99)*100000+671,9000000000000+671)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5">
        <f>IF(K678=1,'ORDENES'!$J674,"")</f>
        <v/>
      </c>
    </row>
    <row r="679">
      <c r="K679" s="5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5">
        <f>IF(K679=1,IFERROR(MATCH('ORDENES'!$S675,lista_dias,0),9)*1000000000+IFERROR(MATCH('ORDENES'!$AI675,lista_turnos,0),9)*10000000+IFERROR(MATCH('ORDENES'!$AH675,tblTecnicos[nombre],0),99)*100000+672,9000000000000+672)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5">
        <f>IF(K679=1,'ORDENES'!$J675,"")</f>
        <v/>
      </c>
    </row>
    <row r="680">
      <c r="K680" s="5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5">
        <f>IF(K680=1,IFERROR(MATCH('ORDENES'!$S676,lista_dias,0),9)*1000000000+IFERROR(MATCH('ORDENES'!$AI676,lista_turnos,0),9)*10000000+IFERROR(MATCH('ORDENES'!$AH676,tblTecnicos[nombre],0),99)*100000+673,9000000000000+673)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5">
        <f>IF(K680=1,'ORDENES'!$J676,"")</f>
        <v/>
      </c>
    </row>
    <row r="681">
      <c r="K681" s="5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5">
        <f>IF(K681=1,IFERROR(MATCH('ORDENES'!$S677,lista_dias,0),9)*1000000000+IFERROR(MATCH('ORDENES'!$AI677,lista_turnos,0),9)*10000000+IFERROR(MATCH('ORDENES'!$AH677,tblTecnicos[nombre],0),99)*100000+674,9000000000000+674)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5">
        <f>IF(K681=1,'ORDENES'!$J677,"")</f>
        <v/>
      </c>
    </row>
    <row r="682">
      <c r="K682" s="5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5">
        <f>IF(K682=1,IFERROR(MATCH('ORDENES'!$S678,lista_dias,0),9)*1000000000+IFERROR(MATCH('ORDENES'!$AI678,lista_turnos,0),9)*10000000+IFERROR(MATCH('ORDENES'!$AH678,tblTecnicos[nombre],0),99)*100000+675,9000000000000+675)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5">
        <f>IF(K682=1,'ORDENES'!$J678,"")</f>
        <v/>
      </c>
    </row>
    <row r="683">
      <c r="K683" s="5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5">
        <f>IF(K683=1,IFERROR(MATCH('ORDENES'!$S679,lista_dias,0),9)*1000000000+IFERROR(MATCH('ORDENES'!$AI679,lista_turnos,0),9)*10000000+IFERROR(MATCH('ORDENES'!$AH679,tblTecnicos[nombre],0),99)*100000+676,9000000000000+676)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5">
        <f>IF(K683=1,'ORDENES'!$J679,"")</f>
        <v/>
      </c>
    </row>
    <row r="684">
      <c r="K684" s="5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5">
        <f>IF(K684=1,IFERROR(MATCH('ORDENES'!$S680,lista_dias,0),9)*1000000000+IFERROR(MATCH('ORDENES'!$AI680,lista_turnos,0),9)*10000000+IFERROR(MATCH('ORDENES'!$AH680,tblTecnicos[nombre],0),99)*100000+677,9000000000000+677)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5">
        <f>IF(K684=1,'ORDENES'!$J680,"")</f>
        <v/>
      </c>
    </row>
    <row r="685">
      <c r="K685" s="5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5">
        <f>IF(K685=1,IFERROR(MATCH('ORDENES'!$S681,lista_dias,0),9)*1000000000+IFERROR(MATCH('ORDENES'!$AI681,lista_turnos,0),9)*10000000+IFERROR(MATCH('ORDENES'!$AH681,tblTecnicos[nombre],0),99)*100000+678,9000000000000+678)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5">
        <f>IF(K685=1,'ORDENES'!$J681,"")</f>
        <v/>
      </c>
    </row>
    <row r="686">
      <c r="K686" s="5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5">
        <f>IF(K686=1,IFERROR(MATCH('ORDENES'!$S682,lista_dias,0),9)*1000000000+IFERROR(MATCH('ORDENES'!$AI682,lista_turnos,0),9)*10000000+IFERROR(MATCH('ORDENES'!$AH682,tblTecnicos[nombre],0),99)*100000+679,9000000000000+679)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5">
        <f>IF(K686=1,'ORDENES'!$J682,"")</f>
        <v/>
      </c>
    </row>
    <row r="687">
      <c r="K687" s="5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5">
        <f>IF(K687=1,IFERROR(MATCH('ORDENES'!$S683,lista_dias,0),9)*1000000000+IFERROR(MATCH('ORDENES'!$AI683,lista_turnos,0),9)*10000000+IFERROR(MATCH('ORDENES'!$AH683,tblTecnicos[nombre],0),99)*100000+680,9000000000000+680)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5">
        <f>IF(K687=1,'ORDENES'!$J683,"")</f>
        <v/>
      </c>
    </row>
    <row r="688">
      <c r="K688" s="5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5">
        <f>IF(K688=1,IFERROR(MATCH('ORDENES'!$S684,lista_dias,0),9)*1000000000+IFERROR(MATCH('ORDENES'!$AI684,lista_turnos,0),9)*10000000+IFERROR(MATCH('ORDENES'!$AH684,tblTecnicos[nombre],0),99)*100000+681,9000000000000+681)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5">
        <f>IF(K688=1,'ORDENES'!$J684,"")</f>
        <v/>
      </c>
    </row>
    <row r="689">
      <c r="K689" s="5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5">
        <f>IF(K689=1,IFERROR(MATCH('ORDENES'!$S685,lista_dias,0),9)*1000000000+IFERROR(MATCH('ORDENES'!$AI685,lista_turnos,0),9)*10000000+IFERROR(MATCH('ORDENES'!$AH685,tblTecnicos[nombre],0),99)*100000+682,9000000000000+682)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5">
        <f>IF(K689=1,'ORDENES'!$J685,"")</f>
        <v/>
      </c>
    </row>
    <row r="690">
      <c r="K690" s="5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5">
        <f>IF(K690=1,IFERROR(MATCH('ORDENES'!$S686,lista_dias,0),9)*1000000000+IFERROR(MATCH('ORDENES'!$AI686,lista_turnos,0),9)*10000000+IFERROR(MATCH('ORDENES'!$AH686,tblTecnicos[nombre],0),99)*100000+683,9000000000000+683)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5">
        <f>IF(K690=1,'ORDENES'!$J686,"")</f>
        <v/>
      </c>
    </row>
    <row r="691">
      <c r="K691" s="5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5">
        <f>IF(K691=1,IFERROR(MATCH('ORDENES'!$S687,lista_dias,0),9)*1000000000+IFERROR(MATCH('ORDENES'!$AI687,lista_turnos,0),9)*10000000+IFERROR(MATCH('ORDENES'!$AH687,tblTecnicos[nombre],0),99)*100000+684,9000000000000+684)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5">
        <f>IF(K691=1,'ORDENES'!$J687,"")</f>
        <v/>
      </c>
    </row>
    <row r="692">
      <c r="K692" s="5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5">
        <f>IF(K692=1,IFERROR(MATCH('ORDENES'!$S688,lista_dias,0),9)*1000000000+IFERROR(MATCH('ORDENES'!$AI688,lista_turnos,0),9)*10000000+IFERROR(MATCH('ORDENES'!$AH688,tblTecnicos[nombre],0),99)*100000+685,9000000000000+685)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5">
        <f>IF(K692=1,'ORDENES'!$J688,"")</f>
        <v/>
      </c>
    </row>
    <row r="693">
      <c r="K693" s="5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5">
        <f>IF(K693=1,IFERROR(MATCH('ORDENES'!$S689,lista_dias,0),9)*1000000000+IFERROR(MATCH('ORDENES'!$AI689,lista_turnos,0),9)*10000000+IFERROR(MATCH('ORDENES'!$AH689,tblTecnicos[nombre],0),99)*100000+686,9000000000000+686)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5">
        <f>IF(K693=1,'ORDENES'!$J689,"")</f>
        <v/>
      </c>
    </row>
    <row r="694">
      <c r="K694" s="5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5">
        <f>IF(K694=1,IFERROR(MATCH('ORDENES'!$S690,lista_dias,0),9)*1000000000+IFERROR(MATCH('ORDENES'!$AI690,lista_turnos,0),9)*10000000+IFERROR(MATCH('ORDENES'!$AH690,tblTecnicos[nombre],0),99)*100000+687,9000000000000+687)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5">
        <f>IF(K694=1,'ORDENES'!$J690,"")</f>
        <v/>
      </c>
    </row>
    <row r="695">
      <c r="K695" s="5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5">
        <f>IF(K695=1,IFERROR(MATCH('ORDENES'!$S691,lista_dias,0),9)*1000000000+IFERROR(MATCH('ORDENES'!$AI691,lista_turnos,0),9)*10000000+IFERROR(MATCH('ORDENES'!$AH691,tblTecnicos[nombre],0),99)*100000+688,9000000000000+688)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5">
        <f>IF(K695=1,'ORDENES'!$J691,"")</f>
        <v/>
      </c>
    </row>
    <row r="696">
      <c r="K696" s="5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5">
        <f>IF(K696=1,IFERROR(MATCH('ORDENES'!$S692,lista_dias,0),9)*1000000000+IFERROR(MATCH('ORDENES'!$AI692,lista_turnos,0),9)*10000000+IFERROR(MATCH('ORDENES'!$AH692,tblTecnicos[nombre],0),99)*100000+689,9000000000000+689)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5">
        <f>IF(K696=1,'ORDENES'!$J692,"")</f>
        <v/>
      </c>
    </row>
    <row r="697">
      <c r="K697" s="5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5">
        <f>IF(K697=1,IFERROR(MATCH('ORDENES'!$S693,lista_dias,0),9)*1000000000+IFERROR(MATCH('ORDENES'!$AI693,lista_turnos,0),9)*10000000+IFERROR(MATCH('ORDENES'!$AH693,tblTecnicos[nombre],0),99)*100000+690,9000000000000+690)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5">
        <f>IF(K697=1,'ORDENES'!$J693,"")</f>
        <v/>
      </c>
    </row>
    <row r="698">
      <c r="K698" s="5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5">
        <f>IF(K698=1,IFERROR(MATCH('ORDENES'!$S694,lista_dias,0),9)*1000000000+IFERROR(MATCH('ORDENES'!$AI694,lista_turnos,0),9)*10000000+IFERROR(MATCH('ORDENES'!$AH694,tblTecnicos[nombre],0),99)*100000+691,9000000000000+691)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5">
        <f>IF(K698=1,'ORDENES'!$J694,"")</f>
        <v/>
      </c>
    </row>
    <row r="699">
      <c r="K699" s="5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5">
        <f>IF(K699=1,IFERROR(MATCH('ORDENES'!$S695,lista_dias,0),9)*1000000000+IFERROR(MATCH('ORDENES'!$AI695,lista_turnos,0),9)*10000000+IFERROR(MATCH('ORDENES'!$AH695,tblTecnicos[nombre],0),99)*100000+692,9000000000000+692)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5">
        <f>IF(K699=1,'ORDENES'!$J695,"")</f>
        <v/>
      </c>
    </row>
    <row r="700">
      <c r="K700" s="5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5">
        <f>IF(K700=1,IFERROR(MATCH('ORDENES'!$S696,lista_dias,0),9)*1000000000+IFERROR(MATCH('ORDENES'!$AI696,lista_turnos,0),9)*10000000+IFERROR(MATCH('ORDENES'!$AH696,tblTecnicos[nombre],0),99)*100000+693,9000000000000+693)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5">
        <f>IF(K700=1,'ORDENES'!$J696,"")</f>
        <v/>
      </c>
    </row>
    <row r="701">
      <c r="K701" s="5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5">
        <f>IF(K701=1,IFERROR(MATCH('ORDENES'!$S697,lista_dias,0),9)*1000000000+IFERROR(MATCH('ORDENES'!$AI697,lista_turnos,0),9)*10000000+IFERROR(MATCH('ORDENES'!$AH697,tblTecnicos[nombre],0),99)*100000+694,9000000000000+694)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5">
        <f>IF(K701=1,'ORDENES'!$J697,"")</f>
        <v/>
      </c>
    </row>
    <row r="702">
      <c r="K702" s="5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5">
        <f>IF(K702=1,IFERROR(MATCH('ORDENES'!$S698,lista_dias,0),9)*1000000000+IFERROR(MATCH('ORDENES'!$AI698,lista_turnos,0),9)*10000000+IFERROR(MATCH('ORDENES'!$AH698,tblTecnicos[nombre],0),99)*100000+695,9000000000000+695)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5">
        <f>IF(K702=1,'ORDENES'!$J698,"")</f>
        <v/>
      </c>
    </row>
    <row r="703">
      <c r="K703" s="5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5">
        <f>IF(K703=1,IFERROR(MATCH('ORDENES'!$S699,lista_dias,0),9)*1000000000+IFERROR(MATCH('ORDENES'!$AI699,lista_turnos,0),9)*10000000+IFERROR(MATCH('ORDENES'!$AH699,tblTecnicos[nombre],0),99)*100000+696,9000000000000+696)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5">
        <f>IF(K703=1,'ORDENES'!$J699,"")</f>
        <v/>
      </c>
    </row>
    <row r="704">
      <c r="K704" s="5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5">
        <f>IF(K704=1,IFERROR(MATCH('ORDENES'!$S700,lista_dias,0),9)*1000000000+IFERROR(MATCH('ORDENES'!$AI700,lista_turnos,0),9)*10000000+IFERROR(MATCH('ORDENES'!$AH700,tblTecnicos[nombre],0),99)*100000+697,9000000000000+697)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5">
        <f>IF(K704=1,'ORDENES'!$J700,"")</f>
        <v/>
      </c>
    </row>
    <row r="705">
      <c r="K705" s="5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5">
        <f>IF(K705=1,IFERROR(MATCH('ORDENES'!$S701,lista_dias,0),9)*1000000000+IFERROR(MATCH('ORDENES'!$AI701,lista_turnos,0),9)*10000000+IFERROR(MATCH('ORDENES'!$AH701,tblTecnicos[nombre],0),99)*100000+698,9000000000000+698)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5">
        <f>IF(K705=1,'ORDENES'!$J701,"")</f>
        <v/>
      </c>
    </row>
    <row r="706">
      <c r="K706" s="5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5">
        <f>IF(K706=1,IFERROR(MATCH('ORDENES'!$S702,lista_dias,0),9)*1000000000+IFERROR(MATCH('ORDENES'!$AI702,lista_turnos,0),9)*10000000+IFERROR(MATCH('ORDENES'!$AH702,tblTecnicos[nombre],0),99)*100000+699,9000000000000+699)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5">
        <f>IF(K706=1,'ORDENES'!$J702,"")</f>
        <v/>
      </c>
    </row>
    <row r="707">
      <c r="K707" s="5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5">
        <f>IF(K707=1,IFERROR(MATCH('ORDENES'!$S703,lista_dias,0),9)*1000000000+IFERROR(MATCH('ORDENES'!$AI703,lista_turnos,0),9)*10000000+IFERROR(MATCH('ORDENES'!$AH703,tblTecnicos[nombre],0),99)*100000+700,9000000000000+700)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5">
        <f>IF(K707=1,'ORDENES'!$J703,"")</f>
        <v/>
      </c>
    </row>
    <row r="708">
      <c r="K708" s="5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5">
        <f>IF(K708=1,IFERROR(MATCH('ORDENES'!$S704,lista_dias,0),9)*1000000000+IFERROR(MATCH('ORDENES'!$AI704,lista_turnos,0),9)*10000000+IFERROR(MATCH('ORDENES'!$AH704,tblTecnicos[nombre],0),99)*100000+701,9000000000000+701)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5">
        <f>IF(K708=1,'ORDENES'!$J704,"")</f>
        <v/>
      </c>
    </row>
    <row r="709">
      <c r="K709" s="5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5">
        <f>IF(K709=1,IFERROR(MATCH('ORDENES'!$S705,lista_dias,0),9)*1000000000+IFERROR(MATCH('ORDENES'!$AI705,lista_turnos,0),9)*10000000+IFERROR(MATCH('ORDENES'!$AH705,tblTecnicos[nombre],0),99)*100000+702,9000000000000+702)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5">
        <f>IF(K709=1,'ORDENES'!$J705,"")</f>
        <v/>
      </c>
    </row>
    <row r="710">
      <c r="K710" s="5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5">
        <f>IF(K710=1,IFERROR(MATCH('ORDENES'!$S706,lista_dias,0),9)*1000000000+IFERROR(MATCH('ORDENES'!$AI706,lista_turnos,0),9)*10000000+IFERROR(MATCH('ORDENES'!$AH706,tblTecnicos[nombre],0),99)*100000+703,9000000000000+703)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5">
        <f>IF(K710=1,'ORDENES'!$J706,"")</f>
        <v/>
      </c>
    </row>
    <row r="711">
      <c r="K711" s="5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5">
        <f>IF(K711=1,IFERROR(MATCH('ORDENES'!$S707,lista_dias,0),9)*1000000000+IFERROR(MATCH('ORDENES'!$AI707,lista_turnos,0),9)*10000000+IFERROR(MATCH('ORDENES'!$AH707,tblTecnicos[nombre],0),99)*100000+704,9000000000000+704)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5">
        <f>IF(K711=1,'ORDENES'!$J707,"")</f>
        <v/>
      </c>
    </row>
    <row r="712">
      <c r="K712" s="5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5">
        <f>IF(K712=1,IFERROR(MATCH('ORDENES'!$S708,lista_dias,0),9)*1000000000+IFERROR(MATCH('ORDENES'!$AI708,lista_turnos,0),9)*10000000+IFERROR(MATCH('ORDENES'!$AH708,tblTecnicos[nombre],0),99)*100000+705,9000000000000+705)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5">
        <f>IF(K712=1,'ORDENES'!$J708,"")</f>
        <v/>
      </c>
    </row>
    <row r="713">
      <c r="K713" s="5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5">
        <f>IF(K713=1,IFERROR(MATCH('ORDENES'!$S709,lista_dias,0),9)*1000000000+IFERROR(MATCH('ORDENES'!$AI709,lista_turnos,0),9)*10000000+IFERROR(MATCH('ORDENES'!$AH709,tblTecnicos[nombre],0),99)*100000+706,9000000000000+706)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5">
        <f>IF(K713=1,'ORDENES'!$J709,"")</f>
        <v/>
      </c>
    </row>
    <row r="714">
      <c r="K714" s="5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5">
        <f>IF(K714=1,IFERROR(MATCH('ORDENES'!$S710,lista_dias,0),9)*1000000000+IFERROR(MATCH('ORDENES'!$AI710,lista_turnos,0),9)*10000000+IFERROR(MATCH('ORDENES'!$AH710,tblTecnicos[nombre],0),99)*100000+707,9000000000000+707)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5">
        <f>IF(K714=1,'ORDENES'!$J710,"")</f>
        <v/>
      </c>
    </row>
    <row r="715">
      <c r="K715" s="5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5">
        <f>IF(K715=1,IFERROR(MATCH('ORDENES'!$S711,lista_dias,0),9)*1000000000+IFERROR(MATCH('ORDENES'!$AI711,lista_turnos,0),9)*10000000+IFERROR(MATCH('ORDENES'!$AH711,tblTecnicos[nombre],0),99)*100000+708,9000000000000+708)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5">
        <f>IF(K715=1,'ORDENES'!$J711,"")</f>
        <v/>
      </c>
    </row>
    <row r="716">
      <c r="K716" s="5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5">
        <f>IF(K716=1,IFERROR(MATCH('ORDENES'!$S712,lista_dias,0),9)*1000000000+IFERROR(MATCH('ORDENES'!$AI712,lista_turnos,0),9)*10000000+IFERROR(MATCH('ORDENES'!$AH712,tblTecnicos[nombre],0),99)*100000+709,9000000000000+709)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5">
        <f>IF(K716=1,'ORDENES'!$J712,"")</f>
        <v/>
      </c>
    </row>
    <row r="717">
      <c r="K717" s="5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5">
        <f>IF(K717=1,IFERROR(MATCH('ORDENES'!$S713,lista_dias,0),9)*1000000000+IFERROR(MATCH('ORDENES'!$AI713,lista_turnos,0),9)*10000000+IFERROR(MATCH('ORDENES'!$AH713,tblTecnicos[nombre],0),99)*100000+710,9000000000000+710)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5">
        <f>IF(K717=1,'ORDENES'!$J713,"")</f>
        <v/>
      </c>
    </row>
    <row r="718">
      <c r="K718" s="5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5">
        <f>IF(K718=1,IFERROR(MATCH('ORDENES'!$S714,lista_dias,0),9)*1000000000+IFERROR(MATCH('ORDENES'!$AI714,lista_turnos,0),9)*10000000+IFERROR(MATCH('ORDENES'!$AH714,tblTecnicos[nombre],0),99)*100000+711,9000000000000+711)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5">
        <f>IF(K718=1,'ORDENES'!$J714,"")</f>
        <v/>
      </c>
    </row>
    <row r="719">
      <c r="K719" s="5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5">
        <f>IF(K719=1,IFERROR(MATCH('ORDENES'!$S715,lista_dias,0),9)*1000000000+IFERROR(MATCH('ORDENES'!$AI715,lista_turnos,0),9)*10000000+IFERROR(MATCH('ORDENES'!$AH715,tblTecnicos[nombre],0),99)*100000+712,9000000000000+712)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5">
        <f>IF(K719=1,'ORDENES'!$J715,"")</f>
        <v/>
      </c>
    </row>
    <row r="720">
      <c r="K720" s="5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5">
        <f>IF(K720=1,IFERROR(MATCH('ORDENES'!$S716,lista_dias,0),9)*1000000000+IFERROR(MATCH('ORDENES'!$AI716,lista_turnos,0),9)*10000000+IFERROR(MATCH('ORDENES'!$AH716,tblTecnicos[nombre],0),99)*100000+713,9000000000000+713)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5">
        <f>IF(K720=1,'ORDENES'!$J716,"")</f>
        <v/>
      </c>
    </row>
    <row r="721">
      <c r="K721" s="5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5">
        <f>IF(K721=1,IFERROR(MATCH('ORDENES'!$S717,lista_dias,0),9)*1000000000+IFERROR(MATCH('ORDENES'!$AI717,lista_turnos,0),9)*10000000+IFERROR(MATCH('ORDENES'!$AH717,tblTecnicos[nombre],0),99)*100000+714,9000000000000+714)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5">
        <f>IF(K721=1,'ORDENES'!$J717,"")</f>
        <v/>
      </c>
    </row>
    <row r="722">
      <c r="K722" s="5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5">
        <f>IF(K722=1,IFERROR(MATCH('ORDENES'!$S718,lista_dias,0),9)*1000000000+IFERROR(MATCH('ORDENES'!$AI718,lista_turnos,0),9)*10000000+IFERROR(MATCH('ORDENES'!$AH718,tblTecnicos[nombre],0),99)*100000+715,9000000000000+715)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5">
        <f>IF(K722=1,'ORDENES'!$J718,"")</f>
        <v/>
      </c>
    </row>
    <row r="723">
      <c r="K723" s="5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5">
        <f>IF(K723=1,IFERROR(MATCH('ORDENES'!$S719,lista_dias,0),9)*1000000000+IFERROR(MATCH('ORDENES'!$AI719,lista_turnos,0),9)*10000000+IFERROR(MATCH('ORDENES'!$AH719,tblTecnicos[nombre],0),99)*100000+716,9000000000000+716)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5">
        <f>IF(K723=1,'ORDENES'!$J719,"")</f>
        <v/>
      </c>
    </row>
    <row r="724">
      <c r="K724" s="5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5">
        <f>IF(K724=1,IFERROR(MATCH('ORDENES'!$S720,lista_dias,0),9)*1000000000+IFERROR(MATCH('ORDENES'!$AI720,lista_turnos,0),9)*10000000+IFERROR(MATCH('ORDENES'!$AH720,tblTecnicos[nombre],0),99)*100000+717,9000000000000+717)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5">
        <f>IF(K724=1,'ORDENES'!$J720,"")</f>
        <v/>
      </c>
    </row>
    <row r="725">
      <c r="K725" s="5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5">
        <f>IF(K725=1,IFERROR(MATCH('ORDENES'!$S721,lista_dias,0),9)*1000000000+IFERROR(MATCH('ORDENES'!$AI721,lista_turnos,0),9)*10000000+IFERROR(MATCH('ORDENES'!$AH721,tblTecnicos[nombre],0),99)*100000+718,9000000000000+718)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5">
        <f>IF(K725=1,'ORDENES'!$J721,"")</f>
        <v/>
      </c>
    </row>
    <row r="726">
      <c r="K726" s="5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5">
        <f>IF(K726=1,IFERROR(MATCH('ORDENES'!$S722,lista_dias,0),9)*1000000000+IFERROR(MATCH('ORDENES'!$AI722,lista_turnos,0),9)*10000000+IFERROR(MATCH('ORDENES'!$AH722,tblTecnicos[nombre],0),99)*100000+719,9000000000000+719)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5">
        <f>IF(K726=1,'ORDENES'!$J722,"")</f>
        <v/>
      </c>
    </row>
    <row r="727">
      <c r="K727" s="5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5">
        <f>IF(K727=1,IFERROR(MATCH('ORDENES'!$S723,lista_dias,0),9)*1000000000+IFERROR(MATCH('ORDENES'!$AI723,lista_turnos,0),9)*10000000+IFERROR(MATCH('ORDENES'!$AH723,tblTecnicos[nombre],0),99)*100000+720,9000000000000+720)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5">
        <f>IF(K727=1,'ORDENES'!$J723,"")</f>
        <v/>
      </c>
    </row>
    <row r="728">
      <c r="K728" s="5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5">
        <f>IF(K728=1,IFERROR(MATCH('ORDENES'!$S724,lista_dias,0),9)*1000000000+IFERROR(MATCH('ORDENES'!$AI724,lista_turnos,0),9)*10000000+IFERROR(MATCH('ORDENES'!$AH724,tblTecnicos[nombre],0),99)*100000+721,9000000000000+721)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5">
        <f>IF(K728=1,'ORDENES'!$J724,"")</f>
        <v/>
      </c>
    </row>
    <row r="729">
      <c r="K729" s="5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5">
        <f>IF(K729=1,IFERROR(MATCH('ORDENES'!$S725,lista_dias,0),9)*1000000000+IFERROR(MATCH('ORDENES'!$AI725,lista_turnos,0),9)*10000000+IFERROR(MATCH('ORDENES'!$AH725,tblTecnicos[nombre],0),99)*100000+722,9000000000000+722)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5">
        <f>IF(K729=1,'ORDENES'!$J725,"")</f>
        <v/>
      </c>
    </row>
    <row r="730">
      <c r="K730" s="5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5">
        <f>IF(K730=1,IFERROR(MATCH('ORDENES'!$S726,lista_dias,0),9)*1000000000+IFERROR(MATCH('ORDENES'!$AI726,lista_turnos,0),9)*10000000+IFERROR(MATCH('ORDENES'!$AH726,tblTecnicos[nombre],0),99)*100000+723,9000000000000+723)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5">
        <f>IF(K730=1,'ORDENES'!$J726,"")</f>
        <v/>
      </c>
    </row>
    <row r="731">
      <c r="K731" s="5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5">
        <f>IF(K731=1,IFERROR(MATCH('ORDENES'!$S727,lista_dias,0),9)*1000000000+IFERROR(MATCH('ORDENES'!$AI727,lista_turnos,0),9)*10000000+IFERROR(MATCH('ORDENES'!$AH727,tblTecnicos[nombre],0),99)*100000+724,9000000000000+724)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5">
        <f>IF(K731=1,'ORDENES'!$J727,"")</f>
        <v/>
      </c>
    </row>
    <row r="732">
      <c r="K732" s="5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5">
        <f>IF(K732=1,IFERROR(MATCH('ORDENES'!$S728,lista_dias,0),9)*1000000000+IFERROR(MATCH('ORDENES'!$AI728,lista_turnos,0),9)*10000000+IFERROR(MATCH('ORDENES'!$AH728,tblTecnicos[nombre],0),99)*100000+725,9000000000000+725)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5">
        <f>IF(K732=1,'ORDENES'!$J728,"")</f>
        <v/>
      </c>
    </row>
    <row r="733">
      <c r="K733" s="5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5">
        <f>IF(K733=1,IFERROR(MATCH('ORDENES'!$S729,lista_dias,0),9)*1000000000+IFERROR(MATCH('ORDENES'!$AI729,lista_turnos,0),9)*10000000+IFERROR(MATCH('ORDENES'!$AH729,tblTecnicos[nombre],0),99)*100000+726,9000000000000+726)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5">
        <f>IF(K733=1,'ORDENES'!$J729,"")</f>
        <v/>
      </c>
    </row>
    <row r="734">
      <c r="K734" s="5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5">
        <f>IF(K734=1,IFERROR(MATCH('ORDENES'!$S730,lista_dias,0),9)*1000000000+IFERROR(MATCH('ORDENES'!$AI730,lista_turnos,0),9)*10000000+IFERROR(MATCH('ORDENES'!$AH730,tblTecnicos[nombre],0),99)*100000+727,9000000000000+727)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5">
        <f>IF(K734=1,'ORDENES'!$J730,"")</f>
        <v/>
      </c>
    </row>
    <row r="735">
      <c r="K735" s="5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5">
        <f>IF(K735=1,IFERROR(MATCH('ORDENES'!$S731,lista_dias,0),9)*1000000000+IFERROR(MATCH('ORDENES'!$AI731,lista_turnos,0),9)*10000000+IFERROR(MATCH('ORDENES'!$AH731,tblTecnicos[nombre],0),99)*100000+728,9000000000000+728)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5">
        <f>IF(K735=1,'ORDENES'!$J731,"")</f>
        <v/>
      </c>
    </row>
    <row r="736">
      <c r="K736" s="5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5">
        <f>IF(K736=1,IFERROR(MATCH('ORDENES'!$S732,lista_dias,0),9)*1000000000+IFERROR(MATCH('ORDENES'!$AI732,lista_turnos,0),9)*10000000+IFERROR(MATCH('ORDENES'!$AH732,tblTecnicos[nombre],0),99)*100000+729,9000000000000+729)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5">
        <f>IF(K736=1,'ORDENES'!$J732,"")</f>
        <v/>
      </c>
    </row>
    <row r="737">
      <c r="K737" s="5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5">
        <f>IF(K737=1,IFERROR(MATCH('ORDENES'!$S733,lista_dias,0),9)*1000000000+IFERROR(MATCH('ORDENES'!$AI733,lista_turnos,0),9)*10000000+IFERROR(MATCH('ORDENES'!$AH733,tblTecnicos[nombre],0),99)*100000+730,9000000000000+730)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5">
        <f>IF(K737=1,'ORDENES'!$J733,"")</f>
        <v/>
      </c>
    </row>
    <row r="738">
      <c r="K738" s="5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5">
        <f>IF(K738=1,IFERROR(MATCH('ORDENES'!$S734,lista_dias,0),9)*1000000000+IFERROR(MATCH('ORDENES'!$AI734,lista_turnos,0),9)*10000000+IFERROR(MATCH('ORDENES'!$AH734,tblTecnicos[nombre],0),99)*100000+731,9000000000000+731)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5">
        <f>IF(K738=1,'ORDENES'!$J734,"")</f>
        <v/>
      </c>
    </row>
    <row r="739">
      <c r="K739" s="5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5">
        <f>IF(K739=1,IFERROR(MATCH('ORDENES'!$S735,lista_dias,0),9)*1000000000+IFERROR(MATCH('ORDENES'!$AI735,lista_turnos,0),9)*10000000+IFERROR(MATCH('ORDENES'!$AH735,tblTecnicos[nombre],0),99)*100000+732,9000000000000+732)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5">
        <f>IF(K739=1,'ORDENES'!$J735,"")</f>
        <v/>
      </c>
    </row>
    <row r="740">
      <c r="K740" s="5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5">
        <f>IF(K740=1,IFERROR(MATCH('ORDENES'!$S736,lista_dias,0),9)*1000000000+IFERROR(MATCH('ORDENES'!$AI736,lista_turnos,0),9)*10000000+IFERROR(MATCH('ORDENES'!$AH736,tblTecnicos[nombre],0),99)*100000+733,9000000000000+733)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5">
        <f>IF(K740=1,'ORDENES'!$J736,"")</f>
        <v/>
      </c>
    </row>
    <row r="741">
      <c r="K741" s="5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5">
        <f>IF(K741=1,IFERROR(MATCH('ORDENES'!$S737,lista_dias,0),9)*1000000000+IFERROR(MATCH('ORDENES'!$AI737,lista_turnos,0),9)*10000000+IFERROR(MATCH('ORDENES'!$AH737,tblTecnicos[nombre],0),99)*100000+734,9000000000000+734)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5">
        <f>IF(K741=1,'ORDENES'!$J737,"")</f>
        <v/>
      </c>
    </row>
    <row r="742">
      <c r="K742" s="5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5">
        <f>IF(K742=1,IFERROR(MATCH('ORDENES'!$S738,lista_dias,0),9)*1000000000+IFERROR(MATCH('ORDENES'!$AI738,lista_turnos,0),9)*10000000+IFERROR(MATCH('ORDENES'!$AH738,tblTecnicos[nombre],0),99)*100000+735,9000000000000+735)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5">
        <f>IF(K742=1,'ORDENES'!$J738,"")</f>
        <v/>
      </c>
    </row>
    <row r="743">
      <c r="K743" s="5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5">
        <f>IF(K743=1,IFERROR(MATCH('ORDENES'!$S739,lista_dias,0),9)*1000000000+IFERROR(MATCH('ORDENES'!$AI739,lista_turnos,0),9)*10000000+IFERROR(MATCH('ORDENES'!$AH739,tblTecnicos[nombre],0),99)*100000+736,9000000000000+736)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5">
        <f>IF(K743=1,'ORDENES'!$J739,"")</f>
        <v/>
      </c>
    </row>
    <row r="744">
      <c r="K744" s="5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5">
        <f>IF(K744=1,IFERROR(MATCH('ORDENES'!$S740,lista_dias,0),9)*1000000000+IFERROR(MATCH('ORDENES'!$AI740,lista_turnos,0),9)*10000000+IFERROR(MATCH('ORDENES'!$AH740,tblTecnicos[nombre],0),99)*100000+737,9000000000000+737)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5">
        <f>IF(K744=1,'ORDENES'!$J740,"")</f>
        <v/>
      </c>
    </row>
    <row r="745">
      <c r="K745" s="5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5">
        <f>IF(K745=1,IFERROR(MATCH('ORDENES'!$S741,lista_dias,0),9)*1000000000+IFERROR(MATCH('ORDENES'!$AI741,lista_turnos,0),9)*10000000+IFERROR(MATCH('ORDENES'!$AH741,tblTecnicos[nombre],0),99)*100000+738,9000000000000+738)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5">
        <f>IF(K745=1,'ORDENES'!$J741,"")</f>
        <v/>
      </c>
    </row>
    <row r="746">
      <c r="K746" s="5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5">
        <f>IF(K746=1,IFERROR(MATCH('ORDENES'!$S742,lista_dias,0),9)*1000000000+IFERROR(MATCH('ORDENES'!$AI742,lista_turnos,0),9)*10000000+IFERROR(MATCH('ORDENES'!$AH742,tblTecnicos[nombre],0),99)*100000+739,9000000000000+739)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5">
        <f>IF(K746=1,'ORDENES'!$J742,"")</f>
        <v/>
      </c>
    </row>
    <row r="747">
      <c r="K747" s="5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5">
        <f>IF(K747=1,IFERROR(MATCH('ORDENES'!$S743,lista_dias,0),9)*1000000000+IFERROR(MATCH('ORDENES'!$AI743,lista_turnos,0),9)*10000000+IFERROR(MATCH('ORDENES'!$AH743,tblTecnicos[nombre],0),99)*100000+740,9000000000000+740)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5">
        <f>IF(K747=1,'ORDENES'!$J743,"")</f>
        <v/>
      </c>
    </row>
    <row r="748">
      <c r="K748" s="5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5">
        <f>IF(K748=1,IFERROR(MATCH('ORDENES'!$S744,lista_dias,0),9)*1000000000+IFERROR(MATCH('ORDENES'!$AI744,lista_turnos,0),9)*10000000+IFERROR(MATCH('ORDENES'!$AH744,tblTecnicos[nombre],0),99)*100000+741,9000000000000+741)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5">
        <f>IF(K748=1,'ORDENES'!$J744,"")</f>
        <v/>
      </c>
    </row>
    <row r="749">
      <c r="K749" s="5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5">
        <f>IF(K749=1,IFERROR(MATCH('ORDENES'!$S745,lista_dias,0),9)*1000000000+IFERROR(MATCH('ORDENES'!$AI745,lista_turnos,0),9)*10000000+IFERROR(MATCH('ORDENES'!$AH745,tblTecnicos[nombre],0),99)*100000+742,9000000000000+742)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5">
        <f>IF(K749=1,'ORDENES'!$J745,"")</f>
        <v/>
      </c>
    </row>
    <row r="750">
      <c r="K750" s="5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5">
        <f>IF(K750=1,IFERROR(MATCH('ORDENES'!$S746,lista_dias,0),9)*1000000000+IFERROR(MATCH('ORDENES'!$AI746,lista_turnos,0),9)*10000000+IFERROR(MATCH('ORDENES'!$AH746,tblTecnicos[nombre],0),99)*100000+743,9000000000000+743)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5">
        <f>IF(K750=1,'ORDENES'!$J746,"")</f>
        <v/>
      </c>
    </row>
    <row r="751">
      <c r="K751" s="5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5">
        <f>IF(K751=1,IFERROR(MATCH('ORDENES'!$S747,lista_dias,0),9)*1000000000+IFERROR(MATCH('ORDENES'!$AI747,lista_turnos,0),9)*10000000+IFERROR(MATCH('ORDENES'!$AH747,tblTecnicos[nombre],0),99)*100000+744,9000000000000+744)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5">
        <f>IF(K751=1,'ORDENES'!$J747,"")</f>
        <v/>
      </c>
    </row>
    <row r="752">
      <c r="K752" s="5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5">
        <f>IF(K752=1,IFERROR(MATCH('ORDENES'!$S748,lista_dias,0),9)*1000000000+IFERROR(MATCH('ORDENES'!$AI748,lista_turnos,0),9)*10000000+IFERROR(MATCH('ORDENES'!$AH748,tblTecnicos[nombre],0),99)*100000+745,9000000000000+745)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5">
        <f>IF(K752=1,'ORDENES'!$J748,"")</f>
        <v/>
      </c>
    </row>
    <row r="753">
      <c r="K753" s="5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5">
        <f>IF(K753=1,IFERROR(MATCH('ORDENES'!$S749,lista_dias,0),9)*1000000000+IFERROR(MATCH('ORDENES'!$AI749,lista_turnos,0),9)*10000000+IFERROR(MATCH('ORDENES'!$AH749,tblTecnicos[nombre],0),99)*100000+746,9000000000000+746)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5">
        <f>IF(K753=1,'ORDENES'!$J749,"")</f>
        <v/>
      </c>
    </row>
    <row r="754">
      <c r="K754" s="5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5">
        <f>IF(K754=1,IFERROR(MATCH('ORDENES'!$S750,lista_dias,0),9)*1000000000+IFERROR(MATCH('ORDENES'!$AI750,lista_turnos,0),9)*10000000+IFERROR(MATCH('ORDENES'!$AH750,tblTecnicos[nombre],0),99)*100000+747,9000000000000+747)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5">
        <f>IF(K754=1,'ORDENES'!$J750,"")</f>
        <v/>
      </c>
    </row>
    <row r="755">
      <c r="K755" s="5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5">
        <f>IF(K755=1,IFERROR(MATCH('ORDENES'!$S751,lista_dias,0),9)*1000000000+IFERROR(MATCH('ORDENES'!$AI751,lista_turnos,0),9)*10000000+IFERROR(MATCH('ORDENES'!$AH751,tblTecnicos[nombre],0),99)*100000+748,9000000000000+748)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5">
        <f>IF(K755=1,'ORDENES'!$J751,"")</f>
        <v/>
      </c>
    </row>
    <row r="756">
      <c r="K756" s="5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5">
        <f>IF(K756=1,IFERROR(MATCH('ORDENES'!$S752,lista_dias,0),9)*1000000000+IFERROR(MATCH('ORDENES'!$AI752,lista_turnos,0),9)*10000000+IFERROR(MATCH('ORDENES'!$AH752,tblTecnicos[nombre],0),99)*100000+749,9000000000000+749)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5">
        <f>IF(K756=1,'ORDENES'!$J752,"")</f>
        <v/>
      </c>
    </row>
    <row r="757">
      <c r="K757" s="5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5">
        <f>IF(K757=1,IFERROR(MATCH('ORDENES'!$S753,lista_dias,0),9)*1000000000+IFERROR(MATCH('ORDENES'!$AI753,lista_turnos,0),9)*10000000+IFERROR(MATCH('ORDENES'!$AH753,tblTecnicos[nombre],0),99)*100000+750,9000000000000+750)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5">
        <f>IF(K757=1,'ORDENES'!$J753,"")</f>
        <v/>
      </c>
    </row>
    <row r="758">
      <c r="K758" s="5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5">
        <f>IF(K758=1,IFERROR(MATCH('ORDENES'!$S754,lista_dias,0),9)*1000000000+IFERROR(MATCH('ORDENES'!$AI754,lista_turnos,0),9)*10000000+IFERROR(MATCH('ORDENES'!$AH754,tblTecnicos[nombre],0),99)*100000+751,9000000000000+751)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5">
        <f>IF(K758=1,'ORDENES'!$J754,"")</f>
        <v/>
      </c>
    </row>
    <row r="759">
      <c r="K759" s="5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5">
        <f>IF(K759=1,IFERROR(MATCH('ORDENES'!$S755,lista_dias,0),9)*1000000000+IFERROR(MATCH('ORDENES'!$AI755,lista_turnos,0),9)*10000000+IFERROR(MATCH('ORDENES'!$AH755,tblTecnicos[nombre],0),99)*100000+752,9000000000000+752)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5">
        <f>IF(K759=1,'ORDENES'!$J755,"")</f>
        <v/>
      </c>
    </row>
    <row r="760">
      <c r="K760" s="5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5">
        <f>IF(K760=1,IFERROR(MATCH('ORDENES'!$S756,lista_dias,0),9)*1000000000+IFERROR(MATCH('ORDENES'!$AI756,lista_turnos,0),9)*10000000+IFERROR(MATCH('ORDENES'!$AH756,tblTecnicos[nombre],0),99)*100000+753,9000000000000+753)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5">
        <f>IF(K760=1,'ORDENES'!$J756,"")</f>
        <v/>
      </c>
    </row>
    <row r="761">
      <c r="K761" s="5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5">
        <f>IF(K761=1,IFERROR(MATCH('ORDENES'!$S757,lista_dias,0),9)*1000000000+IFERROR(MATCH('ORDENES'!$AI757,lista_turnos,0),9)*10000000+IFERROR(MATCH('ORDENES'!$AH757,tblTecnicos[nombre],0),99)*100000+754,9000000000000+754)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5">
        <f>IF(K761=1,'ORDENES'!$J757,"")</f>
        <v/>
      </c>
    </row>
    <row r="762">
      <c r="K762" s="5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5">
        <f>IF(K762=1,IFERROR(MATCH('ORDENES'!$S758,lista_dias,0),9)*1000000000+IFERROR(MATCH('ORDENES'!$AI758,lista_turnos,0),9)*10000000+IFERROR(MATCH('ORDENES'!$AH758,tblTecnicos[nombre],0),99)*100000+755,9000000000000+755)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5">
        <f>IF(K762=1,'ORDENES'!$J758,"")</f>
        <v/>
      </c>
    </row>
    <row r="763">
      <c r="K763" s="5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5">
        <f>IF(K763=1,IFERROR(MATCH('ORDENES'!$S759,lista_dias,0),9)*1000000000+IFERROR(MATCH('ORDENES'!$AI759,lista_turnos,0),9)*10000000+IFERROR(MATCH('ORDENES'!$AH759,tblTecnicos[nombre],0),99)*100000+756,9000000000000+756)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5">
        <f>IF(K763=1,'ORDENES'!$J759,"")</f>
        <v/>
      </c>
    </row>
    <row r="764">
      <c r="K764" s="5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5">
        <f>IF(K764=1,IFERROR(MATCH('ORDENES'!$S760,lista_dias,0),9)*1000000000+IFERROR(MATCH('ORDENES'!$AI760,lista_turnos,0),9)*10000000+IFERROR(MATCH('ORDENES'!$AH760,tblTecnicos[nombre],0),99)*100000+757,9000000000000+757)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5">
        <f>IF(K764=1,'ORDENES'!$J760,"")</f>
        <v/>
      </c>
    </row>
    <row r="765">
      <c r="K765" s="5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5">
        <f>IF(K765=1,IFERROR(MATCH('ORDENES'!$S761,lista_dias,0),9)*1000000000+IFERROR(MATCH('ORDENES'!$AI761,lista_turnos,0),9)*10000000+IFERROR(MATCH('ORDENES'!$AH761,tblTecnicos[nombre],0),99)*100000+758,9000000000000+758)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5">
        <f>IF(K765=1,'ORDENES'!$J761,"")</f>
        <v/>
      </c>
    </row>
    <row r="766">
      <c r="K766" s="5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5">
        <f>IF(K766=1,IFERROR(MATCH('ORDENES'!$S762,lista_dias,0),9)*1000000000+IFERROR(MATCH('ORDENES'!$AI762,lista_turnos,0),9)*10000000+IFERROR(MATCH('ORDENES'!$AH762,tblTecnicos[nombre],0),99)*100000+759,9000000000000+759)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5">
        <f>IF(K766=1,'ORDENES'!$J762,"")</f>
        <v/>
      </c>
    </row>
    <row r="767">
      <c r="K767" s="5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5">
        <f>IF(K767=1,IFERROR(MATCH('ORDENES'!$S763,lista_dias,0),9)*1000000000+IFERROR(MATCH('ORDENES'!$AI763,lista_turnos,0),9)*10000000+IFERROR(MATCH('ORDENES'!$AH763,tblTecnicos[nombre],0),99)*100000+760,9000000000000+760)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5">
        <f>IF(K767=1,'ORDENES'!$J763,"")</f>
        <v/>
      </c>
    </row>
    <row r="768">
      <c r="K768" s="5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5">
        <f>IF(K768=1,IFERROR(MATCH('ORDENES'!$S764,lista_dias,0),9)*1000000000+IFERROR(MATCH('ORDENES'!$AI764,lista_turnos,0),9)*10000000+IFERROR(MATCH('ORDENES'!$AH764,tblTecnicos[nombre],0),99)*100000+761,9000000000000+761)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5">
        <f>IF(K768=1,'ORDENES'!$J764,"")</f>
        <v/>
      </c>
    </row>
    <row r="769">
      <c r="K769" s="5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5">
        <f>IF(K769=1,IFERROR(MATCH('ORDENES'!$S765,lista_dias,0),9)*1000000000+IFERROR(MATCH('ORDENES'!$AI765,lista_turnos,0),9)*10000000+IFERROR(MATCH('ORDENES'!$AH765,tblTecnicos[nombre],0),99)*100000+762,9000000000000+762)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5">
        <f>IF(K769=1,'ORDENES'!$J765,"")</f>
        <v/>
      </c>
    </row>
    <row r="770">
      <c r="K770" s="5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5">
        <f>IF(K770=1,IFERROR(MATCH('ORDENES'!$S766,lista_dias,0),9)*1000000000+IFERROR(MATCH('ORDENES'!$AI766,lista_turnos,0),9)*10000000+IFERROR(MATCH('ORDENES'!$AH766,tblTecnicos[nombre],0),99)*100000+763,9000000000000+763)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5">
        <f>IF(K770=1,'ORDENES'!$J766,"")</f>
        <v/>
      </c>
    </row>
    <row r="771">
      <c r="K771" s="5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5">
        <f>IF(K771=1,IFERROR(MATCH('ORDENES'!$S767,lista_dias,0),9)*1000000000+IFERROR(MATCH('ORDENES'!$AI767,lista_turnos,0),9)*10000000+IFERROR(MATCH('ORDENES'!$AH767,tblTecnicos[nombre],0),99)*100000+764,9000000000000+764)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5">
        <f>IF(K771=1,'ORDENES'!$J767,"")</f>
        <v/>
      </c>
    </row>
    <row r="772">
      <c r="K772" s="5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5">
        <f>IF(K772=1,IFERROR(MATCH('ORDENES'!$S768,lista_dias,0),9)*1000000000+IFERROR(MATCH('ORDENES'!$AI768,lista_turnos,0),9)*10000000+IFERROR(MATCH('ORDENES'!$AH768,tblTecnicos[nombre],0),99)*100000+765,9000000000000+765)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5">
        <f>IF(K772=1,'ORDENES'!$J768,"")</f>
        <v/>
      </c>
    </row>
    <row r="773">
      <c r="K773" s="5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5">
        <f>IF(K773=1,IFERROR(MATCH('ORDENES'!$S769,lista_dias,0),9)*1000000000+IFERROR(MATCH('ORDENES'!$AI769,lista_turnos,0),9)*10000000+IFERROR(MATCH('ORDENES'!$AH769,tblTecnicos[nombre],0),99)*100000+766,9000000000000+766)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5">
        <f>IF(K773=1,'ORDENES'!$J769,"")</f>
        <v/>
      </c>
    </row>
    <row r="774">
      <c r="K774" s="5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5">
        <f>IF(K774=1,IFERROR(MATCH('ORDENES'!$S770,lista_dias,0),9)*1000000000+IFERROR(MATCH('ORDENES'!$AI770,lista_turnos,0),9)*10000000+IFERROR(MATCH('ORDENES'!$AH770,tblTecnicos[nombre],0),99)*100000+767,9000000000000+767)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5">
        <f>IF(K774=1,'ORDENES'!$J770,"")</f>
        <v/>
      </c>
    </row>
    <row r="775">
      <c r="K775" s="5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5">
        <f>IF(K775=1,IFERROR(MATCH('ORDENES'!$S771,lista_dias,0),9)*1000000000+IFERROR(MATCH('ORDENES'!$AI771,lista_turnos,0),9)*10000000+IFERROR(MATCH('ORDENES'!$AH771,tblTecnicos[nombre],0),99)*100000+768,9000000000000+768)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5">
        <f>IF(K775=1,'ORDENES'!$J771,"")</f>
        <v/>
      </c>
    </row>
    <row r="776">
      <c r="K776" s="5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5">
        <f>IF(K776=1,IFERROR(MATCH('ORDENES'!$S772,lista_dias,0),9)*1000000000+IFERROR(MATCH('ORDENES'!$AI772,lista_turnos,0),9)*10000000+IFERROR(MATCH('ORDENES'!$AH772,tblTecnicos[nombre],0),99)*100000+769,9000000000000+769)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5">
        <f>IF(K776=1,'ORDENES'!$J772,"")</f>
        <v/>
      </c>
    </row>
    <row r="777">
      <c r="K777" s="5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5">
        <f>IF(K777=1,IFERROR(MATCH('ORDENES'!$S773,lista_dias,0),9)*1000000000+IFERROR(MATCH('ORDENES'!$AI773,lista_turnos,0),9)*10000000+IFERROR(MATCH('ORDENES'!$AH773,tblTecnicos[nombre],0),99)*100000+770,9000000000000+770)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5">
        <f>IF(K777=1,'ORDENES'!$J773,"")</f>
        <v/>
      </c>
    </row>
    <row r="778">
      <c r="K778" s="5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5">
        <f>IF(K778=1,IFERROR(MATCH('ORDENES'!$S774,lista_dias,0),9)*1000000000+IFERROR(MATCH('ORDENES'!$AI774,lista_turnos,0),9)*10000000+IFERROR(MATCH('ORDENES'!$AH774,tblTecnicos[nombre],0),99)*100000+771,9000000000000+771)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5">
        <f>IF(K778=1,'ORDENES'!$J774,"")</f>
        <v/>
      </c>
    </row>
    <row r="779">
      <c r="K779" s="5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5">
        <f>IF(K779=1,IFERROR(MATCH('ORDENES'!$S775,lista_dias,0),9)*1000000000+IFERROR(MATCH('ORDENES'!$AI775,lista_turnos,0),9)*10000000+IFERROR(MATCH('ORDENES'!$AH775,tblTecnicos[nombre],0),99)*100000+772,9000000000000+772)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5">
        <f>IF(K779=1,'ORDENES'!$J775,"")</f>
        <v/>
      </c>
    </row>
    <row r="780">
      <c r="K780" s="5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5">
        <f>IF(K780=1,IFERROR(MATCH('ORDENES'!$S776,lista_dias,0),9)*1000000000+IFERROR(MATCH('ORDENES'!$AI776,lista_turnos,0),9)*10000000+IFERROR(MATCH('ORDENES'!$AH776,tblTecnicos[nombre],0),99)*100000+773,9000000000000+773)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5">
        <f>IF(K780=1,'ORDENES'!$J776,"")</f>
        <v/>
      </c>
    </row>
    <row r="781">
      <c r="K781" s="5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5">
        <f>IF(K781=1,IFERROR(MATCH('ORDENES'!$S777,lista_dias,0),9)*1000000000+IFERROR(MATCH('ORDENES'!$AI777,lista_turnos,0),9)*10000000+IFERROR(MATCH('ORDENES'!$AH777,tblTecnicos[nombre],0),99)*100000+774,9000000000000+774)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5">
        <f>IF(K781=1,'ORDENES'!$J777,"")</f>
        <v/>
      </c>
    </row>
    <row r="782">
      <c r="K782" s="5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5">
        <f>IF(K782=1,IFERROR(MATCH('ORDENES'!$S778,lista_dias,0),9)*1000000000+IFERROR(MATCH('ORDENES'!$AI778,lista_turnos,0),9)*10000000+IFERROR(MATCH('ORDENES'!$AH778,tblTecnicos[nombre],0),99)*100000+775,9000000000000+775)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5">
        <f>IF(K782=1,'ORDENES'!$J778,"")</f>
        <v/>
      </c>
    </row>
    <row r="783">
      <c r="K783" s="5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5">
        <f>IF(K783=1,IFERROR(MATCH('ORDENES'!$S779,lista_dias,0),9)*1000000000+IFERROR(MATCH('ORDENES'!$AI779,lista_turnos,0),9)*10000000+IFERROR(MATCH('ORDENES'!$AH779,tblTecnicos[nombre],0),99)*100000+776,9000000000000+776)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5">
        <f>IF(K783=1,'ORDENES'!$J779,"")</f>
        <v/>
      </c>
    </row>
    <row r="784">
      <c r="K784" s="5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5">
        <f>IF(K784=1,IFERROR(MATCH('ORDENES'!$S780,lista_dias,0),9)*1000000000+IFERROR(MATCH('ORDENES'!$AI780,lista_turnos,0),9)*10000000+IFERROR(MATCH('ORDENES'!$AH780,tblTecnicos[nombre],0),99)*100000+777,9000000000000+777)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5">
        <f>IF(K784=1,'ORDENES'!$J780,"")</f>
        <v/>
      </c>
    </row>
    <row r="785">
      <c r="K785" s="5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5">
        <f>IF(K785=1,IFERROR(MATCH('ORDENES'!$S781,lista_dias,0),9)*1000000000+IFERROR(MATCH('ORDENES'!$AI781,lista_turnos,0),9)*10000000+IFERROR(MATCH('ORDENES'!$AH781,tblTecnicos[nombre],0),99)*100000+778,9000000000000+778)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5">
        <f>IF(K785=1,'ORDENES'!$J781,"")</f>
        <v/>
      </c>
    </row>
    <row r="786">
      <c r="K786" s="5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5">
        <f>IF(K786=1,IFERROR(MATCH('ORDENES'!$S782,lista_dias,0),9)*1000000000+IFERROR(MATCH('ORDENES'!$AI782,lista_turnos,0),9)*10000000+IFERROR(MATCH('ORDENES'!$AH782,tblTecnicos[nombre],0),99)*100000+779,9000000000000+779)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5">
        <f>IF(K786=1,'ORDENES'!$J782,"")</f>
        <v/>
      </c>
    </row>
    <row r="787">
      <c r="K787" s="5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5">
        <f>IF(K787=1,IFERROR(MATCH('ORDENES'!$S783,lista_dias,0),9)*1000000000+IFERROR(MATCH('ORDENES'!$AI783,lista_turnos,0),9)*10000000+IFERROR(MATCH('ORDENES'!$AH783,tblTecnicos[nombre],0),99)*100000+780,9000000000000+780)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5">
        <f>IF(K787=1,'ORDENES'!$J783,"")</f>
        <v/>
      </c>
    </row>
    <row r="788">
      <c r="K788" s="5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5">
        <f>IF(K788=1,IFERROR(MATCH('ORDENES'!$S784,lista_dias,0),9)*1000000000+IFERROR(MATCH('ORDENES'!$AI784,lista_turnos,0),9)*10000000+IFERROR(MATCH('ORDENES'!$AH784,tblTecnicos[nombre],0),99)*100000+781,9000000000000+781)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5">
        <f>IF(K788=1,'ORDENES'!$J784,"")</f>
        <v/>
      </c>
    </row>
    <row r="789">
      <c r="K789" s="5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5">
        <f>IF(K789=1,IFERROR(MATCH('ORDENES'!$S785,lista_dias,0),9)*1000000000+IFERROR(MATCH('ORDENES'!$AI785,lista_turnos,0),9)*10000000+IFERROR(MATCH('ORDENES'!$AH785,tblTecnicos[nombre],0),99)*100000+782,9000000000000+782)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5">
        <f>IF(K789=1,'ORDENES'!$J785,"")</f>
        <v/>
      </c>
    </row>
    <row r="790">
      <c r="K790" s="5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5">
        <f>IF(K790=1,IFERROR(MATCH('ORDENES'!$S786,lista_dias,0),9)*1000000000+IFERROR(MATCH('ORDENES'!$AI786,lista_turnos,0),9)*10000000+IFERROR(MATCH('ORDENES'!$AH786,tblTecnicos[nombre],0),99)*100000+783,9000000000000+783)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5">
        <f>IF(K790=1,'ORDENES'!$J786,"")</f>
        <v/>
      </c>
    </row>
    <row r="791">
      <c r="K791" s="5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5">
        <f>IF(K791=1,IFERROR(MATCH('ORDENES'!$S787,lista_dias,0),9)*1000000000+IFERROR(MATCH('ORDENES'!$AI787,lista_turnos,0),9)*10000000+IFERROR(MATCH('ORDENES'!$AH787,tblTecnicos[nombre],0),99)*100000+784,9000000000000+784)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5">
        <f>IF(K791=1,'ORDENES'!$J787,"")</f>
        <v/>
      </c>
    </row>
    <row r="792">
      <c r="K792" s="5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5">
        <f>IF(K792=1,IFERROR(MATCH('ORDENES'!$S788,lista_dias,0),9)*1000000000+IFERROR(MATCH('ORDENES'!$AI788,lista_turnos,0),9)*10000000+IFERROR(MATCH('ORDENES'!$AH788,tblTecnicos[nombre],0),99)*100000+785,9000000000000+785)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5">
        <f>IF(K792=1,'ORDENES'!$J788,"")</f>
        <v/>
      </c>
    </row>
    <row r="793">
      <c r="K793" s="5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5">
        <f>IF(K793=1,IFERROR(MATCH('ORDENES'!$S789,lista_dias,0),9)*1000000000+IFERROR(MATCH('ORDENES'!$AI789,lista_turnos,0),9)*10000000+IFERROR(MATCH('ORDENES'!$AH789,tblTecnicos[nombre],0),99)*100000+786,9000000000000+786)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5">
        <f>IF(K793=1,'ORDENES'!$J789,"")</f>
        <v/>
      </c>
    </row>
    <row r="794">
      <c r="K794" s="5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5">
        <f>IF(K794=1,IFERROR(MATCH('ORDENES'!$S790,lista_dias,0),9)*1000000000+IFERROR(MATCH('ORDENES'!$AI790,lista_turnos,0),9)*10000000+IFERROR(MATCH('ORDENES'!$AH790,tblTecnicos[nombre],0),99)*100000+787,9000000000000+787)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5">
        <f>IF(K794=1,'ORDENES'!$J790,"")</f>
        <v/>
      </c>
    </row>
    <row r="795">
      <c r="K795" s="5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5">
        <f>IF(K795=1,IFERROR(MATCH('ORDENES'!$S791,lista_dias,0),9)*1000000000+IFERROR(MATCH('ORDENES'!$AI791,lista_turnos,0),9)*10000000+IFERROR(MATCH('ORDENES'!$AH791,tblTecnicos[nombre],0),99)*100000+788,9000000000000+788)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5">
        <f>IF(K795=1,'ORDENES'!$J791,"")</f>
        <v/>
      </c>
    </row>
    <row r="796">
      <c r="K796" s="5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5">
        <f>IF(K796=1,IFERROR(MATCH('ORDENES'!$S792,lista_dias,0),9)*1000000000+IFERROR(MATCH('ORDENES'!$AI792,lista_turnos,0),9)*10000000+IFERROR(MATCH('ORDENES'!$AH792,tblTecnicos[nombre],0),99)*100000+789,9000000000000+789)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5">
        <f>IF(K796=1,'ORDENES'!$J792,"")</f>
        <v/>
      </c>
    </row>
    <row r="797">
      <c r="K797" s="5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5">
        <f>IF(K797=1,IFERROR(MATCH('ORDENES'!$S793,lista_dias,0),9)*1000000000+IFERROR(MATCH('ORDENES'!$AI793,lista_turnos,0),9)*10000000+IFERROR(MATCH('ORDENES'!$AH793,tblTecnicos[nombre],0),99)*100000+790,9000000000000+790)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5">
        <f>IF(K797=1,'ORDENES'!$J793,"")</f>
        <v/>
      </c>
    </row>
    <row r="798">
      <c r="K798" s="5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5">
        <f>IF(K798=1,IFERROR(MATCH('ORDENES'!$S794,lista_dias,0),9)*1000000000+IFERROR(MATCH('ORDENES'!$AI794,lista_turnos,0),9)*10000000+IFERROR(MATCH('ORDENES'!$AH794,tblTecnicos[nombre],0),99)*100000+791,9000000000000+791)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5">
        <f>IF(K798=1,'ORDENES'!$J794,"")</f>
        <v/>
      </c>
    </row>
    <row r="799">
      <c r="K799" s="5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5">
        <f>IF(K799=1,IFERROR(MATCH('ORDENES'!$S795,lista_dias,0),9)*1000000000+IFERROR(MATCH('ORDENES'!$AI795,lista_turnos,0),9)*10000000+IFERROR(MATCH('ORDENES'!$AH795,tblTecnicos[nombre],0),99)*100000+792,9000000000000+792)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5">
        <f>IF(K799=1,'ORDENES'!$J795,"")</f>
        <v/>
      </c>
    </row>
    <row r="800">
      <c r="K800" s="5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5">
        <f>IF(K800=1,IFERROR(MATCH('ORDENES'!$S796,lista_dias,0),9)*1000000000+IFERROR(MATCH('ORDENES'!$AI796,lista_turnos,0),9)*10000000+IFERROR(MATCH('ORDENES'!$AH796,tblTecnicos[nombre],0),99)*100000+793,9000000000000+793)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5">
        <f>IF(K800=1,'ORDENES'!$J796,"")</f>
        <v/>
      </c>
    </row>
    <row r="801">
      <c r="K801" s="5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5">
        <f>IF(K801=1,IFERROR(MATCH('ORDENES'!$S797,lista_dias,0),9)*1000000000+IFERROR(MATCH('ORDENES'!$AI797,lista_turnos,0),9)*10000000+IFERROR(MATCH('ORDENES'!$AH797,tblTecnicos[nombre],0),99)*100000+794,9000000000000+794)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5">
        <f>IF(K801=1,'ORDENES'!$J797,"")</f>
        <v/>
      </c>
    </row>
    <row r="802">
      <c r="K802" s="5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5">
        <f>IF(K802=1,IFERROR(MATCH('ORDENES'!$S798,lista_dias,0),9)*1000000000+IFERROR(MATCH('ORDENES'!$AI798,lista_turnos,0),9)*10000000+IFERROR(MATCH('ORDENES'!$AH798,tblTecnicos[nombre],0),99)*100000+795,9000000000000+795)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5">
        <f>IF(K802=1,'ORDENES'!$J798,"")</f>
        <v/>
      </c>
    </row>
    <row r="803">
      <c r="K803" s="5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5">
        <f>IF(K803=1,IFERROR(MATCH('ORDENES'!$S799,lista_dias,0),9)*1000000000+IFERROR(MATCH('ORDENES'!$AI799,lista_turnos,0),9)*10000000+IFERROR(MATCH('ORDENES'!$AH799,tblTecnicos[nombre],0),99)*100000+796,9000000000000+796)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5">
        <f>IF(K803=1,'ORDENES'!$J799,"")</f>
        <v/>
      </c>
    </row>
    <row r="804">
      <c r="K804" s="5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5">
        <f>IF(K804=1,IFERROR(MATCH('ORDENES'!$S800,lista_dias,0),9)*1000000000+IFERROR(MATCH('ORDENES'!$AI800,lista_turnos,0),9)*10000000+IFERROR(MATCH('ORDENES'!$AH800,tblTecnicos[nombre],0),99)*100000+797,9000000000000+797)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5">
        <f>IF(K804=1,'ORDENES'!$J800,"")</f>
        <v/>
      </c>
    </row>
    <row r="805">
      <c r="K805" s="5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5">
        <f>IF(K805=1,IFERROR(MATCH('ORDENES'!$S801,lista_dias,0),9)*1000000000+IFERROR(MATCH('ORDENES'!$AI801,lista_turnos,0),9)*10000000+IFERROR(MATCH('ORDENES'!$AH801,tblTecnicos[nombre],0),99)*100000+798,9000000000000+798)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5">
        <f>IF(K805=1,'ORDENES'!$J801,"")</f>
        <v/>
      </c>
    </row>
    <row r="806">
      <c r="K806" s="5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5">
        <f>IF(K806=1,IFERROR(MATCH('ORDENES'!$S802,lista_dias,0),9)*1000000000+IFERROR(MATCH('ORDENES'!$AI802,lista_turnos,0),9)*10000000+IFERROR(MATCH('ORDENES'!$AH802,tblTecnicos[nombre],0),99)*100000+799,9000000000000+799)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5">
        <f>IF(K806=1,'ORDENES'!$J802,"")</f>
        <v/>
      </c>
    </row>
    <row r="807">
      <c r="K807" s="5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5">
        <f>IF(K807=1,IFERROR(MATCH('ORDENES'!$S803,lista_dias,0),9)*1000000000+IFERROR(MATCH('ORDENES'!$AI803,lista_turnos,0),9)*10000000+IFERROR(MATCH('ORDENES'!$AH803,tblTecnicos[nombre],0),99)*100000+800,9000000000000+800)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5">
        <f>IF(K807=1,'ORDENES'!$J803,"")</f>
        <v/>
      </c>
    </row>
    <row r="808">
      <c r="K808" s="5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5">
        <f>IF(K808=1,IFERROR(MATCH('ORDENES'!$S804,lista_dias,0),9)*1000000000+IFERROR(MATCH('ORDENES'!$AI804,lista_turnos,0),9)*10000000+IFERROR(MATCH('ORDENES'!$AH804,tblTecnicos[nombre],0),99)*100000+801,9000000000000+801)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5">
        <f>IF(K808=1,'ORDENES'!$J804,"")</f>
        <v/>
      </c>
    </row>
    <row r="809">
      <c r="K809" s="5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5">
        <f>IF(K809=1,IFERROR(MATCH('ORDENES'!$S805,lista_dias,0),9)*1000000000+IFERROR(MATCH('ORDENES'!$AI805,lista_turnos,0),9)*10000000+IFERROR(MATCH('ORDENES'!$AH805,tblTecnicos[nombre],0),99)*100000+802,9000000000000+802)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5">
        <f>IF(K809=1,'ORDENES'!$J805,"")</f>
        <v/>
      </c>
    </row>
    <row r="810">
      <c r="K810" s="5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5">
        <f>IF(K810=1,IFERROR(MATCH('ORDENES'!$S806,lista_dias,0),9)*1000000000+IFERROR(MATCH('ORDENES'!$AI806,lista_turnos,0),9)*10000000+IFERROR(MATCH('ORDENES'!$AH806,tblTecnicos[nombre],0),99)*100000+803,9000000000000+803)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5">
        <f>IF(K810=1,'ORDENES'!$J806,"")</f>
        <v/>
      </c>
    </row>
    <row r="811">
      <c r="K811" s="5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5">
        <f>IF(K811=1,IFERROR(MATCH('ORDENES'!$S807,lista_dias,0),9)*1000000000+IFERROR(MATCH('ORDENES'!$AI807,lista_turnos,0),9)*10000000+IFERROR(MATCH('ORDENES'!$AH807,tblTecnicos[nombre],0),99)*100000+804,9000000000000+804)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5">
        <f>IF(K811=1,'ORDENES'!$J807,"")</f>
        <v/>
      </c>
    </row>
    <row r="812">
      <c r="K812" s="5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5">
        <f>IF(K812=1,IFERROR(MATCH('ORDENES'!$S808,lista_dias,0),9)*1000000000+IFERROR(MATCH('ORDENES'!$AI808,lista_turnos,0),9)*10000000+IFERROR(MATCH('ORDENES'!$AH808,tblTecnicos[nombre],0),99)*100000+805,9000000000000+805)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5">
        <f>IF(K812=1,'ORDENES'!$J808,"")</f>
        <v/>
      </c>
    </row>
    <row r="813">
      <c r="K813" s="5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5">
        <f>IF(K813=1,IFERROR(MATCH('ORDENES'!$S809,lista_dias,0),9)*1000000000+IFERROR(MATCH('ORDENES'!$AI809,lista_turnos,0),9)*10000000+IFERROR(MATCH('ORDENES'!$AH809,tblTecnicos[nombre],0),99)*100000+806,9000000000000+806)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5">
        <f>IF(K813=1,'ORDENES'!$J809,"")</f>
        <v/>
      </c>
    </row>
    <row r="814">
      <c r="K814" s="5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5">
        <f>IF(K814=1,IFERROR(MATCH('ORDENES'!$S810,lista_dias,0),9)*1000000000+IFERROR(MATCH('ORDENES'!$AI810,lista_turnos,0),9)*10000000+IFERROR(MATCH('ORDENES'!$AH810,tblTecnicos[nombre],0),99)*100000+807,9000000000000+807)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5">
        <f>IF(K814=1,'ORDENES'!$J810,"")</f>
        <v/>
      </c>
    </row>
    <row r="815">
      <c r="K815" s="5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5">
        <f>IF(K815=1,IFERROR(MATCH('ORDENES'!$S811,lista_dias,0),9)*1000000000+IFERROR(MATCH('ORDENES'!$AI811,lista_turnos,0),9)*10000000+IFERROR(MATCH('ORDENES'!$AH811,tblTecnicos[nombre],0),99)*100000+808,9000000000000+808)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5">
        <f>IF(K815=1,'ORDENES'!$J811,"")</f>
        <v/>
      </c>
    </row>
    <row r="816">
      <c r="K816" s="5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5">
        <f>IF(K816=1,IFERROR(MATCH('ORDENES'!$S812,lista_dias,0),9)*1000000000+IFERROR(MATCH('ORDENES'!$AI812,lista_turnos,0),9)*10000000+IFERROR(MATCH('ORDENES'!$AH812,tblTecnicos[nombre],0),99)*100000+809,9000000000000+809)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5">
        <f>IF(K816=1,'ORDENES'!$J812,"")</f>
        <v/>
      </c>
    </row>
    <row r="817">
      <c r="K817" s="5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5">
        <f>IF(K817=1,IFERROR(MATCH('ORDENES'!$S813,lista_dias,0),9)*1000000000+IFERROR(MATCH('ORDENES'!$AI813,lista_turnos,0),9)*10000000+IFERROR(MATCH('ORDENES'!$AH813,tblTecnicos[nombre],0),99)*100000+810,9000000000000+810)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5">
        <f>IF(K817=1,'ORDENES'!$J813,"")</f>
        <v/>
      </c>
    </row>
    <row r="818">
      <c r="K818" s="5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5">
        <f>IF(K818=1,IFERROR(MATCH('ORDENES'!$S814,lista_dias,0),9)*1000000000+IFERROR(MATCH('ORDENES'!$AI814,lista_turnos,0),9)*10000000+IFERROR(MATCH('ORDENES'!$AH814,tblTecnicos[nombre],0),99)*100000+811,9000000000000+811)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5">
        <f>IF(K818=1,'ORDENES'!$J814,"")</f>
        <v/>
      </c>
    </row>
    <row r="819">
      <c r="K819" s="5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5">
        <f>IF(K819=1,IFERROR(MATCH('ORDENES'!$S815,lista_dias,0),9)*1000000000+IFERROR(MATCH('ORDENES'!$AI815,lista_turnos,0),9)*10000000+IFERROR(MATCH('ORDENES'!$AH815,tblTecnicos[nombre],0),99)*100000+812,9000000000000+812)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5">
        <f>IF(K819=1,'ORDENES'!$J815,"")</f>
        <v/>
      </c>
    </row>
    <row r="820">
      <c r="K820" s="5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5">
        <f>IF(K820=1,IFERROR(MATCH('ORDENES'!$S816,lista_dias,0),9)*1000000000+IFERROR(MATCH('ORDENES'!$AI816,lista_turnos,0),9)*10000000+IFERROR(MATCH('ORDENES'!$AH816,tblTecnicos[nombre],0),99)*100000+813,9000000000000+813)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5">
        <f>IF(K820=1,'ORDENES'!$J816,"")</f>
        <v/>
      </c>
    </row>
    <row r="821">
      <c r="K821" s="5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5">
        <f>IF(K821=1,IFERROR(MATCH('ORDENES'!$S817,lista_dias,0),9)*1000000000+IFERROR(MATCH('ORDENES'!$AI817,lista_turnos,0),9)*10000000+IFERROR(MATCH('ORDENES'!$AH817,tblTecnicos[nombre],0),99)*100000+814,9000000000000+814)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5">
        <f>IF(K821=1,'ORDENES'!$J817,"")</f>
        <v/>
      </c>
    </row>
    <row r="822">
      <c r="K822" s="5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5">
        <f>IF(K822=1,IFERROR(MATCH('ORDENES'!$S818,lista_dias,0),9)*1000000000+IFERROR(MATCH('ORDENES'!$AI818,lista_turnos,0),9)*10000000+IFERROR(MATCH('ORDENES'!$AH818,tblTecnicos[nombre],0),99)*100000+815,9000000000000+815)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5">
        <f>IF(K822=1,'ORDENES'!$J818,"")</f>
        <v/>
      </c>
    </row>
    <row r="823">
      <c r="K823" s="5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5">
        <f>IF(K823=1,IFERROR(MATCH('ORDENES'!$S819,lista_dias,0),9)*1000000000+IFERROR(MATCH('ORDENES'!$AI819,lista_turnos,0),9)*10000000+IFERROR(MATCH('ORDENES'!$AH819,tblTecnicos[nombre],0),99)*100000+816,9000000000000+816)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5">
        <f>IF(K823=1,'ORDENES'!$J819,"")</f>
        <v/>
      </c>
    </row>
    <row r="824">
      <c r="K824" s="5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5">
        <f>IF(K824=1,IFERROR(MATCH('ORDENES'!$S820,lista_dias,0),9)*1000000000+IFERROR(MATCH('ORDENES'!$AI820,lista_turnos,0),9)*10000000+IFERROR(MATCH('ORDENES'!$AH820,tblTecnicos[nombre],0),99)*100000+817,9000000000000+817)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5">
        <f>IF(K824=1,'ORDENES'!$J820,"")</f>
        <v/>
      </c>
    </row>
    <row r="825">
      <c r="K825" s="5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5">
        <f>IF(K825=1,IFERROR(MATCH('ORDENES'!$S821,lista_dias,0),9)*1000000000+IFERROR(MATCH('ORDENES'!$AI821,lista_turnos,0),9)*10000000+IFERROR(MATCH('ORDENES'!$AH821,tblTecnicos[nombre],0),99)*100000+818,9000000000000+818)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5">
        <f>IF(K825=1,'ORDENES'!$J821,"")</f>
        <v/>
      </c>
    </row>
    <row r="826">
      <c r="K826" s="5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5">
        <f>IF(K826=1,IFERROR(MATCH('ORDENES'!$S822,lista_dias,0),9)*1000000000+IFERROR(MATCH('ORDENES'!$AI822,lista_turnos,0),9)*10000000+IFERROR(MATCH('ORDENES'!$AH822,tblTecnicos[nombre],0),99)*100000+819,9000000000000+819)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5">
        <f>IF(K826=1,'ORDENES'!$J822,"")</f>
        <v/>
      </c>
    </row>
    <row r="827">
      <c r="K827" s="5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5">
        <f>IF(K827=1,IFERROR(MATCH('ORDENES'!$S823,lista_dias,0),9)*1000000000+IFERROR(MATCH('ORDENES'!$AI823,lista_turnos,0),9)*10000000+IFERROR(MATCH('ORDENES'!$AH823,tblTecnicos[nombre],0),99)*100000+820,9000000000000+820)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5">
        <f>IF(K827=1,'ORDENES'!$J823,"")</f>
        <v/>
      </c>
    </row>
    <row r="828">
      <c r="K828" s="5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5">
        <f>IF(K828=1,IFERROR(MATCH('ORDENES'!$S824,lista_dias,0),9)*1000000000+IFERROR(MATCH('ORDENES'!$AI824,lista_turnos,0),9)*10000000+IFERROR(MATCH('ORDENES'!$AH824,tblTecnicos[nombre],0),99)*100000+821,9000000000000+821)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5">
        <f>IF(K828=1,'ORDENES'!$J824,"")</f>
        <v/>
      </c>
    </row>
    <row r="829">
      <c r="K829" s="5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5">
        <f>IF(K829=1,IFERROR(MATCH('ORDENES'!$S825,lista_dias,0),9)*1000000000+IFERROR(MATCH('ORDENES'!$AI825,lista_turnos,0),9)*10000000+IFERROR(MATCH('ORDENES'!$AH825,tblTecnicos[nombre],0),99)*100000+822,9000000000000+822)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5">
        <f>IF(K829=1,'ORDENES'!$J825,"")</f>
        <v/>
      </c>
    </row>
    <row r="830">
      <c r="K830" s="5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5">
        <f>IF(K830=1,IFERROR(MATCH('ORDENES'!$S826,lista_dias,0),9)*1000000000+IFERROR(MATCH('ORDENES'!$AI826,lista_turnos,0),9)*10000000+IFERROR(MATCH('ORDENES'!$AH826,tblTecnicos[nombre],0),99)*100000+823,9000000000000+823)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5">
        <f>IF(K830=1,'ORDENES'!$J826,"")</f>
        <v/>
      </c>
    </row>
    <row r="831">
      <c r="K831" s="5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5">
        <f>IF(K831=1,IFERROR(MATCH('ORDENES'!$S827,lista_dias,0),9)*1000000000+IFERROR(MATCH('ORDENES'!$AI827,lista_turnos,0),9)*10000000+IFERROR(MATCH('ORDENES'!$AH827,tblTecnicos[nombre],0),99)*100000+824,9000000000000+824)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5">
        <f>IF(K831=1,'ORDENES'!$J827,"")</f>
        <v/>
      </c>
    </row>
    <row r="832">
      <c r="K832" s="5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5">
        <f>IF(K832=1,IFERROR(MATCH('ORDENES'!$S828,lista_dias,0),9)*1000000000+IFERROR(MATCH('ORDENES'!$AI828,lista_turnos,0),9)*10000000+IFERROR(MATCH('ORDENES'!$AH828,tblTecnicos[nombre],0),99)*100000+825,9000000000000+825)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5">
        <f>IF(K832=1,'ORDENES'!$J828,"")</f>
        <v/>
      </c>
    </row>
    <row r="833">
      <c r="K833" s="5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5">
        <f>IF(K833=1,IFERROR(MATCH('ORDENES'!$S829,lista_dias,0),9)*1000000000+IFERROR(MATCH('ORDENES'!$AI829,lista_turnos,0),9)*10000000+IFERROR(MATCH('ORDENES'!$AH829,tblTecnicos[nombre],0),99)*100000+826,9000000000000+826)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5">
        <f>IF(K833=1,'ORDENES'!$J829,"")</f>
        <v/>
      </c>
    </row>
    <row r="834">
      <c r="K834" s="5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5">
        <f>IF(K834=1,IFERROR(MATCH('ORDENES'!$S830,lista_dias,0),9)*1000000000+IFERROR(MATCH('ORDENES'!$AI830,lista_turnos,0),9)*10000000+IFERROR(MATCH('ORDENES'!$AH830,tblTecnicos[nombre],0),99)*100000+827,9000000000000+827)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5">
        <f>IF(K834=1,'ORDENES'!$J830,"")</f>
        <v/>
      </c>
    </row>
    <row r="835">
      <c r="K835" s="5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5">
        <f>IF(K835=1,IFERROR(MATCH('ORDENES'!$S831,lista_dias,0),9)*1000000000+IFERROR(MATCH('ORDENES'!$AI831,lista_turnos,0),9)*10000000+IFERROR(MATCH('ORDENES'!$AH831,tblTecnicos[nombre],0),99)*100000+828,9000000000000+828)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5">
        <f>IF(K835=1,'ORDENES'!$J831,"")</f>
        <v/>
      </c>
    </row>
    <row r="836">
      <c r="K836" s="5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5">
        <f>IF(K836=1,IFERROR(MATCH('ORDENES'!$S832,lista_dias,0),9)*1000000000+IFERROR(MATCH('ORDENES'!$AI832,lista_turnos,0),9)*10000000+IFERROR(MATCH('ORDENES'!$AH832,tblTecnicos[nombre],0),99)*100000+829,9000000000000+829)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5">
        <f>IF(K836=1,'ORDENES'!$J832,"")</f>
        <v/>
      </c>
    </row>
    <row r="837">
      <c r="K837" s="5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5">
        <f>IF(K837=1,IFERROR(MATCH('ORDENES'!$S833,lista_dias,0),9)*1000000000+IFERROR(MATCH('ORDENES'!$AI833,lista_turnos,0),9)*10000000+IFERROR(MATCH('ORDENES'!$AH833,tblTecnicos[nombre],0),99)*100000+830,9000000000000+830)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5">
        <f>IF(K837=1,'ORDENES'!$J833,"")</f>
        <v/>
      </c>
    </row>
    <row r="838">
      <c r="K838" s="5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5">
        <f>IF(K838=1,IFERROR(MATCH('ORDENES'!$S834,lista_dias,0),9)*1000000000+IFERROR(MATCH('ORDENES'!$AI834,lista_turnos,0),9)*10000000+IFERROR(MATCH('ORDENES'!$AH834,tblTecnicos[nombre],0),99)*100000+831,9000000000000+831)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5">
        <f>IF(K838=1,'ORDENES'!$J834,"")</f>
        <v/>
      </c>
    </row>
    <row r="839">
      <c r="K839" s="5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5">
        <f>IF(K839=1,IFERROR(MATCH('ORDENES'!$S835,lista_dias,0),9)*1000000000+IFERROR(MATCH('ORDENES'!$AI835,lista_turnos,0),9)*10000000+IFERROR(MATCH('ORDENES'!$AH835,tblTecnicos[nombre],0),99)*100000+832,9000000000000+832)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5">
        <f>IF(K839=1,'ORDENES'!$J835,"")</f>
        <v/>
      </c>
    </row>
    <row r="840">
      <c r="K840" s="5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5">
        <f>IF(K840=1,IFERROR(MATCH('ORDENES'!$S836,lista_dias,0),9)*1000000000+IFERROR(MATCH('ORDENES'!$AI836,lista_turnos,0),9)*10000000+IFERROR(MATCH('ORDENES'!$AH836,tblTecnicos[nombre],0),99)*100000+833,9000000000000+833)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5">
        <f>IF(K840=1,'ORDENES'!$J836,"")</f>
        <v/>
      </c>
    </row>
    <row r="841">
      <c r="K841" s="5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5">
        <f>IF(K841=1,IFERROR(MATCH('ORDENES'!$S837,lista_dias,0),9)*1000000000+IFERROR(MATCH('ORDENES'!$AI837,lista_turnos,0),9)*10000000+IFERROR(MATCH('ORDENES'!$AH837,tblTecnicos[nombre],0),99)*100000+834,9000000000000+834)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5">
        <f>IF(K841=1,'ORDENES'!$J837,"")</f>
        <v/>
      </c>
    </row>
    <row r="842">
      <c r="K842" s="5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5">
        <f>IF(K842=1,IFERROR(MATCH('ORDENES'!$S838,lista_dias,0),9)*1000000000+IFERROR(MATCH('ORDENES'!$AI838,lista_turnos,0),9)*10000000+IFERROR(MATCH('ORDENES'!$AH838,tblTecnicos[nombre],0),99)*100000+835,9000000000000+835)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5">
        <f>IF(K842=1,'ORDENES'!$J838,"")</f>
        <v/>
      </c>
    </row>
    <row r="843">
      <c r="K843" s="5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5">
        <f>IF(K843=1,IFERROR(MATCH('ORDENES'!$S839,lista_dias,0),9)*1000000000+IFERROR(MATCH('ORDENES'!$AI839,lista_turnos,0),9)*10000000+IFERROR(MATCH('ORDENES'!$AH839,tblTecnicos[nombre],0),99)*100000+836,9000000000000+836)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5">
        <f>IF(K843=1,'ORDENES'!$J839,"")</f>
        <v/>
      </c>
    </row>
    <row r="844">
      <c r="K844" s="5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5">
        <f>IF(K844=1,IFERROR(MATCH('ORDENES'!$S840,lista_dias,0),9)*1000000000+IFERROR(MATCH('ORDENES'!$AI840,lista_turnos,0),9)*10000000+IFERROR(MATCH('ORDENES'!$AH840,tblTecnicos[nombre],0),99)*100000+837,9000000000000+837)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5">
        <f>IF(K844=1,'ORDENES'!$J840,"")</f>
        <v/>
      </c>
    </row>
    <row r="845">
      <c r="K845" s="5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5">
        <f>IF(K845=1,IFERROR(MATCH('ORDENES'!$S841,lista_dias,0),9)*1000000000+IFERROR(MATCH('ORDENES'!$AI841,lista_turnos,0),9)*10000000+IFERROR(MATCH('ORDENES'!$AH841,tblTecnicos[nombre],0),99)*100000+838,9000000000000+838)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5">
        <f>IF(K845=1,'ORDENES'!$J841,"")</f>
        <v/>
      </c>
    </row>
    <row r="846">
      <c r="K846" s="5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5">
        <f>IF(K846=1,IFERROR(MATCH('ORDENES'!$S842,lista_dias,0),9)*1000000000+IFERROR(MATCH('ORDENES'!$AI842,lista_turnos,0),9)*10000000+IFERROR(MATCH('ORDENES'!$AH842,tblTecnicos[nombre],0),99)*100000+839,9000000000000+839)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5">
        <f>IF(K846=1,'ORDENES'!$J842,"")</f>
        <v/>
      </c>
    </row>
    <row r="847">
      <c r="K847" s="5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5">
        <f>IF(K847=1,IFERROR(MATCH('ORDENES'!$S843,lista_dias,0),9)*1000000000+IFERROR(MATCH('ORDENES'!$AI843,lista_turnos,0),9)*10000000+IFERROR(MATCH('ORDENES'!$AH843,tblTecnicos[nombre],0),99)*100000+840,9000000000000+840)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5">
        <f>IF(K847=1,'ORDENES'!$J843,"")</f>
        <v/>
      </c>
    </row>
    <row r="848">
      <c r="K848" s="5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5">
        <f>IF(K848=1,IFERROR(MATCH('ORDENES'!$S844,lista_dias,0),9)*1000000000+IFERROR(MATCH('ORDENES'!$AI844,lista_turnos,0),9)*10000000+IFERROR(MATCH('ORDENES'!$AH844,tblTecnicos[nombre],0),99)*100000+841,9000000000000+841)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5">
        <f>IF(K848=1,'ORDENES'!$J844,"")</f>
        <v/>
      </c>
    </row>
    <row r="849">
      <c r="K849" s="5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5">
        <f>IF(K849=1,IFERROR(MATCH('ORDENES'!$S845,lista_dias,0),9)*1000000000+IFERROR(MATCH('ORDENES'!$AI845,lista_turnos,0),9)*10000000+IFERROR(MATCH('ORDENES'!$AH845,tblTecnicos[nombre],0),99)*100000+842,9000000000000+842)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5">
        <f>IF(K849=1,'ORDENES'!$J845,"")</f>
        <v/>
      </c>
    </row>
    <row r="850">
      <c r="K850" s="5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5">
        <f>IF(K850=1,IFERROR(MATCH('ORDENES'!$S846,lista_dias,0),9)*1000000000+IFERROR(MATCH('ORDENES'!$AI846,lista_turnos,0),9)*10000000+IFERROR(MATCH('ORDENES'!$AH846,tblTecnicos[nombre],0),99)*100000+843,9000000000000+843)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5">
        <f>IF(K850=1,'ORDENES'!$J846,"")</f>
        <v/>
      </c>
    </row>
    <row r="851">
      <c r="K851" s="5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5">
        <f>IF(K851=1,IFERROR(MATCH('ORDENES'!$S847,lista_dias,0),9)*1000000000+IFERROR(MATCH('ORDENES'!$AI847,lista_turnos,0),9)*10000000+IFERROR(MATCH('ORDENES'!$AH847,tblTecnicos[nombre],0),99)*100000+844,9000000000000+844)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5">
        <f>IF(K851=1,'ORDENES'!$J847,"")</f>
        <v/>
      </c>
    </row>
    <row r="852">
      <c r="K852" s="5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5">
        <f>IF(K852=1,IFERROR(MATCH('ORDENES'!$S848,lista_dias,0),9)*1000000000+IFERROR(MATCH('ORDENES'!$AI848,lista_turnos,0),9)*10000000+IFERROR(MATCH('ORDENES'!$AH848,tblTecnicos[nombre],0),99)*100000+845,9000000000000+845)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5">
        <f>IF(K852=1,'ORDENES'!$J848,"")</f>
        <v/>
      </c>
    </row>
    <row r="853">
      <c r="K853" s="5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5">
        <f>IF(K853=1,IFERROR(MATCH('ORDENES'!$S849,lista_dias,0),9)*1000000000+IFERROR(MATCH('ORDENES'!$AI849,lista_turnos,0),9)*10000000+IFERROR(MATCH('ORDENES'!$AH849,tblTecnicos[nombre],0),99)*100000+846,9000000000000+846)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5">
        <f>IF(K853=1,'ORDENES'!$J849,"")</f>
        <v/>
      </c>
    </row>
    <row r="854">
      <c r="K854" s="5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5">
        <f>IF(K854=1,IFERROR(MATCH('ORDENES'!$S850,lista_dias,0),9)*1000000000+IFERROR(MATCH('ORDENES'!$AI850,lista_turnos,0),9)*10000000+IFERROR(MATCH('ORDENES'!$AH850,tblTecnicos[nombre],0),99)*100000+847,9000000000000+847)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5">
        <f>IF(K854=1,'ORDENES'!$J850,"")</f>
        <v/>
      </c>
    </row>
    <row r="855">
      <c r="K855" s="5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5">
        <f>IF(K855=1,IFERROR(MATCH('ORDENES'!$S851,lista_dias,0),9)*1000000000+IFERROR(MATCH('ORDENES'!$AI851,lista_turnos,0),9)*10000000+IFERROR(MATCH('ORDENES'!$AH851,tblTecnicos[nombre],0),99)*100000+848,9000000000000+848)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5">
        <f>IF(K855=1,'ORDENES'!$J851,"")</f>
        <v/>
      </c>
    </row>
    <row r="856">
      <c r="K856" s="5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5">
        <f>IF(K856=1,IFERROR(MATCH('ORDENES'!$S852,lista_dias,0),9)*1000000000+IFERROR(MATCH('ORDENES'!$AI852,lista_turnos,0),9)*10000000+IFERROR(MATCH('ORDENES'!$AH852,tblTecnicos[nombre],0),99)*100000+849,9000000000000+849)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5">
        <f>IF(K856=1,'ORDENES'!$J852,"")</f>
        <v/>
      </c>
    </row>
    <row r="857">
      <c r="K857" s="5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5">
        <f>IF(K857=1,IFERROR(MATCH('ORDENES'!$S853,lista_dias,0),9)*1000000000+IFERROR(MATCH('ORDENES'!$AI853,lista_turnos,0),9)*10000000+IFERROR(MATCH('ORDENES'!$AH853,tblTecnicos[nombre],0),99)*100000+850,9000000000000+850)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5">
        <f>IF(K857=1,'ORDENES'!$J853,"")</f>
        <v/>
      </c>
    </row>
    <row r="858">
      <c r="K858" s="5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5">
        <f>IF(K858=1,IFERROR(MATCH('ORDENES'!$S854,lista_dias,0),9)*1000000000+IFERROR(MATCH('ORDENES'!$AI854,lista_turnos,0),9)*10000000+IFERROR(MATCH('ORDENES'!$AH854,tblTecnicos[nombre],0),99)*100000+851,9000000000000+851)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5">
        <f>IF(K858=1,'ORDENES'!$J854,"")</f>
        <v/>
      </c>
    </row>
    <row r="859">
      <c r="K859" s="5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5">
        <f>IF(K859=1,IFERROR(MATCH('ORDENES'!$S855,lista_dias,0),9)*1000000000+IFERROR(MATCH('ORDENES'!$AI855,lista_turnos,0),9)*10000000+IFERROR(MATCH('ORDENES'!$AH855,tblTecnicos[nombre],0),99)*100000+852,9000000000000+852)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5">
        <f>IF(K859=1,'ORDENES'!$J855,"")</f>
        <v/>
      </c>
    </row>
    <row r="860">
      <c r="K860" s="5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5">
        <f>IF(K860=1,IFERROR(MATCH('ORDENES'!$S856,lista_dias,0),9)*1000000000+IFERROR(MATCH('ORDENES'!$AI856,lista_turnos,0),9)*10000000+IFERROR(MATCH('ORDENES'!$AH856,tblTecnicos[nombre],0),99)*100000+853,9000000000000+853)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5">
        <f>IF(K860=1,'ORDENES'!$J856,"")</f>
        <v/>
      </c>
    </row>
    <row r="861">
      <c r="K861" s="5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5">
        <f>IF(K861=1,IFERROR(MATCH('ORDENES'!$S857,lista_dias,0),9)*1000000000+IFERROR(MATCH('ORDENES'!$AI857,lista_turnos,0),9)*10000000+IFERROR(MATCH('ORDENES'!$AH857,tblTecnicos[nombre],0),99)*100000+854,9000000000000+854)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5">
        <f>IF(K861=1,'ORDENES'!$J857,"")</f>
        <v/>
      </c>
    </row>
    <row r="862">
      <c r="K862" s="5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5">
        <f>IF(K862=1,IFERROR(MATCH('ORDENES'!$S858,lista_dias,0),9)*1000000000+IFERROR(MATCH('ORDENES'!$AI858,lista_turnos,0),9)*10000000+IFERROR(MATCH('ORDENES'!$AH858,tblTecnicos[nombre],0),99)*100000+855,9000000000000+855)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5">
        <f>IF(K862=1,'ORDENES'!$J858,"")</f>
        <v/>
      </c>
    </row>
    <row r="863">
      <c r="K863" s="5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5">
        <f>IF(K863=1,IFERROR(MATCH('ORDENES'!$S859,lista_dias,0),9)*1000000000+IFERROR(MATCH('ORDENES'!$AI859,lista_turnos,0),9)*10000000+IFERROR(MATCH('ORDENES'!$AH859,tblTecnicos[nombre],0),99)*100000+856,9000000000000+856)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5">
        <f>IF(K863=1,'ORDENES'!$J859,"")</f>
        <v/>
      </c>
    </row>
    <row r="864">
      <c r="K864" s="5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5">
        <f>IF(K864=1,IFERROR(MATCH('ORDENES'!$S860,lista_dias,0),9)*1000000000+IFERROR(MATCH('ORDENES'!$AI860,lista_turnos,0),9)*10000000+IFERROR(MATCH('ORDENES'!$AH860,tblTecnicos[nombre],0),99)*100000+857,9000000000000+857)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5">
        <f>IF(K864=1,'ORDENES'!$J860,"")</f>
        <v/>
      </c>
    </row>
    <row r="865">
      <c r="K865" s="5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5">
        <f>IF(K865=1,IFERROR(MATCH('ORDENES'!$S861,lista_dias,0),9)*1000000000+IFERROR(MATCH('ORDENES'!$AI861,lista_turnos,0),9)*10000000+IFERROR(MATCH('ORDENES'!$AH861,tblTecnicos[nombre],0),99)*100000+858,9000000000000+858)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5">
        <f>IF(K865=1,'ORDENES'!$J861,"")</f>
        <v/>
      </c>
    </row>
    <row r="866">
      <c r="K866" s="5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5">
        <f>IF(K866=1,IFERROR(MATCH('ORDENES'!$S862,lista_dias,0),9)*1000000000+IFERROR(MATCH('ORDENES'!$AI862,lista_turnos,0),9)*10000000+IFERROR(MATCH('ORDENES'!$AH862,tblTecnicos[nombre],0),99)*100000+859,9000000000000+859)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5">
        <f>IF(K866=1,'ORDENES'!$J862,"")</f>
        <v/>
      </c>
    </row>
    <row r="867">
      <c r="K867" s="5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5">
        <f>IF(K867=1,IFERROR(MATCH('ORDENES'!$S863,lista_dias,0),9)*1000000000+IFERROR(MATCH('ORDENES'!$AI863,lista_turnos,0),9)*10000000+IFERROR(MATCH('ORDENES'!$AH863,tblTecnicos[nombre],0),99)*100000+860,9000000000000+860)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5">
        <f>IF(K867=1,'ORDENES'!$J863,"")</f>
        <v/>
      </c>
    </row>
    <row r="868">
      <c r="K868" s="5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5">
        <f>IF(K868=1,IFERROR(MATCH('ORDENES'!$S864,lista_dias,0),9)*1000000000+IFERROR(MATCH('ORDENES'!$AI864,lista_turnos,0),9)*10000000+IFERROR(MATCH('ORDENES'!$AH864,tblTecnicos[nombre],0),99)*100000+861,9000000000000+861)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5">
        <f>IF(K868=1,'ORDENES'!$J864,"")</f>
        <v/>
      </c>
    </row>
    <row r="869">
      <c r="K869" s="5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5">
        <f>IF(K869=1,IFERROR(MATCH('ORDENES'!$S865,lista_dias,0),9)*1000000000+IFERROR(MATCH('ORDENES'!$AI865,lista_turnos,0),9)*10000000+IFERROR(MATCH('ORDENES'!$AH865,tblTecnicos[nombre],0),99)*100000+862,9000000000000+862)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5">
        <f>IF(K869=1,'ORDENES'!$J865,"")</f>
        <v/>
      </c>
    </row>
    <row r="870">
      <c r="K870" s="5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5">
        <f>IF(K870=1,IFERROR(MATCH('ORDENES'!$S866,lista_dias,0),9)*1000000000+IFERROR(MATCH('ORDENES'!$AI866,lista_turnos,0),9)*10000000+IFERROR(MATCH('ORDENES'!$AH866,tblTecnicos[nombre],0),99)*100000+863,9000000000000+863)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5">
        <f>IF(K870=1,'ORDENES'!$J866,"")</f>
        <v/>
      </c>
    </row>
    <row r="871">
      <c r="K871" s="5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5">
        <f>IF(K871=1,IFERROR(MATCH('ORDENES'!$S867,lista_dias,0),9)*1000000000+IFERROR(MATCH('ORDENES'!$AI867,lista_turnos,0),9)*10000000+IFERROR(MATCH('ORDENES'!$AH867,tblTecnicos[nombre],0),99)*100000+864,9000000000000+864)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5">
        <f>IF(K871=1,'ORDENES'!$J867,"")</f>
        <v/>
      </c>
    </row>
    <row r="872">
      <c r="K872" s="5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5">
        <f>IF(K872=1,IFERROR(MATCH('ORDENES'!$S868,lista_dias,0),9)*1000000000+IFERROR(MATCH('ORDENES'!$AI868,lista_turnos,0),9)*10000000+IFERROR(MATCH('ORDENES'!$AH868,tblTecnicos[nombre],0),99)*100000+865,9000000000000+865)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5">
        <f>IF(K872=1,'ORDENES'!$J868,"")</f>
        <v/>
      </c>
    </row>
    <row r="873">
      <c r="K873" s="5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5">
        <f>IF(K873=1,IFERROR(MATCH('ORDENES'!$S869,lista_dias,0),9)*1000000000+IFERROR(MATCH('ORDENES'!$AI869,lista_turnos,0),9)*10000000+IFERROR(MATCH('ORDENES'!$AH869,tblTecnicos[nombre],0),99)*100000+866,9000000000000+866)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5">
        <f>IF(K873=1,'ORDENES'!$J869,"")</f>
        <v/>
      </c>
    </row>
    <row r="874">
      <c r="K874" s="5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5">
        <f>IF(K874=1,IFERROR(MATCH('ORDENES'!$S870,lista_dias,0),9)*1000000000+IFERROR(MATCH('ORDENES'!$AI870,lista_turnos,0),9)*10000000+IFERROR(MATCH('ORDENES'!$AH870,tblTecnicos[nombre],0),99)*100000+867,9000000000000+867)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5">
        <f>IF(K874=1,'ORDENES'!$J870,"")</f>
        <v/>
      </c>
    </row>
    <row r="875">
      <c r="K875" s="5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5">
        <f>IF(K875=1,IFERROR(MATCH('ORDENES'!$S871,lista_dias,0),9)*1000000000+IFERROR(MATCH('ORDENES'!$AI871,lista_turnos,0),9)*10000000+IFERROR(MATCH('ORDENES'!$AH871,tblTecnicos[nombre],0),99)*100000+868,9000000000000+868)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5">
        <f>IF(K875=1,'ORDENES'!$J871,"")</f>
        <v/>
      </c>
    </row>
    <row r="876">
      <c r="K876" s="5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5">
        <f>IF(K876=1,IFERROR(MATCH('ORDENES'!$S872,lista_dias,0),9)*1000000000+IFERROR(MATCH('ORDENES'!$AI872,lista_turnos,0),9)*10000000+IFERROR(MATCH('ORDENES'!$AH872,tblTecnicos[nombre],0),99)*100000+869,9000000000000+869)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5">
        <f>IF(K876=1,'ORDENES'!$J872,"")</f>
        <v/>
      </c>
    </row>
    <row r="877">
      <c r="K877" s="5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5">
        <f>IF(K877=1,IFERROR(MATCH('ORDENES'!$S873,lista_dias,0),9)*1000000000+IFERROR(MATCH('ORDENES'!$AI873,lista_turnos,0),9)*10000000+IFERROR(MATCH('ORDENES'!$AH873,tblTecnicos[nombre],0),99)*100000+870,9000000000000+870)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5">
        <f>IF(K877=1,'ORDENES'!$J873,"")</f>
        <v/>
      </c>
    </row>
    <row r="878">
      <c r="K878" s="5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5">
        <f>IF(K878=1,IFERROR(MATCH('ORDENES'!$S874,lista_dias,0),9)*1000000000+IFERROR(MATCH('ORDENES'!$AI874,lista_turnos,0),9)*10000000+IFERROR(MATCH('ORDENES'!$AH874,tblTecnicos[nombre],0),99)*100000+871,9000000000000+871)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5">
        <f>IF(K878=1,'ORDENES'!$J874,"")</f>
        <v/>
      </c>
    </row>
    <row r="879">
      <c r="K879" s="5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5">
        <f>IF(K879=1,IFERROR(MATCH('ORDENES'!$S875,lista_dias,0),9)*1000000000+IFERROR(MATCH('ORDENES'!$AI875,lista_turnos,0),9)*10000000+IFERROR(MATCH('ORDENES'!$AH875,tblTecnicos[nombre],0),99)*100000+872,9000000000000+872)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5">
        <f>IF(K879=1,'ORDENES'!$J875,"")</f>
        <v/>
      </c>
    </row>
    <row r="880">
      <c r="K880" s="5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5">
        <f>IF(K880=1,IFERROR(MATCH('ORDENES'!$S876,lista_dias,0),9)*1000000000+IFERROR(MATCH('ORDENES'!$AI876,lista_turnos,0),9)*10000000+IFERROR(MATCH('ORDENES'!$AH876,tblTecnicos[nombre],0),99)*100000+873,9000000000000+873)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5">
        <f>IF(K880=1,'ORDENES'!$J876,"")</f>
        <v/>
      </c>
    </row>
    <row r="881">
      <c r="K881" s="5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5">
        <f>IF(K881=1,IFERROR(MATCH('ORDENES'!$S877,lista_dias,0),9)*1000000000+IFERROR(MATCH('ORDENES'!$AI877,lista_turnos,0),9)*10000000+IFERROR(MATCH('ORDENES'!$AH877,tblTecnicos[nombre],0),99)*100000+874,9000000000000+874)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5">
        <f>IF(K881=1,'ORDENES'!$J877,"")</f>
        <v/>
      </c>
    </row>
    <row r="882">
      <c r="K882" s="5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5">
        <f>IF(K882=1,IFERROR(MATCH('ORDENES'!$S878,lista_dias,0),9)*1000000000+IFERROR(MATCH('ORDENES'!$AI878,lista_turnos,0),9)*10000000+IFERROR(MATCH('ORDENES'!$AH878,tblTecnicos[nombre],0),99)*100000+875,9000000000000+875)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5">
        <f>IF(K882=1,'ORDENES'!$J878,"")</f>
        <v/>
      </c>
    </row>
    <row r="883">
      <c r="K883" s="5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5">
        <f>IF(K883=1,IFERROR(MATCH('ORDENES'!$S879,lista_dias,0),9)*1000000000+IFERROR(MATCH('ORDENES'!$AI879,lista_turnos,0),9)*10000000+IFERROR(MATCH('ORDENES'!$AH879,tblTecnicos[nombre],0),99)*100000+876,9000000000000+876)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5">
        <f>IF(K883=1,'ORDENES'!$J879,"")</f>
        <v/>
      </c>
    </row>
    <row r="884">
      <c r="K884" s="5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5">
        <f>IF(K884=1,IFERROR(MATCH('ORDENES'!$S880,lista_dias,0),9)*1000000000+IFERROR(MATCH('ORDENES'!$AI880,lista_turnos,0),9)*10000000+IFERROR(MATCH('ORDENES'!$AH880,tblTecnicos[nombre],0),99)*100000+877,9000000000000+877)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5">
        <f>IF(K884=1,'ORDENES'!$J880,"")</f>
        <v/>
      </c>
    </row>
    <row r="885">
      <c r="K885" s="5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5">
        <f>IF(K885=1,IFERROR(MATCH('ORDENES'!$S881,lista_dias,0),9)*1000000000+IFERROR(MATCH('ORDENES'!$AI881,lista_turnos,0),9)*10000000+IFERROR(MATCH('ORDENES'!$AH881,tblTecnicos[nombre],0),99)*100000+878,9000000000000+878)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5">
        <f>IF(K885=1,'ORDENES'!$J881,"")</f>
        <v/>
      </c>
    </row>
    <row r="886">
      <c r="K886" s="5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5">
        <f>IF(K886=1,IFERROR(MATCH('ORDENES'!$S882,lista_dias,0),9)*1000000000+IFERROR(MATCH('ORDENES'!$AI882,lista_turnos,0),9)*10000000+IFERROR(MATCH('ORDENES'!$AH882,tblTecnicos[nombre],0),99)*100000+879,9000000000000+879)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5">
        <f>IF(K886=1,'ORDENES'!$J882,"")</f>
        <v/>
      </c>
    </row>
    <row r="887">
      <c r="K887" s="5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5">
        <f>IF(K887=1,IFERROR(MATCH('ORDENES'!$S883,lista_dias,0),9)*1000000000+IFERROR(MATCH('ORDENES'!$AI883,lista_turnos,0),9)*10000000+IFERROR(MATCH('ORDENES'!$AH883,tblTecnicos[nombre],0),99)*100000+880,9000000000000+880)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5">
        <f>IF(K887=1,'ORDENES'!$J883,"")</f>
        <v/>
      </c>
    </row>
    <row r="888">
      <c r="K888" s="5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5">
        <f>IF(K888=1,IFERROR(MATCH('ORDENES'!$S884,lista_dias,0),9)*1000000000+IFERROR(MATCH('ORDENES'!$AI884,lista_turnos,0),9)*10000000+IFERROR(MATCH('ORDENES'!$AH884,tblTecnicos[nombre],0),99)*100000+881,9000000000000+881)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5">
        <f>IF(K888=1,'ORDENES'!$J884,"")</f>
        <v/>
      </c>
    </row>
    <row r="889">
      <c r="K889" s="5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5">
        <f>IF(K889=1,IFERROR(MATCH('ORDENES'!$S885,lista_dias,0),9)*1000000000+IFERROR(MATCH('ORDENES'!$AI885,lista_turnos,0),9)*10000000+IFERROR(MATCH('ORDENES'!$AH885,tblTecnicos[nombre],0),99)*100000+882,9000000000000+882)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5">
        <f>IF(K889=1,'ORDENES'!$J885,"")</f>
        <v/>
      </c>
    </row>
    <row r="890">
      <c r="K890" s="5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5">
        <f>IF(K890=1,IFERROR(MATCH('ORDENES'!$S886,lista_dias,0),9)*1000000000+IFERROR(MATCH('ORDENES'!$AI886,lista_turnos,0),9)*10000000+IFERROR(MATCH('ORDENES'!$AH886,tblTecnicos[nombre],0),99)*100000+883,9000000000000+883)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5">
        <f>IF(K890=1,'ORDENES'!$J886,"")</f>
        <v/>
      </c>
    </row>
    <row r="891">
      <c r="K891" s="5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5">
        <f>IF(K891=1,IFERROR(MATCH('ORDENES'!$S887,lista_dias,0),9)*1000000000+IFERROR(MATCH('ORDENES'!$AI887,lista_turnos,0),9)*10000000+IFERROR(MATCH('ORDENES'!$AH887,tblTecnicos[nombre],0),99)*100000+884,9000000000000+884)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5">
        <f>IF(K891=1,'ORDENES'!$J887,"")</f>
        <v/>
      </c>
    </row>
    <row r="892">
      <c r="K892" s="5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5">
        <f>IF(K892=1,IFERROR(MATCH('ORDENES'!$S888,lista_dias,0),9)*1000000000+IFERROR(MATCH('ORDENES'!$AI888,lista_turnos,0),9)*10000000+IFERROR(MATCH('ORDENES'!$AH888,tblTecnicos[nombre],0),99)*100000+885,9000000000000+885)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5">
        <f>IF(K892=1,'ORDENES'!$J888,"")</f>
        <v/>
      </c>
    </row>
    <row r="893">
      <c r="K893" s="5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5">
        <f>IF(K893=1,IFERROR(MATCH('ORDENES'!$S889,lista_dias,0),9)*1000000000+IFERROR(MATCH('ORDENES'!$AI889,lista_turnos,0),9)*10000000+IFERROR(MATCH('ORDENES'!$AH889,tblTecnicos[nombre],0),99)*100000+886,9000000000000+886)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5">
        <f>IF(K893=1,'ORDENES'!$J889,"")</f>
        <v/>
      </c>
    </row>
    <row r="894">
      <c r="K894" s="5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5">
        <f>IF(K894=1,IFERROR(MATCH('ORDENES'!$S890,lista_dias,0),9)*1000000000+IFERROR(MATCH('ORDENES'!$AI890,lista_turnos,0),9)*10000000+IFERROR(MATCH('ORDENES'!$AH890,tblTecnicos[nombre],0),99)*100000+887,9000000000000+887)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5">
        <f>IF(K894=1,'ORDENES'!$J890,"")</f>
        <v/>
      </c>
    </row>
    <row r="895">
      <c r="K895" s="5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5">
        <f>IF(K895=1,IFERROR(MATCH('ORDENES'!$S891,lista_dias,0),9)*1000000000+IFERROR(MATCH('ORDENES'!$AI891,lista_turnos,0),9)*10000000+IFERROR(MATCH('ORDENES'!$AH891,tblTecnicos[nombre],0),99)*100000+888,9000000000000+888)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5">
        <f>IF(K895=1,'ORDENES'!$J891,"")</f>
        <v/>
      </c>
    </row>
    <row r="896">
      <c r="K896" s="5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5">
        <f>IF(K896=1,IFERROR(MATCH('ORDENES'!$S892,lista_dias,0),9)*1000000000+IFERROR(MATCH('ORDENES'!$AI892,lista_turnos,0),9)*10000000+IFERROR(MATCH('ORDENES'!$AH892,tblTecnicos[nombre],0),99)*100000+889,9000000000000+889)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5">
        <f>IF(K896=1,'ORDENES'!$J892,"")</f>
        <v/>
      </c>
    </row>
    <row r="897">
      <c r="K897" s="5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5">
        <f>IF(K897=1,IFERROR(MATCH('ORDENES'!$S893,lista_dias,0),9)*1000000000+IFERROR(MATCH('ORDENES'!$AI893,lista_turnos,0),9)*10000000+IFERROR(MATCH('ORDENES'!$AH893,tblTecnicos[nombre],0),99)*100000+890,9000000000000+890)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5">
        <f>IF(K897=1,'ORDENES'!$J893,"")</f>
        <v/>
      </c>
    </row>
    <row r="898">
      <c r="K898" s="5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5">
        <f>IF(K898=1,IFERROR(MATCH('ORDENES'!$S894,lista_dias,0),9)*1000000000+IFERROR(MATCH('ORDENES'!$AI894,lista_turnos,0),9)*10000000+IFERROR(MATCH('ORDENES'!$AH894,tblTecnicos[nombre],0),99)*100000+891,9000000000000+891)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5">
        <f>IF(K898=1,'ORDENES'!$J894,"")</f>
        <v/>
      </c>
    </row>
    <row r="899">
      <c r="K899" s="5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5">
        <f>IF(K899=1,IFERROR(MATCH('ORDENES'!$S895,lista_dias,0),9)*1000000000+IFERROR(MATCH('ORDENES'!$AI895,lista_turnos,0),9)*10000000+IFERROR(MATCH('ORDENES'!$AH895,tblTecnicos[nombre],0),99)*100000+892,9000000000000+892)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5">
        <f>IF(K899=1,'ORDENES'!$J895,"")</f>
        <v/>
      </c>
    </row>
    <row r="900">
      <c r="K900" s="5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5">
        <f>IF(K900=1,IFERROR(MATCH('ORDENES'!$S896,lista_dias,0),9)*1000000000+IFERROR(MATCH('ORDENES'!$AI896,lista_turnos,0),9)*10000000+IFERROR(MATCH('ORDENES'!$AH896,tblTecnicos[nombre],0),99)*100000+893,9000000000000+893)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5">
        <f>IF(K900=1,'ORDENES'!$J896,"")</f>
        <v/>
      </c>
    </row>
    <row r="901">
      <c r="K901" s="5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5">
        <f>IF(K901=1,IFERROR(MATCH('ORDENES'!$S897,lista_dias,0),9)*1000000000+IFERROR(MATCH('ORDENES'!$AI897,lista_turnos,0),9)*10000000+IFERROR(MATCH('ORDENES'!$AH897,tblTecnicos[nombre],0),99)*100000+894,9000000000000+894)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5">
        <f>IF(K901=1,'ORDENES'!$J897,"")</f>
        <v/>
      </c>
    </row>
    <row r="902">
      <c r="K902" s="5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5">
        <f>IF(K902=1,IFERROR(MATCH('ORDENES'!$S898,lista_dias,0),9)*1000000000+IFERROR(MATCH('ORDENES'!$AI898,lista_turnos,0),9)*10000000+IFERROR(MATCH('ORDENES'!$AH898,tblTecnicos[nombre],0),99)*100000+895,9000000000000+895)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5">
        <f>IF(K902=1,'ORDENES'!$J898,"")</f>
        <v/>
      </c>
    </row>
    <row r="903">
      <c r="K903" s="5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5">
        <f>IF(K903=1,IFERROR(MATCH('ORDENES'!$S899,lista_dias,0),9)*1000000000+IFERROR(MATCH('ORDENES'!$AI899,lista_turnos,0),9)*10000000+IFERROR(MATCH('ORDENES'!$AH899,tblTecnicos[nombre],0),99)*100000+896,9000000000000+896)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5">
        <f>IF(K903=1,'ORDENES'!$J899,"")</f>
        <v/>
      </c>
    </row>
    <row r="904">
      <c r="K904" s="5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5">
        <f>IF(K904=1,IFERROR(MATCH('ORDENES'!$S900,lista_dias,0),9)*1000000000+IFERROR(MATCH('ORDENES'!$AI900,lista_turnos,0),9)*10000000+IFERROR(MATCH('ORDENES'!$AH900,tblTecnicos[nombre],0),99)*100000+897,9000000000000+897)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5">
        <f>IF(K904=1,'ORDENES'!$J900,"")</f>
        <v/>
      </c>
    </row>
    <row r="905">
      <c r="K905" s="5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5">
        <f>IF(K905=1,IFERROR(MATCH('ORDENES'!$S901,lista_dias,0),9)*1000000000+IFERROR(MATCH('ORDENES'!$AI901,lista_turnos,0),9)*10000000+IFERROR(MATCH('ORDENES'!$AH901,tblTecnicos[nombre],0),99)*100000+898,9000000000000+898)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5">
        <f>IF(K905=1,'ORDENES'!$J901,"")</f>
        <v/>
      </c>
    </row>
    <row r="906">
      <c r="K906" s="5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5">
        <f>IF(K906=1,IFERROR(MATCH('ORDENES'!$S902,lista_dias,0),9)*1000000000+IFERROR(MATCH('ORDENES'!$AI902,lista_turnos,0),9)*10000000+IFERROR(MATCH('ORDENES'!$AH902,tblTecnicos[nombre],0),99)*100000+899,9000000000000+899)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5">
        <f>IF(K906=1,'ORDENES'!$J902,"")</f>
        <v/>
      </c>
    </row>
    <row r="907">
      <c r="K907" s="5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5">
        <f>IF(K907=1,IFERROR(MATCH('ORDENES'!$S903,lista_dias,0),9)*1000000000+IFERROR(MATCH('ORDENES'!$AI903,lista_turnos,0),9)*10000000+IFERROR(MATCH('ORDENES'!$AH903,tblTecnicos[nombre],0),99)*100000+900,9000000000000+900)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5">
        <f>IF(K907=1,'ORDENES'!$J903,"")</f>
        <v/>
      </c>
    </row>
    <row r="908">
      <c r="K908" s="5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5">
        <f>IF(K908=1,IFERROR(MATCH('ORDENES'!$S904,lista_dias,0),9)*1000000000+IFERROR(MATCH('ORDENES'!$AI904,lista_turnos,0),9)*10000000+IFERROR(MATCH('ORDENES'!$AH904,tblTecnicos[nombre],0),99)*100000+901,9000000000000+901)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5">
        <f>IF(K908=1,'ORDENES'!$J904,"")</f>
        <v/>
      </c>
    </row>
    <row r="909">
      <c r="K909" s="5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5">
        <f>IF(K909=1,IFERROR(MATCH('ORDENES'!$S905,lista_dias,0),9)*1000000000+IFERROR(MATCH('ORDENES'!$AI905,lista_turnos,0),9)*10000000+IFERROR(MATCH('ORDENES'!$AH905,tblTecnicos[nombre],0),99)*100000+902,9000000000000+902)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5">
        <f>IF(K909=1,'ORDENES'!$J905,"")</f>
        <v/>
      </c>
    </row>
    <row r="910">
      <c r="K910" s="5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5">
        <f>IF(K910=1,IFERROR(MATCH('ORDENES'!$S906,lista_dias,0),9)*1000000000+IFERROR(MATCH('ORDENES'!$AI906,lista_turnos,0),9)*10000000+IFERROR(MATCH('ORDENES'!$AH906,tblTecnicos[nombre],0),99)*100000+903,9000000000000+903)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5">
        <f>IF(K910=1,'ORDENES'!$J906,"")</f>
        <v/>
      </c>
    </row>
    <row r="911">
      <c r="K911" s="5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5">
        <f>IF(K911=1,IFERROR(MATCH('ORDENES'!$S907,lista_dias,0),9)*1000000000+IFERROR(MATCH('ORDENES'!$AI907,lista_turnos,0),9)*10000000+IFERROR(MATCH('ORDENES'!$AH907,tblTecnicos[nombre],0),99)*100000+904,9000000000000+904)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5">
        <f>IF(K911=1,'ORDENES'!$J907,"")</f>
        <v/>
      </c>
    </row>
    <row r="912">
      <c r="K912" s="5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5">
        <f>IF(K912=1,IFERROR(MATCH('ORDENES'!$S908,lista_dias,0),9)*1000000000+IFERROR(MATCH('ORDENES'!$AI908,lista_turnos,0),9)*10000000+IFERROR(MATCH('ORDENES'!$AH908,tblTecnicos[nombre],0),99)*100000+905,9000000000000+905)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5">
        <f>IF(K912=1,'ORDENES'!$J908,"")</f>
        <v/>
      </c>
    </row>
    <row r="913">
      <c r="K913" s="5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5">
        <f>IF(K913=1,IFERROR(MATCH('ORDENES'!$S909,lista_dias,0),9)*1000000000+IFERROR(MATCH('ORDENES'!$AI909,lista_turnos,0),9)*10000000+IFERROR(MATCH('ORDENES'!$AH909,tblTecnicos[nombre],0),99)*100000+906,9000000000000+906)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5">
        <f>IF(K913=1,'ORDENES'!$J909,"")</f>
        <v/>
      </c>
    </row>
    <row r="914">
      <c r="K914" s="5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5">
        <f>IF(K914=1,IFERROR(MATCH('ORDENES'!$S910,lista_dias,0),9)*1000000000+IFERROR(MATCH('ORDENES'!$AI910,lista_turnos,0),9)*10000000+IFERROR(MATCH('ORDENES'!$AH910,tblTecnicos[nombre],0),99)*100000+907,9000000000000+907)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5">
        <f>IF(K914=1,'ORDENES'!$J910,"")</f>
        <v/>
      </c>
    </row>
    <row r="915">
      <c r="K915" s="5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5">
        <f>IF(K915=1,IFERROR(MATCH('ORDENES'!$S911,lista_dias,0),9)*1000000000+IFERROR(MATCH('ORDENES'!$AI911,lista_turnos,0),9)*10000000+IFERROR(MATCH('ORDENES'!$AH911,tblTecnicos[nombre],0),99)*100000+908,9000000000000+908)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5">
        <f>IF(K915=1,'ORDENES'!$J911,"")</f>
        <v/>
      </c>
    </row>
    <row r="916">
      <c r="K916" s="5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5">
        <f>IF(K916=1,IFERROR(MATCH('ORDENES'!$S912,lista_dias,0),9)*1000000000+IFERROR(MATCH('ORDENES'!$AI912,lista_turnos,0),9)*10000000+IFERROR(MATCH('ORDENES'!$AH912,tblTecnicos[nombre],0),99)*100000+909,9000000000000+909)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5">
        <f>IF(K916=1,'ORDENES'!$J912,"")</f>
        <v/>
      </c>
    </row>
    <row r="917">
      <c r="K917" s="5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5">
        <f>IF(K917=1,IFERROR(MATCH('ORDENES'!$S913,lista_dias,0),9)*1000000000+IFERROR(MATCH('ORDENES'!$AI913,lista_turnos,0),9)*10000000+IFERROR(MATCH('ORDENES'!$AH913,tblTecnicos[nombre],0),99)*100000+910,9000000000000+910)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5">
        <f>IF(K917=1,'ORDENES'!$J913,"")</f>
        <v/>
      </c>
    </row>
    <row r="918">
      <c r="K918" s="5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5">
        <f>IF(K918=1,IFERROR(MATCH('ORDENES'!$S914,lista_dias,0),9)*1000000000+IFERROR(MATCH('ORDENES'!$AI914,lista_turnos,0),9)*10000000+IFERROR(MATCH('ORDENES'!$AH914,tblTecnicos[nombre],0),99)*100000+911,9000000000000+911)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5">
        <f>IF(K918=1,'ORDENES'!$J914,"")</f>
        <v/>
      </c>
    </row>
    <row r="919">
      <c r="K919" s="5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5">
        <f>IF(K919=1,IFERROR(MATCH('ORDENES'!$S915,lista_dias,0),9)*1000000000+IFERROR(MATCH('ORDENES'!$AI915,lista_turnos,0),9)*10000000+IFERROR(MATCH('ORDENES'!$AH915,tblTecnicos[nombre],0),99)*100000+912,9000000000000+912)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5">
        <f>IF(K919=1,'ORDENES'!$J915,"")</f>
        <v/>
      </c>
    </row>
    <row r="920">
      <c r="K920" s="5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5">
        <f>IF(K920=1,IFERROR(MATCH('ORDENES'!$S916,lista_dias,0),9)*1000000000+IFERROR(MATCH('ORDENES'!$AI916,lista_turnos,0),9)*10000000+IFERROR(MATCH('ORDENES'!$AH916,tblTecnicos[nombre],0),99)*100000+913,9000000000000+913)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5">
        <f>IF(K920=1,'ORDENES'!$J916,"")</f>
        <v/>
      </c>
    </row>
    <row r="921">
      <c r="K921" s="5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5">
        <f>IF(K921=1,IFERROR(MATCH('ORDENES'!$S917,lista_dias,0),9)*1000000000+IFERROR(MATCH('ORDENES'!$AI917,lista_turnos,0),9)*10000000+IFERROR(MATCH('ORDENES'!$AH917,tblTecnicos[nombre],0),99)*100000+914,9000000000000+914)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5">
        <f>IF(K921=1,'ORDENES'!$J917,"")</f>
        <v/>
      </c>
    </row>
    <row r="922">
      <c r="K922" s="5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5">
        <f>IF(K922=1,IFERROR(MATCH('ORDENES'!$S918,lista_dias,0),9)*1000000000+IFERROR(MATCH('ORDENES'!$AI918,lista_turnos,0),9)*10000000+IFERROR(MATCH('ORDENES'!$AH918,tblTecnicos[nombre],0),99)*100000+915,9000000000000+915)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5">
        <f>IF(K922=1,'ORDENES'!$J918,"")</f>
        <v/>
      </c>
    </row>
    <row r="923">
      <c r="K923" s="5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5">
        <f>IF(K923=1,IFERROR(MATCH('ORDENES'!$S919,lista_dias,0),9)*1000000000+IFERROR(MATCH('ORDENES'!$AI919,lista_turnos,0),9)*10000000+IFERROR(MATCH('ORDENES'!$AH919,tblTecnicos[nombre],0),99)*100000+916,9000000000000+916)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5">
        <f>IF(K923=1,'ORDENES'!$J919,"")</f>
        <v/>
      </c>
    </row>
    <row r="924">
      <c r="K924" s="5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5">
        <f>IF(K924=1,IFERROR(MATCH('ORDENES'!$S920,lista_dias,0),9)*1000000000+IFERROR(MATCH('ORDENES'!$AI920,lista_turnos,0),9)*10000000+IFERROR(MATCH('ORDENES'!$AH920,tblTecnicos[nombre],0),99)*100000+917,9000000000000+917)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5">
        <f>IF(K924=1,'ORDENES'!$J920,"")</f>
        <v/>
      </c>
    </row>
    <row r="925">
      <c r="K925" s="5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5">
        <f>IF(K925=1,IFERROR(MATCH('ORDENES'!$S921,lista_dias,0),9)*1000000000+IFERROR(MATCH('ORDENES'!$AI921,lista_turnos,0),9)*10000000+IFERROR(MATCH('ORDENES'!$AH921,tblTecnicos[nombre],0),99)*100000+918,9000000000000+918)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5">
        <f>IF(K925=1,'ORDENES'!$J921,"")</f>
        <v/>
      </c>
    </row>
    <row r="926">
      <c r="K926" s="5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5">
        <f>IF(K926=1,IFERROR(MATCH('ORDENES'!$S922,lista_dias,0),9)*1000000000+IFERROR(MATCH('ORDENES'!$AI922,lista_turnos,0),9)*10000000+IFERROR(MATCH('ORDENES'!$AH922,tblTecnicos[nombre],0),99)*100000+919,9000000000000+919)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5">
        <f>IF(K926=1,'ORDENES'!$J922,"")</f>
        <v/>
      </c>
    </row>
    <row r="927">
      <c r="K927" s="5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5">
        <f>IF(K927=1,IFERROR(MATCH('ORDENES'!$S923,lista_dias,0),9)*1000000000+IFERROR(MATCH('ORDENES'!$AI923,lista_turnos,0),9)*10000000+IFERROR(MATCH('ORDENES'!$AH923,tblTecnicos[nombre],0),99)*100000+920,9000000000000+920)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5">
        <f>IF(K927=1,'ORDENES'!$J923,"")</f>
        <v/>
      </c>
    </row>
    <row r="928">
      <c r="K928" s="5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5">
        <f>IF(K928=1,IFERROR(MATCH('ORDENES'!$S924,lista_dias,0),9)*1000000000+IFERROR(MATCH('ORDENES'!$AI924,lista_turnos,0),9)*10000000+IFERROR(MATCH('ORDENES'!$AH924,tblTecnicos[nombre],0),99)*100000+921,9000000000000+921)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5">
        <f>IF(K928=1,'ORDENES'!$J924,"")</f>
        <v/>
      </c>
    </row>
    <row r="929">
      <c r="K929" s="5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5">
        <f>IF(K929=1,IFERROR(MATCH('ORDENES'!$S925,lista_dias,0),9)*1000000000+IFERROR(MATCH('ORDENES'!$AI925,lista_turnos,0),9)*10000000+IFERROR(MATCH('ORDENES'!$AH925,tblTecnicos[nombre],0),99)*100000+922,9000000000000+922)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5">
        <f>IF(K929=1,'ORDENES'!$J925,"")</f>
        <v/>
      </c>
    </row>
    <row r="930">
      <c r="K930" s="5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5">
        <f>IF(K930=1,IFERROR(MATCH('ORDENES'!$S926,lista_dias,0),9)*1000000000+IFERROR(MATCH('ORDENES'!$AI926,lista_turnos,0),9)*10000000+IFERROR(MATCH('ORDENES'!$AH926,tblTecnicos[nombre],0),99)*100000+923,9000000000000+923)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5">
        <f>IF(K930=1,'ORDENES'!$J926,"")</f>
        <v/>
      </c>
    </row>
    <row r="931">
      <c r="K931" s="5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5">
        <f>IF(K931=1,IFERROR(MATCH('ORDENES'!$S927,lista_dias,0),9)*1000000000+IFERROR(MATCH('ORDENES'!$AI927,lista_turnos,0),9)*10000000+IFERROR(MATCH('ORDENES'!$AH927,tblTecnicos[nombre],0),99)*100000+924,9000000000000+924)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5">
        <f>IF(K931=1,'ORDENES'!$J927,"")</f>
        <v/>
      </c>
    </row>
    <row r="932">
      <c r="K932" s="5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5">
        <f>IF(K932=1,IFERROR(MATCH('ORDENES'!$S928,lista_dias,0),9)*1000000000+IFERROR(MATCH('ORDENES'!$AI928,lista_turnos,0),9)*10000000+IFERROR(MATCH('ORDENES'!$AH928,tblTecnicos[nombre],0),99)*100000+925,9000000000000+925)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5">
        <f>IF(K932=1,'ORDENES'!$J928,"")</f>
        <v/>
      </c>
    </row>
    <row r="933">
      <c r="K933" s="5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5">
        <f>IF(K933=1,IFERROR(MATCH('ORDENES'!$S929,lista_dias,0),9)*1000000000+IFERROR(MATCH('ORDENES'!$AI929,lista_turnos,0),9)*10000000+IFERROR(MATCH('ORDENES'!$AH929,tblTecnicos[nombre],0),99)*100000+926,9000000000000+926)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5">
        <f>IF(K933=1,'ORDENES'!$J929,"")</f>
        <v/>
      </c>
    </row>
    <row r="934">
      <c r="K934" s="5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5">
        <f>IF(K934=1,IFERROR(MATCH('ORDENES'!$S930,lista_dias,0),9)*1000000000+IFERROR(MATCH('ORDENES'!$AI930,lista_turnos,0),9)*10000000+IFERROR(MATCH('ORDENES'!$AH930,tblTecnicos[nombre],0),99)*100000+927,9000000000000+927)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5">
        <f>IF(K934=1,'ORDENES'!$J930,"")</f>
        <v/>
      </c>
    </row>
    <row r="935">
      <c r="K935" s="5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5">
        <f>IF(K935=1,IFERROR(MATCH('ORDENES'!$S931,lista_dias,0),9)*1000000000+IFERROR(MATCH('ORDENES'!$AI931,lista_turnos,0),9)*10000000+IFERROR(MATCH('ORDENES'!$AH931,tblTecnicos[nombre],0),99)*100000+928,9000000000000+928)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5">
        <f>IF(K935=1,'ORDENES'!$J931,"")</f>
        <v/>
      </c>
    </row>
    <row r="936">
      <c r="K936" s="5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5">
        <f>IF(K936=1,IFERROR(MATCH('ORDENES'!$S932,lista_dias,0),9)*1000000000+IFERROR(MATCH('ORDENES'!$AI932,lista_turnos,0),9)*10000000+IFERROR(MATCH('ORDENES'!$AH932,tblTecnicos[nombre],0),99)*100000+929,9000000000000+929)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5">
        <f>IF(K936=1,'ORDENES'!$J932,"")</f>
        <v/>
      </c>
    </row>
    <row r="937">
      <c r="K937" s="5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5">
        <f>IF(K937=1,IFERROR(MATCH('ORDENES'!$S933,lista_dias,0),9)*1000000000+IFERROR(MATCH('ORDENES'!$AI933,lista_turnos,0),9)*10000000+IFERROR(MATCH('ORDENES'!$AH933,tblTecnicos[nombre],0),99)*100000+930,9000000000000+930)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5">
        <f>IF(K937=1,'ORDENES'!$J933,"")</f>
        <v/>
      </c>
    </row>
    <row r="938">
      <c r="K938" s="5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5">
        <f>IF(K938=1,IFERROR(MATCH('ORDENES'!$S934,lista_dias,0),9)*1000000000+IFERROR(MATCH('ORDENES'!$AI934,lista_turnos,0),9)*10000000+IFERROR(MATCH('ORDENES'!$AH934,tblTecnicos[nombre],0),99)*100000+931,9000000000000+931)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5">
        <f>IF(K938=1,'ORDENES'!$J934,"")</f>
        <v/>
      </c>
    </row>
    <row r="939">
      <c r="K939" s="5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5">
        <f>IF(K939=1,IFERROR(MATCH('ORDENES'!$S935,lista_dias,0),9)*1000000000+IFERROR(MATCH('ORDENES'!$AI935,lista_turnos,0),9)*10000000+IFERROR(MATCH('ORDENES'!$AH935,tblTecnicos[nombre],0),99)*100000+932,9000000000000+932)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5">
        <f>IF(K939=1,'ORDENES'!$J935,"")</f>
        <v/>
      </c>
    </row>
    <row r="940">
      <c r="K940" s="5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5">
        <f>IF(K940=1,IFERROR(MATCH('ORDENES'!$S936,lista_dias,0),9)*1000000000+IFERROR(MATCH('ORDENES'!$AI936,lista_turnos,0),9)*10000000+IFERROR(MATCH('ORDENES'!$AH936,tblTecnicos[nombre],0),99)*100000+933,9000000000000+933)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5">
        <f>IF(K940=1,'ORDENES'!$J936,"")</f>
        <v/>
      </c>
    </row>
    <row r="941">
      <c r="K941" s="5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5">
        <f>IF(K941=1,IFERROR(MATCH('ORDENES'!$S937,lista_dias,0),9)*1000000000+IFERROR(MATCH('ORDENES'!$AI937,lista_turnos,0),9)*10000000+IFERROR(MATCH('ORDENES'!$AH937,tblTecnicos[nombre],0),99)*100000+934,9000000000000+934)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5">
        <f>IF(K941=1,'ORDENES'!$J937,"")</f>
        <v/>
      </c>
    </row>
    <row r="942">
      <c r="K942" s="5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5">
        <f>IF(K942=1,IFERROR(MATCH('ORDENES'!$S938,lista_dias,0),9)*1000000000+IFERROR(MATCH('ORDENES'!$AI938,lista_turnos,0),9)*10000000+IFERROR(MATCH('ORDENES'!$AH938,tblTecnicos[nombre],0),99)*100000+935,9000000000000+935)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5">
        <f>IF(K942=1,'ORDENES'!$J938,"")</f>
        <v/>
      </c>
    </row>
    <row r="943">
      <c r="K943" s="5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5">
        <f>IF(K943=1,IFERROR(MATCH('ORDENES'!$S939,lista_dias,0),9)*1000000000+IFERROR(MATCH('ORDENES'!$AI939,lista_turnos,0),9)*10000000+IFERROR(MATCH('ORDENES'!$AH939,tblTecnicos[nombre],0),99)*100000+936,9000000000000+936)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5">
        <f>IF(K943=1,'ORDENES'!$J939,"")</f>
        <v/>
      </c>
    </row>
    <row r="944">
      <c r="K944" s="5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5">
        <f>IF(K944=1,IFERROR(MATCH('ORDENES'!$S940,lista_dias,0),9)*1000000000+IFERROR(MATCH('ORDENES'!$AI940,lista_turnos,0),9)*10000000+IFERROR(MATCH('ORDENES'!$AH940,tblTecnicos[nombre],0),99)*100000+937,9000000000000+937)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5">
        <f>IF(K944=1,'ORDENES'!$J940,"")</f>
        <v/>
      </c>
    </row>
    <row r="945">
      <c r="K945" s="5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5">
        <f>IF(K945=1,IFERROR(MATCH('ORDENES'!$S941,lista_dias,0),9)*1000000000+IFERROR(MATCH('ORDENES'!$AI941,lista_turnos,0),9)*10000000+IFERROR(MATCH('ORDENES'!$AH941,tblTecnicos[nombre],0),99)*100000+938,9000000000000+938)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5">
        <f>IF(K945=1,'ORDENES'!$J941,"")</f>
        <v/>
      </c>
    </row>
    <row r="946">
      <c r="K946" s="5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5">
        <f>IF(K946=1,IFERROR(MATCH('ORDENES'!$S942,lista_dias,0),9)*1000000000+IFERROR(MATCH('ORDENES'!$AI942,lista_turnos,0),9)*10000000+IFERROR(MATCH('ORDENES'!$AH942,tblTecnicos[nombre],0),99)*100000+939,9000000000000+939)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5">
        <f>IF(K946=1,'ORDENES'!$J942,"")</f>
        <v/>
      </c>
    </row>
    <row r="947">
      <c r="K947" s="5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5">
        <f>IF(K947=1,IFERROR(MATCH('ORDENES'!$S943,lista_dias,0),9)*1000000000+IFERROR(MATCH('ORDENES'!$AI943,lista_turnos,0),9)*10000000+IFERROR(MATCH('ORDENES'!$AH943,tblTecnicos[nombre],0),99)*100000+940,9000000000000+940)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5">
        <f>IF(K947=1,'ORDENES'!$J943,"")</f>
        <v/>
      </c>
    </row>
    <row r="948">
      <c r="K948" s="5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5">
        <f>IF(K948=1,IFERROR(MATCH('ORDENES'!$S944,lista_dias,0),9)*1000000000+IFERROR(MATCH('ORDENES'!$AI944,lista_turnos,0),9)*10000000+IFERROR(MATCH('ORDENES'!$AH944,tblTecnicos[nombre],0),99)*100000+941,9000000000000+941)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5">
        <f>IF(K948=1,'ORDENES'!$J944,"")</f>
        <v/>
      </c>
    </row>
    <row r="949">
      <c r="K949" s="5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5">
        <f>IF(K949=1,IFERROR(MATCH('ORDENES'!$S945,lista_dias,0),9)*1000000000+IFERROR(MATCH('ORDENES'!$AI945,lista_turnos,0),9)*10000000+IFERROR(MATCH('ORDENES'!$AH945,tblTecnicos[nombre],0),99)*100000+942,9000000000000+942)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5">
        <f>IF(K949=1,'ORDENES'!$J945,"")</f>
        <v/>
      </c>
    </row>
    <row r="950">
      <c r="K950" s="5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5">
        <f>IF(K950=1,IFERROR(MATCH('ORDENES'!$S946,lista_dias,0),9)*1000000000+IFERROR(MATCH('ORDENES'!$AI946,lista_turnos,0),9)*10000000+IFERROR(MATCH('ORDENES'!$AH946,tblTecnicos[nombre],0),99)*100000+943,9000000000000+943)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5">
        <f>IF(K950=1,'ORDENES'!$J946,"")</f>
        <v/>
      </c>
    </row>
    <row r="951">
      <c r="K951" s="5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5">
        <f>IF(K951=1,IFERROR(MATCH('ORDENES'!$S947,lista_dias,0),9)*1000000000+IFERROR(MATCH('ORDENES'!$AI947,lista_turnos,0),9)*10000000+IFERROR(MATCH('ORDENES'!$AH947,tblTecnicos[nombre],0),99)*100000+944,9000000000000+944)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5">
        <f>IF(K951=1,'ORDENES'!$J947,"")</f>
        <v/>
      </c>
    </row>
    <row r="952">
      <c r="K952" s="5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5">
        <f>IF(K952=1,IFERROR(MATCH('ORDENES'!$S948,lista_dias,0),9)*1000000000+IFERROR(MATCH('ORDENES'!$AI948,lista_turnos,0),9)*10000000+IFERROR(MATCH('ORDENES'!$AH948,tblTecnicos[nombre],0),99)*100000+945,9000000000000+945)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5">
        <f>IF(K952=1,'ORDENES'!$J948,"")</f>
        <v/>
      </c>
    </row>
    <row r="953">
      <c r="K953" s="5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5">
        <f>IF(K953=1,IFERROR(MATCH('ORDENES'!$S949,lista_dias,0),9)*1000000000+IFERROR(MATCH('ORDENES'!$AI949,lista_turnos,0),9)*10000000+IFERROR(MATCH('ORDENES'!$AH949,tblTecnicos[nombre],0),99)*100000+946,9000000000000+946)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5">
        <f>IF(K953=1,'ORDENES'!$J949,"")</f>
        <v/>
      </c>
    </row>
    <row r="954">
      <c r="K954" s="5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5">
        <f>IF(K954=1,IFERROR(MATCH('ORDENES'!$S950,lista_dias,0),9)*1000000000+IFERROR(MATCH('ORDENES'!$AI950,lista_turnos,0),9)*10000000+IFERROR(MATCH('ORDENES'!$AH950,tblTecnicos[nombre],0),99)*100000+947,9000000000000+947)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5">
        <f>IF(K954=1,'ORDENES'!$J950,"")</f>
        <v/>
      </c>
    </row>
    <row r="955">
      <c r="K955" s="5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5">
        <f>IF(K955=1,IFERROR(MATCH('ORDENES'!$S951,lista_dias,0),9)*1000000000+IFERROR(MATCH('ORDENES'!$AI951,lista_turnos,0),9)*10000000+IFERROR(MATCH('ORDENES'!$AH951,tblTecnicos[nombre],0),99)*100000+948,9000000000000+948)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5">
        <f>IF(K955=1,'ORDENES'!$J951,"")</f>
        <v/>
      </c>
    </row>
    <row r="956">
      <c r="K956" s="5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5">
        <f>IF(K956=1,IFERROR(MATCH('ORDENES'!$S952,lista_dias,0),9)*1000000000+IFERROR(MATCH('ORDENES'!$AI952,lista_turnos,0),9)*10000000+IFERROR(MATCH('ORDENES'!$AH952,tblTecnicos[nombre],0),99)*100000+949,9000000000000+949)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5">
        <f>IF(K956=1,'ORDENES'!$J952,"")</f>
        <v/>
      </c>
    </row>
    <row r="957">
      <c r="K957" s="5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5">
        <f>IF(K957=1,IFERROR(MATCH('ORDENES'!$S953,lista_dias,0),9)*1000000000+IFERROR(MATCH('ORDENES'!$AI953,lista_turnos,0),9)*10000000+IFERROR(MATCH('ORDENES'!$AH953,tblTecnicos[nombre],0),99)*100000+950,9000000000000+950)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5">
        <f>IF(K957=1,'ORDENES'!$J953,"")</f>
        <v/>
      </c>
    </row>
    <row r="958">
      <c r="K958" s="5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5">
        <f>IF(K958=1,IFERROR(MATCH('ORDENES'!$S954,lista_dias,0),9)*1000000000+IFERROR(MATCH('ORDENES'!$AI954,lista_turnos,0),9)*10000000+IFERROR(MATCH('ORDENES'!$AH954,tblTecnicos[nombre],0),99)*100000+951,9000000000000+951)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5">
        <f>IF(K958=1,'ORDENES'!$J954,"")</f>
        <v/>
      </c>
    </row>
    <row r="959">
      <c r="K959" s="5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5">
        <f>IF(K959=1,IFERROR(MATCH('ORDENES'!$S955,lista_dias,0),9)*1000000000+IFERROR(MATCH('ORDENES'!$AI955,lista_turnos,0),9)*10000000+IFERROR(MATCH('ORDENES'!$AH955,tblTecnicos[nombre],0),99)*100000+952,9000000000000+952)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5">
        <f>IF(K959=1,'ORDENES'!$J955,"")</f>
        <v/>
      </c>
    </row>
    <row r="960">
      <c r="K960" s="5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5">
        <f>IF(K960=1,IFERROR(MATCH('ORDENES'!$S956,lista_dias,0),9)*1000000000+IFERROR(MATCH('ORDENES'!$AI956,lista_turnos,0),9)*10000000+IFERROR(MATCH('ORDENES'!$AH956,tblTecnicos[nombre],0),99)*100000+953,9000000000000+953)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5">
        <f>IF(K960=1,'ORDENES'!$J956,"")</f>
        <v/>
      </c>
    </row>
    <row r="961">
      <c r="K961" s="5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5">
        <f>IF(K961=1,IFERROR(MATCH('ORDENES'!$S957,lista_dias,0),9)*1000000000+IFERROR(MATCH('ORDENES'!$AI957,lista_turnos,0),9)*10000000+IFERROR(MATCH('ORDENES'!$AH957,tblTecnicos[nombre],0),99)*100000+954,9000000000000+954)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5">
        <f>IF(K961=1,'ORDENES'!$J957,"")</f>
        <v/>
      </c>
    </row>
    <row r="962">
      <c r="K962" s="5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5">
        <f>IF(K962=1,IFERROR(MATCH('ORDENES'!$S958,lista_dias,0),9)*1000000000+IFERROR(MATCH('ORDENES'!$AI958,lista_turnos,0),9)*10000000+IFERROR(MATCH('ORDENES'!$AH958,tblTecnicos[nombre],0),99)*100000+955,9000000000000+955)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5">
        <f>IF(K962=1,'ORDENES'!$J958,"")</f>
        <v/>
      </c>
    </row>
    <row r="963">
      <c r="K963" s="5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5">
        <f>IF(K963=1,IFERROR(MATCH('ORDENES'!$S959,lista_dias,0),9)*1000000000+IFERROR(MATCH('ORDENES'!$AI959,lista_turnos,0),9)*10000000+IFERROR(MATCH('ORDENES'!$AH959,tblTecnicos[nombre],0),99)*100000+956,9000000000000+956)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5">
        <f>IF(K963=1,'ORDENES'!$J959,"")</f>
        <v/>
      </c>
    </row>
    <row r="964">
      <c r="K964" s="5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5">
        <f>IF(K964=1,IFERROR(MATCH('ORDENES'!$S960,lista_dias,0),9)*1000000000+IFERROR(MATCH('ORDENES'!$AI960,lista_turnos,0),9)*10000000+IFERROR(MATCH('ORDENES'!$AH960,tblTecnicos[nombre],0),99)*100000+957,9000000000000+957)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5">
        <f>IF(K964=1,'ORDENES'!$J960,"")</f>
        <v/>
      </c>
    </row>
    <row r="965">
      <c r="K965" s="5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5">
        <f>IF(K965=1,IFERROR(MATCH('ORDENES'!$S961,lista_dias,0),9)*1000000000+IFERROR(MATCH('ORDENES'!$AI961,lista_turnos,0),9)*10000000+IFERROR(MATCH('ORDENES'!$AH961,tblTecnicos[nombre],0),99)*100000+958,9000000000000+958)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5">
        <f>IF(K965=1,'ORDENES'!$J961,"")</f>
        <v/>
      </c>
    </row>
    <row r="966">
      <c r="K966" s="5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5">
        <f>IF(K966=1,IFERROR(MATCH('ORDENES'!$S962,lista_dias,0),9)*1000000000+IFERROR(MATCH('ORDENES'!$AI962,lista_turnos,0),9)*10000000+IFERROR(MATCH('ORDENES'!$AH962,tblTecnicos[nombre],0),99)*100000+959,9000000000000+959)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5">
        <f>IF(K966=1,'ORDENES'!$J962,"")</f>
        <v/>
      </c>
    </row>
    <row r="967">
      <c r="K967" s="5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5">
        <f>IF(K967=1,IFERROR(MATCH('ORDENES'!$S963,lista_dias,0),9)*1000000000+IFERROR(MATCH('ORDENES'!$AI963,lista_turnos,0),9)*10000000+IFERROR(MATCH('ORDENES'!$AH963,tblTecnicos[nombre],0),99)*100000+960,9000000000000+960)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5">
        <f>IF(K967=1,'ORDENES'!$J963,"")</f>
        <v/>
      </c>
    </row>
    <row r="968">
      <c r="K968" s="5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5">
        <f>IF(K968=1,IFERROR(MATCH('ORDENES'!$S964,lista_dias,0),9)*1000000000+IFERROR(MATCH('ORDENES'!$AI964,lista_turnos,0),9)*10000000+IFERROR(MATCH('ORDENES'!$AH964,tblTecnicos[nombre],0),99)*100000+961,9000000000000+961)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5">
        <f>IF(K968=1,'ORDENES'!$J964,"")</f>
        <v/>
      </c>
    </row>
    <row r="969">
      <c r="K969" s="5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5">
        <f>IF(K969=1,IFERROR(MATCH('ORDENES'!$S965,lista_dias,0),9)*1000000000+IFERROR(MATCH('ORDENES'!$AI965,lista_turnos,0),9)*10000000+IFERROR(MATCH('ORDENES'!$AH965,tblTecnicos[nombre],0),99)*100000+962,9000000000000+962)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5">
        <f>IF(K969=1,'ORDENES'!$J965,"")</f>
        <v/>
      </c>
    </row>
    <row r="970">
      <c r="K970" s="5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5">
        <f>IF(K970=1,IFERROR(MATCH('ORDENES'!$S966,lista_dias,0),9)*1000000000+IFERROR(MATCH('ORDENES'!$AI966,lista_turnos,0),9)*10000000+IFERROR(MATCH('ORDENES'!$AH966,tblTecnicos[nombre],0),99)*100000+963,9000000000000+963)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5">
        <f>IF(K970=1,'ORDENES'!$J966,"")</f>
        <v/>
      </c>
    </row>
    <row r="971">
      <c r="K971" s="5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5">
        <f>IF(K971=1,IFERROR(MATCH('ORDENES'!$S967,lista_dias,0),9)*1000000000+IFERROR(MATCH('ORDENES'!$AI967,lista_turnos,0),9)*10000000+IFERROR(MATCH('ORDENES'!$AH967,tblTecnicos[nombre],0),99)*100000+964,9000000000000+964)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5">
        <f>IF(K971=1,'ORDENES'!$J967,"")</f>
        <v/>
      </c>
    </row>
    <row r="972">
      <c r="K972" s="5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5">
        <f>IF(K972=1,IFERROR(MATCH('ORDENES'!$S968,lista_dias,0),9)*1000000000+IFERROR(MATCH('ORDENES'!$AI968,lista_turnos,0),9)*10000000+IFERROR(MATCH('ORDENES'!$AH968,tblTecnicos[nombre],0),99)*100000+965,9000000000000+965)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5">
        <f>IF(K972=1,'ORDENES'!$J968,"")</f>
        <v/>
      </c>
    </row>
    <row r="973">
      <c r="K973" s="5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5">
        <f>IF(K973=1,IFERROR(MATCH('ORDENES'!$S969,lista_dias,0),9)*1000000000+IFERROR(MATCH('ORDENES'!$AI969,lista_turnos,0),9)*10000000+IFERROR(MATCH('ORDENES'!$AH969,tblTecnicos[nombre],0),99)*100000+966,9000000000000+966)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5">
        <f>IF(K973=1,'ORDENES'!$J969,"")</f>
        <v/>
      </c>
    </row>
    <row r="974">
      <c r="K974" s="5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5">
        <f>IF(K974=1,IFERROR(MATCH('ORDENES'!$S970,lista_dias,0),9)*1000000000+IFERROR(MATCH('ORDENES'!$AI970,lista_turnos,0),9)*10000000+IFERROR(MATCH('ORDENES'!$AH970,tblTecnicos[nombre],0),99)*100000+967,9000000000000+967)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5">
        <f>IF(K974=1,'ORDENES'!$J970,"")</f>
        <v/>
      </c>
    </row>
    <row r="975">
      <c r="K975" s="5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5">
        <f>IF(K975=1,IFERROR(MATCH('ORDENES'!$S971,lista_dias,0),9)*1000000000+IFERROR(MATCH('ORDENES'!$AI971,lista_turnos,0),9)*10000000+IFERROR(MATCH('ORDENES'!$AH971,tblTecnicos[nombre],0),99)*100000+968,9000000000000+968)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5">
        <f>IF(K975=1,'ORDENES'!$J971,"")</f>
        <v/>
      </c>
    </row>
    <row r="976">
      <c r="K976" s="5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5">
        <f>IF(K976=1,IFERROR(MATCH('ORDENES'!$S972,lista_dias,0),9)*1000000000+IFERROR(MATCH('ORDENES'!$AI972,lista_turnos,0),9)*10000000+IFERROR(MATCH('ORDENES'!$AH972,tblTecnicos[nombre],0),99)*100000+969,9000000000000+969)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5">
        <f>IF(K976=1,'ORDENES'!$J972,"")</f>
        <v/>
      </c>
    </row>
    <row r="977">
      <c r="K977" s="5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5">
        <f>IF(K977=1,IFERROR(MATCH('ORDENES'!$S973,lista_dias,0),9)*1000000000+IFERROR(MATCH('ORDENES'!$AI973,lista_turnos,0),9)*10000000+IFERROR(MATCH('ORDENES'!$AH973,tblTecnicos[nombre],0),99)*100000+970,9000000000000+970)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5">
        <f>IF(K977=1,'ORDENES'!$J973,"")</f>
        <v/>
      </c>
    </row>
    <row r="978">
      <c r="K978" s="5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5">
        <f>IF(K978=1,IFERROR(MATCH('ORDENES'!$S974,lista_dias,0),9)*1000000000+IFERROR(MATCH('ORDENES'!$AI974,lista_turnos,0),9)*10000000+IFERROR(MATCH('ORDENES'!$AH974,tblTecnicos[nombre],0),99)*100000+971,9000000000000+971)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5">
        <f>IF(K978=1,'ORDENES'!$J974,"")</f>
        <v/>
      </c>
    </row>
    <row r="979">
      <c r="K979" s="5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5">
        <f>IF(K979=1,IFERROR(MATCH('ORDENES'!$S975,lista_dias,0),9)*1000000000+IFERROR(MATCH('ORDENES'!$AI975,lista_turnos,0),9)*10000000+IFERROR(MATCH('ORDENES'!$AH975,tblTecnicos[nombre],0),99)*100000+972,9000000000000+972)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5">
        <f>IF(K979=1,'ORDENES'!$J975,"")</f>
        <v/>
      </c>
    </row>
    <row r="980">
      <c r="K980" s="5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5">
        <f>IF(K980=1,IFERROR(MATCH('ORDENES'!$S976,lista_dias,0),9)*1000000000+IFERROR(MATCH('ORDENES'!$AI976,lista_turnos,0),9)*10000000+IFERROR(MATCH('ORDENES'!$AH976,tblTecnicos[nombre],0),99)*100000+973,9000000000000+973)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5">
        <f>IF(K980=1,'ORDENES'!$J976,"")</f>
        <v/>
      </c>
    </row>
    <row r="981">
      <c r="K981" s="5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5">
        <f>IF(K981=1,IFERROR(MATCH('ORDENES'!$S977,lista_dias,0),9)*1000000000+IFERROR(MATCH('ORDENES'!$AI977,lista_turnos,0),9)*10000000+IFERROR(MATCH('ORDENES'!$AH977,tblTecnicos[nombre],0),99)*100000+974,9000000000000+974)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5">
        <f>IF(K981=1,'ORDENES'!$J977,"")</f>
        <v/>
      </c>
    </row>
    <row r="982">
      <c r="K982" s="5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5">
        <f>IF(K982=1,IFERROR(MATCH('ORDENES'!$S978,lista_dias,0),9)*1000000000+IFERROR(MATCH('ORDENES'!$AI978,lista_turnos,0),9)*10000000+IFERROR(MATCH('ORDENES'!$AH978,tblTecnicos[nombre],0),99)*100000+975,9000000000000+975)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5">
        <f>IF(K982=1,'ORDENES'!$J978,"")</f>
        <v/>
      </c>
    </row>
    <row r="983">
      <c r="K983" s="5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5">
        <f>IF(K983=1,IFERROR(MATCH('ORDENES'!$S979,lista_dias,0),9)*1000000000+IFERROR(MATCH('ORDENES'!$AI979,lista_turnos,0),9)*10000000+IFERROR(MATCH('ORDENES'!$AH979,tblTecnicos[nombre],0),99)*100000+976,9000000000000+976)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5">
        <f>IF(K983=1,'ORDENES'!$J979,"")</f>
        <v/>
      </c>
    </row>
    <row r="984">
      <c r="K984" s="5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5">
        <f>IF(K984=1,IFERROR(MATCH('ORDENES'!$S980,lista_dias,0),9)*1000000000+IFERROR(MATCH('ORDENES'!$AI980,lista_turnos,0),9)*10000000+IFERROR(MATCH('ORDENES'!$AH980,tblTecnicos[nombre],0),99)*100000+977,9000000000000+977)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5">
        <f>IF(K984=1,'ORDENES'!$J980,"")</f>
        <v/>
      </c>
    </row>
    <row r="985">
      <c r="K985" s="5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5">
        <f>IF(K985=1,IFERROR(MATCH('ORDENES'!$S981,lista_dias,0),9)*1000000000+IFERROR(MATCH('ORDENES'!$AI981,lista_turnos,0),9)*10000000+IFERROR(MATCH('ORDENES'!$AH981,tblTecnicos[nombre],0),99)*100000+978,9000000000000+978)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5">
        <f>IF(K985=1,'ORDENES'!$J981,"")</f>
        <v/>
      </c>
    </row>
    <row r="986">
      <c r="K986" s="5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5">
        <f>IF(K986=1,IFERROR(MATCH('ORDENES'!$S982,lista_dias,0),9)*1000000000+IFERROR(MATCH('ORDENES'!$AI982,lista_turnos,0),9)*10000000+IFERROR(MATCH('ORDENES'!$AH982,tblTecnicos[nombre],0),99)*100000+979,9000000000000+979)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5">
        <f>IF(K986=1,'ORDENES'!$J982,"")</f>
        <v/>
      </c>
    </row>
    <row r="987">
      <c r="K987" s="5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5">
        <f>IF(K987=1,IFERROR(MATCH('ORDENES'!$S983,lista_dias,0),9)*1000000000+IFERROR(MATCH('ORDENES'!$AI983,lista_turnos,0),9)*10000000+IFERROR(MATCH('ORDENES'!$AH983,tblTecnicos[nombre],0),99)*100000+980,9000000000000+980)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5">
        <f>IF(K987=1,'ORDENES'!$J983,"")</f>
        <v/>
      </c>
    </row>
    <row r="988">
      <c r="K988" s="5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5">
        <f>IF(K988=1,IFERROR(MATCH('ORDENES'!$S984,lista_dias,0),9)*1000000000+IFERROR(MATCH('ORDENES'!$AI984,lista_turnos,0),9)*10000000+IFERROR(MATCH('ORDENES'!$AH984,tblTecnicos[nombre],0),99)*100000+981,9000000000000+981)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5">
        <f>IF(K988=1,'ORDENES'!$J984,"")</f>
        <v/>
      </c>
    </row>
    <row r="989">
      <c r="K989" s="5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5">
        <f>IF(K989=1,IFERROR(MATCH('ORDENES'!$S985,lista_dias,0),9)*1000000000+IFERROR(MATCH('ORDENES'!$AI985,lista_turnos,0),9)*10000000+IFERROR(MATCH('ORDENES'!$AH985,tblTecnicos[nombre],0),99)*100000+982,9000000000000+982)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5">
        <f>IF(K989=1,'ORDENES'!$J985,"")</f>
        <v/>
      </c>
    </row>
    <row r="990">
      <c r="K990" s="5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5">
        <f>IF(K990=1,IFERROR(MATCH('ORDENES'!$S986,lista_dias,0),9)*1000000000+IFERROR(MATCH('ORDENES'!$AI986,lista_turnos,0),9)*10000000+IFERROR(MATCH('ORDENES'!$AH986,tblTecnicos[nombre],0),99)*100000+983,9000000000000+983)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5">
        <f>IF(K990=1,'ORDENES'!$J986,"")</f>
        <v/>
      </c>
    </row>
    <row r="991">
      <c r="K991" s="5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5">
        <f>IF(K991=1,IFERROR(MATCH('ORDENES'!$S987,lista_dias,0),9)*1000000000+IFERROR(MATCH('ORDENES'!$AI987,lista_turnos,0),9)*10000000+IFERROR(MATCH('ORDENES'!$AH987,tblTecnicos[nombre],0),99)*100000+984,9000000000000+984)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5">
        <f>IF(K991=1,'ORDENES'!$J987,"")</f>
        <v/>
      </c>
    </row>
    <row r="992">
      <c r="K992" s="5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5">
        <f>IF(K992=1,IFERROR(MATCH('ORDENES'!$S988,lista_dias,0),9)*1000000000+IFERROR(MATCH('ORDENES'!$AI988,lista_turnos,0),9)*10000000+IFERROR(MATCH('ORDENES'!$AH988,tblTecnicos[nombre],0),99)*100000+985,9000000000000+985)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5">
        <f>IF(K992=1,'ORDENES'!$J988,"")</f>
        <v/>
      </c>
    </row>
    <row r="993">
      <c r="K993" s="5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5">
        <f>IF(K993=1,IFERROR(MATCH('ORDENES'!$S989,lista_dias,0),9)*1000000000+IFERROR(MATCH('ORDENES'!$AI989,lista_turnos,0),9)*10000000+IFERROR(MATCH('ORDENES'!$AH989,tblTecnicos[nombre],0),99)*100000+986,9000000000000+986)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5">
        <f>IF(K993=1,'ORDENES'!$J989,"")</f>
        <v/>
      </c>
    </row>
    <row r="994">
      <c r="K994" s="5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5">
        <f>IF(K994=1,IFERROR(MATCH('ORDENES'!$S990,lista_dias,0),9)*1000000000+IFERROR(MATCH('ORDENES'!$AI990,lista_turnos,0),9)*10000000+IFERROR(MATCH('ORDENES'!$AH990,tblTecnicos[nombre],0),99)*100000+987,9000000000000+987)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5">
        <f>IF(K994=1,'ORDENES'!$J990,"")</f>
        <v/>
      </c>
    </row>
    <row r="995">
      <c r="K995" s="5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5">
        <f>IF(K995=1,IFERROR(MATCH('ORDENES'!$S991,lista_dias,0),9)*1000000000+IFERROR(MATCH('ORDENES'!$AI991,lista_turnos,0),9)*10000000+IFERROR(MATCH('ORDENES'!$AH991,tblTecnicos[nombre],0),99)*100000+988,9000000000000+988)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5">
        <f>IF(K995=1,'ORDENES'!$J991,"")</f>
        <v/>
      </c>
    </row>
    <row r="996">
      <c r="K996" s="5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5">
        <f>IF(K996=1,IFERROR(MATCH('ORDENES'!$S992,lista_dias,0),9)*1000000000+IFERROR(MATCH('ORDENES'!$AI992,lista_turnos,0),9)*10000000+IFERROR(MATCH('ORDENES'!$AH992,tblTecnicos[nombre],0),99)*100000+989,9000000000000+989)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5">
        <f>IF(K996=1,'ORDENES'!$J992,"")</f>
        <v/>
      </c>
    </row>
    <row r="997">
      <c r="K997" s="5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5">
        <f>IF(K997=1,IFERROR(MATCH('ORDENES'!$S993,lista_dias,0),9)*1000000000+IFERROR(MATCH('ORDENES'!$AI993,lista_turnos,0),9)*10000000+IFERROR(MATCH('ORDENES'!$AH993,tblTecnicos[nombre],0),99)*100000+990,9000000000000+990)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5">
        <f>IF(K997=1,'ORDENES'!$J993,"")</f>
        <v/>
      </c>
    </row>
    <row r="998">
      <c r="K998" s="5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5">
        <f>IF(K998=1,IFERROR(MATCH('ORDENES'!$S994,lista_dias,0),9)*1000000000+IFERROR(MATCH('ORDENES'!$AI994,lista_turnos,0),9)*10000000+IFERROR(MATCH('ORDENES'!$AH994,tblTecnicos[nombre],0),99)*100000+991,9000000000000+991)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5">
        <f>IF(K998=1,'ORDENES'!$J994,"")</f>
        <v/>
      </c>
    </row>
    <row r="999">
      <c r="K999" s="5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5">
        <f>IF(K999=1,IFERROR(MATCH('ORDENES'!$S995,lista_dias,0),9)*1000000000+IFERROR(MATCH('ORDENES'!$AI995,lista_turnos,0),9)*10000000+IFERROR(MATCH('ORDENES'!$AH995,tblTecnicos[nombre],0),99)*100000+992,9000000000000+992)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5">
        <f>IF(K999=1,'ORDENES'!$J995,"")</f>
        <v/>
      </c>
    </row>
    <row r="1000">
      <c r="K1000" s="5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5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5">
        <f>IF(K1000=1,'ORDENES'!$J996,"")</f>
        <v/>
      </c>
    </row>
    <row r="1001">
      <c r="K1001" s="5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5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5">
        <f>IF(K1001=1,'ORDENES'!$J997,"")</f>
        <v/>
      </c>
    </row>
    <row r="1002">
      <c r="K1002" s="5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5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5">
        <f>IF(K1002=1,'ORDENES'!$J998,"")</f>
        <v/>
      </c>
    </row>
    <row r="1003">
      <c r="K1003" s="5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5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5">
        <f>IF(K1003=1,'ORDENES'!$J999,"")</f>
        <v/>
      </c>
    </row>
    <row r="1004">
      <c r="K1004" s="5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5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5">
        <f>IF(K1004=1,'ORDENES'!$J1000,"")</f>
        <v/>
      </c>
    </row>
    <row r="1005">
      <c r="K1005" s="5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5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5">
        <f>IF(K1005=1,'ORDENES'!$J1001,"")</f>
        <v/>
      </c>
    </row>
    <row r="1006">
      <c r="K1006" s="5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5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5">
        <f>IF(K1006=1,'ORDENES'!$J1002,"")</f>
        <v/>
      </c>
    </row>
    <row r="1007">
      <c r="K1007" s="5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5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5">
        <f>IF(K1007=1,'ORDENES'!$J1003,"")</f>
        <v/>
      </c>
    </row>
    <row r="1008">
      <c r="K1008" s="5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5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5">
        <f>IF(K1008=1,'ORDENES'!$J1004,"")</f>
        <v/>
      </c>
    </row>
    <row r="1009">
      <c r="K1009" s="5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5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5">
        <f>IF(K1009=1,'ORDENES'!$J1005,"")</f>
        <v/>
      </c>
    </row>
    <row r="1010">
      <c r="K1010" s="5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5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5">
        <f>IF(K1010=1,'ORDENES'!$J1006,"")</f>
        <v/>
      </c>
    </row>
    <row r="1011">
      <c r="K1011" s="5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5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5">
        <f>IF(K1011=1,'ORDENES'!$J1007,"")</f>
        <v/>
      </c>
    </row>
    <row r="1012">
      <c r="K1012" s="5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5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5">
        <f>IF(K1012=1,'ORDENES'!$J1008,"")</f>
        <v/>
      </c>
    </row>
    <row r="1013">
      <c r="K1013" s="5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5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5">
        <f>IF(K1013=1,'ORDENES'!$J1009,"")</f>
        <v/>
      </c>
    </row>
    <row r="1014">
      <c r="K1014" s="5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5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5">
        <f>IF(K1014=1,'ORDENES'!$J1010,"")</f>
        <v/>
      </c>
    </row>
    <row r="1015">
      <c r="K1015" s="5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5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5">
        <f>IF(K1015=1,'ORDENES'!$J1011,"")</f>
        <v/>
      </c>
    </row>
    <row r="1016">
      <c r="K1016" s="5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5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5">
        <f>IF(K1016=1,'ORDENES'!$J1012,"")</f>
        <v/>
      </c>
    </row>
    <row r="1017">
      <c r="K1017" s="5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5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5">
        <f>IF(K1017=1,'ORDENES'!$J1013,"")</f>
        <v/>
      </c>
    </row>
    <row r="1018">
      <c r="K1018" s="5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5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5">
        <f>IF(K1018=1,'ORDENES'!$J1014,"")</f>
        <v/>
      </c>
    </row>
    <row r="1019">
      <c r="K1019" s="5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5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5">
        <f>IF(K1019=1,'ORDENES'!$J1015,"")</f>
        <v/>
      </c>
    </row>
    <row r="1020">
      <c r="K1020" s="5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5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5">
        <f>IF(K1020=1,'ORDENES'!$J1016,"")</f>
        <v/>
      </c>
    </row>
    <row r="1021">
      <c r="K1021" s="5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5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5">
        <f>IF(K1021=1,'ORDENES'!$J1017,"")</f>
        <v/>
      </c>
    </row>
    <row r="1022">
      <c r="K1022" s="5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5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5">
        <f>IF(K1022=1,'ORDENES'!$J1018,"")</f>
        <v/>
      </c>
    </row>
    <row r="1023">
      <c r="K1023" s="5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5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5">
        <f>IF(K1023=1,'ORDENES'!$J1019,"")</f>
        <v/>
      </c>
    </row>
    <row r="1024">
      <c r="K1024" s="5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5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5">
        <f>IF(K1024=1,'ORDENES'!$J1020,"")</f>
        <v/>
      </c>
    </row>
    <row r="1025">
      <c r="K1025" s="5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5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5">
        <f>IF(K1025=1,'ORDENES'!$J1021,"")</f>
        <v/>
      </c>
    </row>
    <row r="1026">
      <c r="K1026" s="5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5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5">
        <f>IF(K1026=1,'ORDENES'!$J1022,"")</f>
        <v/>
      </c>
    </row>
    <row r="1027">
      <c r="K1027" s="5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5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5">
        <f>IF(K1027=1,'ORDENES'!$J1023,"")</f>
        <v/>
      </c>
    </row>
    <row r="1028">
      <c r="K1028" s="5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5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5">
        <f>IF(K1028=1,'ORDENES'!$J1024,"")</f>
        <v/>
      </c>
    </row>
    <row r="1029">
      <c r="K1029" s="5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5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5">
        <f>IF(K1029=1,'ORDENES'!$J1025,"")</f>
        <v/>
      </c>
    </row>
    <row r="1030">
      <c r="K1030" s="5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5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5">
        <f>IF(K1030=1,'ORDENES'!$J1026,"")</f>
        <v/>
      </c>
    </row>
    <row r="1031">
      <c r="K1031" s="5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5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5">
        <f>IF(K1031=1,'ORDENES'!$J1027,"")</f>
        <v/>
      </c>
    </row>
    <row r="1032">
      <c r="K1032" s="5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5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5">
        <f>IF(K1032=1,'ORDENES'!$J1028,"")</f>
        <v/>
      </c>
    </row>
    <row r="1033">
      <c r="K1033" s="5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5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5">
        <f>IF(K1033=1,'ORDENES'!$J1029,"")</f>
        <v/>
      </c>
    </row>
    <row r="1034">
      <c r="K1034" s="5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5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5">
        <f>IF(K1034=1,'ORDENES'!$J1030,"")</f>
        <v/>
      </c>
    </row>
    <row r="1035">
      <c r="K1035" s="5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5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5">
        <f>IF(K1035=1,'ORDENES'!$J1031,"")</f>
        <v/>
      </c>
    </row>
    <row r="1036">
      <c r="K1036" s="5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5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5">
        <f>IF(K1036=1,'ORDENES'!$J1032,"")</f>
        <v/>
      </c>
    </row>
    <row r="1037">
      <c r="K1037" s="5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5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5">
        <f>IF(K1037=1,'ORDENES'!$J1033,"")</f>
        <v/>
      </c>
    </row>
    <row r="1038">
      <c r="K1038" s="5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5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5">
        <f>IF(K1038=1,'ORDENES'!$J1034,"")</f>
        <v/>
      </c>
    </row>
    <row r="1039">
      <c r="K1039" s="5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5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5">
        <f>IF(K1039=1,'ORDENES'!$J1035,"")</f>
        <v/>
      </c>
    </row>
    <row r="1040">
      <c r="K1040" s="5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5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5">
        <f>IF(K1040=1,'ORDENES'!$J1036,"")</f>
        <v/>
      </c>
    </row>
    <row r="1041">
      <c r="K1041" s="5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5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5">
        <f>IF(K1041=1,'ORDENES'!$J1037,"")</f>
        <v/>
      </c>
    </row>
    <row r="1042">
      <c r="K1042" s="5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5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5">
        <f>IF(K1042=1,'ORDENES'!$J1038,"")</f>
        <v/>
      </c>
    </row>
    <row r="1043">
      <c r="K1043" s="5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5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5">
        <f>IF(K1043=1,'ORDENES'!$J1039,"")</f>
        <v/>
      </c>
    </row>
    <row r="1044">
      <c r="K1044" s="5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5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5">
        <f>IF(K1044=1,'ORDENES'!$J1040,"")</f>
        <v/>
      </c>
    </row>
    <row r="1045">
      <c r="K1045" s="5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5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5">
        <f>IF(K1045=1,'ORDENES'!$J1041,"")</f>
        <v/>
      </c>
    </row>
    <row r="1046">
      <c r="K1046" s="5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5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5">
        <f>IF(K1046=1,'ORDENES'!$J1042,"")</f>
        <v/>
      </c>
    </row>
    <row r="1047">
      <c r="K1047" s="5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5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5">
        <f>IF(K1047=1,'ORDENES'!$J1043,"")</f>
        <v/>
      </c>
    </row>
    <row r="1048">
      <c r="K1048" s="5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5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5">
        <f>IF(K1048=1,'ORDENES'!$J1044,"")</f>
        <v/>
      </c>
    </row>
    <row r="1049">
      <c r="K1049" s="5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5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5">
        <f>IF(K1049=1,'ORDENES'!$J1045,"")</f>
        <v/>
      </c>
    </row>
    <row r="1050">
      <c r="K1050" s="5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5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5">
        <f>IF(K1050=1,'ORDENES'!$J1046,"")</f>
        <v/>
      </c>
    </row>
    <row r="1051">
      <c r="K1051" s="5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5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5">
        <f>IF(K1051=1,'ORDENES'!$J1047,"")</f>
        <v/>
      </c>
    </row>
    <row r="1052">
      <c r="K1052" s="5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5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5">
        <f>IF(K1052=1,'ORDENES'!$J1048,"")</f>
        <v/>
      </c>
    </row>
    <row r="1053">
      <c r="K1053" s="5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5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5">
        <f>IF(K1053=1,'ORDENES'!$J1049,"")</f>
        <v/>
      </c>
    </row>
    <row r="1054">
      <c r="K1054" s="5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5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5">
        <f>IF(K1054=1,'ORDENES'!$J1050,"")</f>
        <v/>
      </c>
    </row>
    <row r="1055">
      <c r="K1055" s="5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5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5">
        <f>IF(K1055=1,'ORDENES'!$J1051,"")</f>
        <v/>
      </c>
    </row>
    <row r="1056">
      <c r="K1056" s="5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5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5">
        <f>IF(K1056=1,'ORDENES'!$J1052,"")</f>
        <v/>
      </c>
    </row>
    <row r="1057">
      <c r="K1057" s="5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5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5">
        <f>IF(K1057=1,'ORDENES'!$J1053,"")</f>
        <v/>
      </c>
    </row>
    <row r="1058">
      <c r="K1058" s="5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5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5">
        <f>IF(K1058=1,'ORDENES'!$J1054,"")</f>
        <v/>
      </c>
    </row>
    <row r="1059">
      <c r="K1059" s="5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5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5">
        <f>IF(K1059=1,'ORDENES'!$J1055,"")</f>
        <v/>
      </c>
    </row>
    <row r="1060">
      <c r="K1060" s="5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5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5">
        <f>IF(K1060=1,'ORDENES'!$J1056,"")</f>
        <v/>
      </c>
    </row>
    <row r="1061">
      <c r="K1061" s="5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5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5">
        <f>IF(K1061=1,'ORDENES'!$J1057,"")</f>
        <v/>
      </c>
    </row>
    <row r="1062">
      <c r="K1062" s="5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5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5">
        <f>IF(K1062=1,'ORDENES'!$J1058,"")</f>
        <v/>
      </c>
    </row>
    <row r="1063">
      <c r="K1063" s="5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5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5">
        <f>IF(K1063=1,'ORDENES'!$J1059,"")</f>
        <v/>
      </c>
    </row>
    <row r="1064">
      <c r="K1064" s="5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5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5">
        <f>IF(K1064=1,'ORDENES'!$J1060,"")</f>
        <v/>
      </c>
    </row>
    <row r="1065">
      <c r="K1065" s="5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5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5">
        <f>IF(K1065=1,'ORDENES'!$J1061,"")</f>
        <v/>
      </c>
    </row>
    <row r="1066">
      <c r="K1066" s="5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5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5">
        <f>IF(K1066=1,'ORDENES'!$J1062,"")</f>
        <v/>
      </c>
    </row>
    <row r="1067">
      <c r="K1067" s="5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5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5">
        <f>IF(K1067=1,'ORDENES'!$J1063,"")</f>
        <v/>
      </c>
    </row>
    <row r="1068">
      <c r="K1068" s="5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5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5">
        <f>IF(K1068=1,'ORDENES'!$J1064,"")</f>
        <v/>
      </c>
    </row>
    <row r="1069">
      <c r="K1069" s="5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5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5">
        <f>IF(K1069=1,'ORDENES'!$J1065,"")</f>
        <v/>
      </c>
    </row>
    <row r="1070">
      <c r="K1070" s="5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5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5">
        <f>IF(K1070=1,'ORDENES'!$J1066,"")</f>
        <v/>
      </c>
    </row>
    <row r="1071">
      <c r="K1071" s="5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5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5">
        <f>IF(K1071=1,'ORDENES'!$J1067,"")</f>
        <v/>
      </c>
    </row>
    <row r="1072">
      <c r="K1072" s="5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5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5">
        <f>IF(K1072=1,'ORDENES'!$J1068,"")</f>
        <v/>
      </c>
    </row>
    <row r="1073">
      <c r="K1073" s="5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5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5">
        <f>IF(K1073=1,'ORDENES'!$J1069,"")</f>
        <v/>
      </c>
    </row>
    <row r="1074">
      <c r="K1074" s="5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5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5">
        <f>IF(K1074=1,'ORDENES'!$J1070,"")</f>
        <v/>
      </c>
    </row>
    <row r="1075">
      <c r="K1075" s="5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5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5">
        <f>IF(K1075=1,'ORDENES'!$J1071,"")</f>
        <v/>
      </c>
    </row>
    <row r="1076">
      <c r="K1076" s="5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5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5">
        <f>IF(K1076=1,'ORDENES'!$J1072,"")</f>
        <v/>
      </c>
    </row>
    <row r="1077">
      <c r="K1077" s="5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5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5">
        <f>IF(K1077=1,'ORDENES'!$J1073,"")</f>
        <v/>
      </c>
    </row>
    <row r="1078">
      <c r="K1078" s="5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5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5">
        <f>IF(K1078=1,'ORDENES'!$J1074,"")</f>
        <v/>
      </c>
    </row>
    <row r="1079">
      <c r="K1079" s="5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5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5">
        <f>IF(K1079=1,'ORDENES'!$J1075,"")</f>
        <v/>
      </c>
    </row>
    <row r="1080">
      <c r="K1080" s="5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5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5">
        <f>IF(K1080=1,'ORDENES'!$J1076,"")</f>
        <v/>
      </c>
    </row>
    <row r="1081">
      <c r="K1081" s="5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5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5">
        <f>IF(K1081=1,'ORDENES'!$J1077,"")</f>
        <v/>
      </c>
    </row>
    <row r="1082">
      <c r="K1082" s="5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5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5">
        <f>IF(K1082=1,'ORDENES'!$J1078,"")</f>
        <v/>
      </c>
    </row>
    <row r="1083">
      <c r="K1083" s="5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5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5">
        <f>IF(K1083=1,'ORDENES'!$J1079,"")</f>
        <v/>
      </c>
    </row>
    <row r="1084">
      <c r="K1084" s="5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5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5">
        <f>IF(K1084=1,'ORDENES'!$J1080,"")</f>
        <v/>
      </c>
    </row>
    <row r="1085">
      <c r="K1085" s="5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5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5">
        <f>IF(K1085=1,'ORDENES'!$J1081,"")</f>
        <v/>
      </c>
    </row>
    <row r="1086">
      <c r="K1086" s="5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5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5">
        <f>IF(K1086=1,'ORDENES'!$J1082,"")</f>
        <v/>
      </c>
    </row>
    <row r="1087">
      <c r="K1087" s="5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5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5">
        <f>IF(K1087=1,'ORDENES'!$J1083,"")</f>
        <v/>
      </c>
    </row>
    <row r="1088">
      <c r="K1088" s="5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5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5">
        <f>IF(K1088=1,'ORDENES'!$J1084,"")</f>
        <v/>
      </c>
    </row>
    <row r="1089">
      <c r="K1089" s="5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5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5">
        <f>IF(K1089=1,'ORDENES'!$J1085,"")</f>
        <v/>
      </c>
    </row>
    <row r="1090">
      <c r="K1090" s="5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5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5">
        <f>IF(K1090=1,'ORDENES'!$J1086,"")</f>
        <v/>
      </c>
    </row>
    <row r="1091">
      <c r="K1091" s="5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5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5">
        <f>IF(K1091=1,'ORDENES'!$J1087,"")</f>
        <v/>
      </c>
    </row>
    <row r="1092">
      <c r="K1092" s="5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5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5">
        <f>IF(K1092=1,'ORDENES'!$J1088,"")</f>
        <v/>
      </c>
    </row>
    <row r="1093">
      <c r="K1093" s="5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5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5">
        <f>IF(K1093=1,'ORDENES'!$J1089,"")</f>
        <v/>
      </c>
    </row>
    <row r="1094">
      <c r="K1094" s="5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5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5">
        <f>IF(K1094=1,'ORDENES'!$J1090,"")</f>
        <v/>
      </c>
    </row>
    <row r="1095">
      <c r="K1095" s="5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5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5">
        <f>IF(K1095=1,'ORDENES'!$J1091,"")</f>
        <v/>
      </c>
    </row>
    <row r="1096">
      <c r="K1096" s="5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5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5">
        <f>IF(K1096=1,'ORDENES'!$J1092,"")</f>
        <v/>
      </c>
    </row>
    <row r="1097">
      <c r="K1097" s="5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5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5">
        <f>IF(K1097=1,'ORDENES'!$J1093,"")</f>
        <v/>
      </c>
    </row>
    <row r="1098">
      <c r="K1098" s="5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5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5">
        <f>IF(K1098=1,'ORDENES'!$J1094,"")</f>
        <v/>
      </c>
    </row>
    <row r="1099">
      <c r="K1099" s="5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5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5">
        <f>IF(K1099=1,'ORDENES'!$J1095,"")</f>
        <v/>
      </c>
    </row>
    <row r="1100">
      <c r="K1100" s="5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5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5">
        <f>IF(K1100=1,'ORDENES'!$J1096,"")</f>
        <v/>
      </c>
    </row>
    <row r="1101">
      <c r="K1101" s="5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5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5">
        <f>IF(K1101=1,'ORDENES'!$J1097,"")</f>
        <v/>
      </c>
    </row>
    <row r="1102">
      <c r="K1102" s="5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5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5">
        <f>IF(K1102=1,'ORDENES'!$J1098,"")</f>
        <v/>
      </c>
    </row>
    <row r="1103">
      <c r="K1103" s="5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5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5">
        <f>IF(K1103=1,'ORDENES'!$J1099,"")</f>
        <v/>
      </c>
    </row>
    <row r="1104">
      <c r="K1104" s="5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5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5">
        <f>IF(K1104=1,'ORDENES'!$J1100,"")</f>
        <v/>
      </c>
    </row>
    <row r="1105">
      <c r="K1105" s="5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5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5">
        <f>IF(K1105=1,'ORDENES'!$J1101,"")</f>
        <v/>
      </c>
    </row>
    <row r="1106">
      <c r="K1106" s="5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5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5">
        <f>IF(K1106=1,'ORDENES'!$J1102,"")</f>
        <v/>
      </c>
    </row>
    <row r="1107">
      <c r="K1107" s="5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5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5">
        <f>IF(K1107=1,'ORDENES'!$J1103,"")</f>
        <v/>
      </c>
    </row>
    <row r="1108">
      <c r="K1108" s="5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5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5">
        <f>IF(K1108=1,'ORDENES'!$J1104,"")</f>
        <v/>
      </c>
    </row>
    <row r="1109">
      <c r="K1109" s="5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5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5">
        <f>IF(K1109=1,'ORDENES'!$J1105,"")</f>
        <v/>
      </c>
    </row>
    <row r="1110">
      <c r="K1110" s="5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5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5">
        <f>IF(K1110=1,'ORDENES'!$J1106,"")</f>
        <v/>
      </c>
    </row>
    <row r="1111">
      <c r="K1111" s="5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5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5">
        <f>IF(K1111=1,'ORDENES'!$J1107,"")</f>
        <v/>
      </c>
    </row>
    <row r="1112">
      <c r="K1112" s="5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5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5">
        <f>IF(K1112=1,'ORDENES'!$J1108,"")</f>
        <v/>
      </c>
    </row>
    <row r="1113">
      <c r="K1113" s="5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5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5">
        <f>IF(K1113=1,'ORDENES'!$J1109,"")</f>
        <v/>
      </c>
    </row>
    <row r="1114">
      <c r="K1114" s="5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5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5">
        <f>IF(K1114=1,'ORDENES'!$J1110,"")</f>
        <v/>
      </c>
    </row>
    <row r="1115">
      <c r="K1115" s="5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5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5">
        <f>IF(K1115=1,'ORDENES'!$J1111,"")</f>
        <v/>
      </c>
    </row>
    <row r="1116">
      <c r="K1116" s="5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5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5">
        <f>IF(K1116=1,'ORDENES'!$J1112,"")</f>
        <v/>
      </c>
    </row>
    <row r="1117">
      <c r="K1117" s="5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5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5">
        <f>IF(K1117=1,'ORDENES'!$J1113,"")</f>
        <v/>
      </c>
    </row>
    <row r="1118">
      <c r="K1118" s="5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5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5">
        <f>IF(K1118=1,'ORDENES'!$J1114,"")</f>
        <v/>
      </c>
    </row>
    <row r="1119">
      <c r="K1119" s="5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5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5">
        <f>IF(K1119=1,'ORDENES'!$J1115,"")</f>
        <v/>
      </c>
    </row>
    <row r="1120">
      <c r="K1120" s="5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5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5">
        <f>IF(K1120=1,'ORDENES'!$J1116,"")</f>
        <v/>
      </c>
    </row>
    <row r="1121">
      <c r="K1121" s="5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5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5">
        <f>IF(K1121=1,'ORDENES'!$J1117,"")</f>
        <v/>
      </c>
    </row>
    <row r="1122">
      <c r="K1122" s="5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5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5">
        <f>IF(K1122=1,'ORDENES'!$J1118,"")</f>
        <v/>
      </c>
    </row>
    <row r="1123">
      <c r="K1123" s="5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5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5">
        <f>IF(K1123=1,'ORDENES'!$J1119,"")</f>
        <v/>
      </c>
    </row>
    <row r="1124">
      <c r="K1124" s="5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5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5">
        <f>IF(K1124=1,'ORDENES'!$J1120,"")</f>
        <v/>
      </c>
    </row>
    <row r="1125">
      <c r="K1125" s="5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5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5">
        <f>IF(K1125=1,'ORDENES'!$J1121,"")</f>
        <v/>
      </c>
    </row>
    <row r="1126">
      <c r="K1126" s="5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5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5">
        <f>IF(K1126=1,'ORDENES'!$J1122,"")</f>
        <v/>
      </c>
    </row>
    <row r="1127">
      <c r="K1127" s="5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5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5">
        <f>IF(K1127=1,'ORDENES'!$J1123,"")</f>
        <v/>
      </c>
    </row>
    <row r="1128">
      <c r="K1128" s="5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5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5">
        <f>IF(K1128=1,'ORDENES'!$J1124,"")</f>
        <v/>
      </c>
    </row>
    <row r="1129">
      <c r="K1129" s="5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5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5">
        <f>IF(K1129=1,'ORDENES'!$J1125,"")</f>
        <v/>
      </c>
    </row>
    <row r="1130">
      <c r="K1130" s="5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5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5">
        <f>IF(K1130=1,'ORDENES'!$J1126,"")</f>
        <v/>
      </c>
    </row>
    <row r="1131">
      <c r="K1131" s="5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5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5">
        <f>IF(K1131=1,'ORDENES'!$J1127,"")</f>
        <v/>
      </c>
    </row>
    <row r="1132">
      <c r="K1132" s="5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5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5">
        <f>IF(K1132=1,'ORDENES'!$J1128,"")</f>
        <v/>
      </c>
    </row>
    <row r="1133">
      <c r="K1133" s="5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5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5">
        <f>IF(K1133=1,'ORDENES'!$J1129,"")</f>
        <v/>
      </c>
    </row>
    <row r="1134">
      <c r="K1134" s="5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5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5">
        <f>IF(K1134=1,'ORDENES'!$J1130,"")</f>
        <v/>
      </c>
    </row>
    <row r="1135">
      <c r="K1135" s="5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5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5">
        <f>IF(K1135=1,'ORDENES'!$J1131,"")</f>
        <v/>
      </c>
    </row>
    <row r="1136">
      <c r="K1136" s="5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5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5">
        <f>IF(K1136=1,'ORDENES'!$J1132,"")</f>
        <v/>
      </c>
    </row>
    <row r="1137">
      <c r="K1137" s="5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5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5">
        <f>IF(K1137=1,'ORDENES'!$J1133,"")</f>
        <v/>
      </c>
    </row>
    <row r="1138">
      <c r="K1138" s="5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5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5">
        <f>IF(K1138=1,'ORDENES'!$J1134,"")</f>
        <v/>
      </c>
    </row>
    <row r="1139">
      <c r="K1139" s="5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5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5">
        <f>IF(K1139=1,'ORDENES'!$J1135,"")</f>
        <v/>
      </c>
    </row>
    <row r="1140">
      <c r="K1140" s="5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5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5">
        <f>IF(K1140=1,'ORDENES'!$J1136,"")</f>
        <v/>
      </c>
    </row>
    <row r="1141">
      <c r="K1141" s="5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5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5">
        <f>IF(K1141=1,'ORDENES'!$J1137,"")</f>
        <v/>
      </c>
    </row>
    <row r="1142">
      <c r="K1142" s="5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5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5">
        <f>IF(K1142=1,'ORDENES'!$J1138,"")</f>
        <v/>
      </c>
    </row>
    <row r="1143">
      <c r="K1143" s="5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5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5">
        <f>IF(K1143=1,'ORDENES'!$J1139,"")</f>
        <v/>
      </c>
    </row>
    <row r="1144">
      <c r="K1144" s="5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5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5">
        <f>IF(K1144=1,'ORDENES'!$J1140,"")</f>
        <v/>
      </c>
    </row>
    <row r="1145">
      <c r="K1145" s="5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5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5">
        <f>IF(K1145=1,'ORDENES'!$J1141,"")</f>
        <v/>
      </c>
    </row>
    <row r="1146">
      <c r="K1146" s="5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5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5">
        <f>IF(K1146=1,'ORDENES'!$J1142,"")</f>
        <v/>
      </c>
    </row>
    <row r="1147">
      <c r="K1147" s="5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5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5">
        <f>IF(K1147=1,'ORDENES'!$J1143,"")</f>
        <v/>
      </c>
    </row>
    <row r="1148">
      <c r="K1148" s="5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5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5">
        <f>IF(K1148=1,'ORDENES'!$J1144,"")</f>
        <v/>
      </c>
    </row>
    <row r="1149">
      <c r="K1149" s="5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5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5">
        <f>IF(K1149=1,'ORDENES'!$J1145,"")</f>
        <v/>
      </c>
    </row>
    <row r="1150">
      <c r="K1150" s="5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5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5">
        <f>IF(K1150=1,'ORDENES'!$J1146,"")</f>
        <v/>
      </c>
    </row>
    <row r="1151">
      <c r="K1151" s="5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5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5">
        <f>IF(K1151=1,'ORDENES'!$J1147,"")</f>
        <v/>
      </c>
    </row>
    <row r="1152">
      <c r="K1152" s="5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5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5">
        <f>IF(K1152=1,'ORDENES'!$J1148,"")</f>
        <v/>
      </c>
    </row>
    <row r="1153">
      <c r="K1153" s="5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5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5">
        <f>IF(K1153=1,'ORDENES'!$J1149,"")</f>
        <v/>
      </c>
    </row>
    <row r="1154">
      <c r="K1154" s="5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5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5">
        <f>IF(K1154=1,'ORDENES'!$J1150,"")</f>
        <v/>
      </c>
    </row>
    <row r="1155">
      <c r="K1155" s="5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5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5">
        <f>IF(K1155=1,'ORDENES'!$J1151,"")</f>
        <v/>
      </c>
    </row>
    <row r="1156">
      <c r="K1156" s="5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5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5">
        <f>IF(K1156=1,'ORDENES'!$J1152,"")</f>
        <v/>
      </c>
    </row>
    <row r="1157">
      <c r="K1157" s="5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5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5">
        <f>IF(K1157=1,'ORDENES'!$J1153,"")</f>
        <v/>
      </c>
    </row>
    <row r="1158">
      <c r="K1158" s="5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5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5">
        <f>IF(K1158=1,'ORDENES'!$J1154,"")</f>
        <v/>
      </c>
    </row>
    <row r="1159">
      <c r="K1159" s="5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5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5">
        <f>IF(K1159=1,'ORDENES'!$J1155,"")</f>
        <v/>
      </c>
    </row>
    <row r="1160">
      <c r="K1160" s="5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5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5">
        <f>IF(K1160=1,'ORDENES'!$J1156,"")</f>
        <v/>
      </c>
    </row>
    <row r="1161">
      <c r="K1161" s="5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5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5">
        <f>IF(K1161=1,'ORDENES'!$J1157,"")</f>
        <v/>
      </c>
    </row>
    <row r="1162">
      <c r="K1162" s="5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5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5">
        <f>IF(K1162=1,'ORDENES'!$J1158,"")</f>
        <v/>
      </c>
    </row>
    <row r="1163">
      <c r="K1163" s="5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5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5">
        <f>IF(K1163=1,'ORDENES'!$J1159,"")</f>
        <v/>
      </c>
    </row>
    <row r="1164">
      <c r="K1164" s="5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5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5">
        <f>IF(K1164=1,'ORDENES'!$J1160,"")</f>
        <v/>
      </c>
    </row>
    <row r="1165">
      <c r="K1165" s="5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5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5">
        <f>IF(K1165=1,'ORDENES'!$J1161,"")</f>
        <v/>
      </c>
    </row>
    <row r="1166">
      <c r="K1166" s="5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5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5">
        <f>IF(K1166=1,'ORDENES'!$J1162,"")</f>
        <v/>
      </c>
    </row>
    <row r="1167">
      <c r="K1167" s="5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5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5">
        <f>IF(K1167=1,'ORDENES'!$J1163,"")</f>
        <v/>
      </c>
    </row>
    <row r="1168">
      <c r="K1168" s="5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5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5">
        <f>IF(K1168=1,'ORDENES'!$J1164,"")</f>
        <v/>
      </c>
    </row>
    <row r="1169">
      <c r="K1169" s="5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5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5">
        <f>IF(K1169=1,'ORDENES'!$J1165,"")</f>
        <v/>
      </c>
    </row>
    <row r="1170">
      <c r="K1170" s="5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5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5">
        <f>IF(K1170=1,'ORDENES'!$J1166,"")</f>
        <v/>
      </c>
    </row>
    <row r="1171">
      <c r="K1171" s="5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5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5">
        <f>IF(K1171=1,'ORDENES'!$J1167,"")</f>
        <v/>
      </c>
    </row>
    <row r="1172">
      <c r="K1172" s="5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5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5">
        <f>IF(K1172=1,'ORDENES'!$J1168,"")</f>
        <v/>
      </c>
    </row>
    <row r="1173">
      <c r="K1173" s="5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5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5">
        <f>IF(K1173=1,'ORDENES'!$J1169,"")</f>
        <v/>
      </c>
    </row>
    <row r="1174">
      <c r="K1174" s="5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5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5">
        <f>IF(K1174=1,'ORDENES'!$J1170,"")</f>
        <v/>
      </c>
    </row>
    <row r="1175">
      <c r="K1175" s="5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5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5">
        <f>IF(K1175=1,'ORDENES'!$J1171,"")</f>
        <v/>
      </c>
    </row>
    <row r="1176">
      <c r="K1176" s="5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5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5">
        <f>IF(K1176=1,'ORDENES'!$J1172,"")</f>
        <v/>
      </c>
    </row>
    <row r="1177">
      <c r="K1177" s="5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5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5">
        <f>IF(K1177=1,'ORDENES'!$J1173,"")</f>
        <v/>
      </c>
    </row>
    <row r="1178">
      <c r="K1178" s="5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5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5">
        <f>IF(K1178=1,'ORDENES'!$J1174,"")</f>
        <v/>
      </c>
    </row>
    <row r="1179">
      <c r="K1179" s="5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5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5">
        <f>IF(K1179=1,'ORDENES'!$J1175,"")</f>
        <v/>
      </c>
    </row>
    <row r="1180">
      <c r="K1180" s="5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5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5">
        <f>IF(K1180=1,'ORDENES'!$J1176,"")</f>
        <v/>
      </c>
    </row>
    <row r="1181">
      <c r="K1181" s="5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5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5">
        <f>IF(K1181=1,'ORDENES'!$J1177,"")</f>
        <v/>
      </c>
    </row>
    <row r="1182">
      <c r="K1182" s="5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5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5">
        <f>IF(K1182=1,'ORDENES'!$J1178,"")</f>
        <v/>
      </c>
    </row>
    <row r="1183">
      <c r="K1183" s="5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5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5">
        <f>IF(K1183=1,'ORDENES'!$J1179,"")</f>
        <v/>
      </c>
    </row>
    <row r="1184">
      <c r="K1184" s="5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5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5">
        <f>IF(K1184=1,'ORDENES'!$J1180,"")</f>
        <v/>
      </c>
    </row>
    <row r="1185">
      <c r="K1185" s="5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5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5">
        <f>IF(K1185=1,'ORDENES'!$J1181,"")</f>
        <v/>
      </c>
    </row>
    <row r="1186">
      <c r="K1186" s="5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5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5">
        <f>IF(K1186=1,'ORDENES'!$J1182,"")</f>
        <v/>
      </c>
    </row>
    <row r="1187">
      <c r="K1187" s="5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5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5">
        <f>IF(K1187=1,'ORDENES'!$J1183,"")</f>
        <v/>
      </c>
    </row>
    <row r="1188">
      <c r="K1188" s="5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5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5">
        <f>IF(K1188=1,'ORDENES'!$J1184,"")</f>
        <v/>
      </c>
    </row>
    <row r="1189">
      <c r="K1189" s="5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5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5">
        <f>IF(K1189=1,'ORDENES'!$J1185,"")</f>
        <v/>
      </c>
    </row>
    <row r="1190">
      <c r="K1190" s="5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5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5">
        <f>IF(K1190=1,'ORDENES'!$J1186,"")</f>
        <v/>
      </c>
    </row>
    <row r="1191">
      <c r="K1191" s="5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5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5">
        <f>IF(K1191=1,'ORDENES'!$J1187,"")</f>
        <v/>
      </c>
    </row>
    <row r="1192">
      <c r="K1192" s="5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5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5">
        <f>IF(K1192=1,'ORDENES'!$J1188,"")</f>
        <v/>
      </c>
    </row>
    <row r="1193">
      <c r="K1193" s="5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5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5">
        <f>IF(K1193=1,'ORDENES'!$J1189,"")</f>
        <v/>
      </c>
    </row>
    <row r="1194">
      <c r="K1194" s="5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5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5">
        <f>IF(K1194=1,'ORDENES'!$J1190,"")</f>
        <v/>
      </c>
    </row>
    <row r="1195">
      <c r="K1195" s="5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5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5">
        <f>IF(K1195=1,'ORDENES'!$J1191,"")</f>
        <v/>
      </c>
    </row>
    <row r="1196">
      <c r="K1196" s="5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5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5">
        <f>IF(K1196=1,'ORDENES'!$J1192,"")</f>
        <v/>
      </c>
    </row>
    <row r="1197">
      <c r="K1197" s="5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5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5">
        <f>IF(K1197=1,'ORDENES'!$J1193,"")</f>
        <v/>
      </c>
    </row>
    <row r="1198">
      <c r="K1198" s="5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5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5">
        <f>IF(K1198=1,'ORDENES'!$J1194,"")</f>
        <v/>
      </c>
    </row>
    <row r="1199">
      <c r="K1199" s="5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5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5">
        <f>IF(K1199=1,'ORDENES'!$J1195,"")</f>
        <v/>
      </c>
    </row>
    <row r="1200">
      <c r="K1200" s="5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5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5">
        <f>IF(K1200=1,'ORDENES'!$J1196,"")</f>
        <v/>
      </c>
    </row>
    <row r="1201">
      <c r="K1201" s="5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5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5">
        <f>IF(K1201=1,'ORDENES'!$J1197,"")</f>
        <v/>
      </c>
    </row>
    <row r="1202">
      <c r="K1202" s="5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5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5">
        <f>IF(K1202=1,'ORDENES'!$J1198,"")</f>
        <v/>
      </c>
    </row>
    <row r="1203">
      <c r="K1203" s="5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5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5">
        <f>IF(K1203=1,'ORDENES'!$J1199,"")</f>
        <v/>
      </c>
    </row>
    <row r="1204">
      <c r="K1204" s="5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5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5">
        <f>IF(K1204=1,'ORDENES'!$J1200,"")</f>
        <v/>
      </c>
    </row>
    <row r="1205">
      <c r="K1205" s="5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5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5">
        <f>IF(K1205=1,'ORDENES'!$J1201,"")</f>
        <v/>
      </c>
    </row>
    <row r="1206">
      <c r="K1206" s="5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5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5">
        <f>IF(K1206=1,'ORDENES'!$J1202,"")</f>
        <v/>
      </c>
    </row>
    <row r="1207">
      <c r="K1207" s="5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5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5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14" t="inlineStr">
        <is>
          <t>horas_efectivas</t>
        </is>
      </c>
      <c r="N3" s="14" t="inlineStr">
        <is>
          <t>estado</t>
        </is>
      </c>
      <c r="O3" s="14" t="inlineStr">
        <is>
          <t>semana</t>
        </is>
      </c>
      <c r="P3" s="14" t="inlineStr">
        <is>
          <t>anio</t>
        </is>
      </c>
      <c r="Q3" s="14" t="inlineStr">
        <is>
          <t>mes</t>
        </is>
      </c>
      <c r="R3" s="14" t="inlineStr">
        <is>
          <t>mes_clave</t>
        </is>
      </c>
      <c r="S3" s="14" t="inlineStr">
        <is>
          <t>dia_semana</t>
        </is>
      </c>
      <c r="T3" s="14" t="inlineStr">
        <is>
          <t>es_habil</t>
        </is>
      </c>
      <c r="U3" s="14" t="inlineStr">
        <is>
          <t>clasificacion</t>
        </is>
      </c>
      <c r="V3" s="14" t="inlineStr">
        <is>
          <t>clase_mantenimiento</t>
        </is>
      </c>
      <c r="W3" s="14" t="inlineStr">
        <is>
          <t>rubro</t>
        </is>
      </c>
      <c r="X3" s="14" t="inlineStr">
        <is>
          <t>linea</t>
        </is>
      </c>
      <c r="Y3" s="14" t="inlineStr">
        <is>
          <t>area</t>
        </is>
      </c>
      <c r="Z3" s="14" t="inlineStr">
        <is>
          <t>sub_area</t>
        </is>
      </c>
      <c r="AA3" s="14" t="inlineStr">
        <is>
          <t>coordinador</t>
        </is>
      </c>
      <c r="AB3" s="14" t="inlineStr">
        <is>
          <t>especialidad</t>
        </is>
      </c>
      <c r="AC3" s="14" t="inlineStr">
        <is>
          <t>actividad</t>
        </is>
      </c>
      <c r="AD3" s="14" t="inlineStr">
        <is>
          <t>backlog_dias</t>
        </is>
      </c>
      <c r="AE3" s="14" t="inlineStr">
        <is>
          <t>backlog_habiles</t>
        </is>
      </c>
      <c r="AF3" s="14" t="inlineStr">
        <is>
          <t>estado_backlog</t>
        </is>
      </c>
      <c r="AG3" s="14" t="inlineStr">
        <is>
          <t>en_plan</t>
        </is>
      </c>
      <c r="AH3" s="14" t="inlineStr">
        <is>
          <t>tecnico_asignado</t>
        </is>
      </c>
      <c r="AI3" s="14" t="inlineStr">
        <is>
          <t>turno_asignado</t>
        </is>
      </c>
      <c r="AJ3" s="14" t="inlineStr">
        <is>
          <t>HHA</t>
        </is>
      </c>
      <c r="AK3" s="14" t="inlineStr">
        <is>
          <t>HHD</t>
        </is>
      </c>
      <c r="AL3" s="14" t="inlineStr">
        <is>
          <t>costo_servicio</t>
        </is>
      </c>
      <c r="AM3" s="14" t="inlineStr">
        <is>
          <t>costo_materiales</t>
        </is>
      </c>
      <c r="AN3" s="14" t="inlineStr">
        <is>
          <t>costo_total</t>
        </is>
      </c>
      <c r="AO3" s="14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14" t="inlineStr">
        <is>
          <t>abrir_checklist</t>
        </is>
      </c>
      <c r="AT3" s="14" t="inlineStr">
        <is>
          <t>observaciones</t>
        </is>
      </c>
      <c r="AU3" s="14" t="inlineStr">
        <is>
          <t>id_operacion</t>
        </is>
      </c>
    </row>
    <row r="4">
      <c r="A4" s="27" t="inlineStr">
        <is>
          <t>OT-EJEMPLO-001</t>
        </is>
      </c>
      <c r="B4" s="27" t="inlineStr">
        <is>
          <t>0010</t>
        </is>
      </c>
      <c r="C4" s="27" t="inlineStr">
        <is>
          <t>EJEMPLO — BORRAR ANTES DE USAR — Inspección de rutina</t>
        </is>
      </c>
      <c r="D4" s="27" t="inlineStr">
        <is>
          <t>EJEMPLO — BORRAR ANTES DE USAR — Inspección de rutina en EQ-EJEMPLO</t>
        </is>
      </c>
      <c r="E4" s="27" t="inlineStr">
        <is>
          <t>EQ-EJEMPLO</t>
        </is>
      </c>
      <c r="F4" s="27" t="inlineStr">
        <is>
          <t>CC-110</t>
        </is>
      </c>
      <c r="G4" s="27" t="inlineStr">
        <is>
          <t>PU-MEC</t>
        </is>
      </c>
      <c r="H4" s="27" t="inlineStr">
        <is>
          <t>ACT-01</t>
        </is>
      </c>
      <c r="I4" s="27" t="inlineStr">
        <is>
          <t>TIPO-P1</t>
        </is>
      </c>
      <c r="J4" s="28" t="n">
        <v>46230</v>
      </c>
      <c r="K4" s="27" t="n">
        <v>6</v>
      </c>
      <c r="L4" s="29" t="n">
        <v>150</v>
      </c>
      <c r="M4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27">
        <f>IF(tblOrdenes[[#This Row],[fecha_inicio]]="","",YEAR(tblOrdenes[[#This Row],[fecha_inicio]]))</f>
        <v/>
      </c>
      <c r="Q4" s="27">
        <f>IF(tblOrdenes[[#This Row],[fecha_inicio]]="","",MONTH(tblOrdenes[[#This Row],[fecha_inicio]]))</f>
        <v/>
      </c>
      <c r="R4" s="27">
        <f>IF(tblOrdenes[[#This Row],[fecha_inicio]]="","",tblOrdenes[[#This Row],[anio]]&amp;"-"&amp;TEXT(tblOrdenes[[#This Row],[mes]],"00"))</f>
        <v/>
      </c>
      <c r="S4" s="27">
        <f>IF(tblOrdenes[[#This Row],[fecha_inicio]]="","",INDEX(lista_dias,WEEKDAY(tblOrdenes[[#This Row],[fecha_inicio]],2)))</f>
        <v/>
      </c>
      <c r="T4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27">
        <f>IF(tblOrdenes[[#This Row],[tipo_ot]]="","",_xlfn.XLOOKUP(tblOrdenes[[#This Row],[tipo_ot]],tblTiposOT[codigo],tblTiposOT[clasificacion],"sin_clasificar"))</f>
        <v/>
      </c>
      <c r="V4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27">
        <f>IF(tblOrdenes[[#This Row],[centro_costo]]="","",_xlfn.XLOOKUP(tblOrdenes[[#This Row],[centro_costo]],tblCECO[codigo],tblCECO[linea],"(sin catálogo)"))</f>
        <v/>
      </c>
      <c r="Y4" s="27">
        <f>IF(tblOrdenes[[#This Row],[centro_costo]]="","",_xlfn.XLOOKUP(tblOrdenes[[#This Row],[centro_costo]],tblCECO[codigo],tblCECO[area],"(sin catálogo)"))</f>
        <v/>
      </c>
      <c r="Z4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27">
        <f>IF(tblOrdenes[[#This Row],[centro_costo]]="","",_xlfn.XLOOKUP(tblOrdenes[[#This Row],[centro_costo]],tblCECO[codigo],tblCECO[coordinador],"(sin catálogo)"))</f>
        <v/>
      </c>
      <c r="AB4" s="27">
        <f>IF(tblOrdenes[[#This Row],[puesto_trabajo]]="","",_xlfn.XLOOKUP(tblOrdenes[[#This Row],[puesto_trabajo]],tblPuestos[codigo],tblPuestos[especialidad],"(sin catálogo)"))</f>
        <v/>
      </c>
      <c r="AC4" s="27">
        <f>IF(tblOrdenes[[#This Row],[cod_actividad]]="","",_xlfn.XLOOKUP(tblOrdenes[[#This Row],[cod_actividad]],tblActividades[codigo],tblActividades[descripcion],"(sin catálogo)"))</f>
        <v/>
      </c>
      <c r="AD4" s="30">
        <f>IF(tblOrdenes[[#This Row],[fecha_inicio]]="","",TODAY()-tblOrdenes[[#This Row],[fecha_inicio]])</f>
        <v/>
      </c>
      <c r="AE4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27">
        <f>IF(tblOrdenes[[#This Row],[backlog_habiles]]="","",IF(tblOrdenes[[#This Row],[backlog_habiles]]&lt;0,"FUTURO",IF(tblOrdenes[[#This Row],[backlog_habiles]]&gt;p_dias_backlog_max,"BACKLOG","MES CORRIENTE")))</f>
        <v/>
      </c>
      <c r="AG4" s="27">
        <f>IF(tblOrdenes[[#This Row],[backlog_habiles]]="",FALSE,AND(tblOrdenes[[#This Row],[backlog_habiles]]&gt;p_dias_backlog_min,tblOrdenes[[#This Row],[backlog_habiles]]&lt;=p_dias_backlog_max))</f>
        <v/>
      </c>
      <c r="AH4" s="31" t="inlineStr">
        <is>
          <t>Carlos Pérez</t>
        </is>
      </c>
      <c r="AI4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29">
        <f>IF(tblOrdenes[[#This Row],[orden]]="","",_xlfn.XLOOKUP(tblOrdenes[[#This Row],[id_operacion]],tblEjecucion[id_operacion],tblEjecucion[precio],0))</f>
        <v/>
      </c>
      <c r="AM4" s="29">
        <f>IF(tblOrdenes[[#This Row],[orden]]="","",MAX(0,_xlfn.XLOOKUP(tblOrdenes[[#This Row],[id_operacion]],tblEjecucion[id_operacion],tblEjecucion[costo_plan_total],0)-tblOrdenes[[#This Row],[costo_servicio]]))</f>
        <v/>
      </c>
      <c r="AN4" s="29">
        <f>IF(tblOrdenes[[#This Row],[orden]]="","",tblOrdenes[[#This Row],[costo_servicio]]+tblOrdenes[[#This Row],[costo_materiales]])</f>
        <v/>
      </c>
      <c r="AO4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31" t="inlineStr"/>
      <c r="AQ4" s="31" t="inlineStr"/>
      <c r="AR4" s="31" t="inlineStr"/>
      <c r="AS4" s="27">
        <f>IF(tblOrdenes[[#This Row],[link_checklist]]="","",HYPERLINK(p_ruta_base_checklists&amp;tblOrdenes[[#This Row],[link_checklist]],"abrir"))</f>
        <v/>
      </c>
      <c r="AT4" s="31" t="inlineStr">
        <is>
          <t>EJEMPLO — BORRAR ANTES DE USAR</t>
        </is>
      </c>
      <c r="AU4" s="27">
        <f>IF(tblOrdenes[[#This Row],[orden]]="","",tblOrdenes[[#This Row],[orden]]&amp;IF(tblOrdenes[[#This Row],[operacion]]="","0010",tblOrdenes[[#This Row],[operacion]]))</f>
        <v/>
      </c>
    </row>
    <row r="5">
      <c r="A5" s="27" t="inlineStr">
        <is>
          <t>OT-EJEMPLO-002</t>
        </is>
      </c>
      <c r="B5" s="27" t="inlineStr">
        <is>
          <t>0010</t>
        </is>
      </c>
      <c r="C5" s="27" t="inlineStr">
        <is>
          <t>EJEMPLO — BORRAR ANTES DE USAR — Lubricación programada</t>
        </is>
      </c>
      <c r="D5" s="27" t="inlineStr">
        <is>
          <t>EJEMPLO — BORRAR ANTES DE USAR — Lubricación programada en EQ-EJEMPLO</t>
        </is>
      </c>
      <c r="E5" s="27" t="inlineStr">
        <is>
          <t>EQ-EJEMPLO</t>
        </is>
      </c>
      <c r="F5" s="27" t="inlineStr">
        <is>
          <t>CC-110</t>
        </is>
      </c>
      <c r="G5" s="27" t="inlineStr">
        <is>
          <t>PU-MEC</t>
        </is>
      </c>
      <c r="H5" s="27" t="inlineStr">
        <is>
          <t>ACT-02</t>
        </is>
      </c>
      <c r="I5" s="27" t="inlineStr">
        <is>
          <t>TIPO-P1</t>
        </is>
      </c>
      <c r="J5" s="28" t="n">
        <v>46231</v>
      </c>
      <c r="K5" s="27" t="n">
        <v>4</v>
      </c>
      <c r="L5" s="29" t="n">
        <v>100</v>
      </c>
      <c r="M5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27">
        <f>IF(tblOrdenes[[#This Row],[fecha_inicio]]="","",YEAR(tblOrdenes[[#This Row],[fecha_inicio]]))</f>
        <v/>
      </c>
      <c r="Q5" s="27">
        <f>IF(tblOrdenes[[#This Row],[fecha_inicio]]="","",MONTH(tblOrdenes[[#This Row],[fecha_inicio]]))</f>
        <v/>
      </c>
      <c r="R5" s="27">
        <f>IF(tblOrdenes[[#This Row],[fecha_inicio]]="","",tblOrdenes[[#This Row],[anio]]&amp;"-"&amp;TEXT(tblOrdenes[[#This Row],[mes]],"00"))</f>
        <v/>
      </c>
      <c r="S5" s="27">
        <f>IF(tblOrdenes[[#This Row],[fecha_inicio]]="","",INDEX(lista_dias,WEEKDAY(tblOrdenes[[#This Row],[fecha_inicio]],2)))</f>
        <v/>
      </c>
      <c r="T5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27">
        <f>IF(tblOrdenes[[#This Row],[tipo_ot]]="","",_xlfn.XLOOKUP(tblOrdenes[[#This Row],[tipo_ot]],tblTiposOT[codigo],tblTiposOT[clasificacion],"sin_clasificar"))</f>
        <v/>
      </c>
      <c r="V5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27">
        <f>IF(tblOrdenes[[#This Row],[centro_costo]]="","",_xlfn.XLOOKUP(tblOrdenes[[#This Row],[centro_costo]],tblCECO[codigo],tblCECO[linea],"(sin catálogo)"))</f>
        <v/>
      </c>
      <c r="Y5" s="27">
        <f>IF(tblOrdenes[[#This Row],[centro_costo]]="","",_xlfn.XLOOKUP(tblOrdenes[[#This Row],[centro_costo]],tblCECO[codigo],tblCECO[area],"(sin catálogo)"))</f>
        <v/>
      </c>
      <c r="Z5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27">
        <f>IF(tblOrdenes[[#This Row],[centro_costo]]="","",_xlfn.XLOOKUP(tblOrdenes[[#This Row],[centro_costo]],tblCECO[codigo],tblCECO[coordinador],"(sin catálogo)"))</f>
        <v/>
      </c>
      <c r="AB5" s="27">
        <f>IF(tblOrdenes[[#This Row],[puesto_trabajo]]="","",_xlfn.XLOOKUP(tblOrdenes[[#This Row],[puesto_trabajo]],tblPuestos[codigo],tblPuestos[especialidad],"(sin catálogo)"))</f>
        <v/>
      </c>
      <c r="AC5" s="27">
        <f>IF(tblOrdenes[[#This Row],[cod_actividad]]="","",_xlfn.XLOOKUP(tblOrdenes[[#This Row],[cod_actividad]],tblActividades[codigo],tblActividades[descripcion],"(sin catálogo)"))</f>
        <v/>
      </c>
      <c r="AD5" s="30">
        <f>IF(tblOrdenes[[#This Row],[fecha_inicio]]="","",TODAY()-tblOrdenes[[#This Row],[fecha_inicio]])</f>
        <v/>
      </c>
      <c r="AE5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27">
        <f>IF(tblOrdenes[[#This Row],[backlog_habiles]]="","",IF(tblOrdenes[[#This Row],[backlog_habiles]]&lt;0,"FUTURO",IF(tblOrdenes[[#This Row],[backlog_habiles]]&gt;p_dias_backlog_max,"BACKLOG","MES CORRIENTE")))</f>
        <v/>
      </c>
      <c r="AG5" s="27">
        <f>IF(tblOrdenes[[#This Row],[backlog_habiles]]="",FALSE,AND(tblOrdenes[[#This Row],[backlog_habiles]]&gt;p_dias_backlog_min,tblOrdenes[[#This Row],[backlog_habiles]]&lt;=p_dias_backlog_max))</f>
        <v/>
      </c>
      <c r="AH5" s="31" t="inlineStr">
        <is>
          <t>Carlos Pérez</t>
        </is>
      </c>
      <c r="AI5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29">
        <f>IF(tblOrdenes[[#This Row],[orden]]="","",_xlfn.XLOOKUP(tblOrdenes[[#This Row],[id_operacion]],tblEjecucion[id_operacion],tblEjecucion[precio],0))</f>
        <v/>
      </c>
      <c r="AM5" s="29">
        <f>IF(tblOrdenes[[#This Row],[orden]]="","",MAX(0,_xlfn.XLOOKUP(tblOrdenes[[#This Row],[id_operacion]],tblEjecucion[id_operacion],tblEjecucion[costo_plan_total],0)-tblOrdenes[[#This Row],[costo_servicio]]))</f>
        <v/>
      </c>
      <c r="AN5" s="29">
        <f>IF(tblOrdenes[[#This Row],[orden]]="","",tblOrdenes[[#This Row],[costo_servicio]]+tblOrdenes[[#This Row],[costo_materiales]])</f>
        <v/>
      </c>
      <c r="AO5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31" t="inlineStr"/>
      <c r="AQ5" s="31" t="inlineStr"/>
      <c r="AR5" s="31" t="inlineStr"/>
      <c r="AS5" s="27">
        <f>IF(tblOrdenes[[#This Row],[link_checklist]]="","",HYPERLINK(p_ruta_base_checklists&amp;tblOrdenes[[#This Row],[link_checklist]],"abrir"))</f>
        <v/>
      </c>
      <c r="AT5" s="31" t="inlineStr">
        <is>
          <t>EJEMPLO — BORRAR ANTES DE USAR</t>
        </is>
      </c>
      <c r="AU5" s="27">
        <f>IF(tblOrdenes[[#This Row],[orden]]="","",tblOrdenes[[#This Row],[orden]]&amp;IF(tblOrdenes[[#This Row],[operacion]]="","0010",tblOrdenes[[#This Row],[operacion]]))</f>
        <v/>
      </c>
    </row>
    <row r="6">
      <c r="A6" s="27" t="inlineStr">
        <is>
          <t>OT-EJEMPLO-003</t>
        </is>
      </c>
      <c r="B6" s="27" t="inlineStr">
        <is>
          <t>0010</t>
        </is>
      </c>
      <c r="C6" s="27" t="inlineStr">
        <is>
          <t>EJEMPLO — BORRAR ANTES DE USAR — Análisis predictivo</t>
        </is>
      </c>
      <c r="D6" s="27" t="inlineStr">
        <is>
          <t>EJEMPLO — BORRAR ANTES DE USAR — Análisis predictivo en EQ-EJEMPLO</t>
        </is>
      </c>
      <c r="E6" s="27" t="inlineStr">
        <is>
          <t>EQ-EJEMPLO</t>
        </is>
      </c>
      <c r="F6" s="27" t="inlineStr">
        <is>
          <t>CC-120</t>
        </is>
      </c>
      <c r="G6" s="27" t="inlineStr">
        <is>
          <t>PU-ELE</t>
        </is>
      </c>
      <c r="H6" s="27" t="inlineStr">
        <is>
          <t>ACT-04</t>
        </is>
      </c>
      <c r="I6" s="27" t="inlineStr">
        <is>
          <t>TIPO-P2</t>
        </is>
      </c>
      <c r="J6" s="28" t="n">
        <v>46231</v>
      </c>
      <c r="K6" s="27" t="n">
        <v>8</v>
      </c>
      <c r="L6" s="29" t="n">
        <v>200</v>
      </c>
      <c r="M6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27">
        <f>IF(tblOrdenes[[#This Row],[fecha_inicio]]="","",YEAR(tblOrdenes[[#This Row],[fecha_inicio]]))</f>
        <v/>
      </c>
      <c r="Q6" s="27">
        <f>IF(tblOrdenes[[#This Row],[fecha_inicio]]="","",MONTH(tblOrdenes[[#This Row],[fecha_inicio]]))</f>
        <v/>
      </c>
      <c r="R6" s="27">
        <f>IF(tblOrdenes[[#This Row],[fecha_inicio]]="","",tblOrdenes[[#This Row],[anio]]&amp;"-"&amp;TEXT(tblOrdenes[[#This Row],[mes]],"00"))</f>
        <v/>
      </c>
      <c r="S6" s="27">
        <f>IF(tblOrdenes[[#This Row],[fecha_inicio]]="","",INDEX(lista_dias,WEEKDAY(tblOrdenes[[#This Row],[fecha_inicio]],2)))</f>
        <v/>
      </c>
      <c r="T6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27">
        <f>IF(tblOrdenes[[#This Row],[tipo_ot]]="","",_xlfn.XLOOKUP(tblOrdenes[[#This Row],[tipo_ot]],tblTiposOT[codigo],tblTiposOT[clasificacion],"sin_clasificar"))</f>
        <v/>
      </c>
      <c r="V6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27">
        <f>IF(tblOrdenes[[#This Row],[centro_costo]]="","",_xlfn.XLOOKUP(tblOrdenes[[#This Row],[centro_costo]],tblCECO[codigo],tblCECO[linea],"(sin catálogo)"))</f>
        <v/>
      </c>
      <c r="Y6" s="27">
        <f>IF(tblOrdenes[[#This Row],[centro_costo]]="","",_xlfn.XLOOKUP(tblOrdenes[[#This Row],[centro_costo]],tblCECO[codigo],tblCECO[area],"(sin catálogo)"))</f>
        <v/>
      </c>
      <c r="Z6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27">
        <f>IF(tblOrdenes[[#This Row],[centro_costo]]="","",_xlfn.XLOOKUP(tblOrdenes[[#This Row],[centro_costo]],tblCECO[codigo],tblCECO[coordinador],"(sin catálogo)"))</f>
        <v/>
      </c>
      <c r="AB6" s="27">
        <f>IF(tblOrdenes[[#This Row],[puesto_trabajo]]="","",_xlfn.XLOOKUP(tblOrdenes[[#This Row],[puesto_trabajo]],tblPuestos[codigo],tblPuestos[especialidad],"(sin catálogo)"))</f>
        <v/>
      </c>
      <c r="AC6" s="27">
        <f>IF(tblOrdenes[[#This Row],[cod_actividad]]="","",_xlfn.XLOOKUP(tblOrdenes[[#This Row],[cod_actividad]],tblActividades[codigo],tblActividades[descripcion],"(sin catálogo)"))</f>
        <v/>
      </c>
      <c r="AD6" s="30">
        <f>IF(tblOrdenes[[#This Row],[fecha_inicio]]="","",TODAY()-tblOrdenes[[#This Row],[fecha_inicio]])</f>
        <v/>
      </c>
      <c r="AE6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27">
        <f>IF(tblOrdenes[[#This Row],[backlog_habiles]]="","",IF(tblOrdenes[[#This Row],[backlog_habiles]]&lt;0,"FUTURO",IF(tblOrdenes[[#This Row],[backlog_habiles]]&gt;p_dias_backlog_max,"BACKLOG","MES CORRIENTE")))</f>
        <v/>
      </c>
      <c r="AG6" s="27">
        <f>IF(tblOrdenes[[#This Row],[backlog_habiles]]="",FALSE,AND(tblOrdenes[[#This Row],[backlog_habiles]]&gt;p_dias_backlog_min,tblOrdenes[[#This Row],[backlog_habiles]]&lt;=p_dias_backlog_max))</f>
        <v/>
      </c>
      <c r="AH6" s="31" t="inlineStr">
        <is>
          <t>Jorge Díaz</t>
        </is>
      </c>
      <c r="AI6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29">
        <f>IF(tblOrdenes[[#This Row],[orden]]="","",_xlfn.XLOOKUP(tblOrdenes[[#This Row],[id_operacion]],tblEjecucion[id_operacion],tblEjecucion[precio],0))</f>
        <v/>
      </c>
      <c r="AM6" s="29">
        <f>IF(tblOrdenes[[#This Row],[orden]]="","",MAX(0,_xlfn.XLOOKUP(tblOrdenes[[#This Row],[id_operacion]],tblEjecucion[id_operacion],tblEjecucion[costo_plan_total],0)-tblOrdenes[[#This Row],[costo_servicio]]))</f>
        <v/>
      </c>
      <c r="AN6" s="29">
        <f>IF(tblOrdenes[[#This Row],[orden]]="","",tblOrdenes[[#This Row],[costo_servicio]]+tblOrdenes[[#This Row],[costo_materiales]])</f>
        <v/>
      </c>
      <c r="AO6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31" t="inlineStr"/>
      <c r="AQ6" s="31" t="inlineStr"/>
      <c r="AR6" s="31" t="inlineStr"/>
      <c r="AS6" s="27">
        <f>IF(tblOrdenes[[#This Row],[link_checklist]]="","",HYPERLINK(p_ruta_base_checklists&amp;tblOrdenes[[#This Row],[link_checklist]],"abrir"))</f>
        <v/>
      </c>
      <c r="AT6" s="31" t="inlineStr">
        <is>
          <t>EJEMPLO — BORRAR ANTES DE USAR</t>
        </is>
      </c>
      <c r="AU6" s="27">
        <f>IF(tblOrdenes[[#This Row],[orden]]="","",tblOrdenes[[#This Row],[orden]]&amp;IF(tblOrdenes[[#This Row],[operacion]]="","0010",tblOrdenes[[#This Row],[operacion]]))</f>
        <v/>
      </c>
    </row>
    <row r="7">
      <c r="A7" s="27" t="inlineStr">
        <is>
          <t>OT-EJEMPLO-004</t>
        </is>
      </c>
      <c r="B7" s="27" t="inlineStr">
        <is>
          <t>0010</t>
        </is>
      </c>
      <c r="C7" s="27" t="inlineStr">
        <is>
          <t>EJEMPLO — BORRAR ANTES DE USAR — Reparación de falla</t>
        </is>
      </c>
      <c r="D7" s="27" t="inlineStr">
        <is>
          <t>EJEMPLO — BORRAR ANTES DE USAR — Reparación de falla en EQ-EJEMPLO</t>
        </is>
      </c>
      <c r="E7" s="27" t="inlineStr">
        <is>
          <t>EQ-EJEMPLO</t>
        </is>
      </c>
      <c r="F7" s="27" t="inlineStr">
        <is>
          <t>CC-120</t>
        </is>
      </c>
      <c r="G7" s="27" t="inlineStr">
        <is>
          <t>PU-ELE</t>
        </is>
      </c>
      <c r="H7" s="27" t="inlineStr">
        <is>
          <t>ACT-03</t>
        </is>
      </c>
      <c r="I7" s="27" t="inlineStr">
        <is>
          <t>TIPO-C1</t>
        </is>
      </c>
      <c r="J7" s="28" t="n">
        <v>46232</v>
      </c>
      <c r="K7" s="27" t="n">
        <v>5</v>
      </c>
      <c r="L7" s="29" t="n">
        <v>200</v>
      </c>
      <c r="M7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27">
        <f>IF(tblOrdenes[[#This Row],[fecha_inicio]]="","",YEAR(tblOrdenes[[#This Row],[fecha_inicio]]))</f>
        <v/>
      </c>
      <c r="Q7" s="27">
        <f>IF(tblOrdenes[[#This Row],[fecha_inicio]]="","",MONTH(tblOrdenes[[#This Row],[fecha_inicio]]))</f>
        <v/>
      </c>
      <c r="R7" s="27">
        <f>IF(tblOrdenes[[#This Row],[fecha_inicio]]="","",tblOrdenes[[#This Row],[anio]]&amp;"-"&amp;TEXT(tblOrdenes[[#This Row],[mes]],"00"))</f>
        <v/>
      </c>
      <c r="S7" s="27">
        <f>IF(tblOrdenes[[#This Row],[fecha_inicio]]="","",INDEX(lista_dias,WEEKDAY(tblOrdenes[[#This Row],[fecha_inicio]],2)))</f>
        <v/>
      </c>
      <c r="T7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27">
        <f>IF(tblOrdenes[[#This Row],[tipo_ot]]="","",_xlfn.XLOOKUP(tblOrdenes[[#This Row],[tipo_ot]],tblTiposOT[codigo],tblTiposOT[clasificacion],"sin_clasificar"))</f>
        <v/>
      </c>
      <c r="V7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27">
        <f>IF(tblOrdenes[[#This Row],[centro_costo]]="","",_xlfn.XLOOKUP(tblOrdenes[[#This Row],[centro_costo]],tblCECO[codigo],tblCECO[linea],"(sin catálogo)"))</f>
        <v/>
      </c>
      <c r="Y7" s="27">
        <f>IF(tblOrdenes[[#This Row],[centro_costo]]="","",_xlfn.XLOOKUP(tblOrdenes[[#This Row],[centro_costo]],tblCECO[codigo],tblCECO[area],"(sin catálogo)"))</f>
        <v/>
      </c>
      <c r="Z7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27">
        <f>IF(tblOrdenes[[#This Row],[centro_costo]]="","",_xlfn.XLOOKUP(tblOrdenes[[#This Row],[centro_costo]],tblCECO[codigo],tblCECO[coordinador],"(sin catálogo)"))</f>
        <v/>
      </c>
      <c r="AB7" s="27">
        <f>IF(tblOrdenes[[#This Row],[puesto_trabajo]]="","",_xlfn.XLOOKUP(tblOrdenes[[#This Row],[puesto_trabajo]],tblPuestos[codigo],tblPuestos[especialidad],"(sin catálogo)"))</f>
        <v/>
      </c>
      <c r="AC7" s="27">
        <f>IF(tblOrdenes[[#This Row],[cod_actividad]]="","",_xlfn.XLOOKUP(tblOrdenes[[#This Row],[cod_actividad]],tblActividades[codigo],tblActividades[descripcion],"(sin catálogo)"))</f>
        <v/>
      </c>
      <c r="AD7" s="30">
        <f>IF(tblOrdenes[[#This Row],[fecha_inicio]]="","",TODAY()-tblOrdenes[[#This Row],[fecha_inicio]])</f>
        <v/>
      </c>
      <c r="AE7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27">
        <f>IF(tblOrdenes[[#This Row],[backlog_habiles]]="","",IF(tblOrdenes[[#This Row],[backlog_habiles]]&lt;0,"FUTURO",IF(tblOrdenes[[#This Row],[backlog_habiles]]&gt;p_dias_backlog_max,"BACKLOG","MES CORRIENTE")))</f>
        <v/>
      </c>
      <c r="AG7" s="27">
        <f>IF(tblOrdenes[[#This Row],[backlog_habiles]]="",FALSE,AND(tblOrdenes[[#This Row],[backlog_habiles]]&gt;p_dias_backlog_min,tblOrdenes[[#This Row],[backlog_habiles]]&lt;=p_dias_backlog_max))</f>
        <v/>
      </c>
      <c r="AH7" s="31" t="inlineStr">
        <is>
          <t>Jorge Díaz</t>
        </is>
      </c>
      <c r="AI7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29">
        <f>IF(tblOrdenes[[#This Row],[orden]]="","",_xlfn.XLOOKUP(tblOrdenes[[#This Row],[id_operacion]],tblEjecucion[id_operacion],tblEjecucion[precio],0))</f>
        <v/>
      </c>
      <c r="AM7" s="29">
        <f>IF(tblOrdenes[[#This Row],[orden]]="","",MAX(0,_xlfn.XLOOKUP(tblOrdenes[[#This Row],[id_operacion]],tblEjecucion[id_operacion],tblEjecucion[costo_plan_total],0)-tblOrdenes[[#This Row],[costo_servicio]]))</f>
        <v/>
      </c>
      <c r="AN7" s="29">
        <f>IF(tblOrdenes[[#This Row],[orden]]="","",tblOrdenes[[#This Row],[costo_servicio]]+tblOrdenes[[#This Row],[costo_materiales]])</f>
        <v/>
      </c>
      <c r="AO7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31" t="inlineStr"/>
      <c r="AQ7" s="31" t="inlineStr"/>
      <c r="AR7" s="31" t="inlineStr"/>
      <c r="AS7" s="27">
        <f>IF(tblOrdenes[[#This Row],[link_checklist]]="","",HYPERLINK(p_ruta_base_checklists&amp;tblOrdenes[[#This Row],[link_checklist]],"abrir"))</f>
        <v/>
      </c>
      <c r="AT7" s="31" t="inlineStr">
        <is>
          <t>EJEMPLO — BORRAR ANTES DE USAR</t>
        </is>
      </c>
      <c r="AU7" s="27">
        <f>IF(tblOrdenes[[#This Row],[orden]]="","",tblOrdenes[[#This Row],[orden]]&amp;IF(tblOrdenes[[#This Row],[operacion]]="","0010",tblOrdenes[[#This Row],[operacion]]))</f>
        <v/>
      </c>
    </row>
    <row r="8">
      <c r="A8" s="27" t="inlineStr">
        <is>
          <t>OT-EJEMPLO-005</t>
        </is>
      </c>
      <c r="B8" s="27" t="inlineStr">
        <is>
          <t>0010</t>
        </is>
      </c>
      <c r="C8" s="27" t="inlineStr">
        <is>
          <t>EJEMPLO — BORRAR ANTES DE USAR — Análisis predictivo</t>
        </is>
      </c>
      <c r="D8" s="27" t="inlineStr">
        <is>
          <t>EJEMPLO — BORRAR ANTES DE USAR — Análisis predictivo en EQ-EJEMPLO</t>
        </is>
      </c>
      <c r="E8" s="27" t="inlineStr">
        <is>
          <t>EQ-EJEMPLO</t>
        </is>
      </c>
      <c r="F8" s="27" t="inlineStr">
        <is>
          <t>CC-220</t>
        </is>
      </c>
      <c r="G8" s="27" t="inlineStr">
        <is>
          <t>PU-AUT</t>
        </is>
      </c>
      <c r="H8" s="27" t="inlineStr">
        <is>
          <t>ACT-04</t>
        </is>
      </c>
      <c r="I8" s="27" t="inlineStr">
        <is>
          <t>TIPO-P2</t>
        </is>
      </c>
      <c r="J8" s="28" t="n">
        <v>46233</v>
      </c>
      <c r="K8" s="27" t="n">
        <v>6</v>
      </c>
      <c r="L8" s="29" t="n">
        <v>150</v>
      </c>
      <c r="M8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27">
        <f>IF(tblOrdenes[[#This Row],[fecha_inicio]]="","",YEAR(tblOrdenes[[#This Row],[fecha_inicio]]))</f>
        <v/>
      </c>
      <c r="Q8" s="27">
        <f>IF(tblOrdenes[[#This Row],[fecha_inicio]]="","",MONTH(tblOrdenes[[#This Row],[fecha_inicio]]))</f>
        <v/>
      </c>
      <c r="R8" s="27">
        <f>IF(tblOrdenes[[#This Row],[fecha_inicio]]="","",tblOrdenes[[#This Row],[anio]]&amp;"-"&amp;TEXT(tblOrdenes[[#This Row],[mes]],"00"))</f>
        <v/>
      </c>
      <c r="S8" s="27">
        <f>IF(tblOrdenes[[#This Row],[fecha_inicio]]="","",INDEX(lista_dias,WEEKDAY(tblOrdenes[[#This Row],[fecha_inicio]],2)))</f>
        <v/>
      </c>
      <c r="T8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27">
        <f>IF(tblOrdenes[[#This Row],[tipo_ot]]="","",_xlfn.XLOOKUP(tblOrdenes[[#This Row],[tipo_ot]],tblTiposOT[codigo],tblTiposOT[clasificacion],"sin_clasificar"))</f>
        <v/>
      </c>
      <c r="V8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27">
        <f>IF(tblOrdenes[[#This Row],[centro_costo]]="","",_xlfn.XLOOKUP(tblOrdenes[[#This Row],[centro_costo]],tblCECO[codigo],tblCECO[linea],"(sin catálogo)"))</f>
        <v/>
      </c>
      <c r="Y8" s="27">
        <f>IF(tblOrdenes[[#This Row],[centro_costo]]="","",_xlfn.XLOOKUP(tblOrdenes[[#This Row],[centro_costo]],tblCECO[codigo],tblCECO[area],"(sin catálogo)"))</f>
        <v/>
      </c>
      <c r="Z8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27">
        <f>IF(tblOrdenes[[#This Row],[centro_costo]]="","",_xlfn.XLOOKUP(tblOrdenes[[#This Row],[centro_costo]],tblCECO[codigo],tblCECO[coordinador],"(sin catálogo)"))</f>
        <v/>
      </c>
      <c r="AB8" s="27">
        <f>IF(tblOrdenes[[#This Row],[puesto_trabajo]]="","",_xlfn.XLOOKUP(tblOrdenes[[#This Row],[puesto_trabajo]],tblPuestos[codigo],tblPuestos[especialidad],"(sin catálogo)"))</f>
        <v/>
      </c>
      <c r="AC8" s="27">
        <f>IF(tblOrdenes[[#This Row],[cod_actividad]]="","",_xlfn.XLOOKUP(tblOrdenes[[#This Row],[cod_actividad]],tblActividades[codigo],tblActividades[descripcion],"(sin catálogo)"))</f>
        <v/>
      </c>
      <c r="AD8" s="30">
        <f>IF(tblOrdenes[[#This Row],[fecha_inicio]]="","",TODAY()-tblOrdenes[[#This Row],[fecha_inicio]])</f>
        <v/>
      </c>
      <c r="AE8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27">
        <f>IF(tblOrdenes[[#This Row],[backlog_habiles]]="","",IF(tblOrdenes[[#This Row],[backlog_habiles]]&lt;0,"FUTURO",IF(tblOrdenes[[#This Row],[backlog_habiles]]&gt;p_dias_backlog_max,"BACKLOG","MES CORRIENTE")))</f>
        <v/>
      </c>
      <c r="AG8" s="27">
        <f>IF(tblOrdenes[[#This Row],[backlog_habiles]]="",FALSE,AND(tblOrdenes[[#This Row],[backlog_habiles]]&gt;p_dias_backlog_min,tblOrdenes[[#This Row],[backlog_habiles]]&lt;=p_dias_backlog_max))</f>
        <v/>
      </c>
      <c r="AH8" s="31" t="inlineStr">
        <is>
          <t>Daniela Medina</t>
        </is>
      </c>
      <c r="AI8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29">
        <f>IF(tblOrdenes[[#This Row],[orden]]="","",_xlfn.XLOOKUP(tblOrdenes[[#This Row],[id_operacion]],tblEjecucion[id_operacion],tblEjecucion[precio],0))</f>
        <v/>
      </c>
      <c r="AM8" s="29">
        <f>IF(tblOrdenes[[#This Row],[orden]]="","",MAX(0,_xlfn.XLOOKUP(tblOrdenes[[#This Row],[id_operacion]],tblEjecucion[id_operacion],tblEjecucion[costo_plan_total],0)-tblOrdenes[[#This Row],[costo_servicio]]))</f>
        <v/>
      </c>
      <c r="AN8" s="29">
        <f>IF(tblOrdenes[[#This Row],[orden]]="","",tblOrdenes[[#This Row],[costo_servicio]]+tblOrdenes[[#This Row],[costo_materiales]])</f>
        <v/>
      </c>
      <c r="AO8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31" t="inlineStr"/>
      <c r="AQ8" s="31" t="inlineStr"/>
      <c r="AR8" s="31" t="inlineStr"/>
      <c r="AS8" s="27">
        <f>IF(tblOrdenes[[#This Row],[link_checklist]]="","",HYPERLINK(p_ruta_base_checklists&amp;tblOrdenes[[#This Row],[link_checklist]],"abrir"))</f>
        <v/>
      </c>
      <c r="AT8" s="31" t="inlineStr">
        <is>
          <t>EJEMPLO — BORRAR ANTES DE USAR</t>
        </is>
      </c>
      <c r="AU8" s="27">
        <f>IF(tblOrdenes[[#This Row],[orden]]="","",tblOrdenes[[#This Row],[orden]]&amp;IF(tblOrdenes[[#This Row],[operacion]]="","0010",tblOrdenes[[#This Row],[operacion]]))</f>
        <v/>
      </c>
    </row>
    <row r="9">
      <c r="A9" s="27" t="inlineStr">
        <is>
          <t>OT-EJEMPLO-006</t>
        </is>
      </c>
      <c r="B9" s="27" t="inlineStr">
        <is>
          <t>0010</t>
        </is>
      </c>
      <c r="C9" s="27" t="inlineStr">
        <is>
          <t>EJEMPLO — BORRAR ANTES DE USAR — Reparación de falla</t>
        </is>
      </c>
      <c r="D9" s="27" t="inlineStr">
        <is>
          <t>EJEMPLO — BORRAR ANTES DE USAR — Reparación de falla en EQ-EJEMPLO</t>
        </is>
      </c>
      <c r="E9" s="27" t="inlineStr">
        <is>
          <t>EQ-EJEMPLO</t>
        </is>
      </c>
      <c r="F9" s="27" t="inlineStr">
        <is>
          <t>CC-210</t>
        </is>
      </c>
      <c r="G9" s="27" t="inlineStr">
        <is>
          <t>PU-MEC</t>
        </is>
      </c>
      <c r="H9" s="27" t="inlineStr">
        <is>
          <t>ACT-03</t>
        </is>
      </c>
      <c r="I9" s="27" t="inlineStr">
        <is>
          <t>TIPO-C2</t>
        </is>
      </c>
      <c r="J9" s="28" t="n">
        <v>46234</v>
      </c>
      <c r="K9" s="27" t="n">
        <v>3</v>
      </c>
      <c r="L9" s="29" t="n">
        <v>120</v>
      </c>
      <c r="M9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27">
        <f>IF(tblOrdenes[[#This Row],[fecha_inicio]]="","",YEAR(tblOrdenes[[#This Row],[fecha_inicio]]))</f>
        <v/>
      </c>
      <c r="Q9" s="27">
        <f>IF(tblOrdenes[[#This Row],[fecha_inicio]]="","",MONTH(tblOrdenes[[#This Row],[fecha_inicio]]))</f>
        <v/>
      </c>
      <c r="R9" s="27">
        <f>IF(tblOrdenes[[#This Row],[fecha_inicio]]="","",tblOrdenes[[#This Row],[anio]]&amp;"-"&amp;TEXT(tblOrdenes[[#This Row],[mes]],"00"))</f>
        <v/>
      </c>
      <c r="S9" s="27">
        <f>IF(tblOrdenes[[#This Row],[fecha_inicio]]="","",INDEX(lista_dias,WEEKDAY(tblOrdenes[[#This Row],[fecha_inicio]],2)))</f>
        <v/>
      </c>
      <c r="T9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27">
        <f>IF(tblOrdenes[[#This Row],[tipo_ot]]="","",_xlfn.XLOOKUP(tblOrdenes[[#This Row],[tipo_ot]],tblTiposOT[codigo],tblTiposOT[clasificacion],"sin_clasificar"))</f>
        <v/>
      </c>
      <c r="V9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27">
        <f>IF(tblOrdenes[[#This Row],[centro_costo]]="","",_xlfn.XLOOKUP(tblOrdenes[[#This Row],[centro_costo]],tblCECO[codigo],tblCECO[linea],"(sin catálogo)"))</f>
        <v/>
      </c>
      <c r="Y9" s="27">
        <f>IF(tblOrdenes[[#This Row],[centro_costo]]="","",_xlfn.XLOOKUP(tblOrdenes[[#This Row],[centro_costo]],tblCECO[codigo],tblCECO[area],"(sin catálogo)"))</f>
        <v/>
      </c>
      <c r="Z9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27">
        <f>IF(tblOrdenes[[#This Row],[centro_costo]]="","",_xlfn.XLOOKUP(tblOrdenes[[#This Row],[centro_costo]],tblCECO[codigo],tblCECO[coordinador],"(sin catálogo)"))</f>
        <v/>
      </c>
      <c r="AB9" s="27">
        <f>IF(tblOrdenes[[#This Row],[puesto_trabajo]]="","",_xlfn.XLOOKUP(tblOrdenes[[#This Row],[puesto_trabajo]],tblPuestos[codigo],tblPuestos[especialidad],"(sin catálogo)"))</f>
        <v/>
      </c>
      <c r="AC9" s="27">
        <f>IF(tblOrdenes[[#This Row],[cod_actividad]]="","",_xlfn.XLOOKUP(tblOrdenes[[#This Row],[cod_actividad]],tblActividades[codigo],tblActividades[descripcion],"(sin catálogo)"))</f>
        <v/>
      </c>
      <c r="AD9" s="30">
        <f>IF(tblOrdenes[[#This Row],[fecha_inicio]]="","",TODAY()-tblOrdenes[[#This Row],[fecha_inicio]])</f>
        <v/>
      </c>
      <c r="AE9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27">
        <f>IF(tblOrdenes[[#This Row],[backlog_habiles]]="","",IF(tblOrdenes[[#This Row],[backlog_habiles]]&lt;0,"FUTURO",IF(tblOrdenes[[#This Row],[backlog_habiles]]&gt;p_dias_backlog_max,"BACKLOG","MES CORRIENTE")))</f>
        <v/>
      </c>
      <c r="AG9" s="27">
        <f>IF(tblOrdenes[[#This Row],[backlog_habiles]]="",FALSE,AND(tblOrdenes[[#This Row],[backlog_habiles]]&gt;p_dias_backlog_min,tblOrdenes[[#This Row],[backlog_habiles]]&lt;=p_dias_backlog_max))</f>
        <v/>
      </c>
      <c r="AH9" s="31" t="inlineStr">
        <is>
          <t>Carlos Pérez</t>
        </is>
      </c>
      <c r="AI9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29">
        <f>IF(tblOrdenes[[#This Row],[orden]]="","",_xlfn.XLOOKUP(tblOrdenes[[#This Row],[id_operacion]],tblEjecucion[id_operacion],tblEjecucion[precio],0))</f>
        <v/>
      </c>
      <c r="AM9" s="29">
        <f>IF(tblOrdenes[[#This Row],[orden]]="","",MAX(0,_xlfn.XLOOKUP(tblOrdenes[[#This Row],[id_operacion]],tblEjecucion[id_operacion],tblEjecucion[costo_plan_total],0)-tblOrdenes[[#This Row],[costo_servicio]]))</f>
        <v/>
      </c>
      <c r="AN9" s="29">
        <f>IF(tblOrdenes[[#This Row],[orden]]="","",tblOrdenes[[#This Row],[costo_servicio]]+tblOrdenes[[#This Row],[costo_materiales]])</f>
        <v/>
      </c>
      <c r="AO9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31" t="inlineStr"/>
      <c r="AQ9" s="31" t="inlineStr"/>
      <c r="AR9" s="31" t="inlineStr"/>
      <c r="AS9" s="27">
        <f>IF(tblOrdenes[[#This Row],[link_checklist]]="","",HYPERLINK(p_ruta_base_checklists&amp;tblOrdenes[[#This Row],[link_checklist]],"abrir"))</f>
        <v/>
      </c>
      <c r="AT9" s="31" t="inlineStr">
        <is>
          <t>EJEMPLO — BORRAR ANTES DE USAR</t>
        </is>
      </c>
      <c r="AU9" s="27">
        <f>IF(tblOrdenes[[#This Row],[orden]]="","",tblOrdenes[[#This Row],[orden]]&amp;IF(tblOrdenes[[#This Row],[operacion]]="","0010",tblOrdenes[[#This Row],[operacion]]))</f>
        <v/>
      </c>
    </row>
    <row r="10">
      <c r="A10" s="27" t="inlineStr">
        <is>
          <t>OT-EJEMPLO-007</t>
        </is>
      </c>
      <c r="B10" s="27" t="inlineStr">
        <is>
          <t>0010</t>
        </is>
      </c>
      <c r="C10" s="27" t="inlineStr">
        <is>
          <t>EJEMPLO — BORRAR ANTES DE USAR — Inspección de rutina</t>
        </is>
      </c>
      <c r="D10" s="27" t="inlineStr">
        <is>
          <t>EJEMPLO — BORRAR ANTES DE USAR — Inspección de rutina en EQ-EJEMPLO</t>
        </is>
      </c>
      <c r="E10" s="27" t="inlineStr">
        <is>
          <t>EQ-EJEMPLO</t>
        </is>
      </c>
      <c r="F10" s="27" t="inlineStr">
        <is>
          <t>CC-120</t>
        </is>
      </c>
      <c r="G10" s="27" t="inlineStr">
        <is>
          <t>PU-ELE</t>
        </is>
      </c>
      <c r="H10" s="27" t="inlineStr">
        <is>
          <t>ACT-01</t>
        </is>
      </c>
      <c r="I10" s="27" t="inlineStr">
        <is>
          <t>TIPO-P1</t>
        </is>
      </c>
      <c r="J10" s="28" t="n">
        <v>46238</v>
      </c>
      <c r="K10" s="27" t="n">
        <v>4</v>
      </c>
      <c r="L10" s="29" t="n">
        <v>100</v>
      </c>
      <c r="M10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27">
        <f>IF(tblOrdenes[[#This Row],[fecha_inicio]]="","",YEAR(tblOrdenes[[#This Row],[fecha_inicio]]))</f>
        <v/>
      </c>
      <c r="Q10" s="27">
        <f>IF(tblOrdenes[[#This Row],[fecha_inicio]]="","",MONTH(tblOrdenes[[#This Row],[fecha_inicio]]))</f>
        <v/>
      </c>
      <c r="R10" s="27">
        <f>IF(tblOrdenes[[#This Row],[fecha_inicio]]="","",tblOrdenes[[#This Row],[anio]]&amp;"-"&amp;TEXT(tblOrdenes[[#This Row],[mes]],"00"))</f>
        <v/>
      </c>
      <c r="S10" s="27">
        <f>IF(tblOrdenes[[#This Row],[fecha_inicio]]="","",INDEX(lista_dias,WEEKDAY(tblOrdenes[[#This Row],[fecha_inicio]],2)))</f>
        <v/>
      </c>
      <c r="T10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27">
        <f>IF(tblOrdenes[[#This Row],[tipo_ot]]="","",_xlfn.XLOOKUP(tblOrdenes[[#This Row],[tipo_ot]],tblTiposOT[codigo],tblTiposOT[clasificacion],"sin_clasificar"))</f>
        <v/>
      </c>
      <c r="V10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27">
        <f>IF(tblOrdenes[[#This Row],[centro_costo]]="","",_xlfn.XLOOKUP(tblOrdenes[[#This Row],[centro_costo]],tblCECO[codigo],tblCECO[linea],"(sin catálogo)"))</f>
        <v/>
      </c>
      <c r="Y10" s="27">
        <f>IF(tblOrdenes[[#This Row],[centro_costo]]="","",_xlfn.XLOOKUP(tblOrdenes[[#This Row],[centro_costo]],tblCECO[codigo],tblCECO[area],"(sin catálogo)"))</f>
        <v/>
      </c>
      <c r="Z10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27">
        <f>IF(tblOrdenes[[#This Row],[centro_costo]]="","",_xlfn.XLOOKUP(tblOrdenes[[#This Row],[centro_costo]],tblCECO[codigo],tblCECO[coordinador],"(sin catálogo)"))</f>
        <v/>
      </c>
      <c r="AB10" s="27">
        <f>IF(tblOrdenes[[#This Row],[puesto_trabajo]]="","",_xlfn.XLOOKUP(tblOrdenes[[#This Row],[puesto_trabajo]],tblPuestos[codigo],tblPuestos[especialidad],"(sin catálogo)"))</f>
        <v/>
      </c>
      <c r="AC10" s="27">
        <f>IF(tblOrdenes[[#This Row],[cod_actividad]]="","",_xlfn.XLOOKUP(tblOrdenes[[#This Row],[cod_actividad]],tblActividades[codigo],tblActividades[descripcion],"(sin catálogo)"))</f>
        <v/>
      </c>
      <c r="AD10" s="30">
        <f>IF(tblOrdenes[[#This Row],[fecha_inicio]]="","",TODAY()-tblOrdenes[[#This Row],[fecha_inicio]])</f>
        <v/>
      </c>
      <c r="AE10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27">
        <f>IF(tblOrdenes[[#This Row],[backlog_habiles]]="","",IF(tblOrdenes[[#This Row],[backlog_habiles]]&lt;0,"FUTURO",IF(tblOrdenes[[#This Row],[backlog_habiles]]&gt;p_dias_backlog_max,"BACKLOG","MES CORRIENTE")))</f>
        <v/>
      </c>
      <c r="AG10" s="27">
        <f>IF(tblOrdenes[[#This Row],[backlog_habiles]]="",FALSE,AND(tblOrdenes[[#This Row],[backlog_habiles]]&gt;p_dias_backlog_min,tblOrdenes[[#This Row],[backlog_habiles]]&lt;=p_dias_backlog_max))</f>
        <v/>
      </c>
      <c r="AH10" s="31" t="inlineStr">
        <is>
          <t>Jorge Díaz</t>
        </is>
      </c>
      <c r="AI10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29">
        <f>IF(tblOrdenes[[#This Row],[orden]]="","",_xlfn.XLOOKUP(tblOrdenes[[#This Row],[id_operacion]],tblEjecucion[id_operacion],tblEjecucion[precio],0))</f>
        <v/>
      </c>
      <c r="AM10" s="29">
        <f>IF(tblOrdenes[[#This Row],[orden]]="","",MAX(0,_xlfn.XLOOKUP(tblOrdenes[[#This Row],[id_operacion]],tblEjecucion[id_operacion],tblEjecucion[costo_plan_total],0)-tblOrdenes[[#This Row],[costo_servicio]]))</f>
        <v/>
      </c>
      <c r="AN10" s="29">
        <f>IF(tblOrdenes[[#This Row],[orden]]="","",tblOrdenes[[#This Row],[costo_servicio]]+tblOrdenes[[#This Row],[costo_materiales]])</f>
        <v/>
      </c>
      <c r="AO10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31" t="inlineStr"/>
      <c r="AQ10" s="31" t="inlineStr"/>
      <c r="AR10" s="31" t="inlineStr"/>
      <c r="AS10" s="27">
        <f>IF(tblOrdenes[[#This Row],[link_checklist]]="","",HYPERLINK(p_ruta_base_checklists&amp;tblOrdenes[[#This Row],[link_checklist]],"abrir"))</f>
        <v/>
      </c>
      <c r="AT10" s="31" t="inlineStr">
        <is>
          <t>EJEMPLO — BORRAR ANTES DE USAR</t>
        </is>
      </c>
      <c r="AU10" s="27">
        <f>IF(tblOrdenes[[#This Row],[orden]]="","",tblOrdenes[[#This Row],[orden]]&amp;IF(tblOrdenes[[#This Row],[operacion]]="","0010",tblOrdenes[[#This Row],[operacion]]))</f>
        <v/>
      </c>
    </row>
    <row r="11">
      <c r="A11" s="27" t="inlineStr">
        <is>
          <t>OT-EJEMPLO-008</t>
        </is>
      </c>
      <c r="B11" s="27" t="inlineStr">
        <is>
          <t>0010</t>
        </is>
      </c>
      <c r="C11" s="27" t="inlineStr">
        <is>
          <t>EJEMPLO — BORRAR ANTES DE USAR — Certificación legal</t>
        </is>
      </c>
      <c r="D11" s="27" t="inlineStr">
        <is>
          <t>EJEMPLO — BORRAR ANTES DE USAR — Certificación legal en EQ-EJEMPLO</t>
        </is>
      </c>
      <c r="E11" s="27" t="inlineStr">
        <is>
          <t>EQ-EJEMPLO</t>
        </is>
      </c>
      <c r="F11" s="27" t="inlineStr">
        <is>
          <t>CC-310</t>
        </is>
      </c>
      <c r="G11" s="27" t="inlineStr">
        <is>
          <t>PU-TER</t>
        </is>
      </c>
      <c r="H11" s="27" t="inlineStr">
        <is>
          <t>ACT-05</t>
        </is>
      </c>
      <c r="I11" s="27" t="inlineStr">
        <is>
          <t>TIPO-P3</t>
        </is>
      </c>
      <c r="J11" s="28" t="n">
        <v>46239</v>
      </c>
      <c r="K11" s="27" t="n">
        <v>8</v>
      </c>
      <c r="L11" s="29" t="n">
        <v>200</v>
      </c>
      <c r="M11" s="27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27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27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27">
        <f>IF(tblOrdenes[[#This Row],[fecha_inicio]]="","",YEAR(tblOrdenes[[#This Row],[fecha_inicio]]))</f>
        <v/>
      </c>
      <c r="Q11" s="27">
        <f>IF(tblOrdenes[[#This Row],[fecha_inicio]]="","",MONTH(tblOrdenes[[#This Row],[fecha_inicio]]))</f>
        <v/>
      </c>
      <c r="R11" s="27">
        <f>IF(tblOrdenes[[#This Row],[fecha_inicio]]="","",tblOrdenes[[#This Row],[anio]]&amp;"-"&amp;TEXT(tblOrdenes[[#This Row],[mes]],"00"))</f>
        <v/>
      </c>
      <c r="S11" s="27">
        <f>IF(tblOrdenes[[#This Row],[fecha_inicio]]="","",INDEX(lista_dias,WEEKDAY(tblOrdenes[[#This Row],[fecha_inicio]],2)))</f>
        <v/>
      </c>
      <c r="T11" s="27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27">
        <f>IF(tblOrdenes[[#This Row],[tipo_ot]]="","",_xlfn.XLOOKUP(tblOrdenes[[#This Row],[tipo_ot]],tblTiposOT[codigo],tblTiposOT[clasificacion],"sin_clasificar"))</f>
        <v/>
      </c>
      <c r="V11" s="27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27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27">
        <f>IF(tblOrdenes[[#This Row],[centro_costo]]="","",_xlfn.XLOOKUP(tblOrdenes[[#This Row],[centro_costo]],tblCECO[codigo],tblCECO[linea],"(sin catálogo)"))</f>
        <v/>
      </c>
      <c r="Y11" s="27">
        <f>IF(tblOrdenes[[#This Row],[centro_costo]]="","",_xlfn.XLOOKUP(tblOrdenes[[#This Row],[centro_costo]],tblCECO[codigo],tblCECO[area],"(sin catálogo)"))</f>
        <v/>
      </c>
      <c r="Z11" s="27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27">
        <f>IF(tblOrdenes[[#This Row],[centro_costo]]="","",_xlfn.XLOOKUP(tblOrdenes[[#This Row],[centro_costo]],tblCECO[codigo],tblCECO[coordinador],"(sin catálogo)"))</f>
        <v/>
      </c>
      <c r="AB11" s="27">
        <f>IF(tblOrdenes[[#This Row],[puesto_trabajo]]="","",_xlfn.XLOOKUP(tblOrdenes[[#This Row],[puesto_trabajo]],tblPuestos[codigo],tblPuestos[especialidad],"(sin catálogo)"))</f>
        <v/>
      </c>
      <c r="AC11" s="27">
        <f>IF(tblOrdenes[[#This Row],[cod_actividad]]="","",_xlfn.XLOOKUP(tblOrdenes[[#This Row],[cod_actividad]],tblActividades[codigo],tblActividades[descripcion],"(sin catálogo)"))</f>
        <v/>
      </c>
      <c r="AD11" s="30">
        <f>IF(tblOrdenes[[#This Row],[fecha_inicio]]="","",TODAY()-tblOrdenes[[#This Row],[fecha_inicio]])</f>
        <v/>
      </c>
      <c r="AE11" s="3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27">
        <f>IF(tblOrdenes[[#This Row],[backlog_habiles]]="","",IF(tblOrdenes[[#This Row],[backlog_habiles]]&lt;0,"FUTURO",IF(tblOrdenes[[#This Row],[backlog_habiles]]&gt;p_dias_backlog_max,"BACKLOG","MES CORRIENTE")))</f>
        <v/>
      </c>
      <c r="AG11" s="27">
        <f>IF(tblOrdenes[[#This Row],[backlog_habiles]]="",FALSE,AND(tblOrdenes[[#This Row],[backlog_habiles]]&gt;p_dias_backlog_min,tblOrdenes[[#This Row],[backlog_habiles]]&lt;=p_dias_backlog_max))</f>
        <v/>
      </c>
      <c r="AH11" s="31" t="inlineStr"/>
      <c r="AI11" s="27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3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3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29">
        <f>IF(tblOrdenes[[#This Row],[orden]]="","",_xlfn.XLOOKUP(tblOrdenes[[#This Row],[id_operacion]],tblEjecucion[id_operacion],tblEjecucion[precio],0))</f>
        <v/>
      </c>
      <c r="AM11" s="29">
        <f>IF(tblOrdenes[[#This Row],[orden]]="","",MAX(0,_xlfn.XLOOKUP(tblOrdenes[[#This Row],[id_operacion]],tblEjecucion[id_operacion],tblEjecucion[costo_plan_total],0)-tblOrdenes[[#This Row],[costo_servicio]]))</f>
        <v/>
      </c>
      <c r="AN11" s="29">
        <f>IF(tblOrdenes[[#This Row],[orden]]="","",tblOrdenes[[#This Row],[costo_servicio]]+tblOrdenes[[#This Row],[costo_materiales]])</f>
        <v/>
      </c>
      <c r="AO11" s="27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31" t="inlineStr"/>
      <c r="AQ11" s="31" t="inlineStr"/>
      <c r="AR11" s="31" t="inlineStr"/>
      <c r="AS11" s="27">
        <f>IF(tblOrdenes[[#This Row],[link_checklist]]="","",HYPERLINK(p_ruta_base_checklists&amp;tblOrdenes[[#This Row],[link_checklist]],"abrir"))</f>
        <v/>
      </c>
      <c r="AT11" s="31" t="inlineStr">
        <is>
          <t>EJEMPLO — BORRAR ANTES DE USAR</t>
        </is>
      </c>
      <c r="AU11" s="27">
        <f>IF(tblOrdenes[[#This Row],[orden]]="","",tblOrdenes[[#This Row],[orden]]&amp;IF(tblOrdenes[[#This Row],[operacion]]="","0010",tblOrdenes[[#This Row],[operacion]]))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25" t="n"/>
      <c r="K12" s="5" t="n"/>
      <c r="L12" s="18" t="n"/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Row],[fecha_inicio]]="","",tblOrdenes[[#This Row],[anio]]&amp;"-"&amp;TEXT(tblOrdenes[[#This Row],[mes]],"00"))</f>
        <v/>
      </c>
      <c r="S12" s="5">
        <f>IF(tblOrdenes[[#This Row],[fecha_inicio]]="","",INDEX(lista_dias,WEEKDAY(tblOrdenes[[#This Row],[fecha_inicio]],2)))</f>
        <v/>
      </c>
      <c r="T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5">
        <f>IF(tblOrdenes[[#This Row],[tipo_ot]]="","",_xlfn.XLOOKUP(tblOrdenes[[#This Row],[tipo_ot]],tblTiposOT[codigo],tblTiposOT[clasificacion],"sin_clasificar"))</f>
        <v/>
      </c>
      <c r="V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5">
        <f>IF(tblOrdenes[[#This Row],[centro_costo]]="","",_xlfn.XLOOKUP(tblOrdenes[[#This Row],[centro_costo]],tblCECO[codigo],tblCECO[linea],"(sin catálogo)"))</f>
        <v/>
      </c>
      <c r="Y12" s="5">
        <f>IF(tblOrdenes[[#This Row],[centro_costo]]="","",_xlfn.XLOOKUP(tblOrdenes[[#This Row],[centro_costo]],tblCECO[codigo],tblCECO[area],"(sin catálogo)"))</f>
        <v/>
      </c>
      <c r="Z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5">
        <f>IF(tblOrdenes[[#This Row],[centro_costo]]="","",_xlfn.XLOOKUP(tblOrdenes[[#This Row],[centro_costo]],tblCECO[codigo],tblCECO[coordinador],"(sin catálogo)"))</f>
        <v/>
      </c>
      <c r="AB12" s="5">
        <f>IF(tblOrdenes[[#This Row],[puesto_trabajo]]="","",_xlfn.XLOOKUP(tblOrdenes[[#This Row],[puesto_trabajo]],tblPuestos[codigo],tblPuestos[especialidad],"(sin catálogo)"))</f>
        <v/>
      </c>
      <c r="AC12" s="5">
        <f>IF(tblOrdenes[[#This Row],[cod_actividad]]="","",_xlfn.XLOOKUP(tblOrdenes[[#This Row],[cod_actividad]],tblActividades[codigo],tblActividades[descripcion],"(sin catálogo)"))</f>
        <v/>
      </c>
      <c r="AD12" s="23">
        <f>IF(tblOrdenes[[#This Row],[fecha_inicio]]="","",TODAY()-tblOrdenes[[#This Row],[fecha_inicio]])</f>
        <v/>
      </c>
      <c r="AE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5">
        <f>IF(tblOrdenes[[#This Row],[backlog_habiles]]="","",IF(tblOrdenes[[#This Row],[backlog_habiles]]&lt;0,"FUTURO",IF(tblOrdenes[[#This Row],[backlog_habiles]]&gt;p_dias_backlog_max,"BACKLOG","MES CORRIENTE")))</f>
        <v/>
      </c>
      <c r="AG12" s="5">
        <f>IF(tblOrdenes[[#This Row],[backlog_habiles]]="",FALSE,AND(tblOrdenes[[#This Row],[backlog_habiles]]&gt;p_dias_backlog_min,tblOrdenes[[#This Row],[backlog_habiles]]&lt;=p_dias_backlog_max))</f>
        <v/>
      </c>
      <c r="AH12" s="4" t="n"/>
      <c r="AI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18">
        <f>IF(tblOrdenes[[#This Row],[orden]]="","",_xlfn.XLOOKUP(tblOrdenes[[#This Row],[id_operacion]],tblEjecucion[id_operacion],tblEjecucion[precio],0))</f>
        <v/>
      </c>
      <c r="AM12" s="18">
        <f>IF(tblOrdenes[[#This Row],[orden]]="","",MAX(0,_xlfn.XLOOKUP(tblOrdenes[[#This Row],[id_operacion]],tblEjecucion[id_operacion],tblEjecucion[costo_plan_total],0)-tblOrdenes[[#This Row],[costo_servicio]]))</f>
        <v/>
      </c>
      <c r="AN12" s="18">
        <f>IF(tblOrdenes[[#This Row],[orden]]="","",tblOrdenes[[#This Row],[costo_servicio]]+tblOrdenes[[#This Row],[costo_materiales]])</f>
        <v/>
      </c>
      <c r="AO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n"/>
      <c r="AQ12" s="4" t="n"/>
      <c r="AR12" s="4" t="n"/>
      <c r="AS12" s="5">
        <f>IF(tblOrdenes[[#This Row],[link_checklist]]="","",HYPERLINK(p_ruta_base_checklists&amp;tblOrdenes[[#This Row],[link_checklist]],"abrir"))</f>
        <v/>
      </c>
      <c r="AT12" s="4" t="n"/>
      <c r="AU12" s="5">
        <f>IF(tblOrdenes[[#This Row],[orden]]="","",tblOrdenes[[#This Row],[orden]]&amp;IF(tblOrdenes[[#This Row],[operacion]]="","0010",tblOrdenes[[#This Row],[operacion]]))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25" t="n"/>
      <c r="K13" s="5" t="n"/>
      <c r="L13" s="18" t="n"/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Row],[fecha_inicio]]="","",tblOrdenes[[#This Row],[anio]]&amp;"-"&amp;TEXT(tblOrdenes[[#This Row],[mes]],"00"))</f>
        <v/>
      </c>
      <c r="S13" s="5">
        <f>IF(tblOrdenes[[#This Row],[fecha_inicio]]="","",INDEX(lista_dias,WEEKDAY(tblOrdenes[[#This Row],[fecha_inicio]],2)))</f>
        <v/>
      </c>
      <c r="T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5">
        <f>IF(tblOrdenes[[#This Row],[tipo_ot]]="","",_xlfn.XLOOKUP(tblOrdenes[[#This Row],[tipo_ot]],tblTiposOT[codigo],tblTiposOT[clasificacion],"sin_clasificar"))</f>
        <v/>
      </c>
      <c r="V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5">
        <f>IF(tblOrdenes[[#This Row],[centro_costo]]="","",_xlfn.XLOOKUP(tblOrdenes[[#This Row],[centro_costo]],tblCECO[codigo],tblCECO[linea],"(sin catálogo)"))</f>
        <v/>
      </c>
      <c r="Y13" s="5">
        <f>IF(tblOrdenes[[#This Row],[centro_costo]]="","",_xlfn.XLOOKUP(tblOrdenes[[#This Row],[centro_costo]],tblCECO[codigo],tblCECO[area],"(sin catálogo)"))</f>
        <v/>
      </c>
      <c r="Z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5">
        <f>IF(tblOrdenes[[#This Row],[centro_costo]]="","",_xlfn.XLOOKUP(tblOrdenes[[#This Row],[centro_costo]],tblCECO[codigo],tblCECO[coordinador],"(sin catálogo)"))</f>
        <v/>
      </c>
      <c r="AB13" s="5">
        <f>IF(tblOrdenes[[#This Row],[puesto_trabajo]]="","",_xlfn.XLOOKUP(tblOrdenes[[#This Row],[puesto_trabajo]],tblPuestos[codigo],tblPuestos[especialidad],"(sin catálogo)"))</f>
        <v/>
      </c>
      <c r="AC13" s="5">
        <f>IF(tblOrdenes[[#This Row],[cod_actividad]]="","",_xlfn.XLOOKUP(tblOrdenes[[#This Row],[cod_actividad]],tblActividades[codigo],tblActividades[descripcion],"(sin catálogo)"))</f>
        <v/>
      </c>
      <c r="AD13" s="23">
        <f>IF(tblOrdenes[[#This Row],[fecha_inicio]]="","",TODAY()-tblOrdenes[[#This Row],[fecha_inicio]])</f>
        <v/>
      </c>
      <c r="AE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5">
        <f>IF(tblOrdenes[[#This Row],[backlog_habiles]]="","",IF(tblOrdenes[[#This Row],[backlog_habiles]]&lt;0,"FUTURO",IF(tblOrdenes[[#This Row],[backlog_habiles]]&gt;p_dias_backlog_max,"BACKLOG","MES CORRIENTE")))</f>
        <v/>
      </c>
      <c r="AG13" s="5">
        <f>IF(tblOrdenes[[#This Row],[backlog_habiles]]="",FALSE,AND(tblOrdenes[[#This Row],[backlog_habiles]]&gt;p_dias_backlog_min,tblOrdenes[[#This Row],[backlog_habiles]]&lt;=p_dias_backlog_max))</f>
        <v/>
      </c>
      <c r="AH13" s="4" t="n"/>
      <c r="AI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18">
        <f>IF(tblOrdenes[[#This Row],[orden]]="","",_xlfn.XLOOKUP(tblOrdenes[[#This Row],[id_operacion]],tblEjecucion[id_operacion],tblEjecucion[precio],0))</f>
        <v/>
      </c>
      <c r="AM13" s="18">
        <f>IF(tblOrdenes[[#This Row],[orden]]="","",MAX(0,_xlfn.XLOOKUP(tblOrdenes[[#This Row],[id_operacion]],tblEjecucion[id_operacion],tblEjecucion[costo_plan_total],0)-tblOrdenes[[#This Row],[costo_servicio]]))</f>
        <v/>
      </c>
      <c r="AN13" s="18">
        <f>IF(tblOrdenes[[#This Row],[orden]]="","",tblOrdenes[[#This Row],[costo_servicio]]+tblOrdenes[[#This Row],[costo_materiales]])</f>
        <v/>
      </c>
      <c r="AO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n"/>
      <c r="AQ13" s="4" t="n"/>
      <c r="AR13" s="4" t="n"/>
      <c r="AS13" s="5">
        <f>IF(tblOrdenes[[#This Row],[link_checklist]]="","",HYPERLINK(p_ruta_base_checklists&amp;tblOrdenes[[#This Row],[link_checklist]],"abrir"))</f>
        <v/>
      </c>
      <c r="AT13" s="4" t="n"/>
      <c r="AU13" s="5">
        <f>IF(tblOrdenes[[#This Row],[orden]]="","",tblOrdenes[[#This Row],[orden]]&amp;IF(tblOrdenes[[#This Row],[operacion]]="","0010",tblOrdenes[[#This Row],[operacion]]))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25" t="n"/>
      <c r="K14" s="5" t="n"/>
      <c r="L14" s="18" t="n"/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Row],[fecha_inicio]]="","",tblOrdenes[[#This Row],[anio]]&amp;"-"&amp;TEXT(tblOrdenes[[#This Row],[mes]],"00"))</f>
        <v/>
      </c>
      <c r="S14" s="5">
        <f>IF(tblOrdenes[[#This Row],[fecha_inicio]]="","",INDEX(lista_dias,WEEKDAY(tblOrdenes[[#This Row],[fecha_inicio]],2)))</f>
        <v/>
      </c>
      <c r="T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5">
        <f>IF(tblOrdenes[[#This Row],[tipo_ot]]="","",_xlfn.XLOOKUP(tblOrdenes[[#This Row],[tipo_ot]],tblTiposOT[codigo],tblTiposOT[clasificacion],"sin_clasificar"))</f>
        <v/>
      </c>
      <c r="V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5">
        <f>IF(tblOrdenes[[#This Row],[centro_costo]]="","",_xlfn.XLOOKUP(tblOrdenes[[#This Row],[centro_costo]],tblCECO[codigo],tblCECO[linea],"(sin catálogo)"))</f>
        <v/>
      </c>
      <c r="Y14" s="5">
        <f>IF(tblOrdenes[[#This Row],[centro_costo]]="","",_xlfn.XLOOKUP(tblOrdenes[[#This Row],[centro_costo]],tblCECO[codigo],tblCECO[area],"(sin catálogo)"))</f>
        <v/>
      </c>
      <c r="Z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5">
        <f>IF(tblOrdenes[[#This Row],[centro_costo]]="","",_xlfn.XLOOKUP(tblOrdenes[[#This Row],[centro_costo]],tblCECO[codigo],tblCECO[coordinador],"(sin catálogo)"))</f>
        <v/>
      </c>
      <c r="AB14" s="5">
        <f>IF(tblOrdenes[[#This Row],[puesto_trabajo]]="","",_xlfn.XLOOKUP(tblOrdenes[[#This Row],[puesto_trabajo]],tblPuestos[codigo],tblPuestos[especialidad],"(sin catálogo)"))</f>
        <v/>
      </c>
      <c r="AC14" s="5">
        <f>IF(tblOrdenes[[#This Row],[cod_actividad]]="","",_xlfn.XLOOKUP(tblOrdenes[[#This Row],[cod_actividad]],tblActividades[codigo],tblActividades[descripcion],"(sin catálogo)"))</f>
        <v/>
      </c>
      <c r="AD14" s="23">
        <f>IF(tblOrdenes[[#This Row],[fecha_inicio]]="","",TODAY()-tblOrdenes[[#This Row],[fecha_inicio]])</f>
        <v/>
      </c>
      <c r="AE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5">
        <f>IF(tblOrdenes[[#This Row],[backlog_habiles]]="","",IF(tblOrdenes[[#This Row],[backlog_habiles]]&lt;0,"FUTURO",IF(tblOrdenes[[#This Row],[backlog_habiles]]&gt;p_dias_backlog_max,"BACKLOG","MES CORRIENTE")))</f>
        <v/>
      </c>
      <c r="AG14" s="5">
        <f>IF(tblOrdenes[[#This Row],[backlog_habiles]]="",FALSE,AND(tblOrdenes[[#This Row],[backlog_habiles]]&gt;p_dias_backlog_min,tblOrdenes[[#This Row],[backlog_habiles]]&lt;=p_dias_backlog_max))</f>
        <v/>
      </c>
      <c r="AH14" s="4" t="n"/>
      <c r="AI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18">
        <f>IF(tblOrdenes[[#This Row],[orden]]="","",_xlfn.XLOOKUP(tblOrdenes[[#This Row],[id_operacion]],tblEjecucion[id_operacion],tblEjecucion[precio],0))</f>
        <v/>
      </c>
      <c r="AM14" s="18">
        <f>IF(tblOrdenes[[#This Row],[orden]]="","",MAX(0,_xlfn.XLOOKUP(tblOrdenes[[#This Row],[id_operacion]],tblEjecucion[id_operacion],tblEjecucion[costo_plan_total],0)-tblOrdenes[[#This Row],[costo_servicio]]))</f>
        <v/>
      </c>
      <c r="AN14" s="18">
        <f>IF(tblOrdenes[[#This Row],[orden]]="","",tblOrdenes[[#This Row],[costo_servicio]]+tblOrdenes[[#This Row],[costo_materiales]])</f>
        <v/>
      </c>
      <c r="AO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n"/>
      <c r="AQ14" s="4" t="n"/>
      <c r="AR14" s="4" t="n"/>
      <c r="AS14" s="5">
        <f>IF(tblOrdenes[[#This Row],[link_checklist]]="","",HYPERLINK(p_ruta_base_checklists&amp;tblOrdenes[[#This Row],[link_checklist]],"abrir"))</f>
        <v/>
      </c>
      <c r="AT14" s="4" t="n"/>
      <c r="AU14" s="5">
        <f>IF(tblOrdenes[[#This Row],[orden]]="","",tblOrdenes[[#This Row],[orden]]&amp;IF(tblOrdenes[[#This Row],[operacion]]="","0010",tblOrdenes[[#This Row],[operacion]]))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25" t="n"/>
      <c r="K15" s="5" t="n"/>
      <c r="L15" s="18" t="n"/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Row],[fecha_inicio]]="","",tblOrdenes[[#This Row],[anio]]&amp;"-"&amp;TEXT(tblOrdenes[[#This Row],[mes]],"00"))</f>
        <v/>
      </c>
      <c r="S15" s="5">
        <f>IF(tblOrdenes[[#This Row],[fecha_inicio]]="","",INDEX(lista_dias,WEEKDAY(tblOrdenes[[#This Row],[fecha_inicio]],2)))</f>
        <v/>
      </c>
      <c r="T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5">
        <f>IF(tblOrdenes[[#This Row],[tipo_ot]]="","",_xlfn.XLOOKUP(tblOrdenes[[#This Row],[tipo_ot]],tblTiposOT[codigo],tblTiposOT[clasificacion],"sin_clasificar"))</f>
        <v/>
      </c>
      <c r="V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5">
        <f>IF(tblOrdenes[[#This Row],[centro_costo]]="","",_xlfn.XLOOKUP(tblOrdenes[[#This Row],[centro_costo]],tblCECO[codigo],tblCECO[linea],"(sin catálogo)"))</f>
        <v/>
      </c>
      <c r="Y15" s="5">
        <f>IF(tblOrdenes[[#This Row],[centro_costo]]="","",_xlfn.XLOOKUP(tblOrdenes[[#This Row],[centro_costo]],tblCECO[codigo],tblCECO[area],"(sin catálogo)"))</f>
        <v/>
      </c>
      <c r="Z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5">
        <f>IF(tblOrdenes[[#This Row],[centro_costo]]="","",_xlfn.XLOOKUP(tblOrdenes[[#This Row],[centro_costo]],tblCECO[codigo],tblCECO[coordinador],"(sin catálogo)"))</f>
        <v/>
      </c>
      <c r="AB15" s="5">
        <f>IF(tblOrdenes[[#This Row],[puesto_trabajo]]="","",_xlfn.XLOOKUP(tblOrdenes[[#This Row],[puesto_trabajo]],tblPuestos[codigo],tblPuestos[especialidad],"(sin catálogo)"))</f>
        <v/>
      </c>
      <c r="AC15" s="5">
        <f>IF(tblOrdenes[[#This Row],[cod_actividad]]="","",_xlfn.XLOOKUP(tblOrdenes[[#This Row],[cod_actividad]],tblActividades[codigo],tblActividades[descripcion],"(sin catálogo)"))</f>
        <v/>
      </c>
      <c r="AD15" s="23">
        <f>IF(tblOrdenes[[#This Row],[fecha_inicio]]="","",TODAY()-tblOrdenes[[#This Row],[fecha_inicio]])</f>
        <v/>
      </c>
      <c r="AE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5">
        <f>IF(tblOrdenes[[#This Row],[backlog_habiles]]="","",IF(tblOrdenes[[#This Row],[backlog_habiles]]&lt;0,"FUTURO",IF(tblOrdenes[[#This Row],[backlog_habiles]]&gt;p_dias_backlog_max,"BACKLOG","MES CORRIENTE")))</f>
        <v/>
      </c>
      <c r="AG15" s="5">
        <f>IF(tblOrdenes[[#This Row],[backlog_habiles]]="",FALSE,AND(tblOrdenes[[#This Row],[backlog_habiles]]&gt;p_dias_backlog_min,tblOrdenes[[#This Row],[backlog_habiles]]&lt;=p_dias_backlog_max))</f>
        <v/>
      </c>
      <c r="AH15" s="4" t="n"/>
      <c r="AI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18">
        <f>IF(tblOrdenes[[#This Row],[orden]]="","",_xlfn.XLOOKUP(tblOrdenes[[#This Row],[id_operacion]],tblEjecucion[id_operacion],tblEjecucion[precio],0))</f>
        <v/>
      </c>
      <c r="AM15" s="18">
        <f>IF(tblOrdenes[[#This Row],[orden]]="","",MAX(0,_xlfn.XLOOKUP(tblOrdenes[[#This Row],[id_operacion]],tblEjecucion[id_operacion],tblEjecucion[costo_plan_total],0)-tblOrdenes[[#This Row],[costo_servicio]]))</f>
        <v/>
      </c>
      <c r="AN15" s="18">
        <f>IF(tblOrdenes[[#This Row],[orden]]="","",tblOrdenes[[#This Row],[costo_servicio]]+tblOrdenes[[#This Row],[costo_materiales]])</f>
        <v/>
      </c>
      <c r="AO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n"/>
      <c r="AQ15" s="4" t="n"/>
      <c r="AR15" s="4" t="n"/>
      <c r="AS15" s="5">
        <f>IF(tblOrdenes[[#This Row],[link_checklist]]="","",HYPERLINK(p_ruta_base_checklists&amp;tblOrdenes[[#This Row],[link_checklist]],"abrir"))</f>
        <v/>
      </c>
      <c r="AT15" s="4" t="n"/>
      <c r="AU15" s="5">
        <f>IF(tblOrdenes[[#This Row],[orden]]="","",tblOrdenes[[#This Row],[orden]]&amp;IF(tblOrdenes[[#This Row],[operacion]]="","0010",tblOrdenes[[#This Row],[operacion]]))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25" t="n"/>
      <c r="K16" s="5" t="n"/>
      <c r="L16" s="18" t="n"/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Row],[fecha_inicio]]="","",tblOrdenes[[#This Row],[anio]]&amp;"-"&amp;TEXT(tblOrdenes[[#This Row],[mes]],"00"))</f>
        <v/>
      </c>
      <c r="S16" s="5">
        <f>IF(tblOrdenes[[#This Row],[fecha_inicio]]="","",INDEX(lista_dias,WEEKDAY(tblOrdenes[[#This Row],[fecha_inicio]],2)))</f>
        <v/>
      </c>
      <c r="T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5">
        <f>IF(tblOrdenes[[#This Row],[tipo_ot]]="","",_xlfn.XLOOKUP(tblOrdenes[[#This Row],[tipo_ot]],tblTiposOT[codigo],tblTiposOT[clasificacion],"sin_clasificar"))</f>
        <v/>
      </c>
      <c r="V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5">
        <f>IF(tblOrdenes[[#This Row],[centro_costo]]="","",_xlfn.XLOOKUP(tblOrdenes[[#This Row],[centro_costo]],tblCECO[codigo],tblCECO[linea],"(sin catálogo)"))</f>
        <v/>
      </c>
      <c r="Y16" s="5">
        <f>IF(tblOrdenes[[#This Row],[centro_costo]]="","",_xlfn.XLOOKUP(tblOrdenes[[#This Row],[centro_costo]],tblCECO[codigo],tblCECO[area],"(sin catálogo)"))</f>
        <v/>
      </c>
      <c r="Z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5">
        <f>IF(tblOrdenes[[#This Row],[centro_costo]]="","",_xlfn.XLOOKUP(tblOrdenes[[#This Row],[centro_costo]],tblCECO[codigo],tblCECO[coordinador],"(sin catálogo)"))</f>
        <v/>
      </c>
      <c r="AB16" s="5">
        <f>IF(tblOrdenes[[#This Row],[puesto_trabajo]]="","",_xlfn.XLOOKUP(tblOrdenes[[#This Row],[puesto_trabajo]],tblPuestos[codigo],tblPuestos[especialidad],"(sin catálogo)"))</f>
        <v/>
      </c>
      <c r="AC16" s="5">
        <f>IF(tblOrdenes[[#This Row],[cod_actividad]]="","",_xlfn.XLOOKUP(tblOrdenes[[#This Row],[cod_actividad]],tblActividades[codigo],tblActividades[descripcion],"(sin catálogo)"))</f>
        <v/>
      </c>
      <c r="AD16" s="23">
        <f>IF(tblOrdenes[[#This Row],[fecha_inicio]]="","",TODAY()-tblOrdenes[[#This Row],[fecha_inicio]])</f>
        <v/>
      </c>
      <c r="AE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5">
        <f>IF(tblOrdenes[[#This Row],[backlog_habiles]]="","",IF(tblOrdenes[[#This Row],[backlog_habiles]]&lt;0,"FUTURO",IF(tblOrdenes[[#This Row],[backlog_habiles]]&gt;p_dias_backlog_max,"BACKLOG","MES CORRIENTE")))</f>
        <v/>
      </c>
      <c r="AG16" s="5">
        <f>IF(tblOrdenes[[#This Row],[backlog_habiles]]="",FALSE,AND(tblOrdenes[[#This Row],[backlog_habiles]]&gt;p_dias_backlog_min,tblOrdenes[[#This Row],[backlog_habiles]]&lt;=p_dias_backlog_max))</f>
        <v/>
      </c>
      <c r="AH16" s="4" t="n"/>
      <c r="AI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18">
        <f>IF(tblOrdenes[[#This Row],[orden]]="","",_xlfn.XLOOKUP(tblOrdenes[[#This Row],[id_operacion]],tblEjecucion[id_operacion],tblEjecucion[precio],0))</f>
        <v/>
      </c>
      <c r="AM16" s="18">
        <f>IF(tblOrdenes[[#This Row],[orden]]="","",MAX(0,_xlfn.XLOOKUP(tblOrdenes[[#This Row],[id_operacion]],tblEjecucion[id_operacion],tblEjecucion[costo_plan_total],0)-tblOrdenes[[#This Row],[costo_servicio]]))</f>
        <v/>
      </c>
      <c r="AN16" s="18">
        <f>IF(tblOrdenes[[#This Row],[orden]]="","",tblOrdenes[[#This Row],[costo_servicio]]+tblOrdenes[[#This Row],[costo_materiales]])</f>
        <v/>
      </c>
      <c r="AO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n"/>
      <c r="AQ16" s="4" t="n"/>
      <c r="AR16" s="4" t="n"/>
      <c r="AS16" s="5">
        <f>IF(tblOrdenes[[#This Row],[link_checklist]]="","",HYPERLINK(p_ruta_base_checklists&amp;tblOrdenes[[#This Row],[link_checklist]],"abrir"))</f>
        <v/>
      </c>
      <c r="AT16" s="4" t="n"/>
      <c r="AU16" s="5">
        <f>IF(tblOrdenes[[#This Row],[orden]]="","",tblOrdenes[[#This Row],[orden]]&amp;IF(tblOrdenes[[#This Row],[operacion]]="","0010",tblOrdenes[[#This Row],[operacion]]))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25" t="n"/>
      <c r="K17" s="5" t="n"/>
      <c r="L17" s="18" t="n"/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Row],[fecha_inicio]]="","",tblOrdenes[[#This Row],[anio]]&amp;"-"&amp;TEXT(tblOrdenes[[#This Row],[mes]],"00"))</f>
        <v/>
      </c>
      <c r="S17" s="5">
        <f>IF(tblOrdenes[[#This Row],[fecha_inicio]]="","",INDEX(lista_dias,WEEKDAY(tblOrdenes[[#This Row],[fecha_inicio]],2)))</f>
        <v/>
      </c>
      <c r="T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5">
        <f>IF(tblOrdenes[[#This Row],[tipo_ot]]="","",_xlfn.XLOOKUP(tblOrdenes[[#This Row],[tipo_ot]],tblTiposOT[codigo],tblTiposOT[clasificacion],"sin_clasificar"))</f>
        <v/>
      </c>
      <c r="V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5">
        <f>IF(tblOrdenes[[#This Row],[centro_costo]]="","",_xlfn.XLOOKUP(tblOrdenes[[#This Row],[centro_costo]],tblCECO[codigo],tblCECO[linea],"(sin catálogo)"))</f>
        <v/>
      </c>
      <c r="Y17" s="5">
        <f>IF(tblOrdenes[[#This Row],[centro_costo]]="","",_xlfn.XLOOKUP(tblOrdenes[[#This Row],[centro_costo]],tblCECO[codigo],tblCECO[area],"(sin catálogo)"))</f>
        <v/>
      </c>
      <c r="Z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5">
        <f>IF(tblOrdenes[[#This Row],[centro_costo]]="","",_xlfn.XLOOKUP(tblOrdenes[[#This Row],[centro_costo]],tblCECO[codigo],tblCECO[coordinador],"(sin catálogo)"))</f>
        <v/>
      </c>
      <c r="AB17" s="5">
        <f>IF(tblOrdenes[[#This Row],[puesto_trabajo]]="","",_xlfn.XLOOKUP(tblOrdenes[[#This Row],[puesto_trabajo]],tblPuestos[codigo],tblPuestos[especialidad],"(sin catálogo)"))</f>
        <v/>
      </c>
      <c r="AC17" s="5">
        <f>IF(tblOrdenes[[#This Row],[cod_actividad]]="","",_xlfn.XLOOKUP(tblOrdenes[[#This Row],[cod_actividad]],tblActividades[codigo],tblActividades[descripcion],"(sin catálogo)"))</f>
        <v/>
      </c>
      <c r="AD17" s="23">
        <f>IF(tblOrdenes[[#This Row],[fecha_inicio]]="","",TODAY()-tblOrdenes[[#This Row],[fecha_inicio]])</f>
        <v/>
      </c>
      <c r="AE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5">
        <f>IF(tblOrdenes[[#This Row],[backlog_habiles]]="","",IF(tblOrdenes[[#This Row],[backlog_habiles]]&lt;0,"FUTURO",IF(tblOrdenes[[#This Row],[backlog_habiles]]&gt;p_dias_backlog_max,"BACKLOG","MES CORRIENTE")))</f>
        <v/>
      </c>
      <c r="AG17" s="5">
        <f>IF(tblOrdenes[[#This Row],[backlog_habiles]]="",FALSE,AND(tblOrdenes[[#This Row],[backlog_habiles]]&gt;p_dias_backlog_min,tblOrdenes[[#This Row],[backlog_habiles]]&lt;=p_dias_backlog_max))</f>
        <v/>
      </c>
      <c r="AH17" s="4" t="n"/>
      <c r="AI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18">
        <f>IF(tblOrdenes[[#This Row],[orden]]="","",_xlfn.XLOOKUP(tblOrdenes[[#This Row],[id_operacion]],tblEjecucion[id_operacion],tblEjecucion[precio],0))</f>
        <v/>
      </c>
      <c r="AM17" s="18">
        <f>IF(tblOrdenes[[#This Row],[orden]]="","",MAX(0,_xlfn.XLOOKUP(tblOrdenes[[#This Row],[id_operacion]],tblEjecucion[id_operacion],tblEjecucion[costo_plan_total],0)-tblOrdenes[[#This Row],[costo_servicio]]))</f>
        <v/>
      </c>
      <c r="AN17" s="18">
        <f>IF(tblOrdenes[[#This Row],[orden]]="","",tblOrdenes[[#This Row],[costo_servicio]]+tblOrdenes[[#This Row],[costo_materiales]])</f>
        <v/>
      </c>
      <c r="AO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n"/>
      <c r="AQ17" s="4" t="n"/>
      <c r="AR17" s="4" t="n"/>
      <c r="AS17" s="5">
        <f>IF(tblOrdenes[[#This Row],[link_checklist]]="","",HYPERLINK(p_ruta_base_checklists&amp;tblOrdenes[[#This Row],[link_checklist]],"abrir"))</f>
        <v/>
      </c>
      <c r="AT17" s="4" t="n"/>
      <c r="AU17" s="5">
        <f>IF(tblOrdenes[[#This Row],[orden]]="","",tblOrdenes[[#This Row],[orden]]&amp;IF(tblOrdenes[[#This Row],[operacion]]="","0010",tblOrdenes[[#This Row],[operacion]]))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25" t="n"/>
      <c r="K18" s="5" t="n"/>
      <c r="L18" s="18" t="n"/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Row],[fecha_inicio]]="","",tblOrdenes[[#This Row],[anio]]&amp;"-"&amp;TEXT(tblOrdenes[[#This Row],[mes]],"00"))</f>
        <v/>
      </c>
      <c r="S18" s="5">
        <f>IF(tblOrdenes[[#This Row],[fecha_inicio]]="","",INDEX(lista_dias,WEEKDAY(tblOrdenes[[#This Row],[fecha_inicio]],2)))</f>
        <v/>
      </c>
      <c r="T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5">
        <f>IF(tblOrdenes[[#This Row],[tipo_ot]]="","",_xlfn.XLOOKUP(tblOrdenes[[#This Row],[tipo_ot]],tblTiposOT[codigo],tblTiposOT[clasificacion],"sin_clasificar"))</f>
        <v/>
      </c>
      <c r="V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5">
        <f>IF(tblOrdenes[[#This Row],[centro_costo]]="","",_xlfn.XLOOKUP(tblOrdenes[[#This Row],[centro_costo]],tblCECO[codigo],tblCECO[linea],"(sin catálogo)"))</f>
        <v/>
      </c>
      <c r="Y18" s="5">
        <f>IF(tblOrdenes[[#This Row],[centro_costo]]="","",_xlfn.XLOOKUP(tblOrdenes[[#This Row],[centro_costo]],tblCECO[codigo],tblCECO[area],"(sin catálogo)"))</f>
        <v/>
      </c>
      <c r="Z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5">
        <f>IF(tblOrdenes[[#This Row],[centro_costo]]="","",_xlfn.XLOOKUP(tblOrdenes[[#This Row],[centro_costo]],tblCECO[codigo],tblCECO[coordinador],"(sin catálogo)"))</f>
        <v/>
      </c>
      <c r="AB18" s="5">
        <f>IF(tblOrdenes[[#This Row],[puesto_trabajo]]="","",_xlfn.XLOOKUP(tblOrdenes[[#This Row],[puesto_trabajo]],tblPuestos[codigo],tblPuestos[especialidad],"(sin catálogo)"))</f>
        <v/>
      </c>
      <c r="AC18" s="5">
        <f>IF(tblOrdenes[[#This Row],[cod_actividad]]="","",_xlfn.XLOOKUP(tblOrdenes[[#This Row],[cod_actividad]],tblActividades[codigo],tblActividades[descripcion],"(sin catálogo)"))</f>
        <v/>
      </c>
      <c r="AD18" s="23">
        <f>IF(tblOrdenes[[#This Row],[fecha_inicio]]="","",TODAY()-tblOrdenes[[#This Row],[fecha_inicio]])</f>
        <v/>
      </c>
      <c r="AE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5">
        <f>IF(tblOrdenes[[#This Row],[backlog_habiles]]="","",IF(tblOrdenes[[#This Row],[backlog_habiles]]&lt;0,"FUTURO",IF(tblOrdenes[[#This Row],[backlog_habiles]]&gt;p_dias_backlog_max,"BACKLOG","MES CORRIENTE")))</f>
        <v/>
      </c>
      <c r="AG18" s="5">
        <f>IF(tblOrdenes[[#This Row],[backlog_habiles]]="",FALSE,AND(tblOrdenes[[#This Row],[backlog_habiles]]&gt;p_dias_backlog_min,tblOrdenes[[#This Row],[backlog_habiles]]&lt;=p_dias_backlog_max))</f>
        <v/>
      </c>
      <c r="AH18" s="4" t="n"/>
      <c r="AI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18">
        <f>IF(tblOrdenes[[#This Row],[orden]]="","",_xlfn.XLOOKUP(tblOrdenes[[#This Row],[id_operacion]],tblEjecucion[id_operacion],tblEjecucion[precio],0))</f>
        <v/>
      </c>
      <c r="AM18" s="18">
        <f>IF(tblOrdenes[[#This Row],[orden]]="","",MAX(0,_xlfn.XLOOKUP(tblOrdenes[[#This Row],[id_operacion]],tblEjecucion[id_operacion],tblEjecucion[costo_plan_total],0)-tblOrdenes[[#This Row],[costo_servicio]]))</f>
        <v/>
      </c>
      <c r="AN18" s="18">
        <f>IF(tblOrdenes[[#This Row],[orden]]="","",tblOrdenes[[#This Row],[costo_servicio]]+tblOrdenes[[#This Row],[costo_materiales]])</f>
        <v/>
      </c>
      <c r="AO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n"/>
      <c r="AQ18" s="4" t="n"/>
      <c r="AR18" s="4" t="n"/>
      <c r="AS18" s="5">
        <f>IF(tblOrdenes[[#This Row],[link_checklist]]="","",HYPERLINK(p_ruta_base_checklists&amp;tblOrdenes[[#This Row],[link_checklist]],"abrir"))</f>
        <v/>
      </c>
      <c r="AT18" s="4" t="n"/>
      <c r="AU18" s="5">
        <f>IF(tblOrdenes[[#This Row],[orden]]="","",tblOrdenes[[#This Row],[orden]]&amp;IF(tblOrdenes[[#This Row],[operacion]]="","0010",tblOrdenes[[#This Row],[operacion]]))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25" t="n"/>
      <c r="K19" s="5" t="n"/>
      <c r="L19" s="18" t="n"/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Row],[fecha_inicio]]="","",tblOrdenes[[#This Row],[anio]]&amp;"-"&amp;TEXT(tblOrdenes[[#This Row],[mes]],"00"))</f>
        <v/>
      </c>
      <c r="S19" s="5">
        <f>IF(tblOrdenes[[#This Row],[fecha_inicio]]="","",INDEX(lista_dias,WEEKDAY(tblOrdenes[[#This Row],[fecha_inicio]],2)))</f>
        <v/>
      </c>
      <c r="T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5">
        <f>IF(tblOrdenes[[#This Row],[tipo_ot]]="","",_xlfn.XLOOKUP(tblOrdenes[[#This Row],[tipo_ot]],tblTiposOT[codigo],tblTiposOT[clasificacion],"sin_clasificar"))</f>
        <v/>
      </c>
      <c r="V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5">
        <f>IF(tblOrdenes[[#This Row],[centro_costo]]="","",_xlfn.XLOOKUP(tblOrdenes[[#This Row],[centro_costo]],tblCECO[codigo],tblCECO[linea],"(sin catálogo)"))</f>
        <v/>
      </c>
      <c r="Y19" s="5">
        <f>IF(tblOrdenes[[#This Row],[centro_costo]]="","",_xlfn.XLOOKUP(tblOrdenes[[#This Row],[centro_costo]],tblCECO[codigo],tblCECO[area],"(sin catálogo)"))</f>
        <v/>
      </c>
      <c r="Z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5">
        <f>IF(tblOrdenes[[#This Row],[centro_costo]]="","",_xlfn.XLOOKUP(tblOrdenes[[#This Row],[centro_costo]],tblCECO[codigo],tblCECO[coordinador],"(sin catálogo)"))</f>
        <v/>
      </c>
      <c r="AB19" s="5">
        <f>IF(tblOrdenes[[#This Row],[puesto_trabajo]]="","",_xlfn.XLOOKUP(tblOrdenes[[#This Row],[puesto_trabajo]],tblPuestos[codigo],tblPuestos[especialidad],"(sin catálogo)"))</f>
        <v/>
      </c>
      <c r="AC19" s="5">
        <f>IF(tblOrdenes[[#This Row],[cod_actividad]]="","",_xlfn.XLOOKUP(tblOrdenes[[#This Row],[cod_actividad]],tblActividades[codigo],tblActividades[descripcion],"(sin catálogo)"))</f>
        <v/>
      </c>
      <c r="AD19" s="23">
        <f>IF(tblOrdenes[[#This Row],[fecha_inicio]]="","",TODAY()-tblOrdenes[[#This Row],[fecha_inicio]])</f>
        <v/>
      </c>
      <c r="AE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5">
        <f>IF(tblOrdenes[[#This Row],[backlog_habiles]]="","",IF(tblOrdenes[[#This Row],[backlog_habiles]]&lt;0,"FUTURO",IF(tblOrdenes[[#This Row],[backlog_habiles]]&gt;p_dias_backlog_max,"BACKLOG","MES CORRIENTE")))</f>
        <v/>
      </c>
      <c r="AG19" s="5">
        <f>IF(tblOrdenes[[#This Row],[backlog_habiles]]="",FALSE,AND(tblOrdenes[[#This Row],[backlog_habiles]]&gt;p_dias_backlog_min,tblOrdenes[[#This Row],[backlog_habiles]]&lt;=p_dias_backlog_max))</f>
        <v/>
      </c>
      <c r="AH19" s="4" t="n"/>
      <c r="AI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18">
        <f>IF(tblOrdenes[[#This Row],[orden]]="","",_xlfn.XLOOKUP(tblOrdenes[[#This Row],[id_operacion]],tblEjecucion[id_operacion],tblEjecucion[precio],0))</f>
        <v/>
      </c>
      <c r="AM19" s="18">
        <f>IF(tblOrdenes[[#This Row],[orden]]="","",MAX(0,_xlfn.XLOOKUP(tblOrdenes[[#This Row],[id_operacion]],tblEjecucion[id_operacion],tblEjecucion[costo_plan_total],0)-tblOrdenes[[#This Row],[costo_servicio]]))</f>
        <v/>
      </c>
      <c r="AN19" s="18">
        <f>IF(tblOrdenes[[#This Row],[orden]]="","",tblOrdenes[[#This Row],[costo_servicio]]+tblOrdenes[[#This Row],[costo_materiales]])</f>
        <v/>
      </c>
      <c r="AO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n"/>
      <c r="AQ19" s="4" t="n"/>
      <c r="AR19" s="4" t="n"/>
      <c r="AS19" s="5">
        <f>IF(tblOrdenes[[#This Row],[link_checklist]]="","",HYPERLINK(p_ruta_base_checklists&amp;tblOrdenes[[#This Row],[link_checklist]],"abrir"))</f>
        <v/>
      </c>
      <c r="AT19" s="4" t="n"/>
      <c r="AU19" s="5">
        <f>IF(tblOrdenes[[#This Row],[orden]]="","",tblOrdenes[[#This Row],[orden]]&amp;IF(tblOrdenes[[#This Row],[operacion]]="","0010",tblOrdenes[[#This Row],[operacion]]))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25" t="n"/>
      <c r="K20" s="5" t="n"/>
      <c r="L20" s="18" t="n"/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Row],[fecha_inicio]]="","",tblOrdenes[[#This Row],[anio]]&amp;"-"&amp;TEXT(tblOrdenes[[#This Row],[mes]],"00"))</f>
        <v/>
      </c>
      <c r="S20" s="5">
        <f>IF(tblOrdenes[[#This Row],[fecha_inicio]]="","",INDEX(lista_dias,WEEKDAY(tblOrdenes[[#This Row],[fecha_inicio]],2)))</f>
        <v/>
      </c>
      <c r="T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5">
        <f>IF(tblOrdenes[[#This Row],[tipo_ot]]="","",_xlfn.XLOOKUP(tblOrdenes[[#This Row],[tipo_ot]],tblTiposOT[codigo],tblTiposOT[clasificacion],"sin_clasificar"))</f>
        <v/>
      </c>
      <c r="V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5">
        <f>IF(tblOrdenes[[#This Row],[centro_costo]]="","",_xlfn.XLOOKUP(tblOrdenes[[#This Row],[centro_costo]],tblCECO[codigo],tblCECO[linea],"(sin catálogo)"))</f>
        <v/>
      </c>
      <c r="Y20" s="5">
        <f>IF(tblOrdenes[[#This Row],[centro_costo]]="","",_xlfn.XLOOKUP(tblOrdenes[[#This Row],[centro_costo]],tblCECO[codigo],tblCECO[area],"(sin catálogo)"))</f>
        <v/>
      </c>
      <c r="Z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5">
        <f>IF(tblOrdenes[[#This Row],[centro_costo]]="","",_xlfn.XLOOKUP(tblOrdenes[[#This Row],[centro_costo]],tblCECO[codigo],tblCECO[coordinador],"(sin catálogo)"))</f>
        <v/>
      </c>
      <c r="AB20" s="5">
        <f>IF(tblOrdenes[[#This Row],[puesto_trabajo]]="","",_xlfn.XLOOKUP(tblOrdenes[[#This Row],[puesto_trabajo]],tblPuestos[codigo],tblPuestos[especialidad],"(sin catálogo)"))</f>
        <v/>
      </c>
      <c r="AC20" s="5">
        <f>IF(tblOrdenes[[#This Row],[cod_actividad]]="","",_xlfn.XLOOKUP(tblOrdenes[[#This Row],[cod_actividad]],tblActividades[codigo],tblActividades[descripcion],"(sin catálogo)"))</f>
        <v/>
      </c>
      <c r="AD20" s="23">
        <f>IF(tblOrdenes[[#This Row],[fecha_inicio]]="","",TODAY()-tblOrdenes[[#This Row],[fecha_inicio]])</f>
        <v/>
      </c>
      <c r="AE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5">
        <f>IF(tblOrdenes[[#This Row],[backlog_habiles]]="","",IF(tblOrdenes[[#This Row],[backlog_habiles]]&lt;0,"FUTURO",IF(tblOrdenes[[#This Row],[backlog_habiles]]&gt;p_dias_backlog_max,"BACKLOG","MES CORRIENTE")))</f>
        <v/>
      </c>
      <c r="AG20" s="5">
        <f>IF(tblOrdenes[[#This Row],[backlog_habiles]]="",FALSE,AND(tblOrdenes[[#This Row],[backlog_habiles]]&gt;p_dias_backlog_min,tblOrdenes[[#This Row],[backlog_habiles]]&lt;=p_dias_backlog_max))</f>
        <v/>
      </c>
      <c r="AH20" s="4" t="n"/>
      <c r="AI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18">
        <f>IF(tblOrdenes[[#This Row],[orden]]="","",_xlfn.XLOOKUP(tblOrdenes[[#This Row],[id_operacion]],tblEjecucion[id_operacion],tblEjecucion[precio],0))</f>
        <v/>
      </c>
      <c r="AM20" s="18">
        <f>IF(tblOrdenes[[#This Row],[orden]]="","",MAX(0,_xlfn.XLOOKUP(tblOrdenes[[#This Row],[id_operacion]],tblEjecucion[id_operacion],tblEjecucion[costo_plan_total],0)-tblOrdenes[[#This Row],[costo_servicio]]))</f>
        <v/>
      </c>
      <c r="AN20" s="18">
        <f>IF(tblOrdenes[[#This Row],[orden]]="","",tblOrdenes[[#This Row],[costo_servicio]]+tblOrdenes[[#This Row],[costo_materiales]])</f>
        <v/>
      </c>
      <c r="AO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n"/>
      <c r="AQ20" s="4" t="n"/>
      <c r="AR20" s="4" t="n"/>
      <c r="AS20" s="5">
        <f>IF(tblOrdenes[[#This Row],[link_checklist]]="","",HYPERLINK(p_ruta_base_checklists&amp;tblOrdenes[[#This Row],[link_checklist]],"abrir"))</f>
        <v/>
      </c>
      <c r="AT20" s="4" t="n"/>
      <c r="AU20" s="5">
        <f>IF(tblOrdenes[[#This Row],[orden]]="","",tblOrdenes[[#This Row],[orden]]&amp;IF(tblOrdenes[[#This Row],[operacion]]="","0010",tblOrdenes[[#This Row],[operacion]]))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25" t="n"/>
      <c r="K21" s="5" t="n"/>
      <c r="L21" s="18" t="n"/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Row],[fecha_inicio]]="","",tblOrdenes[[#This Row],[anio]]&amp;"-"&amp;TEXT(tblOrdenes[[#This Row],[mes]],"00"))</f>
        <v/>
      </c>
      <c r="S21" s="5">
        <f>IF(tblOrdenes[[#This Row],[fecha_inicio]]="","",INDEX(lista_dias,WEEKDAY(tblOrdenes[[#This Row],[fecha_inicio]],2)))</f>
        <v/>
      </c>
      <c r="T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5">
        <f>IF(tblOrdenes[[#This Row],[tipo_ot]]="","",_xlfn.XLOOKUP(tblOrdenes[[#This Row],[tipo_ot]],tblTiposOT[codigo],tblTiposOT[clasificacion],"sin_clasificar"))</f>
        <v/>
      </c>
      <c r="V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5">
        <f>IF(tblOrdenes[[#This Row],[centro_costo]]="","",_xlfn.XLOOKUP(tblOrdenes[[#This Row],[centro_costo]],tblCECO[codigo],tblCECO[linea],"(sin catálogo)"))</f>
        <v/>
      </c>
      <c r="Y21" s="5">
        <f>IF(tblOrdenes[[#This Row],[centro_costo]]="","",_xlfn.XLOOKUP(tblOrdenes[[#This Row],[centro_costo]],tblCECO[codigo],tblCECO[area],"(sin catálogo)"))</f>
        <v/>
      </c>
      <c r="Z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5">
        <f>IF(tblOrdenes[[#This Row],[centro_costo]]="","",_xlfn.XLOOKUP(tblOrdenes[[#This Row],[centro_costo]],tblCECO[codigo],tblCECO[coordinador],"(sin catálogo)"))</f>
        <v/>
      </c>
      <c r="AB21" s="5">
        <f>IF(tblOrdenes[[#This Row],[puesto_trabajo]]="","",_xlfn.XLOOKUP(tblOrdenes[[#This Row],[puesto_trabajo]],tblPuestos[codigo],tblPuestos[especialidad],"(sin catálogo)"))</f>
        <v/>
      </c>
      <c r="AC21" s="5">
        <f>IF(tblOrdenes[[#This Row],[cod_actividad]]="","",_xlfn.XLOOKUP(tblOrdenes[[#This Row],[cod_actividad]],tblActividades[codigo],tblActividades[descripcion],"(sin catálogo)"))</f>
        <v/>
      </c>
      <c r="AD21" s="23">
        <f>IF(tblOrdenes[[#This Row],[fecha_inicio]]="","",TODAY()-tblOrdenes[[#This Row],[fecha_inicio]])</f>
        <v/>
      </c>
      <c r="AE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5">
        <f>IF(tblOrdenes[[#This Row],[backlog_habiles]]="","",IF(tblOrdenes[[#This Row],[backlog_habiles]]&lt;0,"FUTURO",IF(tblOrdenes[[#This Row],[backlog_habiles]]&gt;p_dias_backlog_max,"BACKLOG","MES CORRIENTE")))</f>
        <v/>
      </c>
      <c r="AG21" s="5">
        <f>IF(tblOrdenes[[#This Row],[backlog_habiles]]="",FALSE,AND(tblOrdenes[[#This Row],[backlog_habiles]]&gt;p_dias_backlog_min,tblOrdenes[[#This Row],[backlog_habiles]]&lt;=p_dias_backlog_max))</f>
        <v/>
      </c>
      <c r="AH21" s="4" t="n"/>
      <c r="AI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18">
        <f>IF(tblOrdenes[[#This Row],[orden]]="","",_xlfn.XLOOKUP(tblOrdenes[[#This Row],[id_operacion]],tblEjecucion[id_operacion],tblEjecucion[precio],0))</f>
        <v/>
      </c>
      <c r="AM21" s="18">
        <f>IF(tblOrdenes[[#This Row],[orden]]="","",MAX(0,_xlfn.XLOOKUP(tblOrdenes[[#This Row],[id_operacion]],tblEjecucion[id_operacion],tblEjecucion[costo_plan_total],0)-tblOrdenes[[#This Row],[costo_servicio]]))</f>
        <v/>
      </c>
      <c r="AN21" s="18">
        <f>IF(tblOrdenes[[#This Row],[orden]]="","",tblOrdenes[[#This Row],[costo_servicio]]+tblOrdenes[[#This Row],[costo_materiales]])</f>
        <v/>
      </c>
      <c r="AO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n"/>
      <c r="AQ21" s="4" t="n"/>
      <c r="AR21" s="4" t="n"/>
      <c r="AS21" s="5">
        <f>IF(tblOrdenes[[#This Row],[link_checklist]]="","",HYPERLINK(p_ruta_base_checklists&amp;tblOrdenes[[#This Row],[link_checklist]],"abrir"))</f>
        <v/>
      </c>
      <c r="AT21" s="4" t="n"/>
      <c r="AU21" s="5">
        <f>IF(tblOrdenes[[#This Row],[orden]]="","",tblOrdenes[[#This Row],[orden]]&amp;IF(tblOrdenes[[#This Row],[operacion]]="","0010",tblOrdenes[[#This Row],[operacion]]))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25" t="n"/>
      <c r="K22" s="5" t="n"/>
      <c r="L22" s="18" t="n"/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Row],[fecha_inicio]]="","",tblOrdenes[[#This Row],[anio]]&amp;"-"&amp;TEXT(tblOrdenes[[#This Row],[mes]],"00"))</f>
        <v/>
      </c>
      <c r="S22" s="5">
        <f>IF(tblOrdenes[[#This Row],[fecha_inicio]]="","",INDEX(lista_dias,WEEKDAY(tblOrdenes[[#This Row],[fecha_inicio]],2)))</f>
        <v/>
      </c>
      <c r="T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5">
        <f>IF(tblOrdenes[[#This Row],[tipo_ot]]="","",_xlfn.XLOOKUP(tblOrdenes[[#This Row],[tipo_ot]],tblTiposOT[codigo],tblTiposOT[clasificacion],"sin_clasificar"))</f>
        <v/>
      </c>
      <c r="V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5">
        <f>IF(tblOrdenes[[#This Row],[centro_costo]]="","",_xlfn.XLOOKUP(tblOrdenes[[#This Row],[centro_costo]],tblCECO[codigo],tblCECO[linea],"(sin catálogo)"))</f>
        <v/>
      </c>
      <c r="Y22" s="5">
        <f>IF(tblOrdenes[[#This Row],[centro_costo]]="","",_xlfn.XLOOKUP(tblOrdenes[[#This Row],[centro_costo]],tblCECO[codigo],tblCECO[area],"(sin catálogo)"))</f>
        <v/>
      </c>
      <c r="Z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5">
        <f>IF(tblOrdenes[[#This Row],[centro_costo]]="","",_xlfn.XLOOKUP(tblOrdenes[[#This Row],[centro_costo]],tblCECO[codigo],tblCECO[coordinador],"(sin catálogo)"))</f>
        <v/>
      </c>
      <c r="AB22" s="5">
        <f>IF(tblOrdenes[[#This Row],[puesto_trabajo]]="","",_xlfn.XLOOKUP(tblOrdenes[[#This Row],[puesto_trabajo]],tblPuestos[codigo],tblPuestos[especialidad],"(sin catálogo)"))</f>
        <v/>
      </c>
      <c r="AC22" s="5">
        <f>IF(tblOrdenes[[#This Row],[cod_actividad]]="","",_xlfn.XLOOKUP(tblOrdenes[[#This Row],[cod_actividad]],tblActividades[codigo],tblActividades[descripcion],"(sin catálogo)"))</f>
        <v/>
      </c>
      <c r="AD22" s="23">
        <f>IF(tblOrdenes[[#This Row],[fecha_inicio]]="","",TODAY()-tblOrdenes[[#This Row],[fecha_inicio]])</f>
        <v/>
      </c>
      <c r="AE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5">
        <f>IF(tblOrdenes[[#This Row],[backlog_habiles]]="","",IF(tblOrdenes[[#This Row],[backlog_habiles]]&lt;0,"FUTURO",IF(tblOrdenes[[#This Row],[backlog_habiles]]&gt;p_dias_backlog_max,"BACKLOG","MES CORRIENTE")))</f>
        <v/>
      </c>
      <c r="AG22" s="5">
        <f>IF(tblOrdenes[[#This Row],[backlog_habiles]]="",FALSE,AND(tblOrdenes[[#This Row],[backlog_habiles]]&gt;p_dias_backlog_min,tblOrdenes[[#This Row],[backlog_habiles]]&lt;=p_dias_backlog_max))</f>
        <v/>
      </c>
      <c r="AH22" s="4" t="n"/>
      <c r="AI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18">
        <f>IF(tblOrdenes[[#This Row],[orden]]="","",_xlfn.XLOOKUP(tblOrdenes[[#This Row],[id_operacion]],tblEjecucion[id_operacion],tblEjecucion[precio],0))</f>
        <v/>
      </c>
      <c r="AM22" s="18">
        <f>IF(tblOrdenes[[#This Row],[orden]]="","",MAX(0,_xlfn.XLOOKUP(tblOrdenes[[#This Row],[id_operacion]],tblEjecucion[id_operacion],tblEjecucion[costo_plan_total],0)-tblOrdenes[[#This Row],[costo_servicio]]))</f>
        <v/>
      </c>
      <c r="AN22" s="18">
        <f>IF(tblOrdenes[[#This Row],[orden]]="","",tblOrdenes[[#This Row],[costo_servicio]]+tblOrdenes[[#This Row],[costo_materiales]])</f>
        <v/>
      </c>
      <c r="AO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n"/>
      <c r="AQ22" s="4" t="n"/>
      <c r="AR22" s="4" t="n"/>
      <c r="AS22" s="5">
        <f>IF(tblOrdenes[[#This Row],[link_checklist]]="","",HYPERLINK(p_ruta_base_checklists&amp;tblOrdenes[[#This Row],[link_checklist]],"abrir"))</f>
        <v/>
      </c>
      <c r="AT22" s="4" t="n"/>
      <c r="AU22" s="5">
        <f>IF(tblOrdenes[[#This Row],[orden]]="","",tblOrdenes[[#This Row],[orden]]&amp;IF(tblOrdenes[[#This Row],[operacion]]="","0010",tblOrdenes[[#This Row],[operacion]]))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25" t="n"/>
      <c r="K23" s="5" t="n"/>
      <c r="L23" s="18" t="n"/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Row],[fecha_inicio]]="","",tblOrdenes[[#This Row],[anio]]&amp;"-"&amp;TEXT(tblOrdenes[[#This Row],[mes]],"00"))</f>
        <v/>
      </c>
      <c r="S23" s="5">
        <f>IF(tblOrdenes[[#This Row],[fecha_inicio]]="","",INDEX(lista_dias,WEEKDAY(tblOrdenes[[#This Row],[fecha_inicio]],2)))</f>
        <v/>
      </c>
      <c r="T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5">
        <f>IF(tblOrdenes[[#This Row],[tipo_ot]]="","",_xlfn.XLOOKUP(tblOrdenes[[#This Row],[tipo_ot]],tblTiposOT[codigo],tblTiposOT[clasificacion],"sin_clasificar"))</f>
        <v/>
      </c>
      <c r="V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5">
        <f>IF(tblOrdenes[[#This Row],[centro_costo]]="","",_xlfn.XLOOKUP(tblOrdenes[[#This Row],[centro_costo]],tblCECO[codigo],tblCECO[linea],"(sin catálogo)"))</f>
        <v/>
      </c>
      <c r="Y23" s="5">
        <f>IF(tblOrdenes[[#This Row],[centro_costo]]="","",_xlfn.XLOOKUP(tblOrdenes[[#This Row],[centro_costo]],tblCECO[codigo],tblCECO[area],"(sin catálogo)"))</f>
        <v/>
      </c>
      <c r="Z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5">
        <f>IF(tblOrdenes[[#This Row],[centro_costo]]="","",_xlfn.XLOOKUP(tblOrdenes[[#This Row],[centro_costo]],tblCECO[codigo],tblCECO[coordinador],"(sin catálogo)"))</f>
        <v/>
      </c>
      <c r="AB23" s="5">
        <f>IF(tblOrdenes[[#This Row],[puesto_trabajo]]="","",_xlfn.XLOOKUP(tblOrdenes[[#This Row],[puesto_trabajo]],tblPuestos[codigo],tblPuestos[especialidad],"(sin catálogo)"))</f>
        <v/>
      </c>
      <c r="AC23" s="5">
        <f>IF(tblOrdenes[[#This Row],[cod_actividad]]="","",_xlfn.XLOOKUP(tblOrdenes[[#This Row],[cod_actividad]],tblActividades[codigo],tblActividades[descripcion],"(sin catálogo)"))</f>
        <v/>
      </c>
      <c r="AD23" s="23">
        <f>IF(tblOrdenes[[#This Row],[fecha_inicio]]="","",TODAY()-tblOrdenes[[#This Row],[fecha_inicio]])</f>
        <v/>
      </c>
      <c r="AE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5">
        <f>IF(tblOrdenes[[#This Row],[backlog_habiles]]="","",IF(tblOrdenes[[#This Row],[backlog_habiles]]&lt;0,"FUTURO",IF(tblOrdenes[[#This Row],[backlog_habiles]]&gt;p_dias_backlog_max,"BACKLOG","MES CORRIENTE")))</f>
        <v/>
      </c>
      <c r="AG23" s="5">
        <f>IF(tblOrdenes[[#This Row],[backlog_habiles]]="",FALSE,AND(tblOrdenes[[#This Row],[backlog_habiles]]&gt;p_dias_backlog_min,tblOrdenes[[#This Row],[backlog_habiles]]&lt;=p_dias_backlog_max))</f>
        <v/>
      </c>
      <c r="AH23" s="4" t="n"/>
      <c r="AI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18">
        <f>IF(tblOrdenes[[#This Row],[orden]]="","",_xlfn.XLOOKUP(tblOrdenes[[#This Row],[id_operacion]],tblEjecucion[id_operacion],tblEjecucion[precio],0))</f>
        <v/>
      </c>
      <c r="AM23" s="18">
        <f>IF(tblOrdenes[[#This Row],[orden]]="","",MAX(0,_xlfn.XLOOKUP(tblOrdenes[[#This Row],[id_operacion]],tblEjecucion[id_operacion],tblEjecucion[costo_plan_total],0)-tblOrdenes[[#This Row],[costo_servicio]]))</f>
        <v/>
      </c>
      <c r="AN23" s="18">
        <f>IF(tblOrdenes[[#This Row],[orden]]="","",tblOrdenes[[#This Row],[costo_servicio]]+tblOrdenes[[#This Row],[costo_materiales]])</f>
        <v/>
      </c>
      <c r="AO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n"/>
      <c r="AQ23" s="4" t="n"/>
      <c r="AR23" s="4" t="n"/>
      <c r="AS23" s="5">
        <f>IF(tblOrdenes[[#This Row],[link_checklist]]="","",HYPERLINK(p_ruta_base_checklists&amp;tblOrdenes[[#This Row],[link_checklist]],"abrir"))</f>
        <v/>
      </c>
      <c r="AT23" s="4" t="n"/>
      <c r="AU23" s="5">
        <f>IF(tblOrdenes[[#This Row],[orden]]="","",tblOrdenes[[#This Row],[orden]]&amp;IF(tblOrdenes[[#This Row],[operacion]]="","0010",tblOrdenes[[#This Row],[operacion]]))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25" t="n"/>
      <c r="K24" s="5" t="n"/>
      <c r="L24" s="18" t="n"/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Row],[fecha_inicio]]="","",tblOrdenes[[#This Row],[anio]]&amp;"-"&amp;TEXT(tblOrdenes[[#This Row],[mes]],"00"))</f>
        <v/>
      </c>
      <c r="S24" s="5">
        <f>IF(tblOrdenes[[#This Row],[fecha_inicio]]="","",INDEX(lista_dias,WEEKDAY(tblOrdenes[[#This Row],[fecha_inicio]],2)))</f>
        <v/>
      </c>
      <c r="T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5">
        <f>IF(tblOrdenes[[#This Row],[tipo_ot]]="","",_xlfn.XLOOKUP(tblOrdenes[[#This Row],[tipo_ot]],tblTiposOT[codigo],tblTiposOT[clasificacion],"sin_clasificar"))</f>
        <v/>
      </c>
      <c r="V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5">
        <f>IF(tblOrdenes[[#This Row],[centro_costo]]="","",_xlfn.XLOOKUP(tblOrdenes[[#This Row],[centro_costo]],tblCECO[codigo],tblCECO[linea],"(sin catálogo)"))</f>
        <v/>
      </c>
      <c r="Y24" s="5">
        <f>IF(tblOrdenes[[#This Row],[centro_costo]]="","",_xlfn.XLOOKUP(tblOrdenes[[#This Row],[centro_costo]],tblCECO[codigo],tblCECO[area],"(sin catálogo)"))</f>
        <v/>
      </c>
      <c r="Z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5">
        <f>IF(tblOrdenes[[#This Row],[centro_costo]]="","",_xlfn.XLOOKUP(tblOrdenes[[#This Row],[centro_costo]],tblCECO[codigo],tblCECO[coordinador],"(sin catálogo)"))</f>
        <v/>
      </c>
      <c r="AB24" s="5">
        <f>IF(tblOrdenes[[#This Row],[puesto_trabajo]]="","",_xlfn.XLOOKUP(tblOrdenes[[#This Row],[puesto_trabajo]],tblPuestos[codigo],tblPuestos[especialidad],"(sin catálogo)"))</f>
        <v/>
      </c>
      <c r="AC24" s="5">
        <f>IF(tblOrdenes[[#This Row],[cod_actividad]]="","",_xlfn.XLOOKUP(tblOrdenes[[#This Row],[cod_actividad]],tblActividades[codigo],tblActividades[descripcion],"(sin catálogo)"))</f>
        <v/>
      </c>
      <c r="AD24" s="23">
        <f>IF(tblOrdenes[[#This Row],[fecha_inicio]]="","",TODAY()-tblOrdenes[[#This Row],[fecha_inicio]])</f>
        <v/>
      </c>
      <c r="AE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5">
        <f>IF(tblOrdenes[[#This Row],[backlog_habiles]]="","",IF(tblOrdenes[[#This Row],[backlog_habiles]]&lt;0,"FUTURO",IF(tblOrdenes[[#This Row],[backlog_habiles]]&gt;p_dias_backlog_max,"BACKLOG","MES CORRIENTE")))</f>
        <v/>
      </c>
      <c r="AG24" s="5">
        <f>IF(tblOrdenes[[#This Row],[backlog_habiles]]="",FALSE,AND(tblOrdenes[[#This Row],[backlog_habiles]]&gt;p_dias_backlog_min,tblOrdenes[[#This Row],[backlog_habiles]]&lt;=p_dias_backlog_max))</f>
        <v/>
      </c>
      <c r="AH24" s="4" t="n"/>
      <c r="AI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18">
        <f>IF(tblOrdenes[[#This Row],[orden]]="","",_xlfn.XLOOKUP(tblOrdenes[[#This Row],[id_operacion]],tblEjecucion[id_operacion],tblEjecucion[precio],0))</f>
        <v/>
      </c>
      <c r="AM24" s="18">
        <f>IF(tblOrdenes[[#This Row],[orden]]="","",MAX(0,_xlfn.XLOOKUP(tblOrdenes[[#This Row],[id_operacion]],tblEjecucion[id_operacion],tblEjecucion[costo_plan_total],0)-tblOrdenes[[#This Row],[costo_servicio]]))</f>
        <v/>
      </c>
      <c r="AN24" s="18">
        <f>IF(tblOrdenes[[#This Row],[orden]]="","",tblOrdenes[[#This Row],[costo_servicio]]+tblOrdenes[[#This Row],[costo_materiales]])</f>
        <v/>
      </c>
      <c r="AO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n"/>
      <c r="AQ24" s="4" t="n"/>
      <c r="AR24" s="4" t="n"/>
      <c r="AS24" s="5">
        <f>IF(tblOrdenes[[#This Row],[link_checklist]]="","",HYPERLINK(p_ruta_base_checklists&amp;tblOrdenes[[#This Row],[link_checklist]],"abrir"))</f>
        <v/>
      </c>
      <c r="AT24" s="4" t="n"/>
      <c r="AU24" s="5">
        <f>IF(tblOrdenes[[#This Row],[orden]]="","",tblOrdenes[[#This Row],[orden]]&amp;IF(tblOrdenes[[#This Row],[operacion]]="","0010",tblOrdenes[[#This Row],[operacion]]))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25" t="n"/>
      <c r="K25" s="5" t="n"/>
      <c r="L25" s="18" t="n"/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Row],[fecha_inicio]]="","",tblOrdenes[[#This Row],[anio]]&amp;"-"&amp;TEXT(tblOrdenes[[#This Row],[mes]],"00"))</f>
        <v/>
      </c>
      <c r="S25" s="5">
        <f>IF(tblOrdenes[[#This Row],[fecha_inicio]]="","",INDEX(lista_dias,WEEKDAY(tblOrdenes[[#This Row],[fecha_inicio]],2)))</f>
        <v/>
      </c>
      <c r="T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5">
        <f>IF(tblOrdenes[[#This Row],[tipo_ot]]="","",_xlfn.XLOOKUP(tblOrdenes[[#This Row],[tipo_ot]],tblTiposOT[codigo],tblTiposOT[clasificacion],"sin_clasificar"))</f>
        <v/>
      </c>
      <c r="V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5">
        <f>IF(tblOrdenes[[#This Row],[centro_costo]]="","",_xlfn.XLOOKUP(tblOrdenes[[#This Row],[centro_costo]],tblCECO[codigo],tblCECO[linea],"(sin catálogo)"))</f>
        <v/>
      </c>
      <c r="Y25" s="5">
        <f>IF(tblOrdenes[[#This Row],[centro_costo]]="","",_xlfn.XLOOKUP(tblOrdenes[[#This Row],[centro_costo]],tblCECO[codigo],tblCECO[area],"(sin catálogo)"))</f>
        <v/>
      </c>
      <c r="Z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5">
        <f>IF(tblOrdenes[[#This Row],[centro_costo]]="","",_xlfn.XLOOKUP(tblOrdenes[[#This Row],[centro_costo]],tblCECO[codigo],tblCECO[coordinador],"(sin catálogo)"))</f>
        <v/>
      </c>
      <c r="AB25" s="5">
        <f>IF(tblOrdenes[[#This Row],[puesto_trabajo]]="","",_xlfn.XLOOKUP(tblOrdenes[[#This Row],[puesto_trabajo]],tblPuestos[codigo],tblPuestos[especialidad],"(sin catálogo)"))</f>
        <v/>
      </c>
      <c r="AC25" s="5">
        <f>IF(tblOrdenes[[#This Row],[cod_actividad]]="","",_xlfn.XLOOKUP(tblOrdenes[[#This Row],[cod_actividad]],tblActividades[codigo],tblActividades[descripcion],"(sin catálogo)"))</f>
        <v/>
      </c>
      <c r="AD25" s="23">
        <f>IF(tblOrdenes[[#This Row],[fecha_inicio]]="","",TODAY()-tblOrdenes[[#This Row],[fecha_inicio]])</f>
        <v/>
      </c>
      <c r="AE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5">
        <f>IF(tblOrdenes[[#This Row],[backlog_habiles]]="","",IF(tblOrdenes[[#This Row],[backlog_habiles]]&lt;0,"FUTURO",IF(tblOrdenes[[#This Row],[backlog_habiles]]&gt;p_dias_backlog_max,"BACKLOG","MES CORRIENTE")))</f>
        <v/>
      </c>
      <c r="AG25" s="5">
        <f>IF(tblOrdenes[[#This Row],[backlog_habiles]]="",FALSE,AND(tblOrdenes[[#This Row],[backlog_habiles]]&gt;p_dias_backlog_min,tblOrdenes[[#This Row],[backlog_habiles]]&lt;=p_dias_backlog_max))</f>
        <v/>
      </c>
      <c r="AH25" s="4" t="n"/>
      <c r="AI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18">
        <f>IF(tblOrdenes[[#This Row],[orden]]="","",_xlfn.XLOOKUP(tblOrdenes[[#This Row],[id_operacion]],tblEjecucion[id_operacion],tblEjecucion[precio],0))</f>
        <v/>
      </c>
      <c r="AM25" s="18">
        <f>IF(tblOrdenes[[#This Row],[orden]]="","",MAX(0,_xlfn.XLOOKUP(tblOrdenes[[#This Row],[id_operacion]],tblEjecucion[id_operacion],tblEjecucion[costo_plan_total],0)-tblOrdenes[[#This Row],[costo_servicio]]))</f>
        <v/>
      </c>
      <c r="AN25" s="18">
        <f>IF(tblOrdenes[[#This Row],[orden]]="","",tblOrdenes[[#This Row],[costo_servicio]]+tblOrdenes[[#This Row],[costo_materiales]])</f>
        <v/>
      </c>
      <c r="AO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n"/>
      <c r="AQ25" s="4" t="n"/>
      <c r="AR25" s="4" t="n"/>
      <c r="AS25" s="5">
        <f>IF(tblOrdenes[[#This Row],[link_checklist]]="","",HYPERLINK(p_ruta_base_checklists&amp;tblOrdenes[[#This Row],[link_checklist]],"abrir"))</f>
        <v/>
      </c>
      <c r="AT25" s="4" t="n"/>
      <c r="AU25" s="5">
        <f>IF(tblOrdenes[[#This Row],[orden]]="","",tblOrdenes[[#This Row],[orden]]&amp;IF(tblOrdenes[[#This Row],[operacion]]="","0010",tblOrdenes[[#This Row],[operacion]]))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25" t="n"/>
      <c r="K26" s="5" t="n"/>
      <c r="L26" s="18" t="n"/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Row],[fecha_inicio]]="","",tblOrdenes[[#This Row],[anio]]&amp;"-"&amp;TEXT(tblOrdenes[[#This Row],[mes]],"00"))</f>
        <v/>
      </c>
      <c r="S26" s="5">
        <f>IF(tblOrdenes[[#This Row],[fecha_inicio]]="","",INDEX(lista_dias,WEEKDAY(tblOrdenes[[#This Row],[fecha_inicio]],2)))</f>
        <v/>
      </c>
      <c r="T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5">
        <f>IF(tblOrdenes[[#This Row],[tipo_ot]]="","",_xlfn.XLOOKUP(tblOrdenes[[#This Row],[tipo_ot]],tblTiposOT[codigo],tblTiposOT[clasificacion],"sin_clasificar"))</f>
        <v/>
      </c>
      <c r="V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5">
        <f>IF(tblOrdenes[[#This Row],[centro_costo]]="","",_xlfn.XLOOKUP(tblOrdenes[[#This Row],[centro_costo]],tblCECO[codigo],tblCECO[linea],"(sin catálogo)"))</f>
        <v/>
      </c>
      <c r="Y26" s="5">
        <f>IF(tblOrdenes[[#This Row],[centro_costo]]="","",_xlfn.XLOOKUP(tblOrdenes[[#This Row],[centro_costo]],tblCECO[codigo],tblCECO[area],"(sin catálogo)"))</f>
        <v/>
      </c>
      <c r="Z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5">
        <f>IF(tblOrdenes[[#This Row],[centro_costo]]="","",_xlfn.XLOOKUP(tblOrdenes[[#This Row],[centro_costo]],tblCECO[codigo],tblCECO[coordinador],"(sin catálogo)"))</f>
        <v/>
      </c>
      <c r="AB26" s="5">
        <f>IF(tblOrdenes[[#This Row],[puesto_trabajo]]="","",_xlfn.XLOOKUP(tblOrdenes[[#This Row],[puesto_trabajo]],tblPuestos[codigo],tblPuestos[especialidad],"(sin catálogo)"))</f>
        <v/>
      </c>
      <c r="AC26" s="5">
        <f>IF(tblOrdenes[[#This Row],[cod_actividad]]="","",_xlfn.XLOOKUP(tblOrdenes[[#This Row],[cod_actividad]],tblActividades[codigo],tblActividades[descripcion],"(sin catálogo)"))</f>
        <v/>
      </c>
      <c r="AD26" s="23">
        <f>IF(tblOrdenes[[#This Row],[fecha_inicio]]="","",TODAY()-tblOrdenes[[#This Row],[fecha_inicio]])</f>
        <v/>
      </c>
      <c r="AE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5">
        <f>IF(tblOrdenes[[#This Row],[backlog_habiles]]="","",IF(tblOrdenes[[#This Row],[backlog_habiles]]&lt;0,"FUTURO",IF(tblOrdenes[[#This Row],[backlog_habiles]]&gt;p_dias_backlog_max,"BACKLOG","MES CORRIENTE")))</f>
        <v/>
      </c>
      <c r="AG26" s="5">
        <f>IF(tblOrdenes[[#This Row],[backlog_habiles]]="",FALSE,AND(tblOrdenes[[#This Row],[backlog_habiles]]&gt;p_dias_backlog_min,tblOrdenes[[#This Row],[backlog_habiles]]&lt;=p_dias_backlog_max))</f>
        <v/>
      </c>
      <c r="AH26" s="4" t="n"/>
      <c r="AI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18">
        <f>IF(tblOrdenes[[#This Row],[orden]]="","",_xlfn.XLOOKUP(tblOrdenes[[#This Row],[id_operacion]],tblEjecucion[id_operacion],tblEjecucion[precio],0))</f>
        <v/>
      </c>
      <c r="AM26" s="18">
        <f>IF(tblOrdenes[[#This Row],[orden]]="","",MAX(0,_xlfn.XLOOKUP(tblOrdenes[[#This Row],[id_operacion]],tblEjecucion[id_operacion],tblEjecucion[costo_plan_total],0)-tblOrdenes[[#This Row],[costo_servicio]]))</f>
        <v/>
      </c>
      <c r="AN26" s="18">
        <f>IF(tblOrdenes[[#This Row],[orden]]="","",tblOrdenes[[#This Row],[costo_servicio]]+tblOrdenes[[#This Row],[costo_materiales]])</f>
        <v/>
      </c>
      <c r="AO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n"/>
      <c r="AQ26" s="4" t="n"/>
      <c r="AR26" s="4" t="n"/>
      <c r="AS26" s="5">
        <f>IF(tblOrdenes[[#This Row],[link_checklist]]="","",HYPERLINK(p_ruta_base_checklists&amp;tblOrdenes[[#This Row],[link_checklist]],"abrir"))</f>
        <v/>
      </c>
      <c r="AT26" s="4" t="n"/>
      <c r="AU26" s="5">
        <f>IF(tblOrdenes[[#This Row],[orden]]="","",tblOrdenes[[#This Row],[orden]]&amp;IF(tblOrdenes[[#This Row],[operacion]]="","0010",tblOrdenes[[#This Row],[operacion]]))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25" t="n"/>
      <c r="K27" s="5" t="n"/>
      <c r="L27" s="18" t="n"/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Row],[fecha_inicio]]="","",tblOrdenes[[#This Row],[anio]]&amp;"-"&amp;TEXT(tblOrdenes[[#This Row],[mes]],"00"))</f>
        <v/>
      </c>
      <c r="S27" s="5">
        <f>IF(tblOrdenes[[#This Row],[fecha_inicio]]="","",INDEX(lista_dias,WEEKDAY(tblOrdenes[[#This Row],[fecha_inicio]],2)))</f>
        <v/>
      </c>
      <c r="T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5">
        <f>IF(tblOrdenes[[#This Row],[tipo_ot]]="","",_xlfn.XLOOKUP(tblOrdenes[[#This Row],[tipo_ot]],tblTiposOT[codigo],tblTiposOT[clasificacion],"sin_clasificar"))</f>
        <v/>
      </c>
      <c r="V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5">
        <f>IF(tblOrdenes[[#This Row],[centro_costo]]="","",_xlfn.XLOOKUP(tblOrdenes[[#This Row],[centro_costo]],tblCECO[codigo],tblCECO[linea],"(sin catálogo)"))</f>
        <v/>
      </c>
      <c r="Y27" s="5">
        <f>IF(tblOrdenes[[#This Row],[centro_costo]]="","",_xlfn.XLOOKUP(tblOrdenes[[#This Row],[centro_costo]],tblCECO[codigo],tblCECO[area],"(sin catálogo)"))</f>
        <v/>
      </c>
      <c r="Z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5">
        <f>IF(tblOrdenes[[#This Row],[centro_costo]]="","",_xlfn.XLOOKUP(tblOrdenes[[#This Row],[centro_costo]],tblCECO[codigo],tblCECO[coordinador],"(sin catálogo)"))</f>
        <v/>
      </c>
      <c r="AB27" s="5">
        <f>IF(tblOrdenes[[#This Row],[puesto_trabajo]]="","",_xlfn.XLOOKUP(tblOrdenes[[#This Row],[puesto_trabajo]],tblPuestos[codigo],tblPuestos[especialidad],"(sin catálogo)"))</f>
        <v/>
      </c>
      <c r="AC27" s="5">
        <f>IF(tblOrdenes[[#This Row],[cod_actividad]]="","",_xlfn.XLOOKUP(tblOrdenes[[#This Row],[cod_actividad]],tblActividades[codigo],tblActividades[descripcion],"(sin catálogo)"))</f>
        <v/>
      </c>
      <c r="AD27" s="23">
        <f>IF(tblOrdenes[[#This Row],[fecha_inicio]]="","",TODAY()-tblOrdenes[[#This Row],[fecha_inicio]])</f>
        <v/>
      </c>
      <c r="AE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5">
        <f>IF(tblOrdenes[[#This Row],[backlog_habiles]]="","",IF(tblOrdenes[[#This Row],[backlog_habiles]]&lt;0,"FUTURO",IF(tblOrdenes[[#This Row],[backlog_habiles]]&gt;p_dias_backlog_max,"BACKLOG","MES CORRIENTE")))</f>
        <v/>
      </c>
      <c r="AG27" s="5">
        <f>IF(tblOrdenes[[#This Row],[backlog_habiles]]="",FALSE,AND(tblOrdenes[[#This Row],[backlog_habiles]]&gt;p_dias_backlog_min,tblOrdenes[[#This Row],[backlog_habiles]]&lt;=p_dias_backlog_max))</f>
        <v/>
      </c>
      <c r="AH27" s="4" t="n"/>
      <c r="AI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18">
        <f>IF(tblOrdenes[[#This Row],[orden]]="","",_xlfn.XLOOKUP(tblOrdenes[[#This Row],[id_operacion]],tblEjecucion[id_operacion],tblEjecucion[precio],0))</f>
        <v/>
      </c>
      <c r="AM27" s="18">
        <f>IF(tblOrdenes[[#This Row],[orden]]="","",MAX(0,_xlfn.XLOOKUP(tblOrdenes[[#This Row],[id_operacion]],tblEjecucion[id_operacion],tblEjecucion[costo_plan_total],0)-tblOrdenes[[#This Row],[costo_servicio]]))</f>
        <v/>
      </c>
      <c r="AN27" s="18">
        <f>IF(tblOrdenes[[#This Row],[orden]]="","",tblOrdenes[[#This Row],[costo_servicio]]+tblOrdenes[[#This Row],[costo_materiales]])</f>
        <v/>
      </c>
      <c r="AO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n"/>
      <c r="AQ27" s="4" t="n"/>
      <c r="AR27" s="4" t="n"/>
      <c r="AS27" s="5">
        <f>IF(tblOrdenes[[#This Row],[link_checklist]]="","",HYPERLINK(p_ruta_base_checklists&amp;tblOrdenes[[#This Row],[link_checklist]],"abrir"))</f>
        <v/>
      </c>
      <c r="AT27" s="4" t="n"/>
      <c r="AU27" s="5">
        <f>IF(tblOrdenes[[#This Row],[orden]]="","",tblOrdenes[[#This Row],[orden]]&amp;IF(tblOrdenes[[#This Row],[operacion]]="","0010",tblOrdenes[[#This Row],[operacion]]))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25" t="n"/>
      <c r="K28" s="5" t="n"/>
      <c r="L28" s="18" t="n"/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Row],[fecha_inicio]]="","",tblOrdenes[[#This Row],[anio]]&amp;"-"&amp;TEXT(tblOrdenes[[#This Row],[mes]],"00"))</f>
        <v/>
      </c>
      <c r="S28" s="5">
        <f>IF(tblOrdenes[[#This Row],[fecha_inicio]]="","",INDEX(lista_dias,WEEKDAY(tblOrdenes[[#This Row],[fecha_inicio]],2)))</f>
        <v/>
      </c>
      <c r="T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5">
        <f>IF(tblOrdenes[[#This Row],[tipo_ot]]="","",_xlfn.XLOOKUP(tblOrdenes[[#This Row],[tipo_ot]],tblTiposOT[codigo],tblTiposOT[clasificacion],"sin_clasificar"))</f>
        <v/>
      </c>
      <c r="V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5">
        <f>IF(tblOrdenes[[#This Row],[centro_costo]]="","",_xlfn.XLOOKUP(tblOrdenes[[#This Row],[centro_costo]],tblCECO[codigo],tblCECO[linea],"(sin catálogo)"))</f>
        <v/>
      </c>
      <c r="Y28" s="5">
        <f>IF(tblOrdenes[[#This Row],[centro_costo]]="","",_xlfn.XLOOKUP(tblOrdenes[[#This Row],[centro_costo]],tblCECO[codigo],tblCECO[area],"(sin catálogo)"))</f>
        <v/>
      </c>
      <c r="Z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5">
        <f>IF(tblOrdenes[[#This Row],[centro_costo]]="","",_xlfn.XLOOKUP(tblOrdenes[[#This Row],[centro_costo]],tblCECO[codigo],tblCECO[coordinador],"(sin catálogo)"))</f>
        <v/>
      </c>
      <c r="AB28" s="5">
        <f>IF(tblOrdenes[[#This Row],[puesto_trabajo]]="","",_xlfn.XLOOKUP(tblOrdenes[[#This Row],[puesto_trabajo]],tblPuestos[codigo],tblPuestos[especialidad],"(sin catálogo)"))</f>
        <v/>
      </c>
      <c r="AC28" s="5">
        <f>IF(tblOrdenes[[#This Row],[cod_actividad]]="","",_xlfn.XLOOKUP(tblOrdenes[[#This Row],[cod_actividad]],tblActividades[codigo],tblActividades[descripcion],"(sin catálogo)"))</f>
        <v/>
      </c>
      <c r="AD28" s="23">
        <f>IF(tblOrdenes[[#This Row],[fecha_inicio]]="","",TODAY()-tblOrdenes[[#This Row],[fecha_inicio]])</f>
        <v/>
      </c>
      <c r="AE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5">
        <f>IF(tblOrdenes[[#This Row],[backlog_habiles]]="","",IF(tblOrdenes[[#This Row],[backlog_habiles]]&lt;0,"FUTURO",IF(tblOrdenes[[#This Row],[backlog_habiles]]&gt;p_dias_backlog_max,"BACKLOG","MES CORRIENTE")))</f>
        <v/>
      </c>
      <c r="AG28" s="5">
        <f>IF(tblOrdenes[[#This Row],[backlog_habiles]]="",FALSE,AND(tblOrdenes[[#This Row],[backlog_habiles]]&gt;p_dias_backlog_min,tblOrdenes[[#This Row],[backlog_habiles]]&lt;=p_dias_backlog_max))</f>
        <v/>
      </c>
      <c r="AH28" s="4" t="n"/>
      <c r="AI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18">
        <f>IF(tblOrdenes[[#This Row],[orden]]="","",_xlfn.XLOOKUP(tblOrdenes[[#This Row],[id_operacion]],tblEjecucion[id_operacion],tblEjecucion[precio],0))</f>
        <v/>
      </c>
      <c r="AM28" s="18">
        <f>IF(tblOrdenes[[#This Row],[orden]]="","",MAX(0,_xlfn.XLOOKUP(tblOrdenes[[#This Row],[id_operacion]],tblEjecucion[id_operacion],tblEjecucion[costo_plan_total],0)-tblOrdenes[[#This Row],[costo_servicio]]))</f>
        <v/>
      </c>
      <c r="AN28" s="18">
        <f>IF(tblOrdenes[[#This Row],[orden]]="","",tblOrdenes[[#This Row],[costo_servicio]]+tblOrdenes[[#This Row],[costo_materiales]])</f>
        <v/>
      </c>
      <c r="AO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n"/>
      <c r="AQ28" s="4" t="n"/>
      <c r="AR28" s="4" t="n"/>
      <c r="AS28" s="5">
        <f>IF(tblOrdenes[[#This Row],[link_checklist]]="","",HYPERLINK(p_ruta_base_checklists&amp;tblOrdenes[[#This Row],[link_checklist]],"abrir"))</f>
        <v/>
      </c>
      <c r="AT28" s="4" t="n"/>
      <c r="AU28" s="5">
        <f>IF(tblOrdenes[[#This Row],[orden]]="","",tblOrdenes[[#This Row],[orden]]&amp;IF(tblOrdenes[[#This Row],[operacion]]="","0010",tblOrdenes[[#This Row],[operacion]]))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25" t="n"/>
      <c r="K29" s="5" t="n"/>
      <c r="L29" s="18" t="n"/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Row],[fecha_inicio]]="","",tblOrdenes[[#This Row],[anio]]&amp;"-"&amp;TEXT(tblOrdenes[[#This Row],[mes]],"00"))</f>
        <v/>
      </c>
      <c r="S29" s="5">
        <f>IF(tblOrdenes[[#This Row],[fecha_inicio]]="","",INDEX(lista_dias,WEEKDAY(tblOrdenes[[#This Row],[fecha_inicio]],2)))</f>
        <v/>
      </c>
      <c r="T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5">
        <f>IF(tblOrdenes[[#This Row],[tipo_ot]]="","",_xlfn.XLOOKUP(tblOrdenes[[#This Row],[tipo_ot]],tblTiposOT[codigo],tblTiposOT[clasificacion],"sin_clasificar"))</f>
        <v/>
      </c>
      <c r="V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5">
        <f>IF(tblOrdenes[[#This Row],[centro_costo]]="","",_xlfn.XLOOKUP(tblOrdenes[[#This Row],[centro_costo]],tblCECO[codigo],tblCECO[linea],"(sin catálogo)"))</f>
        <v/>
      </c>
      <c r="Y29" s="5">
        <f>IF(tblOrdenes[[#This Row],[centro_costo]]="","",_xlfn.XLOOKUP(tblOrdenes[[#This Row],[centro_costo]],tblCECO[codigo],tblCECO[area],"(sin catálogo)"))</f>
        <v/>
      </c>
      <c r="Z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5">
        <f>IF(tblOrdenes[[#This Row],[centro_costo]]="","",_xlfn.XLOOKUP(tblOrdenes[[#This Row],[centro_costo]],tblCECO[codigo],tblCECO[coordinador],"(sin catálogo)"))</f>
        <v/>
      </c>
      <c r="AB29" s="5">
        <f>IF(tblOrdenes[[#This Row],[puesto_trabajo]]="","",_xlfn.XLOOKUP(tblOrdenes[[#This Row],[puesto_trabajo]],tblPuestos[codigo],tblPuestos[especialidad],"(sin catálogo)"))</f>
        <v/>
      </c>
      <c r="AC29" s="5">
        <f>IF(tblOrdenes[[#This Row],[cod_actividad]]="","",_xlfn.XLOOKUP(tblOrdenes[[#This Row],[cod_actividad]],tblActividades[codigo],tblActividades[descripcion],"(sin catálogo)"))</f>
        <v/>
      </c>
      <c r="AD29" s="23">
        <f>IF(tblOrdenes[[#This Row],[fecha_inicio]]="","",TODAY()-tblOrdenes[[#This Row],[fecha_inicio]])</f>
        <v/>
      </c>
      <c r="AE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5">
        <f>IF(tblOrdenes[[#This Row],[backlog_habiles]]="","",IF(tblOrdenes[[#This Row],[backlog_habiles]]&lt;0,"FUTURO",IF(tblOrdenes[[#This Row],[backlog_habiles]]&gt;p_dias_backlog_max,"BACKLOG","MES CORRIENTE")))</f>
        <v/>
      </c>
      <c r="AG29" s="5">
        <f>IF(tblOrdenes[[#This Row],[backlog_habiles]]="",FALSE,AND(tblOrdenes[[#This Row],[backlog_habiles]]&gt;p_dias_backlog_min,tblOrdenes[[#This Row],[backlog_habiles]]&lt;=p_dias_backlog_max))</f>
        <v/>
      </c>
      <c r="AH29" s="4" t="n"/>
      <c r="AI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18">
        <f>IF(tblOrdenes[[#This Row],[orden]]="","",_xlfn.XLOOKUP(tblOrdenes[[#This Row],[id_operacion]],tblEjecucion[id_operacion],tblEjecucion[precio],0))</f>
        <v/>
      </c>
      <c r="AM29" s="18">
        <f>IF(tblOrdenes[[#This Row],[orden]]="","",MAX(0,_xlfn.XLOOKUP(tblOrdenes[[#This Row],[id_operacion]],tblEjecucion[id_operacion],tblEjecucion[costo_plan_total],0)-tblOrdenes[[#This Row],[costo_servicio]]))</f>
        <v/>
      </c>
      <c r="AN29" s="18">
        <f>IF(tblOrdenes[[#This Row],[orden]]="","",tblOrdenes[[#This Row],[costo_servicio]]+tblOrdenes[[#This Row],[costo_materiales]])</f>
        <v/>
      </c>
      <c r="AO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n"/>
      <c r="AQ29" s="4" t="n"/>
      <c r="AR29" s="4" t="n"/>
      <c r="AS29" s="5">
        <f>IF(tblOrdenes[[#This Row],[link_checklist]]="","",HYPERLINK(p_ruta_base_checklists&amp;tblOrdenes[[#This Row],[link_checklist]],"abrir"))</f>
        <v/>
      </c>
      <c r="AT29" s="4" t="n"/>
      <c r="AU29" s="5">
        <f>IF(tblOrdenes[[#This Row],[orden]]="","",tblOrdenes[[#This Row],[orden]]&amp;IF(tblOrdenes[[#This Row],[operacion]]="","0010",tblOrdenes[[#This Row],[operacion]]))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25" t="n"/>
      <c r="K30" s="5" t="n"/>
      <c r="L30" s="18" t="n"/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Row],[fecha_inicio]]="","",tblOrdenes[[#This Row],[anio]]&amp;"-"&amp;TEXT(tblOrdenes[[#This Row],[mes]],"00"))</f>
        <v/>
      </c>
      <c r="S30" s="5">
        <f>IF(tblOrdenes[[#This Row],[fecha_inicio]]="","",INDEX(lista_dias,WEEKDAY(tblOrdenes[[#This Row],[fecha_inicio]],2)))</f>
        <v/>
      </c>
      <c r="T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5">
        <f>IF(tblOrdenes[[#This Row],[tipo_ot]]="","",_xlfn.XLOOKUP(tblOrdenes[[#This Row],[tipo_ot]],tblTiposOT[codigo],tblTiposOT[clasificacion],"sin_clasificar"))</f>
        <v/>
      </c>
      <c r="V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5">
        <f>IF(tblOrdenes[[#This Row],[centro_costo]]="","",_xlfn.XLOOKUP(tblOrdenes[[#This Row],[centro_costo]],tblCECO[codigo],tblCECO[linea],"(sin catálogo)"))</f>
        <v/>
      </c>
      <c r="Y30" s="5">
        <f>IF(tblOrdenes[[#This Row],[centro_costo]]="","",_xlfn.XLOOKUP(tblOrdenes[[#This Row],[centro_costo]],tblCECO[codigo],tblCECO[area],"(sin catálogo)"))</f>
        <v/>
      </c>
      <c r="Z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5">
        <f>IF(tblOrdenes[[#This Row],[centro_costo]]="","",_xlfn.XLOOKUP(tblOrdenes[[#This Row],[centro_costo]],tblCECO[codigo],tblCECO[coordinador],"(sin catálogo)"))</f>
        <v/>
      </c>
      <c r="AB30" s="5">
        <f>IF(tblOrdenes[[#This Row],[puesto_trabajo]]="","",_xlfn.XLOOKUP(tblOrdenes[[#This Row],[puesto_trabajo]],tblPuestos[codigo],tblPuestos[especialidad],"(sin catálogo)"))</f>
        <v/>
      </c>
      <c r="AC30" s="5">
        <f>IF(tblOrdenes[[#This Row],[cod_actividad]]="","",_xlfn.XLOOKUP(tblOrdenes[[#This Row],[cod_actividad]],tblActividades[codigo],tblActividades[descripcion],"(sin catálogo)"))</f>
        <v/>
      </c>
      <c r="AD30" s="23">
        <f>IF(tblOrdenes[[#This Row],[fecha_inicio]]="","",TODAY()-tblOrdenes[[#This Row],[fecha_inicio]])</f>
        <v/>
      </c>
      <c r="AE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5">
        <f>IF(tblOrdenes[[#This Row],[backlog_habiles]]="","",IF(tblOrdenes[[#This Row],[backlog_habiles]]&lt;0,"FUTURO",IF(tblOrdenes[[#This Row],[backlog_habiles]]&gt;p_dias_backlog_max,"BACKLOG","MES CORRIENTE")))</f>
        <v/>
      </c>
      <c r="AG30" s="5">
        <f>IF(tblOrdenes[[#This Row],[backlog_habiles]]="",FALSE,AND(tblOrdenes[[#This Row],[backlog_habiles]]&gt;p_dias_backlog_min,tblOrdenes[[#This Row],[backlog_habiles]]&lt;=p_dias_backlog_max))</f>
        <v/>
      </c>
      <c r="AH30" s="4" t="n"/>
      <c r="AI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18">
        <f>IF(tblOrdenes[[#This Row],[orden]]="","",_xlfn.XLOOKUP(tblOrdenes[[#This Row],[id_operacion]],tblEjecucion[id_operacion],tblEjecucion[precio],0))</f>
        <v/>
      </c>
      <c r="AM30" s="18">
        <f>IF(tblOrdenes[[#This Row],[orden]]="","",MAX(0,_xlfn.XLOOKUP(tblOrdenes[[#This Row],[id_operacion]],tblEjecucion[id_operacion],tblEjecucion[costo_plan_total],0)-tblOrdenes[[#This Row],[costo_servicio]]))</f>
        <v/>
      </c>
      <c r="AN30" s="18">
        <f>IF(tblOrdenes[[#This Row],[orden]]="","",tblOrdenes[[#This Row],[costo_servicio]]+tblOrdenes[[#This Row],[costo_materiales]])</f>
        <v/>
      </c>
      <c r="AO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n"/>
      <c r="AQ30" s="4" t="n"/>
      <c r="AR30" s="4" t="n"/>
      <c r="AS30" s="5">
        <f>IF(tblOrdenes[[#This Row],[link_checklist]]="","",HYPERLINK(p_ruta_base_checklists&amp;tblOrdenes[[#This Row],[link_checklist]],"abrir"))</f>
        <v/>
      </c>
      <c r="AT30" s="4" t="n"/>
      <c r="AU30" s="5">
        <f>IF(tblOrdenes[[#This Row],[orden]]="","",tblOrdenes[[#This Row],[orden]]&amp;IF(tblOrdenes[[#This Row],[operacion]]="","0010",tblOrdenes[[#This Row],[operacion]]))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25" t="n"/>
      <c r="K31" s="5" t="n"/>
      <c r="L31" s="18" t="n"/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Row],[fecha_inicio]]="","",tblOrdenes[[#This Row],[anio]]&amp;"-"&amp;TEXT(tblOrdenes[[#This Row],[mes]],"00"))</f>
        <v/>
      </c>
      <c r="S31" s="5">
        <f>IF(tblOrdenes[[#This Row],[fecha_inicio]]="","",INDEX(lista_dias,WEEKDAY(tblOrdenes[[#This Row],[fecha_inicio]],2)))</f>
        <v/>
      </c>
      <c r="T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5">
        <f>IF(tblOrdenes[[#This Row],[tipo_ot]]="","",_xlfn.XLOOKUP(tblOrdenes[[#This Row],[tipo_ot]],tblTiposOT[codigo],tblTiposOT[clasificacion],"sin_clasificar"))</f>
        <v/>
      </c>
      <c r="V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5">
        <f>IF(tblOrdenes[[#This Row],[centro_costo]]="","",_xlfn.XLOOKUP(tblOrdenes[[#This Row],[centro_costo]],tblCECO[codigo],tblCECO[linea],"(sin catálogo)"))</f>
        <v/>
      </c>
      <c r="Y31" s="5">
        <f>IF(tblOrdenes[[#This Row],[centro_costo]]="","",_xlfn.XLOOKUP(tblOrdenes[[#This Row],[centro_costo]],tblCECO[codigo],tblCECO[area],"(sin catálogo)"))</f>
        <v/>
      </c>
      <c r="Z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5">
        <f>IF(tblOrdenes[[#This Row],[centro_costo]]="","",_xlfn.XLOOKUP(tblOrdenes[[#This Row],[centro_costo]],tblCECO[codigo],tblCECO[coordinador],"(sin catálogo)"))</f>
        <v/>
      </c>
      <c r="AB31" s="5">
        <f>IF(tblOrdenes[[#This Row],[puesto_trabajo]]="","",_xlfn.XLOOKUP(tblOrdenes[[#This Row],[puesto_trabajo]],tblPuestos[codigo],tblPuestos[especialidad],"(sin catálogo)"))</f>
        <v/>
      </c>
      <c r="AC31" s="5">
        <f>IF(tblOrdenes[[#This Row],[cod_actividad]]="","",_xlfn.XLOOKUP(tblOrdenes[[#This Row],[cod_actividad]],tblActividades[codigo],tblActividades[descripcion],"(sin catálogo)"))</f>
        <v/>
      </c>
      <c r="AD31" s="23">
        <f>IF(tblOrdenes[[#This Row],[fecha_inicio]]="","",TODAY()-tblOrdenes[[#This Row],[fecha_inicio]])</f>
        <v/>
      </c>
      <c r="AE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5">
        <f>IF(tblOrdenes[[#This Row],[backlog_habiles]]="","",IF(tblOrdenes[[#This Row],[backlog_habiles]]&lt;0,"FUTURO",IF(tblOrdenes[[#This Row],[backlog_habiles]]&gt;p_dias_backlog_max,"BACKLOG","MES CORRIENTE")))</f>
        <v/>
      </c>
      <c r="AG31" s="5">
        <f>IF(tblOrdenes[[#This Row],[backlog_habiles]]="",FALSE,AND(tblOrdenes[[#This Row],[backlog_habiles]]&gt;p_dias_backlog_min,tblOrdenes[[#This Row],[backlog_habiles]]&lt;=p_dias_backlog_max))</f>
        <v/>
      </c>
      <c r="AH31" s="4" t="n"/>
      <c r="AI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18">
        <f>IF(tblOrdenes[[#This Row],[orden]]="","",_xlfn.XLOOKUP(tblOrdenes[[#This Row],[id_operacion]],tblEjecucion[id_operacion],tblEjecucion[precio],0))</f>
        <v/>
      </c>
      <c r="AM31" s="18">
        <f>IF(tblOrdenes[[#This Row],[orden]]="","",MAX(0,_xlfn.XLOOKUP(tblOrdenes[[#This Row],[id_operacion]],tblEjecucion[id_operacion],tblEjecucion[costo_plan_total],0)-tblOrdenes[[#This Row],[costo_servicio]]))</f>
        <v/>
      </c>
      <c r="AN31" s="18">
        <f>IF(tblOrdenes[[#This Row],[orden]]="","",tblOrdenes[[#This Row],[costo_servicio]]+tblOrdenes[[#This Row],[costo_materiales]])</f>
        <v/>
      </c>
      <c r="AO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n"/>
      <c r="AQ31" s="4" t="n"/>
      <c r="AR31" s="4" t="n"/>
      <c r="AS31" s="5">
        <f>IF(tblOrdenes[[#This Row],[link_checklist]]="","",HYPERLINK(p_ruta_base_checklists&amp;tblOrdenes[[#This Row],[link_checklist]],"abrir"))</f>
        <v/>
      </c>
      <c r="AT31" s="4" t="n"/>
      <c r="AU31" s="5">
        <f>IF(tblOrdenes[[#This Row],[orden]]="","",tblOrdenes[[#This Row],[orden]]&amp;IF(tblOrdenes[[#This Row],[operacion]]="","0010",tblOrdenes[[#This Row],[operacion]]))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25" t="n"/>
      <c r="K32" s="5" t="n"/>
      <c r="L32" s="18" t="n"/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Row],[fecha_inicio]]="","",tblOrdenes[[#This Row],[anio]]&amp;"-"&amp;TEXT(tblOrdenes[[#This Row],[mes]],"00"))</f>
        <v/>
      </c>
      <c r="S32" s="5">
        <f>IF(tblOrdenes[[#This Row],[fecha_inicio]]="","",INDEX(lista_dias,WEEKDAY(tblOrdenes[[#This Row],[fecha_inicio]],2)))</f>
        <v/>
      </c>
      <c r="T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5">
        <f>IF(tblOrdenes[[#This Row],[tipo_ot]]="","",_xlfn.XLOOKUP(tblOrdenes[[#This Row],[tipo_ot]],tblTiposOT[codigo],tblTiposOT[clasificacion],"sin_clasificar"))</f>
        <v/>
      </c>
      <c r="V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5">
        <f>IF(tblOrdenes[[#This Row],[centro_costo]]="","",_xlfn.XLOOKUP(tblOrdenes[[#This Row],[centro_costo]],tblCECO[codigo],tblCECO[linea],"(sin catálogo)"))</f>
        <v/>
      </c>
      <c r="Y32" s="5">
        <f>IF(tblOrdenes[[#This Row],[centro_costo]]="","",_xlfn.XLOOKUP(tblOrdenes[[#This Row],[centro_costo]],tblCECO[codigo],tblCECO[area],"(sin catálogo)"))</f>
        <v/>
      </c>
      <c r="Z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5">
        <f>IF(tblOrdenes[[#This Row],[centro_costo]]="","",_xlfn.XLOOKUP(tblOrdenes[[#This Row],[centro_costo]],tblCECO[codigo],tblCECO[coordinador],"(sin catálogo)"))</f>
        <v/>
      </c>
      <c r="AB32" s="5">
        <f>IF(tblOrdenes[[#This Row],[puesto_trabajo]]="","",_xlfn.XLOOKUP(tblOrdenes[[#This Row],[puesto_trabajo]],tblPuestos[codigo],tblPuestos[especialidad],"(sin catálogo)"))</f>
        <v/>
      </c>
      <c r="AC32" s="5">
        <f>IF(tblOrdenes[[#This Row],[cod_actividad]]="","",_xlfn.XLOOKUP(tblOrdenes[[#This Row],[cod_actividad]],tblActividades[codigo],tblActividades[descripcion],"(sin catálogo)"))</f>
        <v/>
      </c>
      <c r="AD32" s="23">
        <f>IF(tblOrdenes[[#This Row],[fecha_inicio]]="","",TODAY()-tblOrdenes[[#This Row],[fecha_inicio]])</f>
        <v/>
      </c>
      <c r="AE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5">
        <f>IF(tblOrdenes[[#This Row],[backlog_habiles]]="","",IF(tblOrdenes[[#This Row],[backlog_habiles]]&lt;0,"FUTURO",IF(tblOrdenes[[#This Row],[backlog_habiles]]&gt;p_dias_backlog_max,"BACKLOG","MES CORRIENTE")))</f>
        <v/>
      </c>
      <c r="AG32" s="5">
        <f>IF(tblOrdenes[[#This Row],[backlog_habiles]]="",FALSE,AND(tblOrdenes[[#This Row],[backlog_habiles]]&gt;p_dias_backlog_min,tblOrdenes[[#This Row],[backlog_habiles]]&lt;=p_dias_backlog_max))</f>
        <v/>
      </c>
      <c r="AH32" s="4" t="n"/>
      <c r="AI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18">
        <f>IF(tblOrdenes[[#This Row],[orden]]="","",_xlfn.XLOOKUP(tblOrdenes[[#This Row],[id_operacion]],tblEjecucion[id_operacion],tblEjecucion[precio],0))</f>
        <v/>
      </c>
      <c r="AM32" s="18">
        <f>IF(tblOrdenes[[#This Row],[orden]]="","",MAX(0,_xlfn.XLOOKUP(tblOrdenes[[#This Row],[id_operacion]],tblEjecucion[id_operacion],tblEjecucion[costo_plan_total],0)-tblOrdenes[[#This Row],[costo_servicio]]))</f>
        <v/>
      </c>
      <c r="AN32" s="18">
        <f>IF(tblOrdenes[[#This Row],[orden]]="","",tblOrdenes[[#This Row],[costo_servicio]]+tblOrdenes[[#This Row],[costo_materiales]])</f>
        <v/>
      </c>
      <c r="AO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n"/>
      <c r="AQ32" s="4" t="n"/>
      <c r="AR32" s="4" t="n"/>
      <c r="AS32" s="5">
        <f>IF(tblOrdenes[[#This Row],[link_checklist]]="","",HYPERLINK(p_ruta_base_checklists&amp;tblOrdenes[[#This Row],[link_checklist]],"abrir"))</f>
        <v/>
      </c>
      <c r="AT32" s="4" t="n"/>
      <c r="AU32" s="5">
        <f>IF(tblOrdenes[[#This Row],[orden]]="","",tblOrdenes[[#This Row],[orden]]&amp;IF(tblOrdenes[[#This Row],[operacion]]="","0010",tblOrdenes[[#This Row],[operacion]]))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25" t="n"/>
      <c r="K33" s="5" t="n"/>
      <c r="L33" s="18" t="n"/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Row],[fecha_inicio]]="","",tblOrdenes[[#This Row],[anio]]&amp;"-"&amp;TEXT(tblOrdenes[[#This Row],[mes]],"00"))</f>
        <v/>
      </c>
      <c r="S33" s="5">
        <f>IF(tblOrdenes[[#This Row],[fecha_inicio]]="","",INDEX(lista_dias,WEEKDAY(tblOrdenes[[#This Row],[fecha_inicio]],2)))</f>
        <v/>
      </c>
      <c r="T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5">
        <f>IF(tblOrdenes[[#This Row],[tipo_ot]]="","",_xlfn.XLOOKUP(tblOrdenes[[#This Row],[tipo_ot]],tblTiposOT[codigo],tblTiposOT[clasificacion],"sin_clasificar"))</f>
        <v/>
      </c>
      <c r="V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5">
        <f>IF(tblOrdenes[[#This Row],[centro_costo]]="","",_xlfn.XLOOKUP(tblOrdenes[[#This Row],[centro_costo]],tblCECO[codigo],tblCECO[linea],"(sin catálogo)"))</f>
        <v/>
      </c>
      <c r="Y33" s="5">
        <f>IF(tblOrdenes[[#This Row],[centro_costo]]="","",_xlfn.XLOOKUP(tblOrdenes[[#This Row],[centro_costo]],tblCECO[codigo],tblCECO[area],"(sin catálogo)"))</f>
        <v/>
      </c>
      <c r="Z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5">
        <f>IF(tblOrdenes[[#This Row],[centro_costo]]="","",_xlfn.XLOOKUP(tblOrdenes[[#This Row],[centro_costo]],tblCECO[codigo],tblCECO[coordinador],"(sin catálogo)"))</f>
        <v/>
      </c>
      <c r="AB33" s="5">
        <f>IF(tblOrdenes[[#This Row],[puesto_trabajo]]="","",_xlfn.XLOOKUP(tblOrdenes[[#This Row],[puesto_trabajo]],tblPuestos[codigo],tblPuestos[especialidad],"(sin catálogo)"))</f>
        <v/>
      </c>
      <c r="AC33" s="5">
        <f>IF(tblOrdenes[[#This Row],[cod_actividad]]="","",_xlfn.XLOOKUP(tblOrdenes[[#This Row],[cod_actividad]],tblActividades[codigo],tblActividades[descripcion],"(sin catálogo)"))</f>
        <v/>
      </c>
      <c r="AD33" s="23">
        <f>IF(tblOrdenes[[#This Row],[fecha_inicio]]="","",TODAY()-tblOrdenes[[#This Row],[fecha_inicio]])</f>
        <v/>
      </c>
      <c r="AE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5">
        <f>IF(tblOrdenes[[#This Row],[backlog_habiles]]="","",IF(tblOrdenes[[#This Row],[backlog_habiles]]&lt;0,"FUTURO",IF(tblOrdenes[[#This Row],[backlog_habiles]]&gt;p_dias_backlog_max,"BACKLOG","MES CORRIENTE")))</f>
        <v/>
      </c>
      <c r="AG33" s="5">
        <f>IF(tblOrdenes[[#This Row],[backlog_habiles]]="",FALSE,AND(tblOrdenes[[#This Row],[backlog_habiles]]&gt;p_dias_backlog_min,tblOrdenes[[#This Row],[backlog_habiles]]&lt;=p_dias_backlog_max))</f>
        <v/>
      </c>
      <c r="AH33" s="4" t="n"/>
      <c r="AI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18">
        <f>IF(tblOrdenes[[#This Row],[orden]]="","",_xlfn.XLOOKUP(tblOrdenes[[#This Row],[id_operacion]],tblEjecucion[id_operacion],tblEjecucion[precio],0))</f>
        <v/>
      </c>
      <c r="AM33" s="18">
        <f>IF(tblOrdenes[[#This Row],[orden]]="","",MAX(0,_xlfn.XLOOKUP(tblOrdenes[[#This Row],[id_operacion]],tblEjecucion[id_operacion],tblEjecucion[costo_plan_total],0)-tblOrdenes[[#This Row],[costo_servicio]]))</f>
        <v/>
      </c>
      <c r="AN33" s="18">
        <f>IF(tblOrdenes[[#This Row],[orden]]="","",tblOrdenes[[#This Row],[costo_servicio]]+tblOrdenes[[#This Row],[costo_materiales]])</f>
        <v/>
      </c>
      <c r="AO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n"/>
      <c r="AQ33" s="4" t="n"/>
      <c r="AR33" s="4" t="n"/>
      <c r="AS33" s="5">
        <f>IF(tblOrdenes[[#This Row],[link_checklist]]="","",HYPERLINK(p_ruta_base_checklists&amp;tblOrdenes[[#This Row],[link_checklist]],"abrir"))</f>
        <v/>
      </c>
      <c r="AT33" s="4" t="n"/>
      <c r="AU33" s="5">
        <f>IF(tblOrdenes[[#This Row],[orden]]="","",tblOrdenes[[#This Row],[orden]]&amp;IF(tblOrdenes[[#This Row],[operacion]]="","0010",tblOrdenes[[#This Row],[operacion]]))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25" t="n"/>
      <c r="K34" s="5" t="n"/>
      <c r="L34" s="18" t="n"/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Row],[fecha_inicio]]="","",tblOrdenes[[#This Row],[anio]]&amp;"-"&amp;TEXT(tblOrdenes[[#This Row],[mes]],"00"))</f>
        <v/>
      </c>
      <c r="S34" s="5">
        <f>IF(tblOrdenes[[#This Row],[fecha_inicio]]="","",INDEX(lista_dias,WEEKDAY(tblOrdenes[[#This Row],[fecha_inicio]],2)))</f>
        <v/>
      </c>
      <c r="T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5">
        <f>IF(tblOrdenes[[#This Row],[tipo_ot]]="","",_xlfn.XLOOKUP(tblOrdenes[[#This Row],[tipo_ot]],tblTiposOT[codigo],tblTiposOT[clasificacion],"sin_clasificar"))</f>
        <v/>
      </c>
      <c r="V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5">
        <f>IF(tblOrdenes[[#This Row],[centro_costo]]="","",_xlfn.XLOOKUP(tblOrdenes[[#This Row],[centro_costo]],tblCECO[codigo],tblCECO[linea],"(sin catálogo)"))</f>
        <v/>
      </c>
      <c r="Y34" s="5">
        <f>IF(tblOrdenes[[#This Row],[centro_costo]]="","",_xlfn.XLOOKUP(tblOrdenes[[#This Row],[centro_costo]],tblCECO[codigo],tblCECO[area],"(sin catálogo)"))</f>
        <v/>
      </c>
      <c r="Z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5">
        <f>IF(tblOrdenes[[#This Row],[centro_costo]]="","",_xlfn.XLOOKUP(tblOrdenes[[#This Row],[centro_costo]],tblCECO[codigo],tblCECO[coordinador],"(sin catálogo)"))</f>
        <v/>
      </c>
      <c r="AB34" s="5">
        <f>IF(tblOrdenes[[#This Row],[puesto_trabajo]]="","",_xlfn.XLOOKUP(tblOrdenes[[#This Row],[puesto_trabajo]],tblPuestos[codigo],tblPuestos[especialidad],"(sin catálogo)"))</f>
        <v/>
      </c>
      <c r="AC34" s="5">
        <f>IF(tblOrdenes[[#This Row],[cod_actividad]]="","",_xlfn.XLOOKUP(tblOrdenes[[#This Row],[cod_actividad]],tblActividades[codigo],tblActividades[descripcion],"(sin catálogo)"))</f>
        <v/>
      </c>
      <c r="AD34" s="23">
        <f>IF(tblOrdenes[[#This Row],[fecha_inicio]]="","",TODAY()-tblOrdenes[[#This Row],[fecha_inicio]])</f>
        <v/>
      </c>
      <c r="AE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5">
        <f>IF(tblOrdenes[[#This Row],[backlog_habiles]]="","",IF(tblOrdenes[[#This Row],[backlog_habiles]]&lt;0,"FUTURO",IF(tblOrdenes[[#This Row],[backlog_habiles]]&gt;p_dias_backlog_max,"BACKLOG","MES CORRIENTE")))</f>
        <v/>
      </c>
      <c r="AG34" s="5">
        <f>IF(tblOrdenes[[#This Row],[backlog_habiles]]="",FALSE,AND(tblOrdenes[[#This Row],[backlog_habiles]]&gt;p_dias_backlog_min,tblOrdenes[[#This Row],[backlog_habiles]]&lt;=p_dias_backlog_max))</f>
        <v/>
      </c>
      <c r="AH34" s="4" t="n"/>
      <c r="AI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18">
        <f>IF(tblOrdenes[[#This Row],[orden]]="","",_xlfn.XLOOKUP(tblOrdenes[[#This Row],[id_operacion]],tblEjecucion[id_operacion],tblEjecucion[precio],0))</f>
        <v/>
      </c>
      <c r="AM34" s="18">
        <f>IF(tblOrdenes[[#This Row],[orden]]="","",MAX(0,_xlfn.XLOOKUP(tblOrdenes[[#This Row],[id_operacion]],tblEjecucion[id_operacion],tblEjecucion[costo_plan_total],0)-tblOrdenes[[#This Row],[costo_servicio]]))</f>
        <v/>
      </c>
      <c r="AN34" s="18">
        <f>IF(tblOrdenes[[#This Row],[orden]]="","",tblOrdenes[[#This Row],[costo_servicio]]+tblOrdenes[[#This Row],[costo_materiales]])</f>
        <v/>
      </c>
      <c r="AO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n"/>
      <c r="AQ34" s="4" t="n"/>
      <c r="AR34" s="4" t="n"/>
      <c r="AS34" s="5">
        <f>IF(tblOrdenes[[#This Row],[link_checklist]]="","",HYPERLINK(p_ruta_base_checklists&amp;tblOrdenes[[#This Row],[link_checklist]],"abrir"))</f>
        <v/>
      </c>
      <c r="AT34" s="4" t="n"/>
      <c r="AU34" s="5">
        <f>IF(tblOrdenes[[#This Row],[orden]]="","",tblOrdenes[[#This Row],[orden]]&amp;IF(tblOrdenes[[#This Row],[operacion]]="","0010",tblOrdenes[[#This Row],[operacion]]))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25" t="n"/>
      <c r="K35" s="5" t="n"/>
      <c r="L35" s="18" t="n"/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Row],[fecha_inicio]]="","",tblOrdenes[[#This Row],[anio]]&amp;"-"&amp;TEXT(tblOrdenes[[#This Row],[mes]],"00"))</f>
        <v/>
      </c>
      <c r="S35" s="5">
        <f>IF(tblOrdenes[[#This Row],[fecha_inicio]]="","",INDEX(lista_dias,WEEKDAY(tblOrdenes[[#This Row],[fecha_inicio]],2)))</f>
        <v/>
      </c>
      <c r="T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5">
        <f>IF(tblOrdenes[[#This Row],[tipo_ot]]="","",_xlfn.XLOOKUP(tblOrdenes[[#This Row],[tipo_ot]],tblTiposOT[codigo],tblTiposOT[clasificacion],"sin_clasificar"))</f>
        <v/>
      </c>
      <c r="V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5">
        <f>IF(tblOrdenes[[#This Row],[centro_costo]]="","",_xlfn.XLOOKUP(tblOrdenes[[#This Row],[centro_costo]],tblCECO[codigo],tblCECO[linea],"(sin catálogo)"))</f>
        <v/>
      </c>
      <c r="Y35" s="5">
        <f>IF(tblOrdenes[[#This Row],[centro_costo]]="","",_xlfn.XLOOKUP(tblOrdenes[[#This Row],[centro_costo]],tblCECO[codigo],tblCECO[area],"(sin catálogo)"))</f>
        <v/>
      </c>
      <c r="Z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5">
        <f>IF(tblOrdenes[[#This Row],[centro_costo]]="","",_xlfn.XLOOKUP(tblOrdenes[[#This Row],[centro_costo]],tblCECO[codigo],tblCECO[coordinador],"(sin catálogo)"))</f>
        <v/>
      </c>
      <c r="AB35" s="5">
        <f>IF(tblOrdenes[[#This Row],[puesto_trabajo]]="","",_xlfn.XLOOKUP(tblOrdenes[[#This Row],[puesto_trabajo]],tblPuestos[codigo],tblPuestos[especialidad],"(sin catálogo)"))</f>
        <v/>
      </c>
      <c r="AC35" s="5">
        <f>IF(tblOrdenes[[#This Row],[cod_actividad]]="","",_xlfn.XLOOKUP(tblOrdenes[[#This Row],[cod_actividad]],tblActividades[codigo],tblActividades[descripcion],"(sin catálogo)"))</f>
        <v/>
      </c>
      <c r="AD35" s="23">
        <f>IF(tblOrdenes[[#This Row],[fecha_inicio]]="","",TODAY()-tblOrdenes[[#This Row],[fecha_inicio]])</f>
        <v/>
      </c>
      <c r="AE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5">
        <f>IF(tblOrdenes[[#This Row],[backlog_habiles]]="","",IF(tblOrdenes[[#This Row],[backlog_habiles]]&lt;0,"FUTURO",IF(tblOrdenes[[#This Row],[backlog_habiles]]&gt;p_dias_backlog_max,"BACKLOG","MES CORRIENTE")))</f>
        <v/>
      </c>
      <c r="AG35" s="5">
        <f>IF(tblOrdenes[[#This Row],[backlog_habiles]]="",FALSE,AND(tblOrdenes[[#This Row],[backlog_habiles]]&gt;p_dias_backlog_min,tblOrdenes[[#This Row],[backlog_habiles]]&lt;=p_dias_backlog_max))</f>
        <v/>
      </c>
      <c r="AH35" s="4" t="n"/>
      <c r="AI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18">
        <f>IF(tblOrdenes[[#This Row],[orden]]="","",_xlfn.XLOOKUP(tblOrdenes[[#This Row],[id_operacion]],tblEjecucion[id_operacion],tblEjecucion[precio],0))</f>
        <v/>
      </c>
      <c r="AM35" s="18">
        <f>IF(tblOrdenes[[#This Row],[orden]]="","",MAX(0,_xlfn.XLOOKUP(tblOrdenes[[#This Row],[id_operacion]],tblEjecucion[id_operacion],tblEjecucion[costo_plan_total],0)-tblOrdenes[[#This Row],[costo_servicio]]))</f>
        <v/>
      </c>
      <c r="AN35" s="18">
        <f>IF(tblOrdenes[[#This Row],[orden]]="","",tblOrdenes[[#This Row],[costo_servicio]]+tblOrdenes[[#This Row],[costo_materiales]])</f>
        <v/>
      </c>
      <c r="AO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n"/>
      <c r="AQ35" s="4" t="n"/>
      <c r="AR35" s="4" t="n"/>
      <c r="AS35" s="5">
        <f>IF(tblOrdenes[[#This Row],[link_checklist]]="","",HYPERLINK(p_ruta_base_checklists&amp;tblOrdenes[[#This Row],[link_checklist]],"abrir"))</f>
        <v/>
      </c>
      <c r="AT35" s="4" t="n"/>
      <c r="AU35" s="5">
        <f>IF(tblOrdenes[[#This Row],[orden]]="","",tblOrdenes[[#This Row],[orden]]&amp;IF(tblOrdenes[[#This Row],[operacion]]="","0010",tblOrdenes[[#This Row],[operacion]]))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25" t="n"/>
      <c r="K36" s="5" t="n"/>
      <c r="L36" s="18" t="n"/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Row],[fecha_inicio]]="","",tblOrdenes[[#This Row],[anio]]&amp;"-"&amp;TEXT(tblOrdenes[[#This Row],[mes]],"00"))</f>
        <v/>
      </c>
      <c r="S36" s="5">
        <f>IF(tblOrdenes[[#This Row],[fecha_inicio]]="","",INDEX(lista_dias,WEEKDAY(tblOrdenes[[#This Row],[fecha_inicio]],2)))</f>
        <v/>
      </c>
      <c r="T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5">
        <f>IF(tblOrdenes[[#This Row],[tipo_ot]]="","",_xlfn.XLOOKUP(tblOrdenes[[#This Row],[tipo_ot]],tblTiposOT[codigo],tblTiposOT[clasificacion],"sin_clasificar"))</f>
        <v/>
      </c>
      <c r="V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5">
        <f>IF(tblOrdenes[[#This Row],[centro_costo]]="","",_xlfn.XLOOKUP(tblOrdenes[[#This Row],[centro_costo]],tblCECO[codigo],tblCECO[linea],"(sin catálogo)"))</f>
        <v/>
      </c>
      <c r="Y36" s="5">
        <f>IF(tblOrdenes[[#This Row],[centro_costo]]="","",_xlfn.XLOOKUP(tblOrdenes[[#This Row],[centro_costo]],tblCECO[codigo],tblCECO[area],"(sin catálogo)"))</f>
        <v/>
      </c>
      <c r="Z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5">
        <f>IF(tblOrdenes[[#This Row],[centro_costo]]="","",_xlfn.XLOOKUP(tblOrdenes[[#This Row],[centro_costo]],tblCECO[codigo],tblCECO[coordinador],"(sin catálogo)"))</f>
        <v/>
      </c>
      <c r="AB36" s="5">
        <f>IF(tblOrdenes[[#This Row],[puesto_trabajo]]="","",_xlfn.XLOOKUP(tblOrdenes[[#This Row],[puesto_trabajo]],tblPuestos[codigo],tblPuestos[especialidad],"(sin catálogo)"))</f>
        <v/>
      </c>
      <c r="AC36" s="5">
        <f>IF(tblOrdenes[[#This Row],[cod_actividad]]="","",_xlfn.XLOOKUP(tblOrdenes[[#This Row],[cod_actividad]],tblActividades[codigo],tblActividades[descripcion],"(sin catálogo)"))</f>
        <v/>
      </c>
      <c r="AD36" s="23">
        <f>IF(tblOrdenes[[#This Row],[fecha_inicio]]="","",TODAY()-tblOrdenes[[#This Row],[fecha_inicio]])</f>
        <v/>
      </c>
      <c r="AE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5">
        <f>IF(tblOrdenes[[#This Row],[backlog_habiles]]="","",IF(tblOrdenes[[#This Row],[backlog_habiles]]&lt;0,"FUTURO",IF(tblOrdenes[[#This Row],[backlog_habiles]]&gt;p_dias_backlog_max,"BACKLOG","MES CORRIENTE")))</f>
        <v/>
      </c>
      <c r="AG36" s="5">
        <f>IF(tblOrdenes[[#This Row],[backlog_habiles]]="",FALSE,AND(tblOrdenes[[#This Row],[backlog_habiles]]&gt;p_dias_backlog_min,tblOrdenes[[#This Row],[backlog_habiles]]&lt;=p_dias_backlog_max))</f>
        <v/>
      </c>
      <c r="AH36" s="4" t="n"/>
      <c r="AI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18">
        <f>IF(tblOrdenes[[#This Row],[orden]]="","",_xlfn.XLOOKUP(tblOrdenes[[#This Row],[id_operacion]],tblEjecucion[id_operacion],tblEjecucion[precio],0))</f>
        <v/>
      </c>
      <c r="AM36" s="18">
        <f>IF(tblOrdenes[[#This Row],[orden]]="","",MAX(0,_xlfn.XLOOKUP(tblOrdenes[[#This Row],[id_operacion]],tblEjecucion[id_operacion],tblEjecucion[costo_plan_total],0)-tblOrdenes[[#This Row],[costo_servicio]]))</f>
        <v/>
      </c>
      <c r="AN36" s="18">
        <f>IF(tblOrdenes[[#This Row],[orden]]="","",tblOrdenes[[#This Row],[costo_servicio]]+tblOrdenes[[#This Row],[costo_materiales]])</f>
        <v/>
      </c>
      <c r="AO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n"/>
      <c r="AQ36" s="4" t="n"/>
      <c r="AR36" s="4" t="n"/>
      <c r="AS36" s="5">
        <f>IF(tblOrdenes[[#This Row],[link_checklist]]="","",HYPERLINK(p_ruta_base_checklists&amp;tblOrdenes[[#This Row],[link_checklist]],"abrir"))</f>
        <v/>
      </c>
      <c r="AT36" s="4" t="n"/>
      <c r="AU36" s="5">
        <f>IF(tblOrdenes[[#This Row],[orden]]="","",tblOrdenes[[#This Row],[orden]]&amp;IF(tblOrdenes[[#This Row],[operacion]]="","0010",tblOrdenes[[#This Row],[operacion]]))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25" t="n"/>
      <c r="K37" s="5" t="n"/>
      <c r="L37" s="18" t="n"/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Row],[fecha_inicio]]="","",tblOrdenes[[#This Row],[anio]]&amp;"-"&amp;TEXT(tblOrdenes[[#This Row],[mes]],"00"))</f>
        <v/>
      </c>
      <c r="S37" s="5">
        <f>IF(tblOrdenes[[#This Row],[fecha_inicio]]="","",INDEX(lista_dias,WEEKDAY(tblOrdenes[[#This Row],[fecha_inicio]],2)))</f>
        <v/>
      </c>
      <c r="T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5">
        <f>IF(tblOrdenes[[#This Row],[tipo_ot]]="","",_xlfn.XLOOKUP(tblOrdenes[[#This Row],[tipo_ot]],tblTiposOT[codigo],tblTiposOT[clasificacion],"sin_clasificar"))</f>
        <v/>
      </c>
      <c r="V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5">
        <f>IF(tblOrdenes[[#This Row],[centro_costo]]="","",_xlfn.XLOOKUP(tblOrdenes[[#This Row],[centro_costo]],tblCECO[codigo],tblCECO[linea],"(sin catálogo)"))</f>
        <v/>
      </c>
      <c r="Y37" s="5">
        <f>IF(tblOrdenes[[#This Row],[centro_costo]]="","",_xlfn.XLOOKUP(tblOrdenes[[#This Row],[centro_costo]],tblCECO[codigo],tblCECO[area],"(sin catálogo)"))</f>
        <v/>
      </c>
      <c r="Z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5">
        <f>IF(tblOrdenes[[#This Row],[centro_costo]]="","",_xlfn.XLOOKUP(tblOrdenes[[#This Row],[centro_costo]],tblCECO[codigo],tblCECO[coordinador],"(sin catálogo)"))</f>
        <v/>
      </c>
      <c r="AB37" s="5">
        <f>IF(tblOrdenes[[#This Row],[puesto_trabajo]]="","",_xlfn.XLOOKUP(tblOrdenes[[#This Row],[puesto_trabajo]],tblPuestos[codigo],tblPuestos[especialidad],"(sin catálogo)"))</f>
        <v/>
      </c>
      <c r="AC37" s="5">
        <f>IF(tblOrdenes[[#This Row],[cod_actividad]]="","",_xlfn.XLOOKUP(tblOrdenes[[#This Row],[cod_actividad]],tblActividades[codigo],tblActividades[descripcion],"(sin catálogo)"))</f>
        <v/>
      </c>
      <c r="AD37" s="23">
        <f>IF(tblOrdenes[[#This Row],[fecha_inicio]]="","",TODAY()-tblOrdenes[[#This Row],[fecha_inicio]])</f>
        <v/>
      </c>
      <c r="AE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5">
        <f>IF(tblOrdenes[[#This Row],[backlog_habiles]]="","",IF(tblOrdenes[[#This Row],[backlog_habiles]]&lt;0,"FUTURO",IF(tblOrdenes[[#This Row],[backlog_habiles]]&gt;p_dias_backlog_max,"BACKLOG","MES CORRIENTE")))</f>
        <v/>
      </c>
      <c r="AG37" s="5">
        <f>IF(tblOrdenes[[#This Row],[backlog_habiles]]="",FALSE,AND(tblOrdenes[[#This Row],[backlog_habiles]]&gt;p_dias_backlog_min,tblOrdenes[[#This Row],[backlog_habiles]]&lt;=p_dias_backlog_max))</f>
        <v/>
      </c>
      <c r="AH37" s="4" t="n"/>
      <c r="AI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18">
        <f>IF(tblOrdenes[[#This Row],[orden]]="","",_xlfn.XLOOKUP(tblOrdenes[[#This Row],[id_operacion]],tblEjecucion[id_operacion],tblEjecucion[precio],0))</f>
        <v/>
      </c>
      <c r="AM37" s="18">
        <f>IF(tblOrdenes[[#This Row],[orden]]="","",MAX(0,_xlfn.XLOOKUP(tblOrdenes[[#This Row],[id_operacion]],tblEjecucion[id_operacion],tblEjecucion[costo_plan_total],0)-tblOrdenes[[#This Row],[costo_servicio]]))</f>
        <v/>
      </c>
      <c r="AN37" s="18">
        <f>IF(tblOrdenes[[#This Row],[orden]]="","",tblOrdenes[[#This Row],[costo_servicio]]+tblOrdenes[[#This Row],[costo_materiales]])</f>
        <v/>
      </c>
      <c r="AO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n"/>
      <c r="AQ37" s="4" t="n"/>
      <c r="AR37" s="4" t="n"/>
      <c r="AS37" s="5">
        <f>IF(tblOrdenes[[#This Row],[link_checklist]]="","",HYPERLINK(p_ruta_base_checklists&amp;tblOrdenes[[#This Row],[link_checklist]],"abrir"))</f>
        <v/>
      </c>
      <c r="AT37" s="4" t="n"/>
      <c r="AU37" s="5">
        <f>IF(tblOrdenes[[#This Row],[orden]]="","",tblOrdenes[[#This Row],[orden]]&amp;IF(tblOrdenes[[#This Row],[operacion]]="","0010",tblOrdenes[[#This Row],[operacion]]))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25" t="n"/>
      <c r="K38" s="5" t="n"/>
      <c r="L38" s="18" t="n"/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Row],[fecha_inicio]]="","",tblOrdenes[[#This Row],[anio]]&amp;"-"&amp;TEXT(tblOrdenes[[#This Row],[mes]],"00"))</f>
        <v/>
      </c>
      <c r="S38" s="5">
        <f>IF(tblOrdenes[[#This Row],[fecha_inicio]]="","",INDEX(lista_dias,WEEKDAY(tblOrdenes[[#This Row],[fecha_inicio]],2)))</f>
        <v/>
      </c>
      <c r="T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5">
        <f>IF(tblOrdenes[[#This Row],[tipo_ot]]="","",_xlfn.XLOOKUP(tblOrdenes[[#This Row],[tipo_ot]],tblTiposOT[codigo],tblTiposOT[clasificacion],"sin_clasificar"))</f>
        <v/>
      </c>
      <c r="V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5">
        <f>IF(tblOrdenes[[#This Row],[centro_costo]]="","",_xlfn.XLOOKUP(tblOrdenes[[#This Row],[centro_costo]],tblCECO[codigo],tblCECO[linea],"(sin catálogo)"))</f>
        <v/>
      </c>
      <c r="Y38" s="5">
        <f>IF(tblOrdenes[[#This Row],[centro_costo]]="","",_xlfn.XLOOKUP(tblOrdenes[[#This Row],[centro_costo]],tblCECO[codigo],tblCECO[area],"(sin catálogo)"))</f>
        <v/>
      </c>
      <c r="Z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5">
        <f>IF(tblOrdenes[[#This Row],[centro_costo]]="","",_xlfn.XLOOKUP(tblOrdenes[[#This Row],[centro_costo]],tblCECO[codigo],tblCECO[coordinador],"(sin catálogo)"))</f>
        <v/>
      </c>
      <c r="AB38" s="5">
        <f>IF(tblOrdenes[[#This Row],[puesto_trabajo]]="","",_xlfn.XLOOKUP(tblOrdenes[[#This Row],[puesto_trabajo]],tblPuestos[codigo],tblPuestos[especialidad],"(sin catálogo)"))</f>
        <v/>
      </c>
      <c r="AC38" s="5">
        <f>IF(tblOrdenes[[#This Row],[cod_actividad]]="","",_xlfn.XLOOKUP(tblOrdenes[[#This Row],[cod_actividad]],tblActividades[codigo],tblActividades[descripcion],"(sin catálogo)"))</f>
        <v/>
      </c>
      <c r="AD38" s="23">
        <f>IF(tblOrdenes[[#This Row],[fecha_inicio]]="","",TODAY()-tblOrdenes[[#This Row],[fecha_inicio]])</f>
        <v/>
      </c>
      <c r="AE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5">
        <f>IF(tblOrdenes[[#This Row],[backlog_habiles]]="","",IF(tblOrdenes[[#This Row],[backlog_habiles]]&lt;0,"FUTURO",IF(tblOrdenes[[#This Row],[backlog_habiles]]&gt;p_dias_backlog_max,"BACKLOG","MES CORRIENTE")))</f>
        <v/>
      </c>
      <c r="AG38" s="5">
        <f>IF(tblOrdenes[[#This Row],[backlog_habiles]]="",FALSE,AND(tblOrdenes[[#This Row],[backlog_habiles]]&gt;p_dias_backlog_min,tblOrdenes[[#This Row],[backlog_habiles]]&lt;=p_dias_backlog_max))</f>
        <v/>
      </c>
      <c r="AH38" s="4" t="n"/>
      <c r="AI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18">
        <f>IF(tblOrdenes[[#This Row],[orden]]="","",_xlfn.XLOOKUP(tblOrdenes[[#This Row],[id_operacion]],tblEjecucion[id_operacion],tblEjecucion[precio],0))</f>
        <v/>
      </c>
      <c r="AM38" s="18">
        <f>IF(tblOrdenes[[#This Row],[orden]]="","",MAX(0,_xlfn.XLOOKUP(tblOrdenes[[#This Row],[id_operacion]],tblEjecucion[id_operacion],tblEjecucion[costo_plan_total],0)-tblOrdenes[[#This Row],[costo_servicio]]))</f>
        <v/>
      </c>
      <c r="AN38" s="18">
        <f>IF(tblOrdenes[[#This Row],[orden]]="","",tblOrdenes[[#This Row],[costo_servicio]]+tblOrdenes[[#This Row],[costo_materiales]])</f>
        <v/>
      </c>
      <c r="AO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n"/>
      <c r="AQ38" s="4" t="n"/>
      <c r="AR38" s="4" t="n"/>
      <c r="AS38" s="5">
        <f>IF(tblOrdenes[[#This Row],[link_checklist]]="","",HYPERLINK(p_ruta_base_checklists&amp;tblOrdenes[[#This Row],[link_checklist]],"abrir"))</f>
        <v/>
      </c>
      <c r="AT38" s="4" t="n"/>
      <c r="AU38" s="5">
        <f>IF(tblOrdenes[[#This Row],[orden]]="","",tblOrdenes[[#This Row],[orden]]&amp;IF(tblOrdenes[[#This Row],[operacion]]="","0010",tblOrdenes[[#This Row],[operacion]]))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25" t="n"/>
      <c r="K39" s="5" t="n"/>
      <c r="L39" s="18" t="n"/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Row],[fecha_inicio]]="","",tblOrdenes[[#This Row],[anio]]&amp;"-"&amp;TEXT(tblOrdenes[[#This Row],[mes]],"00"))</f>
        <v/>
      </c>
      <c r="S39" s="5">
        <f>IF(tblOrdenes[[#This Row],[fecha_inicio]]="","",INDEX(lista_dias,WEEKDAY(tblOrdenes[[#This Row],[fecha_inicio]],2)))</f>
        <v/>
      </c>
      <c r="T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5">
        <f>IF(tblOrdenes[[#This Row],[tipo_ot]]="","",_xlfn.XLOOKUP(tblOrdenes[[#This Row],[tipo_ot]],tblTiposOT[codigo],tblTiposOT[clasificacion],"sin_clasificar"))</f>
        <v/>
      </c>
      <c r="V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5">
        <f>IF(tblOrdenes[[#This Row],[centro_costo]]="","",_xlfn.XLOOKUP(tblOrdenes[[#This Row],[centro_costo]],tblCECO[codigo],tblCECO[linea],"(sin catálogo)"))</f>
        <v/>
      </c>
      <c r="Y39" s="5">
        <f>IF(tblOrdenes[[#This Row],[centro_costo]]="","",_xlfn.XLOOKUP(tblOrdenes[[#This Row],[centro_costo]],tblCECO[codigo],tblCECO[area],"(sin catálogo)"))</f>
        <v/>
      </c>
      <c r="Z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5">
        <f>IF(tblOrdenes[[#This Row],[centro_costo]]="","",_xlfn.XLOOKUP(tblOrdenes[[#This Row],[centro_costo]],tblCECO[codigo],tblCECO[coordinador],"(sin catálogo)"))</f>
        <v/>
      </c>
      <c r="AB39" s="5">
        <f>IF(tblOrdenes[[#This Row],[puesto_trabajo]]="","",_xlfn.XLOOKUP(tblOrdenes[[#This Row],[puesto_trabajo]],tblPuestos[codigo],tblPuestos[especialidad],"(sin catálogo)"))</f>
        <v/>
      </c>
      <c r="AC39" s="5">
        <f>IF(tblOrdenes[[#This Row],[cod_actividad]]="","",_xlfn.XLOOKUP(tblOrdenes[[#This Row],[cod_actividad]],tblActividades[codigo],tblActividades[descripcion],"(sin catálogo)"))</f>
        <v/>
      </c>
      <c r="AD39" s="23">
        <f>IF(tblOrdenes[[#This Row],[fecha_inicio]]="","",TODAY()-tblOrdenes[[#This Row],[fecha_inicio]])</f>
        <v/>
      </c>
      <c r="AE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5">
        <f>IF(tblOrdenes[[#This Row],[backlog_habiles]]="","",IF(tblOrdenes[[#This Row],[backlog_habiles]]&lt;0,"FUTURO",IF(tblOrdenes[[#This Row],[backlog_habiles]]&gt;p_dias_backlog_max,"BACKLOG","MES CORRIENTE")))</f>
        <v/>
      </c>
      <c r="AG39" s="5">
        <f>IF(tblOrdenes[[#This Row],[backlog_habiles]]="",FALSE,AND(tblOrdenes[[#This Row],[backlog_habiles]]&gt;p_dias_backlog_min,tblOrdenes[[#This Row],[backlog_habiles]]&lt;=p_dias_backlog_max))</f>
        <v/>
      </c>
      <c r="AH39" s="4" t="n"/>
      <c r="AI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18">
        <f>IF(tblOrdenes[[#This Row],[orden]]="","",_xlfn.XLOOKUP(tblOrdenes[[#This Row],[id_operacion]],tblEjecucion[id_operacion],tblEjecucion[precio],0))</f>
        <v/>
      </c>
      <c r="AM39" s="18">
        <f>IF(tblOrdenes[[#This Row],[orden]]="","",MAX(0,_xlfn.XLOOKUP(tblOrdenes[[#This Row],[id_operacion]],tblEjecucion[id_operacion],tblEjecucion[costo_plan_total],0)-tblOrdenes[[#This Row],[costo_servicio]]))</f>
        <v/>
      </c>
      <c r="AN39" s="18">
        <f>IF(tblOrdenes[[#This Row],[orden]]="","",tblOrdenes[[#This Row],[costo_servicio]]+tblOrdenes[[#This Row],[costo_materiales]])</f>
        <v/>
      </c>
      <c r="AO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n"/>
      <c r="AQ39" s="4" t="n"/>
      <c r="AR39" s="4" t="n"/>
      <c r="AS39" s="5">
        <f>IF(tblOrdenes[[#This Row],[link_checklist]]="","",HYPERLINK(p_ruta_base_checklists&amp;tblOrdenes[[#This Row],[link_checklist]],"abrir"))</f>
        <v/>
      </c>
      <c r="AT39" s="4" t="n"/>
      <c r="AU39" s="5">
        <f>IF(tblOrdenes[[#This Row],[orden]]="","",tblOrdenes[[#This Row],[orden]]&amp;IF(tblOrdenes[[#This Row],[operacion]]="","0010",tblOrdenes[[#This Row],[operacion]]))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25" t="n"/>
      <c r="K40" s="5" t="n"/>
      <c r="L40" s="18" t="n"/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Row],[fecha_inicio]]="","",tblOrdenes[[#This Row],[anio]]&amp;"-"&amp;TEXT(tblOrdenes[[#This Row],[mes]],"00"))</f>
        <v/>
      </c>
      <c r="S40" s="5">
        <f>IF(tblOrdenes[[#This Row],[fecha_inicio]]="","",INDEX(lista_dias,WEEKDAY(tblOrdenes[[#This Row],[fecha_inicio]],2)))</f>
        <v/>
      </c>
      <c r="T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5">
        <f>IF(tblOrdenes[[#This Row],[tipo_ot]]="","",_xlfn.XLOOKUP(tblOrdenes[[#This Row],[tipo_ot]],tblTiposOT[codigo],tblTiposOT[clasificacion],"sin_clasificar"))</f>
        <v/>
      </c>
      <c r="V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5">
        <f>IF(tblOrdenes[[#This Row],[centro_costo]]="","",_xlfn.XLOOKUP(tblOrdenes[[#This Row],[centro_costo]],tblCECO[codigo],tblCECO[linea],"(sin catálogo)"))</f>
        <v/>
      </c>
      <c r="Y40" s="5">
        <f>IF(tblOrdenes[[#This Row],[centro_costo]]="","",_xlfn.XLOOKUP(tblOrdenes[[#This Row],[centro_costo]],tblCECO[codigo],tblCECO[area],"(sin catálogo)"))</f>
        <v/>
      </c>
      <c r="Z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5">
        <f>IF(tblOrdenes[[#This Row],[centro_costo]]="","",_xlfn.XLOOKUP(tblOrdenes[[#This Row],[centro_costo]],tblCECO[codigo],tblCECO[coordinador],"(sin catálogo)"))</f>
        <v/>
      </c>
      <c r="AB40" s="5">
        <f>IF(tblOrdenes[[#This Row],[puesto_trabajo]]="","",_xlfn.XLOOKUP(tblOrdenes[[#This Row],[puesto_trabajo]],tblPuestos[codigo],tblPuestos[especialidad],"(sin catálogo)"))</f>
        <v/>
      </c>
      <c r="AC40" s="5">
        <f>IF(tblOrdenes[[#This Row],[cod_actividad]]="","",_xlfn.XLOOKUP(tblOrdenes[[#This Row],[cod_actividad]],tblActividades[codigo],tblActividades[descripcion],"(sin catálogo)"))</f>
        <v/>
      </c>
      <c r="AD40" s="23">
        <f>IF(tblOrdenes[[#This Row],[fecha_inicio]]="","",TODAY()-tblOrdenes[[#This Row],[fecha_inicio]])</f>
        <v/>
      </c>
      <c r="AE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5">
        <f>IF(tblOrdenes[[#This Row],[backlog_habiles]]="","",IF(tblOrdenes[[#This Row],[backlog_habiles]]&lt;0,"FUTURO",IF(tblOrdenes[[#This Row],[backlog_habiles]]&gt;p_dias_backlog_max,"BACKLOG","MES CORRIENTE")))</f>
        <v/>
      </c>
      <c r="AG40" s="5">
        <f>IF(tblOrdenes[[#This Row],[backlog_habiles]]="",FALSE,AND(tblOrdenes[[#This Row],[backlog_habiles]]&gt;p_dias_backlog_min,tblOrdenes[[#This Row],[backlog_habiles]]&lt;=p_dias_backlog_max))</f>
        <v/>
      </c>
      <c r="AH40" s="4" t="n"/>
      <c r="AI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18">
        <f>IF(tblOrdenes[[#This Row],[orden]]="","",_xlfn.XLOOKUP(tblOrdenes[[#This Row],[id_operacion]],tblEjecucion[id_operacion],tblEjecucion[precio],0))</f>
        <v/>
      </c>
      <c r="AM40" s="18">
        <f>IF(tblOrdenes[[#This Row],[orden]]="","",MAX(0,_xlfn.XLOOKUP(tblOrdenes[[#This Row],[id_operacion]],tblEjecucion[id_operacion],tblEjecucion[costo_plan_total],0)-tblOrdenes[[#This Row],[costo_servicio]]))</f>
        <v/>
      </c>
      <c r="AN40" s="18">
        <f>IF(tblOrdenes[[#This Row],[orden]]="","",tblOrdenes[[#This Row],[costo_servicio]]+tblOrdenes[[#This Row],[costo_materiales]])</f>
        <v/>
      </c>
      <c r="AO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n"/>
      <c r="AQ40" s="4" t="n"/>
      <c r="AR40" s="4" t="n"/>
      <c r="AS40" s="5">
        <f>IF(tblOrdenes[[#This Row],[link_checklist]]="","",HYPERLINK(p_ruta_base_checklists&amp;tblOrdenes[[#This Row],[link_checklist]],"abrir"))</f>
        <v/>
      </c>
      <c r="AT40" s="4" t="n"/>
      <c r="AU40" s="5">
        <f>IF(tblOrdenes[[#This Row],[orden]]="","",tblOrdenes[[#This Row],[orden]]&amp;IF(tblOrdenes[[#This Row],[operacion]]="","0010",tblOrdenes[[#This Row],[operacion]]))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25" t="n"/>
      <c r="K41" s="5" t="n"/>
      <c r="L41" s="18" t="n"/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Row],[fecha_inicio]]="","",tblOrdenes[[#This Row],[anio]]&amp;"-"&amp;TEXT(tblOrdenes[[#This Row],[mes]],"00"))</f>
        <v/>
      </c>
      <c r="S41" s="5">
        <f>IF(tblOrdenes[[#This Row],[fecha_inicio]]="","",INDEX(lista_dias,WEEKDAY(tblOrdenes[[#This Row],[fecha_inicio]],2)))</f>
        <v/>
      </c>
      <c r="T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5">
        <f>IF(tblOrdenes[[#This Row],[tipo_ot]]="","",_xlfn.XLOOKUP(tblOrdenes[[#This Row],[tipo_ot]],tblTiposOT[codigo],tblTiposOT[clasificacion],"sin_clasificar"))</f>
        <v/>
      </c>
      <c r="V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5">
        <f>IF(tblOrdenes[[#This Row],[centro_costo]]="","",_xlfn.XLOOKUP(tblOrdenes[[#This Row],[centro_costo]],tblCECO[codigo],tblCECO[linea],"(sin catálogo)"))</f>
        <v/>
      </c>
      <c r="Y41" s="5">
        <f>IF(tblOrdenes[[#This Row],[centro_costo]]="","",_xlfn.XLOOKUP(tblOrdenes[[#This Row],[centro_costo]],tblCECO[codigo],tblCECO[area],"(sin catálogo)"))</f>
        <v/>
      </c>
      <c r="Z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5">
        <f>IF(tblOrdenes[[#This Row],[centro_costo]]="","",_xlfn.XLOOKUP(tblOrdenes[[#This Row],[centro_costo]],tblCECO[codigo],tblCECO[coordinador],"(sin catálogo)"))</f>
        <v/>
      </c>
      <c r="AB41" s="5">
        <f>IF(tblOrdenes[[#This Row],[puesto_trabajo]]="","",_xlfn.XLOOKUP(tblOrdenes[[#This Row],[puesto_trabajo]],tblPuestos[codigo],tblPuestos[especialidad],"(sin catálogo)"))</f>
        <v/>
      </c>
      <c r="AC41" s="5">
        <f>IF(tblOrdenes[[#This Row],[cod_actividad]]="","",_xlfn.XLOOKUP(tblOrdenes[[#This Row],[cod_actividad]],tblActividades[codigo],tblActividades[descripcion],"(sin catálogo)"))</f>
        <v/>
      </c>
      <c r="AD41" s="23">
        <f>IF(tblOrdenes[[#This Row],[fecha_inicio]]="","",TODAY()-tblOrdenes[[#This Row],[fecha_inicio]])</f>
        <v/>
      </c>
      <c r="AE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5">
        <f>IF(tblOrdenes[[#This Row],[backlog_habiles]]="","",IF(tblOrdenes[[#This Row],[backlog_habiles]]&lt;0,"FUTURO",IF(tblOrdenes[[#This Row],[backlog_habiles]]&gt;p_dias_backlog_max,"BACKLOG","MES CORRIENTE")))</f>
        <v/>
      </c>
      <c r="AG41" s="5">
        <f>IF(tblOrdenes[[#This Row],[backlog_habiles]]="",FALSE,AND(tblOrdenes[[#This Row],[backlog_habiles]]&gt;p_dias_backlog_min,tblOrdenes[[#This Row],[backlog_habiles]]&lt;=p_dias_backlog_max))</f>
        <v/>
      </c>
      <c r="AH41" s="4" t="n"/>
      <c r="AI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18">
        <f>IF(tblOrdenes[[#This Row],[orden]]="","",_xlfn.XLOOKUP(tblOrdenes[[#This Row],[id_operacion]],tblEjecucion[id_operacion],tblEjecucion[precio],0))</f>
        <v/>
      </c>
      <c r="AM41" s="18">
        <f>IF(tblOrdenes[[#This Row],[orden]]="","",MAX(0,_xlfn.XLOOKUP(tblOrdenes[[#This Row],[id_operacion]],tblEjecucion[id_operacion],tblEjecucion[costo_plan_total],0)-tblOrdenes[[#This Row],[costo_servicio]]))</f>
        <v/>
      </c>
      <c r="AN41" s="18">
        <f>IF(tblOrdenes[[#This Row],[orden]]="","",tblOrdenes[[#This Row],[costo_servicio]]+tblOrdenes[[#This Row],[costo_materiales]])</f>
        <v/>
      </c>
      <c r="AO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n"/>
      <c r="AQ41" s="4" t="n"/>
      <c r="AR41" s="4" t="n"/>
      <c r="AS41" s="5">
        <f>IF(tblOrdenes[[#This Row],[link_checklist]]="","",HYPERLINK(p_ruta_base_checklists&amp;tblOrdenes[[#This Row],[link_checklist]],"abrir"))</f>
        <v/>
      </c>
      <c r="AT41" s="4" t="n"/>
      <c r="AU41" s="5">
        <f>IF(tblOrdenes[[#This Row],[orden]]="","",tblOrdenes[[#This Row],[orden]]&amp;IF(tblOrdenes[[#This Row],[operacion]]="","0010",tblOrdenes[[#This Row],[operacion]]))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25" t="n"/>
      <c r="K42" s="5" t="n"/>
      <c r="L42" s="18" t="n"/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Row],[fecha_inicio]]="","",tblOrdenes[[#This Row],[anio]]&amp;"-"&amp;TEXT(tblOrdenes[[#This Row],[mes]],"00"))</f>
        <v/>
      </c>
      <c r="S42" s="5">
        <f>IF(tblOrdenes[[#This Row],[fecha_inicio]]="","",INDEX(lista_dias,WEEKDAY(tblOrdenes[[#This Row],[fecha_inicio]],2)))</f>
        <v/>
      </c>
      <c r="T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5">
        <f>IF(tblOrdenes[[#This Row],[tipo_ot]]="","",_xlfn.XLOOKUP(tblOrdenes[[#This Row],[tipo_ot]],tblTiposOT[codigo],tblTiposOT[clasificacion],"sin_clasificar"))</f>
        <v/>
      </c>
      <c r="V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5">
        <f>IF(tblOrdenes[[#This Row],[centro_costo]]="","",_xlfn.XLOOKUP(tblOrdenes[[#This Row],[centro_costo]],tblCECO[codigo],tblCECO[linea],"(sin catálogo)"))</f>
        <v/>
      </c>
      <c r="Y42" s="5">
        <f>IF(tblOrdenes[[#This Row],[centro_costo]]="","",_xlfn.XLOOKUP(tblOrdenes[[#This Row],[centro_costo]],tblCECO[codigo],tblCECO[area],"(sin catálogo)"))</f>
        <v/>
      </c>
      <c r="Z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5">
        <f>IF(tblOrdenes[[#This Row],[centro_costo]]="","",_xlfn.XLOOKUP(tblOrdenes[[#This Row],[centro_costo]],tblCECO[codigo],tblCECO[coordinador],"(sin catálogo)"))</f>
        <v/>
      </c>
      <c r="AB42" s="5">
        <f>IF(tblOrdenes[[#This Row],[puesto_trabajo]]="","",_xlfn.XLOOKUP(tblOrdenes[[#This Row],[puesto_trabajo]],tblPuestos[codigo],tblPuestos[especialidad],"(sin catálogo)"))</f>
        <v/>
      </c>
      <c r="AC42" s="5">
        <f>IF(tblOrdenes[[#This Row],[cod_actividad]]="","",_xlfn.XLOOKUP(tblOrdenes[[#This Row],[cod_actividad]],tblActividades[codigo],tblActividades[descripcion],"(sin catálogo)"))</f>
        <v/>
      </c>
      <c r="AD42" s="23">
        <f>IF(tblOrdenes[[#This Row],[fecha_inicio]]="","",TODAY()-tblOrdenes[[#This Row],[fecha_inicio]])</f>
        <v/>
      </c>
      <c r="AE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5">
        <f>IF(tblOrdenes[[#This Row],[backlog_habiles]]="","",IF(tblOrdenes[[#This Row],[backlog_habiles]]&lt;0,"FUTURO",IF(tblOrdenes[[#This Row],[backlog_habiles]]&gt;p_dias_backlog_max,"BACKLOG","MES CORRIENTE")))</f>
        <v/>
      </c>
      <c r="AG42" s="5">
        <f>IF(tblOrdenes[[#This Row],[backlog_habiles]]="",FALSE,AND(tblOrdenes[[#This Row],[backlog_habiles]]&gt;p_dias_backlog_min,tblOrdenes[[#This Row],[backlog_habiles]]&lt;=p_dias_backlog_max))</f>
        <v/>
      </c>
      <c r="AH42" s="4" t="n"/>
      <c r="AI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18">
        <f>IF(tblOrdenes[[#This Row],[orden]]="","",_xlfn.XLOOKUP(tblOrdenes[[#This Row],[id_operacion]],tblEjecucion[id_operacion],tblEjecucion[precio],0))</f>
        <v/>
      </c>
      <c r="AM42" s="18">
        <f>IF(tblOrdenes[[#This Row],[orden]]="","",MAX(0,_xlfn.XLOOKUP(tblOrdenes[[#This Row],[id_operacion]],tblEjecucion[id_operacion],tblEjecucion[costo_plan_total],0)-tblOrdenes[[#This Row],[costo_servicio]]))</f>
        <v/>
      </c>
      <c r="AN42" s="18">
        <f>IF(tblOrdenes[[#This Row],[orden]]="","",tblOrdenes[[#This Row],[costo_servicio]]+tblOrdenes[[#This Row],[costo_materiales]])</f>
        <v/>
      </c>
      <c r="AO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n"/>
      <c r="AQ42" s="4" t="n"/>
      <c r="AR42" s="4" t="n"/>
      <c r="AS42" s="5">
        <f>IF(tblOrdenes[[#This Row],[link_checklist]]="","",HYPERLINK(p_ruta_base_checklists&amp;tblOrdenes[[#This Row],[link_checklist]],"abrir"))</f>
        <v/>
      </c>
      <c r="AT42" s="4" t="n"/>
      <c r="AU42" s="5">
        <f>IF(tblOrdenes[[#This Row],[orden]]="","",tblOrdenes[[#This Row],[orden]]&amp;IF(tblOrdenes[[#This Row],[operacion]]="","0010",tblOrdenes[[#This Row],[operacion]]))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25" t="n"/>
      <c r="K43" s="5" t="n"/>
      <c r="L43" s="18" t="n"/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Row],[fecha_inicio]]="","",tblOrdenes[[#This Row],[anio]]&amp;"-"&amp;TEXT(tblOrdenes[[#This Row],[mes]],"00"))</f>
        <v/>
      </c>
      <c r="S43" s="5">
        <f>IF(tblOrdenes[[#This Row],[fecha_inicio]]="","",INDEX(lista_dias,WEEKDAY(tblOrdenes[[#This Row],[fecha_inicio]],2)))</f>
        <v/>
      </c>
      <c r="T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5">
        <f>IF(tblOrdenes[[#This Row],[tipo_ot]]="","",_xlfn.XLOOKUP(tblOrdenes[[#This Row],[tipo_ot]],tblTiposOT[codigo],tblTiposOT[clasificacion],"sin_clasificar"))</f>
        <v/>
      </c>
      <c r="V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5">
        <f>IF(tblOrdenes[[#This Row],[centro_costo]]="","",_xlfn.XLOOKUP(tblOrdenes[[#This Row],[centro_costo]],tblCECO[codigo],tblCECO[linea],"(sin catálogo)"))</f>
        <v/>
      </c>
      <c r="Y43" s="5">
        <f>IF(tblOrdenes[[#This Row],[centro_costo]]="","",_xlfn.XLOOKUP(tblOrdenes[[#This Row],[centro_costo]],tblCECO[codigo],tblCECO[area],"(sin catálogo)"))</f>
        <v/>
      </c>
      <c r="Z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5">
        <f>IF(tblOrdenes[[#This Row],[centro_costo]]="","",_xlfn.XLOOKUP(tblOrdenes[[#This Row],[centro_costo]],tblCECO[codigo],tblCECO[coordinador],"(sin catálogo)"))</f>
        <v/>
      </c>
      <c r="AB43" s="5">
        <f>IF(tblOrdenes[[#This Row],[puesto_trabajo]]="","",_xlfn.XLOOKUP(tblOrdenes[[#This Row],[puesto_trabajo]],tblPuestos[codigo],tblPuestos[especialidad],"(sin catálogo)"))</f>
        <v/>
      </c>
      <c r="AC43" s="5">
        <f>IF(tblOrdenes[[#This Row],[cod_actividad]]="","",_xlfn.XLOOKUP(tblOrdenes[[#This Row],[cod_actividad]],tblActividades[codigo],tblActividades[descripcion],"(sin catálogo)"))</f>
        <v/>
      </c>
      <c r="AD43" s="23">
        <f>IF(tblOrdenes[[#This Row],[fecha_inicio]]="","",TODAY()-tblOrdenes[[#This Row],[fecha_inicio]])</f>
        <v/>
      </c>
      <c r="AE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5">
        <f>IF(tblOrdenes[[#This Row],[backlog_habiles]]="","",IF(tblOrdenes[[#This Row],[backlog_habiles]]&lt;0,"FUTURO",IF(tblOrdenes[[#This Row],[backlog_habiles]]&gt;p_dias_backlog_max,"BACKLOG","MES CORRIENTE")))</f>
        <v/>
      </c>
      <c r="AG43" s="5">
        <f>IF(tblOrdenes[[#This Row],[backlog_habiles]]="",FALSE,AND(tblOrdenes[[#This Row],[backlog_habiles]]&gt;p_dias_backlog_min,tblOrdenes[[#This Row],[backlog_habiles]]&lt;=p_dias_backlog_max))</f>
        <v/>
      </c>
      <c r="AH43" s="4" t="n"/>
      <c r="AI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18">
        <f>IF(tblOrdenes[[#This Row],[orden]]="","",_xlfn.XLOOKUP(tblOrdenes[[#This Row],[id_operacion]],tblEjecucion[id_operacion],tblEjecucion[precio],0))</f>
        <v/>
      </c>
      <c r="AM43" s="18">
        <f>IF(tblOrdenes[[#This Row],[orden]]="","",MAX(0,_xlfn.XLOOKUP(tblOrdenes[[#This Row],[id_operacion]],tblEjecucion[id_operacion],tblEjecucion[costo_plan_total],0)-tblOrdenes[[#This Row],[costo_servicio]]))</f>
        <v/>
      </c>
      <c r="AN43" s="18">
        <f>IF(tblOrdenes[[#This Row],[orden]]="","",tblOrdenes[[#This Row],[costo_servicio]]+tblOrdenes[[#This Row],[costo_materiales]])</f>
        <v/>
      </c>
      <c r="AO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n"/>
      <c r="AQ43" s="4" t="n"/>
      <c r="AR43" s="4" t="n"/>
      <c r="AS43" s="5">
        <f>IF(tblOrdenes[[#This Row],[link_checklist]]="","",HYPERLINK(p_ruta_base_checklists&amp;tblOrdenes[[#This Row],[link_checklist]],"abrir"))</f>
        <v/>
      </c>
      <c r="AT43" s="4" t="n"/>
      <c r="AU43" s="5">
        <f>IF(tblOrdenes[[#This Row],[orden]]="","",tblOrdenes[[#This Row],[orden]]&amp;IF(tblOrdenes[[#This Row],[operacion]]="","0010",tblOrdenes[[#This Row],[operacion]]))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25" t="n"/>
      <c r="K44" s="5" t="n"/>
      <c r="L44" s="18" t="n"/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Row],[fecha_inicio]]="","",tblOrdenes[[#This Row],[anio]]&amp;"-"&amp;TEXT(tblOrdenes[[#This Row],[mes]],"00"))</f>
        <v/>
      </c>
      <c r="S44" s="5">
        <f>IF(tblOrdenes[[#This Row],[fecha_inicio]]="","",INDEX(lista_dias,WEEKDAY(tblOrdenes[[#This Row],[fecha_inicio]],2)))</f>
        <v/>
      </c>
      <c r="T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5">
        <f>IF(tblOrdenes[[#This Row],[tipo_ot]]="","",_xlfn.XLOOKUP(tblOrdenes[[#This Row],[tipo_ot]],tblTiposOT[codigo],tblTiposOT[clasificacion],"sin_clasificar"))</f>
        <v/>
      </c>
      <c r="V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5">
        <f>IF(tblOrdenes[[#This Row],[centro_costo]]="","",_xlfn.XLOOKUP(tblOrdenes[[#This Row],[centro_costo]],tblCECO[codigo],tblCECO[linea],"(sin catálogo)"))</f>
        <v/>
      </c>
      <c r="Y44" s="5">
        <f>IF(tblOrdenes[[#This Row],[centro_costo]]="","",_xlfn.XLOOKUP(tblOrdenes[[#This Row],[centro_costo]],tblCECO[codigo],tblCECO[area],"(sin catálogo)"))</f>
        <v/>
      </c>
      <c r="Z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5">
        <f>IF(tblOrdenes[[#This Row],[centro_costo]]="","",_xlfn.XLOOKUP(tblOrdenes[[#This Row],[centro_costo]],tblCECO[codigo],tblCECO[coordinador],"(sin catálogo)"))</f>
        <v/>
      </c>
      <c r="AB44" s="5">
        <f>IF(tblOrdenes[[#This Row],[puesto_trabajo]]="","",_xlfn.XLOOKUP(tblOrdenes[[#This Row],[puesto_trabajo]],tblPuestos[codigo],tblPuestos[especialidad],"(sin catálogo)"))</f>
        <v/>
      </c>
      <c r="AC44" s="5">
        <f>IF(tblOrdenes[[#This Row],[cod_actividad]]="","",_xlfn.XLOOKUP(tblOrdenes[[#This Row],[cod_actividad]],tblActividades[codigo],tblActividades[descripcion],"(sin catálogo)"))</f>
        <v/>
      </c>
      <c r="AD44" s="23">
        <f>IF(tblOrdenes[[#This Row],[fecha_inicio]]="","",TODAY()-tblOrdenes[[#This Row],[fecha_inicio]])</f>
        <v/>
      </c>
      <c r="AE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5">
        <f>IF(tblOrdenes[[#This Row],[backlog_habiles]]="","",IF(tblOrdenes[[#This Row],[backlog_habiles]]&lt;0,"FUTURO",IF(tblOrdenes[[#This Row],[backlog_habiles]]&gt;p_dias_backlog_max,"BACKLOG","MES CORRIENTE")))</f>
        <v/>
      </c>
      <c r="AG44" s="5">
        <f>IF(tblOrdenes[[#This Row],[backlog_habiles]]="",FALSE,AND(tblOrdenes[[#This Row],[backlog_habiles]]&gt;p_dias_backlog_min,tblOrdenes[[#This Row],[backlog_habiles]]&lt;=p_dias_backlog_max))</f>
        <v/>
      </c>
      <c r="AH44" s="4" t="n"/>
      <c r="AI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18">
        <f>IF(tblOrdenes[[#This Row],[orden]]="","",_xlfn.XLOOKUP(tblOrdenes[[#This Row],[id_operacion]],tblEjecucion[id_operacion],tblEjecucion[precio],0))</f>
        <v/>
      </c>
      <c r="AM44" s="18">
        <f>IF(tblOrdenes[[#This Row],[orden]]="","",MAX(0,_xlfn.XLOOKUP(tblOrdenes[[#This Row],[id_operacion]],tblEjecucion[id_operacion],tblEjecucion[costo_plan_total],0)-tblOrdenes[[#This Row],[costo_servicio]]))</f>
        <v/>
      </c>
      <c r="AN44" s="18">
        <f>IF(tblOrdenes[[#This Row],[orden]]="","",tblOrdenes[[#This Row],[costo_servicio]]+tblOrdenes[[#This Row],[costo_materiales]])</f>
        <v/>
      </c>
      <c r="AO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n"/>
      <c r="AQ44" s="4" t="n"/>
      <c r="AR44" s="4" t="n"/>
      <c r="AS44" s="5">
        <f>IF(tblOrdenes[[#This Row],[link_checklist]]="","",HYPERLINK(p_ruta_base_checklists&amp;tblOrdenes[[#This Row],[link_checklist]],"abrir"))</f>
        <v/>
      </c>
      <c r="AT44" s="4" t="n"/>
      <c r="AU44" s="5">
        <f>IF(tblOrdenes[[#This Row],[orden]]="","",tblOrdenes[[#This Row],[orden]]&amp;IF(tblOrdenes[[#This Row],[operacion]]="","0010",tblOrdenes[[#This Row],[operacion]]))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25" t="n"/>
      <c r="K45" s="5" t="n"/>
      <c r="L45" s="18" t="n"/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Row],[fecha_inicio]]="","",tblOrdenes[[#This Row],[anio]]&amp;"-"&amp;TEXT(tblOrdenes[[#This Row],[mes]],"00"))</f>
        <v/>
      </c>
      <c r="S45" s="5">
        <f>IF(tblOrdenes[[#This Row],[fecha_inicio]]="","",INDEX(lista_dias,WEEKDAY(tblOrdenes[[#This Row],[fecha_inicio]],2)))</f>
        <v/>
      </c>
      <c r="T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5">
        <f>IF(tblOrdenes[[#This Row],[tipo_ot]]="","",_xlfn.XLOOKUP(tblOrdenes[[#This Row],[tipo_ot]],tblTiposOT[codigo],tblTiposOT[clasificacion],"sin_clasificar"))</f>
        <v/>
      </c>
      <c r="V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5">
        <f>IF(tblOrdenes[[#This Row],[centro_costo]]="","",_xlfn.XLOOKUP(tblOrdenes[[#This Row],[centro_costo]],tblCECO[codigo],tblCECO[linea],"(sin catálogo)"))</f>
        <v/>
      </c>
      <c r="Y45" s="5">
        <f>IF(tblOrdenes[[#This Row],[centro_costo]]="","",_xlfn.XLOOKUP(tblOrdenes[[#This Row],[centro_costo]],tblCECO[codigo],tblCECO[area],"(sin catálogo)"))</f>
        <v/>
      </c>
      <c r="Z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5">
        <f>IF(tblOrdenes[[#This Row],[centro_costo]]="","",_xlfn.XLOOKUP(tblOrdenes[[#This Row],[centro_costo]],tblCECO[codigo],tblCECO[coordinador],"(sin catálogo)"))</f>
        <v/>
      </c>
      <c r="AB45" s="5">
        <f>IF(tblOrdenes[[#This Row],[puesto_trabajo]]="","",_xlfn.XLOOKUP(tblOrdenes[[#This Row],[puesto_trabajo]],tblPuestos[codigo],tblPuestos[especialidad],"(sin catálogo)"))</f>
        <v/>
      </c>
      <c r="AC45" s="5">
        <f>IF(tblOrdenes[[#This Row],[cod_actividad]]="","",_xlfn.XLOOKUP(tblOrdenes[[#This Row],[cod_actividad]],tblActividades[codigo],tblActividades[descripcion],"(sin catálogo)"))</f>
        <v/>
      </c>
      <c r="AD45" s="23">
        <f>IF(tblOrdenes[[#This Row],[fecha_inicio]]="","",TODAY()-tblOrdenes[[#This Row],[fecha_inicio]])</f>
        <v/>
      </c>
      <c r="AE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5">
        <f>IF(tblOrdenes[[#This Row],[backlog_habiles]]="","",IF(tblOrdenes[[#This Row],[backlog_habiles]]&lt;0,"FUTURO",IF(tblOrdenes[[#This Row],[backlog_habiles]]&gt;p_dias_backlog_max,"BACKLOG","MES CORRIENTE")))</f>
        <v/>
      </c>
      <c r="AG45" s="5">
        <f>IF(tblOrdenes[[#This Row],[backlog_habiles]]="",FALSE,AND(tblOrdenes[[#This Row],[backlog_habiles]]&gt;p_dias_backlog_min,tblOrdenes[[#This Row],[backlog_habiles]]&lt;=p_dias_backlog_max))</f>
        <v/>
      </c>
      <c r="AH45" s="4" t="n"/>
      <c r="AI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18">
        <f>IF(tblOrdenes[[#This Row],[orden]]="","",_xlfn.XLOOKUP(tblOrdenes[[#This Row],[id_operacion]],tblEjecucion[id_operacion],tblEjecucion[precio],0))</f>
        <v/>
      </c>
      <c r="AM45" s="18">
        <f>IF(tblOrdenes[[#This Row],[orden]]="","",MAX(0,_xlfn.XLOOKUP(tblOrdenes[[#This Row],[id_operacion]],tblEjecucion[id_operacion],tblEjecucion[costo_plan_total],0)-tblOrdenes[[#This Row],[costo_servicio]]))</f>
        <v/>
      </c>
      <c r="AN45" s="18">
        <f>IF(tblOrdenes[[#This Row],[orden]]="","",tblOrdenes[[#This Row],[costo_servicio]]+tblOrdenes[[#This Row],[costo_materiales]])</f>
        <v/>
      </c>
      <c r="AO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n"/>
      <c r="AQ45" s="4" t="n"/>
      <c r="AR45" s="4" t="n"/>
      <c r="AS45" s="5">
        <f>IF(tblOrdenes[[#This Row],[link_checklist]]="","",HYPERLINK(p_ruta_base_checklists&amp;tblOrdenes[[#This Row],[link_checklist]],"abrir"))</f>
        <v/>
      </c>
      <c r="AT45" s="4" t="n"/>
      <c r="AU45" s="5">
        <f>IF(tblOrdenes[[#This Row],[orden]]="","",tblOrdenes[[#This Row],[orden]]&amp;IF(tblOrdenes[[#This Row],[operacion]]="","0010",tblOrdenes[[#This Row],[operacion]]))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25" t="n"/>
      <c r="K46" s="5" t="n"/>
      <c r="L46" s="18" t="n"/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Row],[fecha_inicio]]="","",tblOrdenes[[#This Row],[anio]]&amp;"-"&amp;TEXT(tblOrdenes[[#This Row],[mes]],"00"))</f>
        <v/>
      </c>
      <c r="S46" s="5">
        <f>IF(tblOrdenes[[#This Row],[fecha_inicio]]="","",INDEX(lista_dias,WEEKDAY(tblOrdenes[[#This Row],[fecha_inicio]],2)))</f>
        <v/>
      </c>
      <c r="T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5">
        <f>IF(tblOrdenes[[#This Row],[tipo_ot]]="","",_xlfn.XLOOKUP(tblOrdenes[[#This Row],[tipo_ot]],tblTiposOT[codigo],tblTiposOT[clasificacion],"sin_clasificar"))</f>
        <v/>
      </c>
      <c r="V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5">
        <f>IF(tblOrdenes[[#This Row],[centro_costo]]="","",_xlfn.XLOOKUP(tblOrdenes[[#This Row],[centro_costo]],tblCECO[codigo],tblCECO[linea],"(sin catálogo)"))</f>
        <v/>
      </c>
      <c r="Y46" s="5">
        <f>IF(tblOrdenes[[#This Row],[centro_costo]]="","",_xlfn.XLOOKUP(tblOrdenes[[#This Row],[centro_costo]],tblCECO[codigo],tblCECO[area],"(sin catálogo)"))</f>
        <v/>
      </c>
      <c r="Z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5">
        <f>IF(tblOrdenes[[#This Row],[centro_costo]]="","",_xlfn.XLOOKUP(tblOrdenes[[#This Row],[centro_costo]],tblCECO[codigo],tblCECO[coordinador],"(sin catálogo)"))</f>
        <v/>
      </c>
      <c r="AB46" s="5">
        <f>IF(tblOrdenes[[#This Row],[puesto_trabajo]]="","",_xlfn.XLOOKUP(tblOrdenes[[#This Row],[puesto_trabajo]],tblPuestos[codigo],tblPuestos[especialidad],"(sin catálogo)"))</f>
        <v/>
      </c>
      <c r="AC46" s="5">
        <f>IF(tblOrdenes[[#This Row],[cod_actividad]]="","",_xlfn.XLOOKUP(tblOrdenes[[#This Row],[cod_actividad]],tblActividades[codigo],tblActividades[descripcion],"(sin catálogo)"))</f>
        <v/>
      </c>
      <c r="AD46" s="23">
        <f>IF(tblOrdenes[[#This Row],[fecha_inicio]]="","",TODAY()-tblOrdenes[[#This Row],[fecha_inicio]])</f>
        <v/>
      </c>
      <c r="AE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5">
        <f>IF(tblOrdenes[[#This Row],[backlog_habiles]]="","",IF(tblOrdenes[[#This Row],[backlog_habiles]]&lt;0,"FUTURO",IF(tblOrdenes[[#This Row],[backlog_habiles]]&gt;p_dias_backlog_max,"BACKLOG","MES CORRIENTE")))</f>
        <v/>
      </c>
      <c r="AG46" s="5">
        <f>IF(tblOrdenes[[#This Row],[backlog_habiles]]="",FALSE,AND(tblOrdenes[[#This Row],[backlog_habiles]]&gt;p_dias_backlog_min,tblOrdenes[[#This Row],[backlog_habiles]]&lt;=p_dias_backlog_max))</f>
        <v/>
      </c>
      <c r="AH46" s="4" t="n"/>
      <c r="AI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18">
        <f>IF(tblOrdenes[[#This Row],[orden]]="","",_xlfn.XLOOKUP(tblOrdenes[[#This Row],[id_operacion]],tblEjecucion[id_operacion],tblEjecucion[precio],0))</f>
        <v/>
      </c>
      <c r="AM46" s="18">
        <f>IF(tblOrdenes[[#This Row],[orden]]="","",MAX(0,_xlfn.XLOOKUP(tblOrdenes[[#This Row],[id_operacion]],tblEjecucion[id_operacion],tblEjecucion[costo_plan_total],0)-tblOrdenes[[#This Row],[costo_servicio]]))</f>
        <v/>
      </c>
      <c r="AN46" s="18">
        <f>IF(tblOrdenes[[#This Row],[orden]]="","",tblOrdenes[[#This Row],[costo_servicio]]+tblOrdenes[[#This Row],[costo_materiales]])</f>
        <v/>
      </c>
      <c r="AO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n"/>
      <c r="AQ46" s="4" t="n"/>
      <c r="AR46" s="4" t="n"/>
      <c r="AS46" s="5">
        <f>IF(tblOrdenes[[#This Row],[link_checklist]]="","",HYPERLINK(p_ruta_base_checklists&amp;tblOrdenes[[#This Row],[link_checklist]],"abrir"))</f>
        <v/>
      </c>
      <c r="AT46" s="4" t="n"/>
      <c r="AU46" s="5">
        <f>IF(tblOrdenes[[#This Row],[orden]]="","",tblOrdenes[[#This Row],[orden]]&amp;IF(tblOrdenes[[#This Row],[operacion]]="","0010",tblOrdenes[[#This Row],[operacion]]))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25" t="n"/>
      <c r="K47" s="5" t="n"/>
      <c r="L47" s="18" t="n"/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Row],[fecha_inicio]]="","",tblOrdenes[[#This Row],[anio]]&amp;"-"&amp;TEXT(tblOrdenes[[#This Row],[mes]],"00"))</f>
        <v/>
      </c>
      <c r="S47" s="5">
        <f>IF(tblOrdenes[[#This Row],[fecha_inicio]]="","",INDEX(lista_dias,WEEKDAY(tblOrdenes[[#This Row],[fecha_inicio]],2)))</f>
        <v/>
      </c>
      <c r="T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5">
        <f>IF(tblOrdenes[[#This Row],[tipo_ot]]="","",_xlfn.XLOOKUP(tblOrdenes[[#This Row],[tipo_ot]],tblTiposOT[codigo],tblTiposOT[clasificacion],"sin_clasificar"))</f>
        <v/>
      </c>
      <c r="V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5">
        <f>IF(tblOrdenes[[#This Row],[centro_costo]]="","",_xlfn.XLOOKUP(tblOrdenes[[#This Row],[centro_costo]],tblCECO[codigo],tblCECO[linea],"(sin catálogo)"))</f>
        <v/>
      </c>
      <c r="Y47" s="5">
        <f>IF(tblOrdenes[[#This Row],[centro_costo]]="","",_xlfn.XLOOKUP(tblOrdenes[[#This Row],[centro_costo]],tblCECO[codigo],tblCECO[area],"(sin catálogo)"))</f>
        <v/>
      </c>
      <c r="Z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5">
        <f>IF(tblOrdenes[[#This Row],[centro_costo]]="","",_xlfn.XLOOKUP(tblOrdenes[[#This Row],[centro_costo]],tblCECO[codigo],tblCECO[coordinador],"(sin catálogo)"))</f>
        <v/>
      </c>
      <c r="AB47" s="5">
        <f>IF(tblOrdenes[[#This Row],[puesto_trabajo]]="","",_xlfn.XLOOKUP(tblOrdenes[[#This Row],[puesto_trabajo]],tblPuestos[codigo],tblPuestos[especialidad],"(sin catálogo)"))</f>
        <v/>
      </c>
      <c r="AC47" s="5">
        <f>IF(tblOrdenes[[#This Row],[cod_actividad]]="","",_xlfn.XLOOKUP(tblOrdenes[[#This Row],[cod_actividad]],tblActividades[codigo],tblActividades[descripcion],"(sin catálogo)"))</f>
        <v/>
      </c>
      <c r="AD47" s="23">
        <f>IF(tblOrdenes[[#This Row],[fecha_inicio]]="","",TODAY()-tblOrdenes[[#This Row],[fecha_inicio]])</f>
        <v/>
      </c>
      <c r="AE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5">
        <f>IF(tblOrdenes[[#This Row],[backlog_habiles]]="","",IF(tblOrdenes[[#This Row],[backlog_habiles]]&lt;0,"FUTURO",IF(tblOrdenes[[#This Row],[backlog_habiles]]&gt;p_dias_backlog_max,"BACKLOG","MES CORRIENTE")))</f>
        <v/>
      </c>
      <c r="AG47" s="5">
        <f>IF(tblOrdenes[[#This Row],[backlog_habiles]]="",FALSE,AND(tblOrdenes[[#This Row],[backlog_habiles]]&gt;p_dias_backlog_min,tblOrdenes[[#This Row],[backlog_habiles]]&lt;=p_dias_backlog_max))</f>
        <v/>
      </c>
      <c r="AH47" s="4" t="n"/>
      <c r="AI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18">
        <f>IF(tblOrdenes[[#This Row],[orden]]="","",_xlfn.XLOOKUP(tblOrdenes[[#This Row],[id_operacion]],tblEjecucion[id_operacion],tblEjecucion[precio],0))</f>
        <v/>
      </c>
      <c r="AM47" s="18">
        <f>IF(tblOrdenes[[#This Row],[orden]]="","",MAX(0,_xlfn.XLOOKUP(tblOrdenes[[#This Row],[id_operacion]],tblEjecucion[id_operacion],tblEjecucion[costo_plan_total],0)-tblOrdenes[[#This Row],[costo_servicio]]))</f>
        <v/>
      </c>
      <c r="AN47" s="18">
        <f>IF(tblOrdenes[[#This Row],[orden]]="","",tblOrdenes[[#This Row],[costo_servicio]]+tblOrdenes[[#This Row],[costo_materiales]])</f>
        <v/>
      </c>
      <c r="AO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n"/>
      <c r="AQ47" s="4" t="n"/>
      <c r="AR47" s="4" t="n"/>
      <c r="AS47" s="5">
        <f>IF(tblOrdenes[[#This Row],[link_checklist]]="","",HYPERLINK(p_ruta_base_checklists&amp;tblOrdenes[[#This Row],[link_checklist]],"abrir"))</f>
        <v/>
      </c>
      <c r="AT47" s="4" t="n"/>
      <c r="AU47" s="5">
        <f>IF(tblOrdenes[[#This Row],[orden]]="","",tblOrdenes[[#This Row],[orden]]&amp;IF(tblOrdenes[[#This Row],[operacion]]="","0010",tblOrdenes[[#This Row],[operacion]]))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25" t="n"/>
      <c r="K48" s="5" t="n"/>
      <c r="L48" s="18" t="n"/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Row],[fecha_inicio]]="","",tblOrdenes[[#This Row],[anio]]&amp;"-"&amp;TEXT(tblOrdenes[[#This Row],[mes]],"00"))</f>
        <v/>
      </c>
      <c r="S48" s="5">
        <f>IF(tblOrdenes[[#This Row],[fecha_inicio]]="","",INDEX(lista_dias,WEEKDAY(tblOrdenes[[#This Row],[fecha_inicio]],2)))</f>
        <v/>
      </c>
      <c r="T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5">
        <f>IF(tblOrdenes[[#This Row],[tipo_ot]]="","",_xlfn.XLOOKUP(tblOrdenes[[#This Row],[tipo_ot]],tblTiposOT[codigo],tblTiposOT[clasificacion],"sin_clasificar"))</f>
        <v/>
      </c>
      <c r="V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5">
        <f>IF(tblOrdenes[[#This Row],[centro_costo]]="","",_xlfn.XLOOKUP(tblOrdenes[[#This Row],[centro_costo]],tblCECO[codigo],tblCECO[linea],"(sin catálogo)"))</f>
        <v/>
      </c>
      <c r="Y48" s="5">
        <f>IF(tblOrdenes[[#This Row],[centro_costo]]="","",_xlfn.XLOOKUP(tblOrdenes[[#This Row],[centro_costo]],tblCECO[codigo],tblCECO[area],"(sin catálogo)"))</f>
        <v/>
      </c>
      <c r="Z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5">
        <f>IF(tblOrdenes[[#This Row],[centro_costo]]="","",_xlfn.XLOOKUP(tblOrdenes[[#This Row],[centro_costo]],tblCECO[codigo],tblCECO[coordinador],"(sin catálogo)"))</f>
        <v/>
      </c>
      <c r="AB48" s="5">
        <f>IF(tblOrdenes[[#This Row],[puesto_trabajo]]="","",_xlfn.XLOOKUP(tblOrdenes[[#This Row],[puesto_trabajo]],tblPuestos[codigo],tblPuestos[especialidad],"(sin catálogo)"))</f>
        <v/>
      </c>
      <c r="AC48" s="5">
        <f>IF(tblOrdenes[[#This Row],[cod_actividad]]="","",_xlfn.XLOOKUP(tblOrdenes[[#This Row],[cod_actividad]],tblActividades[codigo],tblActividades[descripcion],"(sin catálogo)"))</f>
        <v/>
      </c>
      <c r="AD48" s="23">
        <f>IF(tblOrdenes[[#This Row],[fecha_inicio]]="","",TODAY()-tblOrdenes[[#This Row],[fecha_inicio]])</f>
        <v/>
      </c>
      <c r="AE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5">
        <f>IF(tblOrdenes[[#This Row],[backlog_habiles]]="","",IF(tblOrdenes[[#This Row],[backlog_habiles]]&lt;0,"FUTURO",IF(tblOrdenes[[#This Row],[backlog_habiles]]&gt;p_dias_backlog_max,"BACKLOG","MES CORRIENTE")))</f>
        <v/>
      </c>
      <c r="AG48" s="5">
        <f>IF(tblOrdenes[[#This Row],[backlog_habiles]]="",FALSE,AND(tblOrdenes[[#This Row],[backlog_habiles]]&gt;p_dias_backlog_min,tblOrdenes[[#This Row],[backlog_habiles]]&lt;=p_dias_backlog_max))</f>
        <v/>
      </c>
      <c r="AH48" s="4" t="n"/>
      <c r="AI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18">
        <f>IF(tblOrdenes[[#This Row],[orden]]="","",_xlfn.XLOOKUP(tblOrdenes[[#This Row],[id_operacion]],tblEjecucion[id_operacion],tblEjecucion[precio],0))</f>
        <v/>
      </c>
      <c r="AM48" s="18">
        <f>IF(tblOrdenes[[#This Row],[orden]]="","",MAX(0,_xlfn.XLOOKUP(tblOrdenes[[#This Row],[id_operacion]],tblEjecucion[id_operacion],tblEjecucion[costo_plan_total],0)-tblOrdenes[[#This Row],[costo_servicio]]))</f>
        <v/>
      </c>
      <c r="AN48" s="18">
        <f>IF(tblOrdenes[[#This Row],[orden]]="","",tblOrdenes[[#This Row],[costo_servicio]]+tblOrdenes[[#This Row],[costo_materiales]])</f>
        <v/>
      </c>
      <c r="AO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n"/>
      <c r="AQ48" s="4" t="n"/>
      <c r="AR48" s="4" t="n"/>
      <c r="AS48" s="5">
        <f>IF(tblOrdenes[[#This Row],[link_checklist]]="","",HYPERLINK(p_ruta_base_checklists&amp;tblOrdenes[[#This Row],[link_checklist]],"abrir"))</f>
        <v/>
      </c>
      <c r="AT48" s="4" t="n"/>
      <c r="AU48" s="5">
        <f>IF(tblOrdenes[[#This Row],[orden]]="","",tblOrdenes[[#This Row],[orden]]&amp;IF(tblOrdenes[[#This Row],[operacion]]="","0010",tblOrdenes[[#This Row],[operacion]]))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25" t="n"/>
      <c r="K49" s="5" t="n"/>
      <c r="L49" s="18" t="n"/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Row],[fecha_inicio]]="","",tblOrdenes[[#This Row],[anio]]&amp;"-"&amp;TEXT(tblOrdenes[[#This Row],[mes]],"00"))</f>
        <v/>
      </c>
      <c r="S49" s="5">
        <f>IF(tblOrdenes[[#This Row],[fecha_inicio]]="","",INDEX(lista_dias,WEEKDAY(tblOrdenes[[#This Row],[fecha_inicio]],2)))</f>
        <v/>
      </c>
      <c r="T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5">
        <f>IF(tblOrdenes[[#This Row],[tipo_ot]]="","",_xlfn.XLOOKUP(tblOrdenes[[#This Row],[tipo_ot]],tblTiposOT[codigo],tblTiposOT[clasificacion],"sin_clasificar"))</f>
        <v/>
      </c>
      <c r="V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5">
        <f>IF(tblOrdenes[[#This Row],[centro_costo]]="","",_xlfn.XLOOKUP(tblOrdenes[[#This Row],[centro_costo]],tblCECO[codigo],tblCECO[linea],"(sin catálogo)"))</f>
        <v/>
      </c>
      <c r="Y49" s="5">
        <f>IF(tblOrdenes[[#This Row],[centro_costo]]="","",_xlfn.XLOOKUP(tblOrdenes[[#This Row],[centro_costo]],tblCECO[codigo],tblCECO[area],"(sin catálogo)"))</f>
        <v/>
      </c>
      <c r="Z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5">
        <f>IF(tblOrdenes[[#This Row],[centro_costo]]="","",_xlfn.XLOOKUP(tblOrdenes[[#This Row],[centro_costo]],tblCECO[codigo],tblCECO[coordinador],"(sin catálogo)"))</f>
        <v/>
      </c>
      <c r="AB49" s="5">
        <f>IF(tblOrdenes[[#This Row],[puesto_trabajo]]="","",_xlfn.XLOOKUP(tblOrdenes[[#This Row],[puesto_trabajo]],tblPuestos[codigo],tblPuestos[especialidad],"(sin catálogo)"))</f>
        <v/>
      </c>
      <c r="AC49" s="5">
        <f>IF(tblOrdenes[[#This Row],[cod_actividad]]="","",_xlfn.XLOOKUP(tblOrdenes[[#This Row],[cod_actividad]],tblActividades[codigo],tblActividades[descripcion],"(sin catálogo)"))</f>
        <v/>
      </c>
      <c r="AD49" s="23">
        <f>IF(tblOrdenes[[#This Row],[fecha_inicio]]="","",TODAY()-tblOrdenes[[#This Row],[fecha_inicio]])</f>
        <v/>
      </c>
      <c r="AE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5">
        <f>IF(tblOrdenes[[#This Row],[backlog_habiles]]="","",IF(tblOrdenes[[#This Row],[backlog_habiles]]&lt;0,"FUTURO",IF(tblOrdenes[[#This Row],[backlog_habiles]]&gt;p_dias_backlog_max,"BACKLOG","MES CORRIENTE")))</f>
        <v/>
      </c>
      <c r="AG49" s="5">
        <f>IF(tblOrdenes[[#This Row],[backlog_habiles]]="",FALSE,AND(tblOrdenes[[#This Row],[backlog_habiles]]&gt;p_dias_backlog_min,tblOrdenes[[#This Row],[backlog_habiles]]&lt;=p_dias_backlog_max))</f>
        <v/>
      </c>
      <c r="AH49" s="4" t="n"/>
      <c r="AI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18">
        <f>IF(tblOrdenes[[#This Row],[orden]]="","",_xlfn.XLOOKUP(tblOrdenes[[#This Row],[id_operacion]],tblEjecucion[id_operacion],tblEjecucion[precio],0))</f>
        <v/>
      </c>
      <c r="AM49" s="18">
        <f>IF(tblOrdenes[[#This Row],[orden]]="","",MAX(0,_xlfn.XLOOKUP(tblOrdenes[[#This Row],[id_operacion]],tblEjecucion[id_operacion],tblEjecucion[costo_plan_total],0)-tblOrdenes[[#This Row],[costo_servicio]]))</f>
        <v/>
      </c>
      <c r="AN49" s="18">
        <f>IF(tblOrdenes[[#This Row],[orden]]="","",tblOrdenes[[#This Row],[costo_servicio]]+tblOrdenes[[#This Row],[costo_materiales]])</f>
        <v/>
      </c>
      <c r="AO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n"/>
      <c r="AQ49" s="4" t="n"/>
      <c r="AR49" s="4" t="n"/>
      <c r="AS49" s="5">
        <f>IF(tblOrdenes[[#This Row],[link_checklist]]="","",HYPERLINK(p_ruta_base_checklists&amp;tblOrdenes[[#This Row],[link_checklist]],"abrir"))</f>
        <v/>
      </c>
      <c r="AT49" s="4" t="n"/>
      <c r="AU49" s="5">
        <f>IF(tblOrdenes[[#This Row],[orden]]="","",tblOrdenes[[#This Row],[orden]]&amp;IF(tblOrdenes[[#This Row],[operacion]]="","0010",tblOrdenes[[#This Row],[operacion]]))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25" t="n"/>
      <c r="K50" s="5" t="n"/>
      <c r="L50" s="18" t="n"/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Row],[fecha_inicio]]="","",tblOrdenes[[#This Row],[anio]]&amp;"-"&amp;TEXT(tblOrdenes[[#This Row],[mes]],"00"))</f>
        <v/>
      </c>
      <c r="S50" s="5">
        <f>IF(tblOrdenes[[#This Row],[fecha_inicio]]="","",INDEX(lista_dias,WEEKDAY(tblOrdenes[[#This Row],[fecha_inicio]],2)))</f>
        <v/>
      </c>
      <c r="T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5">
        <f>IF(tblOrdenes[[#This Row],[tipo_ot]]="","",_xlfn.XLOOKUP(tblOrdenes[[#This Row],[tipo_ot]],tblTiposOT[codigo],tblTiposOT[clasificacion],"sin_clasificar"))</f>
        <v/>
      </c>
      <c r="V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5">
        <f>IF(tblOrdenes[[#This Row],[centro_costo]]="","",_xlfn.XLOOKUP(tblOrdenes[[#This Row],[centro_costo]],tblCECO[codigo],tblCECO[linea],"(sin catálogo)"))</f>
        <v/>
      </c>
      <c r="Y50" s="5">
        <f>IF(tblOrdenes[[#This Row],[centro_costo]]="","",_xlfn.XLOOKUP(tblOrdenes[[#This Row],[centro_costo]],tblCECO[codigo],tblCECO[area],"(sin catálogo)"))</f>
        <v/>
      </c>
      <c r="Z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5">
        <f>IF(tblOrdenes[[#This Row],[centro_costo]]="","",_xlfn.XLOOKUP(tblOrdenes[[#This Row],[centro_costo]],tblCECO[codigo],tblCECO[coordinador],"(sin catálogo)"))</f>
        <v/>
      </c>
      <c r="AB50" s="5">
        <f>IF(tblOrdenes[[#This Row],[puesto_trabajo]]="","",_xlfn.XLOOKUP(tblOrdenes[[#This Row],[puesto_trabajo]],tblPuestos[codigo],tblPuestos[especialidad],"(sin catálogo)"))</f>
        <v/>
      </c>
      <c r="AC50" s="5">
        <f>IF(tblOrdenes[[#This Row],[cod_actividad]]="","",_xlfn.XLOOKUP(tblOrdenes[[#This Row],[cod_actividad]],tblActividades[codigo],tblActividades[descripcion],"(sin catálogo)"))</f>
        <v/>
      </c>
      <c r="AD50" s="23">
        <f>IF(tblOrdenes[[#This Row],[fecha_inicio]]="","",TODAY()-tblOrdenes[[#This Row],[fecha_inicio]])</f>
        <v/>
      </c>
      <c r="AE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5">
        <f>IF(tblOrdenes[[#This Row],[backlog_habiles]]="","",IF(tblOrdenes[[#This Row],[backlog_habiles]]&lt;0,"FUTURO",IF(tblOrdenes[[#This Row],[backlog_habiles]]&gt;p_dias_backlog_max,"BACKLOG","MES CORRIENTE")))</f>
        <v/>
      </c>
      <c r="AG50" s="5">
        <f>IF(tblOrdenes[[#This Row],[backlog_habiles]]="",FALSE,AND(tblOrdenes[[#This Row],[backlog_habiles]]&gt;p_dias_backlog_min,tblOrdenes[[#This Row],[backlog_habiles]]&lt;=p_dias_backlog_max))</f>
        <v/>
      </c>
      <c r="AH50" s="4" t="n"/>
      <c r="AI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18">
        <f>IF(tblOrdenes[[#This Row],[orden]]="","",_xlfn.XLOOKUP(tblOrdenes[[#This Row],[id_operacion]],tblEjecucion[id_operacion],tblEjecucion[precio],0))</f>
        <v/>
      </c>
      <c r="AM50" s="18">
        <f>IF(tblOrdenes[[#This Row],[orden]]="","",MAX(0,_xlfn.XLOOKUP(tblOrdenes[[#This Row],[id_operacion]],tblEjecucion[id_operacion],tblEjecucion[costo_plan_total],0)-tblOrdenes[[#This Row],[costo_servicio]]))</f>
        <v/>
      </c>
      <c r="AN50" s="18">
        <f>IF(tblOrdenes[[#This Row],[orden]]="","",tblOrdenes[[#This Row],[costo_servicio]]+tblOrdenes[[#This Row],[costo_materiales]])</f>
        <v/>
      </c>
      <c r="AO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n"/>
      <c r="AQ50" s="4" t="n"/>
      <c r="AR50" s="4" t="n"/>
      <c r="AS50" s="5">
        <f>IF(tblOrdenes[[#This Row],[link_checklist]]="","",HYPERLINK(p_ruta_base_checklists&amp;tblOrdenes[[#This Row],[link_checklist]],"abrir"))</f>
        <v/>
      </c>
      <c r="AT50" s="4" t="n"/>
      <c r="AU50" s="5">
        <f>IF(tblOrdenes[[#This Row],[orden]]="","",tblOrdenes[[#This Row],[orden]]&amp;IF(tblOrdenes[[#This Row],[operacion]]="","0010",tblOrdenes[[#This Row],[operacion]]))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25" t="n"/>
      <c r="K51" s="5" t="n"/>
      <c r="L51" s="18" t="n"/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Row],[fecha_inicio]]="","",tblOrdenes[[#This Row],[anio]]&amp;"-"&amp;TEXT(tblOrdenes[[#This Row],[mes]],"00"))</f>
        <v/>
      </c>
      <c r="S51" s="5">
        <f>IF(tblOrdenes[[#This Row],[fecha_inicio]]="","",INDEX(lista_dias,WEEKDAY(tblOrdenes[[#This Row],[fecha_inicio]],2)))</f>
        <v/>
      </c>
      <c r="T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5">
        <f>IF(tblOrdenes[[#This Row],[tipo_ot]]="","",_xlfn.XLOOKUP(tblOrdenes[[#This Row],[tipo_ot]],tblTiposOT[codigo],tblTiposOT[clasificacion],"sin_clasificar"))</f>
        <v/>
      </c>
      <c r="V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5">
        <f>IF(tblOrdenes[[#This Row],[centro_costo]]="","",_xlfn.XLOOKUP(tblOrdenes[[#This Row],[centro_costo]],tblCECO[codigo],tblCECO[linea],"(sin catálogo)"))</f>
        <v/>
      </c>
      <c r="Y51" s="5">
        <f>IF(tblOrdenes[[#This Row],[centro_costo]]="","",_xlfn.XLOOKUP(tblOrdenes[[#This Row],[centro_costo]],tblCECO[codigo],tblCECO[area],"(sin catálogo)"))</f>
        <v/>
      </c>
      <c r="Z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5">
        <f>IF(tblOrdenes[[#This Row],[centro_costo]]="","",_xlfn.XLOOKUP(tblOrdenes[[#This Row],[centro_costo]],tblCECO[codigo],tblCECO[coordinador],"(sin catálogo)"))</f>
        <v/>
      </c>
      <c r="AB51" s="5">
        <f>IF(tblOrdenes[[#This Row],[puesto_trabajo]]="","",_xlfn.XLOOKUP(tblOrdenes[[#This Row],[puesto_trabajo]],tblPuestos[codigo],tblPuestos[especialidad],"(sin catálogo)"))</f>
        <v/>
      </c>
      <c r="AC51" s="5">
        <f>IF(tblOrdenes[[#This Row],[cod_actividad]]="","",_xlfn.XLOOKUP(tblOrdenes[[#This Row],[cod_actividad]],tblActividades[codigo],tblActividades[descripcion],"(sin catálogo)"))</f>
        <v/>
      </c>
      <c r="AD51" s="23">
        <f>IF(tblOrdenes[[#This Row],[fecha_inicio]]="","",TODAY()-tblOrdenes[[#This Row],[fecha_inicio]])</f>
        <v/>
      </c>
      <c r="AE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5">
        <f>IF(tblOrdenes[[#This Row],[backlog_habiles]]="","",IF(tblOrdenes[[#This Row],[backlog_habiles]]&lt;0,"FUTURO",IF(tblOrdenes[[#This Row],[backlog_habiles]]&gt;p_dias_backlog_max,"BACKLOG","MES CORRIENTE")))</f>
        <v/>
      </c>
      <c r="AG51" s="5">
        <f>IF(tblOrdenes[[#This Row],[backlog_habiles]]="",FALSE,AND(tblOrdenes[[#This Row],[backlog_habiles]]&gt;p_dias_backlog_min,tblOrdenes[[#This Row],[backlog_habiles]]&lt;=p_dias_backlog_max))</f>
        <v/>
      </c>
      <c r="AH51" s="4" t="n"/>
      <c r="AI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18">
        <f>IF(tblOrdenes[[#This Row],[orden]]="","",_xlfn.XLOOKUP(tblOrdenes[[#This Row],[id_operacion]],tblEjecucion[id_operacion],tblEjecucion[precio],0))</f>
        <v/>
      </c>
      <c r="AM51" s="18">
        <f>IF(tblOrdenes[[#This Row],[orden]]="","",MAX(0,_xlfn.XLOOKUP(tblOrdenes[[#This Row],[id_operacion]],tblEjecucion[id_operacion],tblEjecucion[costo_plan_total],0)-tblOrdenes[[#This Row],[costo_servicio]]))</f>
        <v/>
      </c>
      <c r="AN51" s="18">
        <f>IF(tblOrdenes[[#This Row],[orden]]="","",tblOrdenes[[#This Row],[costo_servicio]]+tblOrdenes[[#This Row],[costo_materiales]])</f>
        <v/>
      </c>
      <c r="AO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n"/>
      <c r="AQ51" s="4" t="n"/>
      <c r="AR51" s="4" t="n"/>
      <c r="AS51" s="5">
        <f>IF(tblOrdenes[[#This Row],[link_checklist]]="","",HYPERLINK(p_ruta_base_checklists&amp;tblOrdenes[[#This Row],[link_checklist]],"abrir"))</f>
        <v/>
      </c>
      <c r="AT51" s="4" t="n"/>
      <c r="AU51" s="5">
        <f>IF(tblOrdenes[[#This Row],[orden]]="","",tblOrdenes[[#This Row],[orden]]&amp;IF(tblOrdenes[[#This Row],[operacion]]="","0010",tblOrdenes[[#This Row],[operacion]]))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25" t="n"/>
      <c r="K52" s="5" t="n"/>
      <c r="L52" s="18" t="n"/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Row],[fecha_inicio]]="","",tblOrdenes[[#This Row],[anio]]&amp;"-"&amp;TEXT(tblOrdenes[[#This Row],[mes]],"00"))</f>
        <v/>
      </c>
      <c r="S52" s="5">
        <f>IF(tblOrdenes[[#This Row],[fecha_inicio]]="","",INDEX(lista_dias,WEEKDAY(tblOrdenes[[#This Row],[fecha_inicio]],2)))</f>
        <v/>
      </c>
      <c r="T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5">
        <f>IF(tblOrdenes[[#This Row],[tipo_ot]]="","",_xlfn.XLOOKUP(tblOrdenes[[#This Row],[tipo_ot]],tblTiposOT[codigo],tblTiposOT[clasificacion],"sin_clasificar"))</f>
        <v/>
      </c>
      <c r="V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5">
        <f>IF(tblOrdenes[[#This Row],[centro_costo]]="","",_xlfn.XLOOKUP(tblOrdenes[[#This Row],[centro_costo]],tblCECO[codigo],tblCECO[linea],"(sin catálogo)"))</f>
        <v/>
      </c>
      <c r="Y52" s="5">
        <f>IF(tblOrdenes[[#This Row],[centro_costo]]="","",_xlfn.XLOOKUP(tblOrdenes[[#This Row],[centro_costo]],tblCECO[codigo],tblCECO[area],"(sin catálogo)"))</f>
        <v/>
      </c>
      <c r="Z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5">
        <f>IF(tblOrdenes[[#This Row],[centro_costo]]="","",_xlfn.XLOOKUP(tblOrdenes[[#This Row],[centro_costo]],tblCECO[codigo],tblCECO[coordinador],"(sin catálogo)"))</f>
        <v/>
      </c>
      <c r="AB52" s="5">
        <f>IF(tblOrdenes[[#This Row],[puesto_trabajo]]="","",_xlfn.XLOOKUP(tblOrdenes[[#This Row],[puesto_trabajo]],tblPuestos[codigo],tblPuestos[especialidad],"(sin catálogo)"))</f>
        <v/>
      </c>
      <c r="AC52" s="5">
        <f>IF(tblOrdenes[[#This Row],[cod_actividad]]="","",_xlfn.XLOOKUP(tblOrdenes[[#This Row],[cod_actividad]],tblActividades[codigo],tblActividades[descripcion],"(sin catálogo)"))</f>
        <v/>
      </c>
      <c r="AD52" s="23">
        <f>IF(tblOrdenes[[#This Row],[fecha_inicio]]="","",TODAY()-tblOrdenes[[#This Row],[fecha_inicio]])</f>
        <v/>
      </c>
      <c r="AE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5">
        <f>IF(tblOrdenes[[#This Row],[backlog_habiles]]="","",IF(tblOrdenes[[#This Row],[backlog_habiles]]&lt;0,"FUTURO",IF(tblOrdenes[[#This Row],[backlog_habiles]]&gt;p_dias_backlog_max,"BACKLOG","MES CORRIENTE")))</f>
        <v/>
      </c>
      <c r="AG52" s="5">
        <f>IF(tblOrdenes[[#This Row],[backlog_habiles]]="",FALSE,AND(tblOrdenes[[#This Row],[backlog_habiles]]&gt;p_dias_backlog_min,tblOrdenes[[#This Row],[backlog_habiles]]&lt;=p_dias_backlog_max))</f>
        <v/>
      </c>
      <c r="AH52" s="4" t="n"/>
      <c r="AI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18">
        <f>IF(tblOrdenes[[#This Row],[orden]]="","",_xlfn.XLOOKUP(tblOrdenes[[#This Row],[id_operacion]],tblEjecucion[id_operacion],tblEjecucion[precio],0))</f>
        <v/>
      </c>
      <c r="AM52" s="18">
        <f>IF(tblOrdenes[[#This Row],[orden]]="","",MAX(0,_xlfn.XLOOKUP(tblOrdenes[[#This Row],[id_operacion]],tblEjecucion[id_operacion],tblEjecucion[costo_plan_total],0)-tblOrdenes[[#This Row],[costo_servicio]]))</f>
        <v/>
      </c>
      <c r="AN52" s="18">
        <f>IF(tblOrdenes[[#This Row],[orden]]="","",tblOrdenes[[#This Row],[costo_servicio]]+tblOrdenes[[#This Row],[costo_materiales]])</f>
        <v/>
      </c>
      <c r="AO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n"/>
      <c r="AQ52" s="4" t="n"/>
      <c r="AR52" s="4" t="n"/>
      <c r="AS52" s="5">
        <f>IF(tblOrdenes[[#This Row],[link_checklist]]="","",HYPERLINK(p_ruta_base_checklists&amp;tblOrdenes[[#This Row],[link_checklist]],"abrir"))</f>
        <v/>
      </c>
      <c r="AT52" s="4" t="n"/>
      <c r="AU52" s="5">
        <f>IF(tblOrdenes[[#This Row],[orden]]="","",tblOrdenes[[#This Row],[orden]]&amp;IF(tblOrdenes[[#This Row],[operacion]]="","0010",tblOrdenes[[#This Row],[operacion]]))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25" t="n"/>
      <c r="K53" s="5" t="n"/>
      <c r="L53" s="18" t="n"/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Row],[fecha_inicio]]="","",tblOrdenes[[#This Row],[anio]]&amp;"-"&amp;TEXT(tblOrdenes[[#This Row],[mes]],"00"))</f>
        <v/>
      </c>
      <c r="S53" s="5">
        <f>IF(tblOrdenes[[#This Row],[fecha_inicio]]="","",INDEX(lista_dias,WEEKDAY(tblOrdenes[[#This Row],[fecha_inicio]],2)))</f>
        <v/>
      </c>
      <c r="T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5">
        <f>IF(tblOrdenes[[#This Row],[tipo_ot]]="","",_xlfn.XLOOKUP(tblOrdenes[[#This Row],[tipo_ot]],tblTiposOT[codigo],tblTiposOT[clasificacion],"sin_clasificar"))</f>
        <v/>
      </c>
      <c r="V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5">
        <f>IF(tblOrdenes[[#This Row],[centro_costo]]="","",_xlfn.XLOOKUP(tblOrdenes[[#This Row],[centro_costo]],tblCECO[codigo],tblCECO[linea],"(sin catálogo)"))</f>
        <v/>
      </c>
      <c r="Y53" s="5">
        <f>IF(tblOrdenes[[#This Row],[centro_costo]]="","",_xlfn.XLOOKUP(tblOrdenes[[#This Row],[centro_costo]],tblCECO[codigo],tblCECO[area],"(sin catálogo)"))</f>
        <v/>
      </c>
      <c r="Z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5">
        <f>IF(tblOrdenes[[#This Row],[centro_costo]]="","",_xlfn.XLOOKUP(tblOrdenes[[#This Row],[centro_costo]],tblCECO[codigo],tblCECO[coordinador],"(sin catálogo)"))</f>
        <v/>
      </c>
      <c r="AB53" s="5">
        <f>IF(tblOrdenes[[#This Row],[puesto_trabajo]]="","",_xlfn.XLOOKUP(tblOrdenes[[#This Row],[puesto_trabajo]],tblPuestos[codigo],tblPuestos[especialidad],"(sin catálogo)"))</f>
        <v/>
      </c>
      <c r="AC53" s="5">
        <f>IF(tblOrdenes[[#This Row],[cod_actividad]]="","",_xlfn.XLOOKUP(tblOrdenes[[#This Row],[cod_actividad]],tblActividades[codigo],tblActividades[descripcion],"(sin catálogo)"))</f>
        <v/>
      </c>
      <c r="AD53" s="23">
        <f>IF(tblOrdenes[[#This Row],[fecha_inicio]]="","",TODAY()-tblOrdenes[[#This Row],[fecha_inicio]])</f>
        <v/>
      </c>
      <c r="AE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5">
        <f>IF(tblOrdenes[[#This Row],[backlog_habiles]]="","",IF(tblOrdenes[[#This Row],[backlog_habiles]]&lt;0,"FUTURO",IF(tblOrdenes[[#This Row],[backlog_habiles]]&gt;p_dias_backlog_max,"BACKLOG","MES CORRIENTE")))</f>
        <v/>
      </c>
      <c r="AG53" s="5">
        <f>IF(tblOrdenes[[#This Row],[backlog_habiles]]="",FALSE,AND(tblOrdenes[[#This Row],[backlog_habiles]]&gt;p_dias_backlog_min,tblOrdenes[[#This Row],[backlog_habiles]]&lt;=p_dias_backlog_max))</f>
        <v/>
      </c>
      <c r="AH53" s="4" t="n"/>
      <c r="AI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18">
        <f>IF(tblOrdenes[[#This Row],[orden]]="","",_xlfn.XLOOKUP(tblOrdenes[[#This Row],[id_operacion]],tblEjecucion[id_operacion],tblEjecucion[precio],0))</f>
        <v/>
      </c>
      <c r="AM53" s="18">
        <f>IF(tblOrdenes[[#This Row],[orden]]="","",MAX(0,_xlfn.XLOOKUP(tblOrdenes[[#This Row],[id_operacion]],tblEjecucion[id_operacion],tblEjecucion[costo_plan_total],0)-tblOrdenes[[#This Row],[costo_servicio]]))</f>
        <v/>
      </c>
      <c r="AN53" s="18">
        <f>IF(tblOrdenes[[#This Row],[orden]]="","",tblOrdenes[[#This Row],[costo_servicio]]+tblOrdenes[[#This Row],[costo_materiales]])</f>
        <v/>
      </c>
      <c r="AO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n"/>
      <c r="AQ53" s="4" t="n"/>
      <c r="AR53" s="4" t="n"/>
      <c r="AS53" s="5">
        <f>IF(tblOrdenes[[#This Row],[link_checklist]]="","",HYPERLINK(p_ruta_base_checklists&amp;tblOrdenes[[#This Row],[link_checklist]],"abrir"))</f>
        <v/>
      </c>
      <c r="AT53" s="4" t="n"/>
      <c r="AU53" s="5">
        <f>IF(tblOrdenes[[#This Row],[orden]]="","",tblOrdenes[[#This Row],[orden]]&amp;IF(tblOrdenes[[#This Row],[operacion]]="","0010",tblOrdenes[[#This Row],[operacion]]))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25" t="n"/>
      <c r="K54" s="5" t="n"/>
      <c r="L54" s="18" t="n"/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Row],[fecha_inicio]]="","",tblOrdenes[[#This Row],[anio]]&amp;"-"&amp;TEXT(tblOrdenes[[#This Row],[mes]],"00"))</f>
        <v/>
      </c>
      <c r="S54" s="5">
        <f>IF(tblOrdenes[[#This Row],[fecha_inicio]]="","",INDEX(lista_dias,WEEKDAY(tblOrdenes[[#This Row],[fecha_inicio]],2)))</f>
        <v/>
      </c>
      <c r="T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5">
        <f>IF(tblOrdenes[[#This Row],[tipo_ot]]="","",_xlfn.XLOOKUP(tblOrdenes[[#This Row],[tipo_ot]],tblTiposOT[codigo],tblTiposOT[clasificacion],"sin_clasificar"))</f>
        <v/>
      </c>
      <c r="V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5">
        <f>IF(tblOrdenes[[#This Row],[centro_costo]]="","",_xlfn.XLOOKUP(tblOrdenes[[#This Row],[centro_costo]],tblCECO[codigo],tblCECO[linea],"(sin catálogo)"))</f>
        <v/>
      </c>
      <c r="Y54" s="5">
        <f>IF(tblOrdenes[[#This Row],[centro_costo]]="","",_xlfn.XLOOKUP(tblOrdenes[[#This Row],[centro_costo]],tblCECO[codigo],tblCECO[area],"(sin catálogo)"))</f>
        <v/>
      </c>
      <c r="Z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5">
        <f>IF(tblOrdenes[[#This Row],[centro_costo]]="","",_xlfn.XLOOKUP(tblOrdenes[[#This Row],[centro_costo]],tblCECO[codigo],tblCECO[coordinador],"(sin catálogo)"))</f>
        <v/>
      </c>
      <c r="AB54" s="5">
        <f>IF(tblOrdenes[[#This Row],[puesto_trabajo]]="","",_xlfn.XLOOKUP(tblOrdenes[[#This Row],[puesto_trabajo]],tblPuestos[codigo],tblPuestos[especialidad],"(sin catálogo)"))</f>
        <v/>
      </c>
      <c r="AC54" s="5">
        <f>IF(tblOrdenes[[#This Row],[cod_actividad]]="","",_xlfn.XLOOKUP(tblOrdenes[[#This Row],[cod_actividad]],tblActividades[codigo],tblActividades[descripcion],"(sin catálogo)"))</f>
        <v/>
      </c>
      <c r="AD54" s="23">
        <f>IF(tblOrdenes[[#This Row],[fecha_inicio]]="","",TODAY()-tblOrdenes[[#This Row],[fecha_inicio]])</f>
        <v/>
      </c>
      <c r="AE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5">
        <f>IF(tblOrdenes[[#This Row],[backlog_habiles]]="","",IF(tblOrdenes[[#This Row],[backlog_habiles]]&lt;0,"FUTURO",IF(tblOrdenes[[#This Row],[backlog_habiles]]&gt;p_dias_backlog_max,"BACKLOG","MES CORRIENTE")))</f>
        <v/>
      </c>
      <c r="AG54" s="5">
        <f>IF(tblOrdenes[[#This Row],[backlog_habiles]]="",FALSE,AND(tblOrdenes[[#This Row],[backlog_habiles]]&gt;p_dias_backlog_min,tblOrdenes[[#This Row],[backlog_habiles]]&lt;=p_dias_backlog_max))</f>
        <v/>
      </c>
      <c r="AH54" s="4" t="n"/>
      <c r="AI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18">
        <f>IF(tblOrdenes[[#This Row],[orden]]="","",_xlfn.XLOOKUP(tblOrdenes[[#This Row],[id_operacion]],tblEjecucion[id_operacion],tblEjecucion[precio],0))</f>
        <v/>
      </c>
      <c r="AM54" s="18">
        <f>IF(tblOrdenes[[#This Row],[orden]]="","",MAX(0,_xlfn.XLOOKUP(tblOrdenes[[#This Row],[id_operacion]],tblEjecucion[id_operacion],tblEjecucion[costo_plan_total],0)-tblOrdenes[[#This Row],[costo_servicio]]))</f>
        <v/>
      </c>
      <c r="AN54" s="18">
        <f>IF(tblOrdenes[[#This Row],[orden]]="","",tblOrdenes[[#This Row],[costo_servicio]]+tblOrdenes[[#This Row],[costo_materiales]])</f>
        <v/>
      </c>
      <c r="AO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n"/>
      <c r="AQ54" s="4" t="n"/>
      <c r="AR54" s="4" t="n"/>
      <c r="AS54" s="5">
        <f>IF(tblOrdenes[[#This Row],[link_checklist]]="","",HYPERLINK(p_ruta_base_checklists&amp;tblOrdenes[[#This Row],[link_checklist]],"abrir"))</f>
        <v/>
      </c>
      <c r="AT54" s="4" t="n"/>
      <c r="AU54" s="5">
        <f>IF(tblOrdenes[[#This Row],[orden]]="","",tblOrdenes[[#This Row],[orden]]&amp;IF(tblOrdenes[[#This Row],[operacion]]="","0010",tblOrdenes[[#This Row],[operacion]]))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25" t="n"/>
      <c r="K55" s="5" t="n"/>
      <c r="L55" s="18" t="n"/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Row],[fecha_inicio]]="","",tblOrdenes[[#This Row],[anio]]&amp;"-"&amp;TEXT(tblOrdenes[[#This Row],[mes]],"00"))</f>
        <v/>
      </c>
      <c r="S55" s="5">
        <f>IF(tblOrdenes[[#This Row],[fecha_inicio]]="","",INDEX(lista_dias,WEEKDAY(tblOrdenes[[#This Row],[fecha_inicio]],2)))</f>
        <v/>
      </c>
      <c r="T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5">
        <f>IF(tblOrdenes[[#This Row],[tipo_ot]]="","",_xlfn.XLOOKUP(tblOrdenes[[#This Row],[tipo_ot]],tblTiposOT[codigo],tblTiposOT[clasificacion],"sin_clasificar"))</f>
        <v/>
      </c>
      <c r="V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5">
        <f>IF(tblOrdenes[[#This Row],[centro_costo]]="","",_xlfn.XLOOKUP(tblOrdenes[[#This Row],[centro_costo]],tblCECO[codigo],tblCECO[linea],"(sin catálogo)"))</f>
        <v/>
      </c>
      <c r="Y55" s="5">
        <f>IF(tblOrdenes[[#This Row],[centro_costo]]="","",_xlfn.XLOOKUP(tblOrdenes[[#This Row],[centro_costo]],tblCECO[codigo],tblCECO[area],"(sin catálogo)"))</f>
        <v/>
      </c>
      <c r="Z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5">
        <f>IF(tblOrdenes[[#This Row],[centro_costo]]="","",_xlfn.XLOOKUP(tblOrdenes[[#This Row],[centro_costo]],tblCECO[codigo],tblCECO[coordinador],"(sin catálogo)"))</f>
        <v/>
      </c>
      <c r="AB55" s="5">
        <f>IF(tblOrdenes[[#This Row],[puesto_trabajo]]="","",_xlfn.XLOOKUP(tblOrdenes[[#This Row],[puesto_trabajo]],tblPuestos[codigo],tblPuestos[especialidad],"(sin catálogo)"))</f>
        <v/>
      </c>
      <c r="AC55" s="5">
        <f>IF(tblOrdenes[[#This Row],[cod_actividad]]="","",_xlfn.XLOOKUP(tblOrdenes[[#This Row],[cod_actividad]],tblActividades[codigo],tblActividades[descripcion],"(sin catálogo)"))</f>
        <v/>
      </c>
      <c r="AD55" s="23">
        <f>IF(tblOrdenes[[#This Row],[fecha_inicio]]="","",TODAY()-tblOrdenes[[#This Row],[fecha_inicio]])</f>
        <v/>
      </c>
      <c r="AE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5">
        <f>IF(tblOrdenes[[#This Row],[backlog_habiles]]="","",IF(tblOrdenes[[#This Row],[backlog_habiles]]&lt;0,"FUTURO",IF(tblOrdenes[[#This Row],[backlog_habiles]]&gt;p_dias_backlog_max,"BACKLOG","MES CORRIENTE")))</f>
        <v/>
      </c>
      <c r="AG55" s="5">
        <f>IF(tblOrdenes[[#This Row],[backlog_habiles]]="",FALSE,AND(tblOrdenes[[#This Row],[backlog_habiles]]&gt;p_dias_backlog_min,tblOrdenes[[#This Row],[backlog_habiles]]&lt;=p_dias_backlog_max))</f>
        <v/>
      </c>
      <c r="AH55" s="4" t="n"/>
      <c r="AI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18">
        <f>IF(tblOrdenes[[#This Row],[orden]]="","",_xlfn.XLOOKUP(tblOrdenes[[#This Row],[id_operacion]],tblEjecucion[id_operacion],tblEjecucion[precio],0))</f>
        <v/>
      </c>
      <c r="AM55" s="18">
        <f>IF(tblOrdenes[[#This Row],[orden]]="","",MAX(0,_xlfn.XLOOKUP(tblOrdenes[[#This Row],[id_operacion]],tblEjecucion[id_operacion],tblEjecucion[costo_plan_total],0)-tblOrdenes[[#This Row],[costo_servicio]]))</f>
        <v/>
      </c>
      <c r="AN55" s="18">
        <f>IF(tblOrdenes[[#This Row],[orden]]="","",tblOrdenes[[#This Row],[costo_servicio]]+tblOrdenes[[#This Row],[costo_materiales]])</f>
        <v/>
      </c>
      <c r="AO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n"/>
      <c r="AQ55" s="4" t="n"/>
      <c r="AR55" s="4" t="n"/>
      <c r="AS55" s="5">
        <f>IF(tblOrdenes[[#This Row],[link_checklist]]="","",HYPERLINK(p_ruta_base_checklists&amp;tblOrdenes[[#This Row],[link_checklist]],"abrir"))</f>
        <v/>
      </c>
      <c r="AT55" s="4" t="n"/>
      <c r="AU55" s="5">
        <f>IF(tblOrdenes[[#This Row],[orden]]="","",tblOrdenes[[#This Row],[orden]]&amp;IF(tblOrdenes[[#This Row],[operacion]]="","0010",tblOrdenes[[#This Row],[operacion]]))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25" t="n"/>
      <c r="K56" s="5" t="n"/>
      <c r="L56" s="18" t="n"/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Row],[fecha_inicio]]="","",tblOrdenes[[#This Row],[anio]]&amp;"-"&amp;TEXT(tblOrdenes[[#This Row],[mes]],"00"))</f>
        <v/>
      </c>
      <c r="S56" s="5">
        <f>IF(tblOrdenes[[#This Row],[fecha_inicio]]="","",INDEX(lista_dias,WEEKDAY(tblOrdenes[[#This Row],[fecha_inicio]],2)))</f>
        <v/>
      </c>
      <c r="T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5">
        <f>IF(tblOrdenes[[#This Row],[tipo_ot]]="","",_xlfn.XLOOKUP(tblOrdenes[[#This Row],[tipo_ot]],tblTiposOT[codigo],tblTiposOT[clasificacion],"sin_clasificar"))</f>
        <v/>
      </c>
      <c r="V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5">
        <f>IF(tblOrdenes[[#This Row],[centro_costo]]="","",_xlfn.XLOOKUP(tblOrdenes[[#This Row],[centro_costo]],tblCECO[codigo],tblCECO[linea],"(sin catálogo)"))</f>
        <v/>
      </c>
      <c r="Y56" s="5">
        <f>IF(tblOrdenes[[#This Row],[centro_costo]]="","",_xlfn.XLOOKUP(tblOrdenes[[#This Row],[centro_costo]],tblCECO[codigo],tblCECO[area],"(sin catálogo)"))</f>
        <v/>
      </c>
      <c r="Z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5">
        <f>IF(tblOrdenes[[#This Row],[centro_costo]]="","",_xlfn.XLOOKUP(tblOrdenes[[#This Row],[centro_costo]],tblCECO[codigo],tblCECO[coordinador],"(sin catálogo)"))</f>
        <v/>
      </c>
      <c r="AB56" s="5">
        <f>IF(tblOrdenes[[#This Row],[puesto_trabajo]]="","",_xlfn.XLOOKUP(tblOrdenes[[#This Row],[puesto_trabajo]],tblPuestos[codigo],tblPuestos[especialidad],"(sin catálogo)"))</f>
        <v/>
      </c>
      <c r="AC56" s="5">
        <f>IF(tblOrdenes[[#This Row],[cod_actividad]]="","",_xlfn.XLOOKUP(tblOrdenes[[#This Row],[cod_actividad]],tblActividades[codigo],tblActividades[descripcion],"(sin catálogo)"))</f>
        <v/>
      </c>
      <c r="AD56" s="23">
        <f>IF(tblOrdenes[[#This Row],[fecha_inicio]]="","",TODAY()-tblOrdenes[[#This Row],[fecha_inicio]])</f>
        <v/>
      </c>
      <c r="AE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5">
        <f>IF(tblOrdenes[[#This Row],[backlog_habiles]]="","",IF(tblOrdenes[[#This Row],[backlog_habiles]]&lt;0,"FUTURO",IF(tblOrdenes[[#This Row],[backlog_habiles]]&gt;p_dias_backlog_max,"BACKLOG","MES CORRIENTE")))</f>
        <v/>
      </c>
      <c r="AG56" s="5">
        <f>IF(tblOrdenes[[#This Row],[backlog_habiles]]="",FALSE,AND(tblOrdenes[[#This Row],[backlog_habiles]]&gt;p_dias_backlog_min,tblOrdenes[[#This Row],[backlog_habiles]]&lt;=p_dias_backlog_max))</f>
        <v/>
      </c>
      <c r="AH56" s="4" t="n"/>
      <c r="AI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18">
        <f>IF(tblOrdenes[[#This Row],[orden]]="","",_xlfn.XLOOKUP(tblOrdenes[[#This Row],[id_operacion]],tblEjecucion[id_operacion],tblEjecucion[precio],0))</f>
        <v/>
      </c>
      <c r="AM56" s="18">
        <f>IF(tblOrdenes[[#This Row],[orden]]="","",MAX(0,_xlfn.XLOOKUP(tblOrdenes[[#This Row],[id_operacion]],tblEjecucion[id_operacion],tblEjecucion[costo_plan_total],0)-tblOrdenes[[#This Row],[costo_servicio]]))</f>
        <v/>
      </c>
      <c r="AN56" s="18">
        <f>IF(tblOrdenes[[#This Row],[orden]]="","",tblOrdenes[[#This Row],[costo_servicio]]+tblOrdenes[[#This Row],[costo_materiales]])</f>
        <v/>
      </c>
      <c r="AO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n"/>
      <c r="AQ56" s="4" t="n"/>
      <c r="AR56" s="4" t="n"/>
      <c r="AS56" s="5">
        <f>IF(tblOrdenes[[#This Row],[link_checklist]]="","",HYPERLINK(p_ruta_base_checklists&amp;tblOrdenes[[#This Row],[link_checklist]],"abrir"))</f>
        <v/>
      </c>
      <c r="AT56" s="4" t="n"/>
      <c r="AU56" s="5">
        <f>IF(tblOrdenes[[#This Row],[orden]]="","",tblOrdenes[[#This Row],[orden]]&amp;IF(tblOrdenes[[#This Row],[operacion]]="","0010",tblOrdenes[[#This Row],[operacion]]))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25" t="n"/>
      <c r="K57" s="5" t="n"/>
      <c r="L57" s="18" t="n"/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Row],[fecha_inicio]]="","",tblOrdenes[[#This Row],[anio]]&amp;"-"&amp;TEXT(tblOrdenes[[#This Row],[mes]],"00"))</f>
        <v/>
      </c>
      <c r="S57" s="5">
        <f>IF(tblOrdenes[[#This Row],[fecha_inicio]]="","",INDEX(lista_dias,WEEKDAY(tblOrdenes[[#This Row],[fecha_inicio]],2)))</f>
        <v/>
      </c>
      <c r="T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5">
        <f>IF(tblOrdenes[[#This Row],[tipo_ot]]="","",_xlfn.XLOOKUP(tblOrdenes[[#This Row],[tipo_ot]],tblTiposOT[codigo],tblTiposOT[clasificacion],"sin_clasificar"))</f>
        <v/>
      </c>
      <c r="V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5">
        <f>IF(tblOrdenes[[#This Row],[centro_costo]]="","",_xlfn.XLOOKUP(tblOrdenes[[#This Row],[centro_costo]],tblCECO[codigo],tblCECO[linea],"(sin catálogo)"))</f>
        <v/>
      </c>
      <c r="Y57" s="5">
        <f>IF(tblOrdenes[[#This Row],[centro_costo]]="","",_xlfn.XLOOKUP(tblOrdenes[[#This Row],[centro_costo]],tblCECO[codigo],tblCECO[area],"(sin catálogo)"))</f>
        <v/>
      </c>
      <c r="Z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5">
        <f>IF(tblOrdenes[[#This Row],[centro_costo]]="","",_xlfn.XLOOKUP(tblOrdenes[[#This Row],[centro_costo]],tblCECO[codigo],tblCECO[coordinador],"(sin catálogo)"))</f>
        <v/>
      </c>
      <c r="AB57" s="5">
        <f>IF(tblOrdenes[[#This Row],[puesto_trabajo]]="","",_xlfn.XLOOKUP(tblOrdenes[[#This Row],[puesto_trabajo]],tblPuestos[codigo],tblPuestos[especialidad],"(sin catálogo)"))</f>
        <v/>
      </c>
      <c r="AC57" s="5">
        <f>IF(tblOrdenes[[#This Row],[cod_actividad]]="","",_xlfn.XLOOKUP(tblOrdenes[[#This Row],[cod_actividad]],tblActividades[codigo],tblActividades[descripcion],"(sin catálogo)"))</f>
        <v/>
      </c>
      <c r="AD57" s="23">
        <f>IF(tblOrdenes[[#This Row],[fecha_inicio]]="","",TODAY()-tblOrdenes[[#This Row],[fecha_inicio]])</f>
        <v/>
      </c>
      <c r="AE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5">
        <f>IF(tblOrdenes[[#This Row],[backlog_habiles]]="","",IF(tblOrdenes[[#This Row],[backlog_habiles]]&lt;0,"FUTURO",IF(tblOrdenes[[#This Row],[backlog_habiles]]&gt;p_dias_backlog_max,"BACKLOG","MES CORRIENTE")))</f>
        <v/>
      </c>
      <c r="AG57" s="5">
        <f>IF(tblOrdenes[[#This Row],[backlog_habiles]]="",FALSE,AND(tblOrdenes[[#This Row],[backlog_habiles]]&gt;p_dias_backlog_min,tblOrdenes[[#This Row],[backlog_habiles]]&lt;=p_dias_backlog_max))</f>
        <v/>
      </c>
      <c r="AH57" s="4" t="n"/>
      <c r="AI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18">
        <f>IF(tblOrdenes[[#This Row],[orden]]="","",_xlfn.XLOOKUP(tblOrdenes[[#This Row],[id_operacion]],tblEjecucion[id_operacion],tblEjecucion[precio],0))</f>
        <v/>
      </c>
      <c r="AM57" s="18">
        <f>IF(tblOrdenes[[#This Row],[orden]]="","",MAX(0,_xlfn.XLOOKUP(tblOrdenes[[#This Row],[id_operacion]],tblEjecucion[id_operacion],tblEjecucion[costo_plan_total],0)-tblOrdenes[[#This Row],[costo_servicio]]))</f>
        <v/>
      </c>
      <c r="AN57" s="18">
        <f>IF(tblOrdenes[[#This Row],[orden]]="","",tblOrdenes[[#This Row],[costo_servicio]]+tblOrdenes[[#This Row],[costo_materiales]])</f>
        <v/>
      </c>
      <c r="AO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n"/>
      <c r="AQ57" s="4" t="n"/>
      <c r="AR57" s="4" t="n"/>
      <c r="AS57" s="5">
        <f>IF(tblOrdenes[[#This Row],[link_checklist]]="","",HYPERLINK(p_ruta_base_checklists&amp;tblOrdenes[[#This Row],[link_checklist]],"abrir"))</f>
        <v/>
      </c>
      <c r="AT57" s="4" t="n"/>
      <c r="AU57" s="5">
        <f>IF(tblOrdenes[[#This Row],[orden]]="","",tblOrdenes[[#This Row],[orden]]&amp;IF(tblOrdenes[[#This Row],[operacion]]="","0010",tblOrdenes[[#This Row],[operacion]]))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25" t="n"/>
      <c r="K58" s="5" t="n"/>
      <c r="L58" s="18" t="n"/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Row],[fecha_inicio]]="","",tblOrdenes[[#This Row],[anio]]&amp;"-"&amp;TEXT(tblOrdenes[[#This Row],[mes]],"00"))</f>
        <v/>
      </c>
      <c r="S58" s="5">
        <f>IF(tblOrdenes[[#This Row],[fecha_inicio]]="","",INDEX(lista_dias,WEEKDAY(tblOrdenes[[#This Row],[fecha_inicio]],2)))</f>
        <v/>
      </c>
      <c r="T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5">
        <f>IF(tblOrdenes[[#This Row],[tipo_ot]]="","",_xlfn.XLOOKUP(tblOrdenes[[#This Row],[tipo_ot]],tblTiposOT[codigo],tblTiposOT[clasificacion],"sin_clasificar"))</f>
        <v/>
      </c>
      <c r="V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5">
        <f>IF(tblOrdenes[[#This Row],[centro_costo]]="","",_xlfn.XLOOKUP(tblOrdenes[[#This Row],[centro_costo]],tblCECO[codigo],tblCECO[linea],"(sin catálogo)"))</f>
        <v/>
      </c>
      <c r="Y58" s="5">
        <f>IF(tblOrdenes[[#This Row],[centro_costo]]="","",_xlfn.XLOOKUP(tblOrdenes[[#This Row],[centro_costo]],tblCECO[codigo],tblCECO[area],"(sin catálogo)"))</f>
        <v/>
      </c>
      <c r="Z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5">
        <f>IF(tblOrdenes[[#This Row],[centro_costo]]="","",_xlfn.XLOOKUP(tblOrdenes[[#This Row],[centro_costo]],tblCECO[codigo],tblCECO[coordinador],"(sin catálogo)"))</f>
        <v/>
      </c>
      <c r="AB58" s="5">
        <f>IF(tblOrdenes[[#This Row],[puesto_trabajo]]="","",_xlfn.XLOOKUP(tblOrdenes[[#This Row],[puesto_trabajo]],tblPuestos[codigo],tblPuestos[especialidad],"(sin catálogo)"))</f>
        <v/>
      </c>
      <c r="AC58" s="5">
        <f>IF(tblOrdenes[[#This Row],[cod_actividad]]="","",_xlfn.XLOOKUP(tblOrdenes[[#This Row],[cod_actividad]],tblActividades[codigo],tblActividades[descripcion],"(sin catálogo)"))</f>
        <v/>
      </c>
      <c r="AD58" s="23">
        <f>IF(tblOrdenes[[#This Row],[fecha_inicio]]="","",TODAY()-tblOrdenes[[#This Row],[fecha_inicio]])</f>
        <v/>
      </c>
      <c r="AE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5">
        <f>IF(tblOrdenes[[#This Row],[backlog_habiles]]="","",IF(tblOrdenes[[#This Row],[backlog_habiles]]&lt;0,"FUTURO",IF(tblOrdenes[[#This Row],[backlog_habiles]]&gt;p_dias_backlog_max,"BACKLOG","MES CORRIENTE")))</f>
        <v/>
      </c>
      <c r="AG58" s="5">
        <f>IF(tblOrdenes[[#This Row],[backlog_habiles]]="",FALSE,AND(tblOrdenes[[#This Row],[backlog_habiles]]&gt;p_dias_backlog_min,tblOrdenes[[#This Row],[backlog_habiles]]&lt;=p_dias_backlog_max))</f>
        <v/>
      </c>
      <c r="AH58" s="4" t="n"/>
      <c r="AI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18">
        <f>IF(tblOrdenes[[#This Row],[orden]]="","",_xlfn.XLOOKUP(tblOrdenes[[#This Row],[id_operacion]],tblEjecucion[id_operacion],tblEjecucion[precio],0))</f>
        <v/>
      </c>
      <c r="AM58" s="18">
        <f>IF(tblOrdenes[[#This Row],[orden]]="","",MAX(0,_xlfn.XLOOKUP(tblOrdenes[[#This Row],[id_operacion]],tblEjecucion[id_operacion],tblEjecucion[costo_plan_total],0)-tblOrdenes[[#This Row],[costo_servicio]]))</f>
        <v/>
      </c>
      <c r="AN58" s="18">
        <f>IF(tblOrdenes[[#This Row],[orden]]="","",tblOrdenes[[#This Row],[costo_servicio]]+tblOrdenes[[#This Row],[costo_materiales]])</f>
        <v/>
      </c>
      <c r="AO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n"/>
      <c r="AQ58" s="4" t="n"/>
      <c r="AR58" s="4" t="n"/>
      <c r="AS58" s="5">
        <f>IF(tblOrdenes[[#This Row],[link_checklist]]="","",HYPERLINK(p_ruta_base_checklists&amp;tblOrdenes[[#This Row],[link_checklist]],"abrir"))</f>
        <v/>
      </c>
      <c r="AT58" s="4" t="n"/>
      <c r="AU58" s="5">
        <f>IF(tblOrdenes[[#This Row],[orden]]="","",tblOrdenes[[#This Row],[orden]]&amp;IF(tblOrdenes[[#This Row],[operacion]]="","0010",tblOrdenes[[#This Row],[operacion]]))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25" t="n"/>
      <c r="K59" s="5" t="n"/>
      <c r="L59" s="18" t="n"/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Row],[fecha_inicio]]="","",tblOrdenes[[#This Row],[anio]]&amp;"-"&amp;TEXT(tblOrdenes[[#This Row],[mes]],"00"))</f>
        <v/>
      </c>
      <c r="S59" s="5">
        <f>IF(tblOrdenes[[#This Row],[fecha_inicio]]="","",INDEX(lista_dias,WEEKDAY(tblOrdenes[[#This Row],[fecha_inicio]],2)))</f>
        <v/>
      </c>
      <c r="T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5">
        <f>IF(tblOrdenes[[#This Row],[tipo_ot]]="","",_xlfn.XLOOKUP(tblOrdenes[[#This Row],[tipo_ot]],tblTiposOT[codigo],tblTiposOT[clasificacion],"sin_clasificar"))</f>
        <v/>
      </c>
      <c r="V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5">
        <f>IF(tblOrdenes[[#This Row],[centro_costo]]="","",_xlfn.XLOOKUP(tblOrdenes[[#This Row],[centro_costo]],tblCECO[codigo],tblCECO[linea],"(sin catálogo)"))</f>
        <v/>
      </c>
      <c r="Y59" s="5">
        <f>IF(tblOrdenes[[#This Row],[centro_costo]]="","",_xlfn.XLOOKUP(tblOrdenes[[#This Row],[centro_costo]],tblCECO[codigo],tblCECO[area],"(sin catálogo)"))</f>
        <v/>
      </c>
      <c r="Z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5">
        <f>IF(tblOrdenes[[#This Row],[centro_costo]]="","",_xlfn.XLOOKUP(tblOrdenes[[#This Row],[centro_costo]],tblCECO[codigo],tblCECO[coordinador],"(sin catálogo)"))</f>
        <v/>
      </c>
      <c r="AB59" s="5">
        <f>IF(tblOrdenes[[#This Row],[puesto_trabajo]]="","",_xlfn.XLOOKUP(tblOrdenes[[#This Row],[puesto_trabajo]],tblPuestos[codigo],tblPuestos[especialidad],"(sin catálogo)"))</f>
        <v/>
      </c>
      <c r="AC59" s="5">
        <f>IF(tblOrdenes[[#This Row],[cod_actividad]]="","",_xlfn.XLOOKUP(tblOrdenes[[#This Row],[cod_actividad]],tblActividades[codigo],tblActividades[descripcion],"(sin catálogo)"))</f>
        <v/>
      </c>
      <c r="AD59" s="23">
        <f>IF(tblOrdenes[[#This Row],[fecha_inicio]]="","",TODAY()-tblOrdenes[[#This Row],[fecha_inicio]])</f>
        <v/>
      </c>
      <c r="AE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5">
        <f>IF(tblOrdenes[[#This Row],[backlog_habiles]]="","",IF(tblOrdenes[[#This Row],[backlog_habiles]]&lt;0,"FUTURO",IF(tblOrdenes[[#This Row],[backlog_habiles]]&gt;p_dias_backlog_max,"BACKLOG","MES CORRIENTE")))</f>
        <v/>
      </c>
      <c r="AG59" s="5">
        <f>IF(tblOrdenes[[#This Row],[backlog_habiles]]="",FALSE,AND(tblOrdenes[[#This Row],[backlog_habiles]]&gt;p_dias_backlog_min,tblOrdenes[[#This Row],[backlog_habiles]]&lt;=p_dias_backlog_max))</f>
        <v/>
      </c>
      <c r="AH59" s="4" t="n"/>
      <c r="AI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18">
        <f>IF(tblOrdenes[[#This Row],[orden]]="","",_xlfn.XLOOKUP(tblOrdenes[[#This Row],[id_operacion]],tblEjecucion[id_operacion],tblEjecucion[precio],0))</f>
        <v/>
      </c>
      <c r="AM59" s="18">
        <f>IF(tblOrdenes[[#This Row],[orden]]="","",MAX(0,_xlfn.XLOOKUP(tblOrdenes[[#This Row],[id_operacion]],tblEjecucion[id_operacion],tblEjecucion[costo_plan_total],0)-tblOrdenes[[#This Row],[costo_servicio]]))</f>
        <v/>
      </c>
      <c r="AN59" s="18">
        <f>IF(tblOrdenes[[#This Row],[orden]]="","",tblOrdenes[[#This Row],[costo_servicio]]+tblOrdenes[[#This Row],[costo_materiales]])</f>
        <v/>
      </c>
      <c r="AO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n"/>
      <c r="AQ59" s="4" t="n"/>
      <c r="AR59" s="4" t="n"/>
      <c r="AS59" s="5">
        <f>IF(tblOrdenes[[#This Row],[link_checklist]]="","",HYPERLINK(p_ruta_base_checklists&amp;tblOrdenes[[#This Row],[link_checklist]],"abrir"))</f>
        <v/>
      </c>
      <c r="AT59" s="4" t="n"/>
      <c r="AU59" s="5">
        <f>IF(tblOrdenes[[#This Row],[orden]]="","",tblOrdenes[[#This Row],[orden]]&amp;IF(tblOrdenes[[#This Row],[operacion]]="","0010",tblOrdenes[[#This Row],[operacion]]))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25" t="n"/>
      <c r="K60" s="5" t="n"/>
      <c r="L60" s="18" t="n"/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Row],[fecha_inicio]]="","",tblOrdenes[[#This Row],[anio]]&amp;"-"&amp;TEXT(tblOrdenes[[#This Row],[mes]],"00"))</f>
        <v/>
      </c>
      <c r="S60" s="5">
        <f>IF(tblOrdenes[[#This Row],[fecha_inicio]]="","",INDEX(lista_dias,WEEKDAY(tblOrdenes[[#This Row],[fecha_inicio]],2)))</f>
        <v/>
      </c>
      <c r="T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5">
        <f>IF(tblOrdenes[[#This Row],[tipo_ot]]="","",_xlfn.XLOOKUP(tblOrdenes[[#This Row],[tipo_ot]],tblTiposOT[codigo],tblTiposOT[clasificacion],"sin_clasificar"))</f>
        <v/>
      </c>
      <c r="V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5">
        <f>IF(tblOrdenes[[#This Row],[centro_costo]]="","",_xlfn.XLOOKUP(tblOrdenes[[#This Row],[centro_costo]],tblCECO[codigo],tblCECO[linea],"(sin catálogo)"))</f>
        <v/>
      </c>
      <c r="Y60" s="5">
        <f>IF(tblOrdenes[[#This Row],[centro_costo]]="","",_xlfn.XLOOKUP(tblOrdenes[[#This Row],[centro_costo]],tblCECO[codigo],tblCECO[area],"(sin catálogo)"))</f>
        <v/>
      </c>
      <c r="Z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5">
        <f>IF(tblOrdenes[[#This Row],[centro_costo]]="","",_xlfn.XLOOKUP(tblOrdenes[[#This Row],[centro_costo]],tblCECO[codigo],tblCECO[coordinador],"(sin catálogo)"))</f>
        <v/>
      </c>
      <c r="AB60" s="5">
        <f>IF(tblOrdenes[[#This Row],[puesto_trabajo]]="","",_xlfn.XLOOKUP(tblOrdenes[[#This Row],[puesto_trabajo]],tblPuestos[codigo],tblPuestos[especialidad],"(sin catálogo)"))</f>
        <v/>
      </c>
      <c r="AC60" s="5">
        <f>IF(tblOrdenes[[#This Row],[cod_actividad]]="","",_xlfn.XLOOKUP(tblOrdenes[[#This Row],[cod_actividad]],tblActividades[codigo],tblActividades[descripcion],"(sin catálogo)"))</f>
        <v/>
      </c>
      <c r="AD60" s="23">
        <f>IF(tblOrdenes[[#This Row],[fecha_inicio]]="","",TODAY()-tblOrdenes[[#This Row],[fecha_inicio]])</f>
        <v/>
      </c>
      <c r="AE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5">
        <f>IF(tblOrdenes[[#This Row],[backlog_habiles]]="","",IF(tblOrdenes[[#This Row],[backlog_habiles]]&lt;0,"FUTURO",IF(tblOrdenes[[#This Row],[backlog_habiles]]&gt;p_dias_backlog_max,"BACKLOG","MES CORRIENTE")))</f>
        <v/>
      </c>
      <c r="AG60" s="5">
        <f>IF(tblOrdenes[[#This Row],[backlog_habiles]]="",FALSE,AND(tblOrdenes[[#This Row],[backlog_habiles]]&gt;p_dias_backlog_min,tblOrdenes[[#This Row],[backlog_habiles]]&lt;=p_dias_backlog_max))</f>
        <v/>
      </c>
      <c r="AH60" s="4" t="n"/>
      <c r="AI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18">
        <f>IF(tblOrdenes[[#This Row],[orden]]="","",_xlfn.XLOOKUP(tblOrdenes[[#This Row],[id_operacion]],tblEjecucion[id_operacion],tblEjecucion[precio],0))</f>
        <v/>
      </c>
      <c r="AM60" s="18">
        <f>IF(tblOrdenes[[#This Row],[orden]]="","",MAX(0,_xlfn.XLOOKUP(tblOrdenes[[#This Row],[id_operacion]],tblEjecucion[id_operacion],tblEjecucion[costo_plan_total],0)-tblOrdenes[[#This Row],[costo_servicio]]))</f>
        <v/>
      </c>
      <c r="AN60" s="18">
        <f>IF(tblOrdenes[[#This Row],[orden]]="","",tblOrdenes[[#This Row],[costo_servicio]]+tblOrdenes[[#This Row],[costo_materiales]])</f>
        <v/>
      </c>
      <c r="AO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n"/>
      <c r="AQ60" s="4" t="n"/>
      <c r="AR60" s="4" t="n"/>
      <c r="AS60" s="5">
        <f>IF(tblOrdenes[[#This Row],[link_checklist]]="","",HYPERLINK(p_ruta_base_checklists&amp;tblOrdenes[[#This Row],[link_checklist]],"abrir"))</f>
        <v/>
      </c>
      <c r="AT60" s="4" t="n"/>
      <c r="AU60" s="5">
        <f>IF(tblOrdenes[[#This Row],[orden]]="","",tblOrdenes[[#This Row],[orden]]&amp;IF(tblOrdenes[[#This Row],[operacion]]="","0010",tblOrdenes[[#This Row],[operacion]]))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25" t="n"/>
      <c r="K61" s="5" t="n"/>
      <c r="L61" s="18" t="n"/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Row],[fecha_inicio]]="","",tblOrdenes[[#This Row],[anio]]&amp;"-"&amp;TEXT(tblOrdenes[[#This Row],[mes]],"00"))</f>
        <v/>
      </c>
      <c r="S61" s="5">
        <f>IF(tblOrdenes[[#This Row],[fecha_inicio]]="","",INDEX(lista_dias,WEEKDAY(tblOrdenes[[#This Row],[fecha_inicio]],2)))</f>
        <v/>
      </c>
      <c r="T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5">
        <f>IF(tblOrdenes[[#This Row],[tipo_ot]]="","",_xlfn.XLOOKUP(tblOrdenes[[#This Row],[tipo_ot]],tblTiposOT[codigo],tblTiposOT[clasificacion],"sin_clasificar"))</f>
        <v/>
      </c>
      <c r="V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5">
        <f>IF(tblOrdenes[[#This Row],[centro_costo]]="","",_xlfn.XLOOKUP(tblOrdenes[[#This Row],[centro_costo]],tblCECO[codigo],tblCECO[linea],"(sin catálogo)"))</f>
        <v/>
      </c>
      <c r="Y61" s="5">
        <f>IF(tblOrdenes[[#This Row],[centro_costo]]="","",_xlfn.XLOOKUP(tblOrdenes[[#This Row],[centro_costo]],tblCECO[codigo],tblCECO[area],"(sin catálogo)"))</f>
        <v/>
      </c>
      <c r="Z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5">
        <f>IF(tblOrdenes[[#This Row],[centro_costo]]="","",_xlfn.XLOOKUP(tblOrdenes[[#This Row],[centro_costo]],tblCECO[codigo],tblCECO[coordinador],"(sin catálogo)"))</f>
        <v/>
      </c>
      <c r="AB61" s="5">
        <f>IF(tblOrdenes[[#This Row],[puesto_trabajo]]="","",_xlfn.XLOOKUP(tblOrdenes[[#This Row],[puesto_trabajo]],tblPuestos[codigo],tblPuestos[especialidad],"(sin catálogo)"))</f>
        <v/>
      </c>
      <c r="AC61" s="5">
        <f>IF(tblOrdenes[[#This Row],[cod_actividad]]="","",_xlfn.XLOOKUP(tblOrdenes[[#This Row],[cod_actividad]],tblActividades[codigo],tblActividades[descripcion],"(sin catálogo)"))</f>
        <v/>
      </c>
      <c r="AD61" s="23">
        <f>IF(tblOrdenes[[#This Row],[fecha_inicio]]="","",TODAY()-tblOrdenes[[#This Row],[fecha_inicio]])</f>
        <v/>
      </c>
      <c r="AE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5">
        <f>IF(tblOrdenes[[#This Row],[backlog_habiles]]="","",IF(tblOrdenes[[#This Row],[backlog_habiles]]&lt;0,"FUTURO",IF(tblOrdenes[[#This Row],[backlog_habiles]]&gt;p_dias_backlog_max,"BACKLOG","MES CORRIENTE")))</f>
        <v/>
      </c>
      <c r="AG61" s="5">
        <f>IF(tblOrdenes[[#This Row],[backlog_habiles]]="",FALSE,AND(tblOrdenes[[#This Row],[backlog_habiles]]&gt;p_dias_backlog_min,tblOrdenes[[#This Row],[backlog_habiles]]&lt;=p_dias_backlog_max))</f>
        <v/>
      </c>
      <c r="AH61" s="4" t="n"/>
      <c r="AI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18">
        <f>IF(tblOrdenes[[#This Row],[orden]]="","",_xlfn.XLOOKUP(tblOrdenes[[#This Row],[id_operacion]],tblEjecucion[id_operacion],tblEjecucion[precio],0))</f>
        <v/>
      </c>
      <c r="AM61" s="18">
        <f>IF(tblOrdenes[[#This Row],[orden]]="","",MAX(0,_xlfn.XLOOKUP(tblOrdenes[[#This Row],[id_operacion]],tblEjecucion[id_operacion],tblEjecucion[costo_plan_total],0)-tblOrdenes[[#This Row],[costo_servicio]]))</f>
        <v/>
      </c>
      <c r="AN61" s="18">
        <f>IF(tblOrdenes[[#This Row],[orden]]="","",tblOrdenes[[#This Row],[costo_servicio]]+tblOrdenes[[#This Row],[costo_materiales]])</f>
        <v/>
      </c>
      <c r="AO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n"/>
      <c r="AQ61" s="4" t="n"/>
      <c r="AR61" s="4" t="n"/>
      <c r="AS61" s="5">
        <f>IF(tblOrdenes[[#This Row],[link_checklist]]="","",HYPERLINK(p_ruta_base_checklists&amp;tblOrdenes[[#This Row],[link_checklist]],"abrir"))</f>
        <v/>
      </c>
      <c r="AT61" s="4" t="n"/>
      <c r="AU61" s="5">
        <f>IF(tblOrdenes[[#This Row],[orden]]="","",tblOrdenes[[#This Row],[orden]]&amp;IF(tblOrdenes[[#This Row],[operacion]]="","0010",tblOrdenes[[#This Row],[operacion]]))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25" t="n"/>
      <c r="K62" s="5" t="n"/>
      <c r="L62" s="18" t="n"/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Row],[fecha_inicio]]="","",tblOrdenes[[#This Row],[anio]]&amp;"-"&amp;TEXT(tblOrdenes[[#This Row],[mes]],"00"))</f>
        <v/>
      </c>
      <c r="S62" s="5">
        <f>IF(tblOrdenes[[#This Row],[fecha_inicio]]="","",INDEX(lista_dias,WEEKDAY(tblOrdenes[[#This Row],[fecha_inicio]],2)))</f>
        <v/>
      </c>
      <c r="T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5">
        <f>IF(tblOrdenes[[#This Row],[tipo_ot]]="","",_xlfn.XLOOKUP(tblOrdenes[[#This Row],[tipo_ot]],tblTiposOT[codigo],tblTiposOT[clasificacion],"sin_clasificar"))</f>
        <v/>
      </c>
      <c r="V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5">
        <f>IF(tblOrdenes[[#This Row],[centro_costo]]="","",_xlfn.XLOOKUP(tblOrdenes[[#This Row],[centro_costo]],tblCECO[codigo],tblCECO[linea],"(sin catálogo)"))</f>
        <v/>
      </c>
      <c r="Y62" s="5">
        <f>IF(tblOrdenes[[#This Row],[centro_costo]]="","",_xlfn.XLOOKUP(tblOrdenes[[#This Row],[centro_costo]],tblCECO[codigo],tblCECO[area],"(sin catálogo)"))</f>
        <v/>
      </c>
      <c r="Z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5">
        <f>IF(tblOrdenes[[#This Row],[centro_costo]]="","",_xlfn.XLOOKUP(tblOrdenes[[#This Row],[centro_costo]],tblCECO[codigo],tblCECO[coordinador],"(sin catálogo)"))</f>
        <v/>
      </c>
      <c r="AB62" s="5">
        <f>IF(tblOrdenes[[#This Row],[puesto_trabajo]]="","",_xlfn.XLOOKUP(tblOrdenes[[#This Row],[puesto_trabajo]],tblPuestos[codigo],tblPuestos[especialidad],"(sin catálogo)"))</f>
        <v/>
      </c>
      <c r="AC62" s="5">
        <f>IF(tblOrdenes[[#This Row],[cod_actividad]]="","",_xlfn.XLOOKUP(tblOrdenes[[#This Row],[cod_actividad]],tblActividades[codigo],tblActividades[descripcion],"(sin catálogo)"))</f>
        <v/>
      </c>
      <c r="AD62" s="23">
        <f>IF(tblOrdenes[[#This Row],[fecha_inicio]]="","",TODAY()-tblOrdenes[[#This Row],[fecha_inicio]])</f>
        <v/>
      </c>
      <c r="AE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5">
        <f>IF(tblOrdenes[[#This Row],[backlog_habiles]]="","",IF(tblOrdenes[[#This Row],[backlog_habiles]]&lt;0,"FUTURO",IF(tblOrdenes[[#This Row],[backlog_habiles]]&gt;p_dias_backlog_max,"BACKLOG","MES CORRIENTE")))</f>
        <v/>
      </c>
      <c r="AG62" s="5">
        <f>IF(tblOrdenes[[#This Row],[backlog_habiles]]="",FALSE,AND(tblOrdenes[[#This Row],[backlog_habiles]]&gt;p_dias_backlog_min,tblOrdenes[[#This Row],[backlog_habiles]]&lt;=p_dias_backlog_max))</f>
        <v/>
      </c>
      <c r="AH62" s="4" t="n"/>
      <c r="AI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18">
        <f>IF(tblOrdenes[[#This Row],[orden]]="","",_xlfn.XLOOKUP(tblOrdenes[[#This Row],[id_operacion]],tblEjecucion[id_operacion],tblEjecucion[precio],0))</f>
        <v/>
      </c>
      <c r="AM62" s="18">
        <f>IF(tblOrdenes[[#This Row],[orden]]="","",MAX(0,_xlfn.XLOOKUP(tblOrdenes[[#This Row],[id_operacion]],tblEjecucion[id_operacion],tblEjecucion[costo_plan_total],0)-tblOrdenes[[#This Row],[costo_servicio]]))</f>
        <v/>
      </c>
      <c r="AN62" s="18">
        <f>IF(tblOrdenes[[#This Row],[orden]]="","",tblOrdenes[[#This Row],[costo_servicio]]+tblOrdenes[[#This Row],[costo_materiales]])</f>
        <v/>
      </c>
      <c r="AO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n"/>
      <c r="AQ62" s="4" t="n"/>
      <c r="AR62" s="4" t="n"/>
      <c r="AS62" s="5">
        <f>IF(tblOrdenes[[#This Row],[link_checklist]]="","",HYPERLINK(p_ruta_base_checklists&amp;tblOrdenes[[#This Row],[link_checklist]],"abrir"))</f>
        <v/>
      </c>
      <c r="AT62" s="4" t="n"/>
      <c r="AU62" s="5">
        <f>IF(tblOrdenes[[#This Row],[orden]]="","",tblOrdenes[[#This Row],[orden]]&amp;IF(tblOrdenes[[#This Row],[operacion]]="","0010",tblOrdenes[[#This Row],[operacion]]))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25" t="n"/>
      <c r="K63" s="5" t="n"/>
      <c r="L63" s="18" t="n"/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Row],[fecha_inicio]]="","",tblOrdenes[[#This Row],[anio]]&amp;"-"&amp;TEXT(tblOrdenes[[#This Row],[mes]],"00"))</f>
        <v/>
      </c>
      <c r="S63" s="5">
        <f>IF(tblOrdenes[[#This Row],[fecha_inicio]]="","",INDEX(lista_dias,WEEKDAY(tblOrdenes[[#This Row],[fecha_inicio]],2)))</f>
        <v/>
      </c>
      <c r="T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5">
        <f>IF(tblOrdenes[[#This Row],[tipo_ot]]="","",_xlfn.XLOOKUP(tblOrdenes[[#This Row],[tipo_ot]],tblTiposOT[codigo],tblTiposOT[clasificacion],"sin_clasificar"))</f>
        <v/>
      </c>
      <c r="V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5">
        <f>IF(tblOrdenes[[#This Row],[centro_costo]]="","",_xlfn.XLOOKUP(tblOrdenes[[#This Row],[centro_costo]],tblCECO[codigo],tblCECO[linea],"(sin catálogo)"))</f>
        <v/>
      </c>
      <c r="Y63" s="5">
        <f>IF(tblOrdenes[[#This Row],[centro_costo]]="","",_xlfn.XLOOKUP(tblOrdenes[[#This Row],[centro_costo]],tblCECO[codigo],tblCECO[area],"(sin catálogo)"))</f>
        <v/>
      </c>
      <c r="Z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5">
        <f>IF(tblOrdenes[[#This Row],[centro_costo]]="","",_xlfn.XLOOKUP(tblOrdenes[[#This Row],[centro_costo]],tblCECO[codigo],tblCECO[coordinador],"(sin catálogo)"))</f>
        <v/>
      </c>
      <c r="AB63" s="5">
        <f>IF(tblOrdenes[[#This Row],[puesto_trabajo]]="","",_xlfn.XLOOKUP(tblOrdenes[[#This Row],[puesto_trabajo]],tblPuestos[codigo],tblPuestos[especialidad],"(sin catálogo)"))</f>
        <v/>
      </c>
      <c r="AC63" s="5">
        <f>IF(tblOrdenes[[#This Row],[cod_actividad]]="","",_xlfn.XLOOKUP(tblOrdenes[[#This Row],[cod_actividad]],tblActividades[codigo],tblActividades[descripcion],"(sin catálogo)"))</f>
        <v/>
      </c>
      <c r="AD63" s="23">
        <f>IF(tblOrdenes[[#This Row],[fecha_inicio]]="","",TODAY()-tblOrdenes[[#This Row],[fecha_inicio]])</f>
        <v/>
      </c>
      <c r="AE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5">
        <f>IF(tblOrdenes[[#This Row],[backlog_habiles]]="","",IF(tblOrdenes[[#This Row],[backlog_habiles]]&lt;0,"FUTURO",IF(tblOrdenes[[#This Row],[backlog_habiles]]&gt;p_dias_backlog_max,"BACKLOG","MES CORRIENTE")))</f>
        <v/>
      </c>
      <c r="AG63" s="5">
        <f>IF(tblOrdenes[[#This Row],[backlog_habiles]]="",FALSE,AND(tblOrdenes[[#This Row],[backlog_habiles]]&gt;p_dias_backlog_min,tblOrdenes[[#This Row],[backlog_habiles]]&lt;=p_dias_backlog_max))</f>
        <v/>
      </c>
      <c r="AH63" s="4" t="n"/>
      <c r="AI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18">
        <f>IF(tblOrdenes[[#This Row],[orden]]="","",_xlfn.XLOOKUP(tblOrdenes[[#This Row],[id_operacion]],tblEjecucion[id_operacion],tblEjecucion[precio],0))</f>
        <v/>
      </c>
      <c r="AM63" s="18">
        <f>IF(tblOrdenes[[#This Row],[orden]]="","",MAX(0,_xlfn.XLOOKUP(tblOrdenes[[#This Row],[id_operacion]],tblEjecucion[id_operacion],tblEjecucion[costo_plan_total],0)-tblOrdenes[[#This Row],[costo_servicio]]))</f>
        <v/>
      </c>
      <c r="AN63" s="18">
        <f>IF(tblOrdenes[[#This Row],[orden]]="","",tblOrdenes[[#This Row],[costo_servicio]]+tblOrdenes[[#This Row],[costo_materiales]])</f>
        <v/>
      </c>
      <c r="AO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n"/>
      <c r="AQ63" s="4" t="n"/>
      <c r="AR63" s="4" t="n"/>
      <c r="AS63" s="5">
        <f>IF(tblOrdenes[[#This Row],[link_checklist]]="","",HYPERLINK(p_ruta_base_checklists&amp;tblOrdenes[[#This Row],[link_checklist]],"abrir"))</f>
        <v/>
      </c>
      <c r="AT63" s="4" t="n"/>
      <c r="AU63" s="5">
        <f>IF(tblOrdenes[[#This Row],[orden]]="","",tblOrdenes[[#This Row],[orden]]&amp;IF(tblOrdenes[[#This Row],[operacion]]="","0010",tblOrdenes[[#This Row],[operacion]]))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25" t="n"/>
      <c r="K64" s="5" t="n"/>
      <c r="L64" s="18" t="n"/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Row],[fecha_inicio]]="","",tblOrdenes[[#This Row],[anio]]&amp;"-"&amp;TEXT(tblOrdenes[[#This Row],[mes]],"00"))</f>
        <v/>
      </c>
      <c r="S64" s="5">
        <f>IF(tblOrdenes[[#This Row],[fecha_inicio]]="","",INDEX(lista_dias,WEEKDAY(tblOrdenes[[#This Row],[fecha_inicio]],2)))</f>
        <v/>
      </c>
      <c r="T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5">
        <f>IF(tblOrdenes[[#This Row],[tipo_ot]]="","",_xlfn.XLOOKUP(tblOrdenes[[#This Row],[tipo_ot]],tblTiposOT[codigo],tblTiposOT[clasificacion],"sin_clasificar"))</f>
        <v/>
      </c>
      <c r="V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5">
        <f>IF(tblOrdenes[[#This Row],[centro_costo]]="","",_xlfn.XLOOKUP(tblOrdenes[[#This Row],[centro_costo]],tblCECO[codigo],tblCECO[linea],"(sin catálogo)"))</f>
        <v/>
      </c>
      <c r="Y64" s="5">
        <f>IF(tblOrdenes[[#This Row],[centro_costo]]="","",_xlfn.XLOOKUP(tblOrdenes[[#This Row],[centro_costo]],tblCECO[codigo],tblCECO[area],"(sin catálogo)"))</f>
        <v/>
      </c>
      <c r="Z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5">
        <f>IF(tblOrdenes[[#This Row],[centro_costo]]="","",_xlfn.XLOOKUP(tblOrdenes[[#This Row],[centro_costo]],tblCECO[codigo],tblCECO[coordinador],"(sin catálogo)"))</f>
        <v/>
      </c>
      <c r="AB64" s="5">
        <f>IF(tblOrdenes[[#This Row],[puesto_trabajo]]="","",_xlfn.XLOOKUP(tblOrdenes[[#This Row],[puesto_trabajo]],tblPuestos[codigo],tblPuestos[especialidad],"(sin catálogo)"))</f>
        <v/>
      </c>
      <c r="AC64" s="5">
        <f>IF(tblOrdenes[[#This Row],[cod_actividad]]="","",_xlfn.XLOOKUP(tblOrdenes[[#This Row],[cod_actividad]],tblActividades[codigo],tblActividades[descripcion],"(sin catálogo)"))</f>
        <v/>
      </c>
      <c r="AD64" s="23">
        <f>IF(tblOrdenes[[#This Row],[fecha_inicio]]="","",TODAY()-tblOrdenes[[#This Row],[fecha_inicio]])</f>
        <v/>
      </c>
      <c r="AE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5">
        <f>IF(tblOrdenes[[#This Row],[backlog_habiles]]="","",IF(tblOrdenes[[#This Row],[backlog_habiles]]&lt;0,"FUTURO",IF(tblOrdenes[[#This Row],[backlog_habiles]]&gt;p_dias_backlog_max,"BACKLOG","MES CORRIENTE")))</f>
        <v/>
      </c>
      <c r="AG64" s="5">
        <f>IF(tblOrdenes[[#This Row],[backlog_habiles]]="",FALSE,AND(tblOrdenes[[#This Row],[backlog_habiles]]&gt;p_dias_backlog_min,tblOrdenes[[#This Row],[backlog_habiles]]&lt;=p_dias_backlog_max))</f>
        <v/>
      </c>
      <c r="AH64" s="4" t="n"/>
      <c r="AI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18">
        <f>IF(tblOrdenes[[#This Row],[orden]]="","",_xlfn.XLOOKUP(tblOrdenes[[#This Row],[id_operacion]],tblEjecucion[id_operacion],tblEjecucion[precio],0))</f>
        <v/>
      </c>
      <c r="AM64" s="18">
        <f>IF(tblOrdenes[[#This Row],[orden]]="","",MAX(0,_xlfn.XLOOKUP(tblOrdenes[[#This Row],[id_operacion]],tblEjecucion[id_operacion],tblEjecucion[costo_plan_total],0)-tblOrdenes[[#This Row],[costo_servicio]]))</f>
        <v/>
      </c>
      <c r="AN64" s="18">
        <f>IF(tblOrdenes[[#This Row],[orden]]="","",tblOrdenes[[#This Row],[costo_servicio]]+tblOrdenes[[#This Row],[costo_materiales]])</f>
        <v/>
      </c>
      <c r="AO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n"/>
      <c r="AQ64" s="4" t="n"/>
      <c r="AR64" s="4" t="n"/>
      <c r="AS64" s="5">
        <f>IF(tblOrdenes[[#This Row],[link_checklist]]="","",HYPERLINK(p_ruta_base_checklists&amp;tblOrdenes[[#This Row],[link_checklist]],"abrir"))</f>
        <v/>
      </c>
      <c r="AT64" s="4" t="n"/>
      <c r="AU64" s="5">
        <f>IF(tblOrdenes[[#This Row],[orden]]="","",tblOrdenes[[#This Row],[orden]]&amp;IF(tblOrdenes[[#This Row],[operacion]]="","0010",tblOrdenes[[#This Row],[operacion]]))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25" t="n"/>
      <c r="K65" s="5" t="n"/>
      <c r="L65" s="18" t="n"/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Row],[fecha_inicio]]="","",tblOrdenes[[#This Row],[anio]]&amp;"-"&amp;TEXT(tblOrdenes[[#This Row],[mes]],"00"))</f>
        <v/>
      </c>
      <c r="S65" s="5">
        <f>IF(tblOrdenes[[#This Row],[fecha_inicio]]="","",INDEX(lista_dias,WEEKDAY(tblOrdenes[[#This Row],[fecha_inicio]],2)))</f>
        <v/>
      </c>
      <c r="T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5">
        <f>IF(tblOrdenes[[#This Row],[tipo_ot]]="","",_xlfn.XLOOKUP(tblOrdenes[[#This Row],[tipo_ot]],tblTiposOT[codigo],tblTiposOT[clasificacion],"sin_clasificar"))</f>
        <v/>
      </c>
      <c r="V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5">
        <f>IF(tblOrdenes[[#This Row],[centro_costo]]="","",_xlfn.XLOOKUP(tblOrdenes[[#This Row],[centro_costo]],tblCECO[codigo],tblCECO[linea],"(sin catálogo)"))</f>
        <v/>
      </c>
      <c r="Y65" s="5">
        <f>IF(tblOrdenes[[#This Row],[centro_costo]]="","",_xlfn.XLOOKUP(tblOrdenes[[#This Row],[centro_costo]],tblCECO[codigo],tblCECO[area],"(sin catálogo)"))</f>
        <v/>
      </c>
      <c r="Z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5">
        <f>IF(tblOrdenes[[#This Row],[centro_costo]]="","",_xlfn.XLOOKUP(tblOrdenes[[#This Row],[centro_costo]],tblCECO[codigo],tblCECO[coordinador],"(sin catálogo)"))</f>
        <v/>
      </c>
      <c r="AB65" s="5">
        <f>IF(tblOrdenes[[#This Row],[puesto_trabajo]]="","",_xlfn.XLOOKUP(tblOrdenes[[#This Row],[puesto_trabajo]],tblPuestos[codigo],tblPuestos[especialidad],"(sin catálogo)"))</f>
        <v/>
      </c>
      <c r="AC65" s="5">
        <f>IF(tblOrdenes[[#This Row],[cod_actividad]]="","",_xlfn.XLOOKUP(tblOrdenes[[#This Row],[cod_actividad]],tblActividades[codigo],tblActividades[descripcion],"(sin catálogo)"))</f>
        <v/>
      </c>
      <c r="AD65" s="23">
        <f>IF(tblOrdenes[[#This Row],[fecha_inicio]]="","",TODAY()-tblOrdenes[[#This Row],[fecha_inicio]])</f>
        <v/>
      </c>
      <c r="AE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5">
        <f>IF(tblOrdenes[[#This Row],[backlog_habiles]]="","",IF(tblOrdenes[[#This Row],[backlog_habiles]]&lt;0,"FUTURO",IF(tblOrdenes[[#This Row],[backlog_habiles]]&gt;p_dias_backlog_max,"BACKLOG","MES CORRIENTE")))</f>
        <v/>
      </c>
      <c r="AG65" s="5">
        <f>IF(tblOrdenes[[#This Row],[backlog_habiles]]="",FALSE,AND(tblOrdenes[[#This Row],[backlog_habiles]]&gt;p_dias_backlog_min,tblOrdenes[[#This Row],[backlog_habiles]]&lt;=p_dias_backlog_max))</f>
        <v/>
      </c>
      <c r="AH65" s="4" t="n"/>
      <c r="AI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18">
        <f>IF(tblOrdenes[[#This Row],[orden]]="","",_xlfn.XLOOKUP(tblOrdenes[[#This Row],[id_operacion]],tblEjecucion[id_operacion],tblEjecucion[precio],0))</f>
        <v/>
      </c>
      <c r="AM65" s="18">
        <f>IF(tblOrdenes[[#This Row],[orden]]="","",MAX(0,_xlfn.XLOOKUP(tblOrdenes[[#This Row],[id_operacion]],tblEjecucion[id_operacion],tblEjecucion[costo_plan_total],0)-tblOrdenes[[#This Row],[costo_servicio]]))</f>
        <v/>
      </c>
      <c r="AN65" s="18">
        <f>IF(tblOrdenes[[#This Row],[orden]]="","",tblOrdenes[[#This Row],[costo_servicio]]+tblOrdenes[[#This Row],[costo_materiales]])</f>
        <v/>
      </c>
      <c r="AO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n"/>
      <c r="AQ65" s="4" t="n"/>
      <c r="AR65" s="4" t="n"/>
      <c r="AS65" s="5">
        <f>IF(tblOrdenes[[#This Row],[link_checklist]]="","",HYPERLINK(p_ruta_base_checklists&amp;tblOrdenes[[#This Row],[link_checklist]],"abrir"))</f>
        <v/>
      </c>
      <c r="AT65" s="4" t="n"/>
      <c r="AU65" s="5">
        <f>IF(tblOrdenes[[#This Row],[orden]]="","",tblOrdenes[[#This Row],[orden]]&amp;IF(tblOrdenes[[#This Row],[operacion]]="","0010",tblOrdenes[[#This Row],[operacion]]))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25" t="n"/>
      <c r="K66" s="5" t="n"/>
      <c r="L66" s="18" t="n"/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Row],[fecha_inicio]]="","",tblOrdenes[[#This Row],[anio]]&amp;"-"&amp;TEXT(tblOrdenes[[#This Row],[mes]],"00"))</f>
        <v/>
      </c>
      <c r="S66" s="5">
        <f>IF(tblOrdenes[[#This Row],[fecha_inicio]]="","",INDEX(lista_dias,WEEKDAY(tblOrdenes[[#This Row],[fecha_inicio]],2)))</f>
        <v/>
      </c>
      <c r="T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5">
        <f>IF(tblOrdenes[[#This Row],[tipo_ot]]="","",_xlfn.XLOOKUP(tblOrdenes[[#This Row],[tipo_ot]],tblTiposOT[codigo],tblTiposOT[clasificacion],"sin_clasificar"))</f>
        <v/>
      </c>
      <c r="V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5">
        <f>IF(tblOrdenes[[#This Row],[centro_costo]]="","",_xlfn.XLOOKUP(tblOrdenes[[#This Row],[centro_costo]],tblCECO[codigo],tblCECO[linea],"(sin catálogo)"))</f>
        <v/>
      </c>
      <c r="Y66" s="5">
        <f>IF(tblOrdenes[[#This Row],[centro_costo]]="","",_xlfn.XLOOKUP(tblOrdenes[[#This Row],[centro_costo]],tblCECO[codigo],tblCECO[area],"(sin catálogo)"))</f>
        <v/>
      </c>
      <c r="Z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5">
        <f>IF(tblOrdenes[[#This Row],[centro_costo]]="","",_xlfn.XLOOKUP(tblOrdenes[[#This Row],[centro_costo]],tblCECO[codigo],tblCECO[coordinador],"(sin catálogo)"))</f>
        <v/>
      </c>
      <c r="AB66" s="5">
        <f>IF(tblOrdenes[[#This Row],[puesto_trabajo]]="","",_xlfn.XLOOKUP(tblOrdenes[[#This Row],[puesto_trabajo]],tblPuestos[codigo],tblPuestos[especialidad],"(sin catálogo)"))</f>
        <v/>
      </c>
      <c r="AC66" s="5">
        <f>IF(tblOrdenes[[#This Row],[cod_actividad]]="","",_xlfn.XLOOKUP(tblOrdenes[[#This Row],[cod_actividad]],tblActividades[codigo],tblActividades[descripcion],"(sin catálogo)"))</f>
        <v/>
      </c>
      <c r="AD66" s="23">
        <f>IF(tblOrdenes[[#This Row],[fecha_inicio]]="","",TODAY()-tblOrdenes[[#This Row],[fecha_inicio]])</f>
        <v/>
      </c>
      <c r="AE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5">
        <f>IF(tblOrdenes[[#This Row],[backlog_habiles]]="","",IF(tblOrdenes[[#This Row],[backlog_habiles]]&lt;0,"FUTURO",IF(tblOrdenes[[#This Row],[backlog_habiles]]&gt;p_dias_backlog_max,"BACKLOG","MES CORRIENTE")))</f>
        <v/>
      </c>
      <c r="AG66" s="5">
        <f>IF(tblOrdenes[[#This Row],[backlog_habiles]]="",FALSE,AND(tblOrdenes[[#This Row],[backlog_habiles]]&gt;p_dias_backlog_min,tblOrdenes[[#This Row],[backlog_habiles]]&lt;=p_dias_backlog_max))</f>
        <v/>
      </c>
      <c r="AH66" s="4" t="n"/>
      <c r="AI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18">
        <f>IF(tblOrdenes[[#This Row],[orden]]="","",_xlfn.XLOOKUP(tblOrdenes[[#This Row],[id_operacion]],tblEjecucion[id_operacion],tblEjecucion[precio],0))</f>
        <v/>
      </c>
      <c r="AM66" s="18">
        <f>IF(tblOrdenes[[#This Row],[orden]]="","",MAX(0,_xlfn.XLOOKUP(tblOrdenes[[#This Row],[id_operacion]],tblEjecucion[id_operacion],tblEjecucion[costo_plan_total],0)-tblOrdenes[[#This Row],[costo_servicio]]))</f>
        <v/>
      </c>
      <c r="AN66" s="18">
        <f>IF(tblOrdenes[[#This Row],[orden]]="","",tblOrdenes[[#This Row],[costo_servicio]]+tblOrdenes[[#This Row],[costo_materiales]])</f>
        <v/>
      </c>
      <c r="AO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n"/>
      <c r="AQ66" s="4" t="n"/>
      <c r="AR66" s="4" t="n"/>
      <c r="AS66" s="5">
        <f>IF(tblOrdenes[[#This Row],[link_checklist]]="","",HYPERLINK(p_ruta_base_checklists&amp;tblOrdenes[[#This Row],[link_checklist]],"abrir"))</f>
        <v/>
      </c>
      <c r="AT66" s="4" t="n"/>
      <c r="AU66" s="5">
        <f>IF(tblOrdenes[[#This Row],[orden]]="","",tblOrdenes[[#This Row],[orden]]&amp;IF(tblOrdenes[[#This Row],[operacion]]="","0010",tblOrdenes[[#This Row],[operacion]]))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25" t="n"/>
      <c r="K67" s="5" t="n"/>
      <c r="L67" s="18" t="n"/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Row],[fecha_inicio]]="","",tblOrdenes[[#This Row],[anio]]&amp;"-"&amp;TEXT(tblOrdenes[[#This Row],[mes]],"00"))</f>
        <v/>
      </c>
      <c r="S67" s="5">
        <f>IF(tblOrdenes[[#This Row],[fecha_inicio]]="","",INDEX(lista_dias,WEEKDAY(tblOrdenes[[#This Row],[fecha_inicio]],2)))</f>
        <v/>
      </c>
      <c r="T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5">
        <f>IF(tblOrdenes[[#This Row],[tipo_ot]]="","",_xlfn.XLOOKUP(tblOrdenes[[#This Row],[tipo_ot]],tblTiposOT[codigo],tblTiposOT[clasificacion],"sin_clasificar"))</f>
        <v/>
      </c>
      <c r="V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5">
        <f>IF(tblOrdenes[[#This Row],[centro_costo]]="","",_xlfn.XLOOKUP(tblOrdenes[[#This Row],[centro_costo]],tblCECO[codigo],tblCECO[linea],"(sin catálogo)"))</f>
        <v/>
      </c>
      <c r="Y67" s="5">
        <f>IF(tblOrdenes[[#This Row],[centro_costo]]="","",_xlfn.XLOOKUP(tblOrdenes[[#This Row],[centro_costo]],tblCECO[codigo],tblCECO[area],"(sin catálogo)"))</f>
        <v/>
      </c>
      <c r="Z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5">
        <f>IF(tblOrdenes[[#This Row],[centro_costo]]="","",_xlfn.XLOOKUP(tblOrdenes[[#This Row],[centro_costo]],tblCECO[codigo],tblCECO[coordinador],"(sin catálogo)"))</f>
        <v/>
      </c>
      <c r="AB67" s="5">
        <f>IF(tblOrdenes[[#This Row],[puesto_trabajo]]="","",_xlfn.XLOOKUP(tblOrdenes[[#This Row],[puesto_trabajo]],tblPuestos[codigo],tblPuestos[especialidad],"(sin catálogo)"))</f>
        <v/>
      </c>
      <c r="AC67" s="5">
        <f>IF(tblOrdenes[[#This Row],[cod_actividad]]="","",_xlfn.XLOOKUP(tblOrdenes[[#This Row],[cod_actividad]],tblActividades[codigo],tblActividades[descripcion],"(sin catálogo)"))</f>
        <v/>
      </c>
      <c r="AD67" s="23">
        <f>IF(tblOrdenes[[#This Row],[fecha_inicio]]="","",TODAY()-tblOrdenes[[#This Row],[fecha_inicio]])</f>
        <v/>
      </c>
      <c r="AE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5">
        <f>IF(tblOrdenes[[#This Row],[backlog_habiles]]="","",IF(tblOrdenes[[#This Row],[backlog_habiles]]&lt;0,"FUTURO",IF(tblOrdenes[[#This Row],[backlog_habiles]]&gt;p_dias_backlog_max,"BACKLOG","MES CORRIENTE")))</f>
        <v/>
      </c>
      <c r="AG67" s="5">
        <f>IF(tblOrdenes[[#This Row],[backlog_habiles]]="",FALSE,AND(tblOrdenes[[#This Row],[backlog_habiles]]&gt;p_dias_backlog_min,tblOrdenes[[#This Row],[backlog_habiles]]&lt;=p_dias_backlog_max))</f>
        <v/>
      </c>
      <c r="AH67" s="4" t="n"/>
      <c r="AI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18">
        <f>IF(tblOrdenes[[#This Row],[orden]]="","",_xlfn.XLOOKUP(tblOrdenes[[#This Row],[id_operacion]],tblEjecucion[id_operacion],tblEjecucion[precio],0))</f>
        <v/>
      </c>
      <c r="AM67" s="18">
        <f>IF(tblOrdenes[[#This Row],[orden]]="","",MAX(0,_xlfn.XLOOKUP(tblOrdenes[[#This Row],[id_operacion]],tblEjecucion[id_operacion],tblEjecucion[costo_plan_total],0)-tblOrdenes[[#This Row],[costo_servicio]]))</f>
        <v/>
      </c>
      <c r="AN67" s="18">
        <f>IF(tblOrdenes[[#This Row],[orden]]="","",tblOrdenes[[#This Row],[costo_servicio]]+tblOrdenes[[#This Row],[costo_materiales]])</f>
        <v/>
      </c>
      <c r="AO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n"/>
      <c r="AQ67" s="4" t="n"/>
      <c r="AR67" s="4" t="n"/>
      <c r="AS67" s="5">
        <f>IF(tblOrdenes[[#This Row],[link_checklist]]="","",HYPERLINK(p_ruta_base_checklists&amp;tblOrdenes[[#This Row],[link_checklist]],"abrir"))</f>
        <v/>
      </c>
      <c r="AT67" s="4" t="n"/>
      <c r="AU67" s="5">
        <f>IF(tblOrdenes[[#This Row],[orden]]="","",tblOrdenes[[#This Row],[orden]]&amp;IF(tblOrdenes[[#This Row],[operacion]]="","0010",tblOrdenes[[#This Row],[operacion]]))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25" t="n"/>
      <c r="K68" s="5" t="n"/>
      <c r="L68" s="18" t="n"/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Row],[fecha_inicio]]="","",tblOrdenes[[#This Row],[anio]]&amp;"-"&amp;TEXT(tblOrdenes[[#This Row],[mes]],"00"))</f>
        <v/>
      </c>
      <c r="S68" s="5">
        <f>IF(tblOrdenes[[#This Row],[fecha_inicio]]="","",INDEX(lista_dias,WEEKDAY(tblOrdenes[[#This Row],[fecha_inicio]],2)))</f>
        <v/>
      </c>
      <c r="T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5">
        <f>IF(tblOrdenes[[#This Row],[tipo_ot]]="","",_xlfn.XLOOKUP(tblOrdenes[[#This Row],[tipo_ot]],tblTiposOT[codigo],tblTiposOT[clasificacion],"sin_clasificar"))</f>
        <v/>
      </c>
      <c r="V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5">
        <f>IF(tblOrdenes[[#This Row],[centro_costo]]="","",_xlfn.XLOOKUP(tblOrdenes[[#This Row],[centro_costo]],tblCECO[codigo],tblCECO[linea],"(sin catálogo)"))</f>
        <v/>
      </c>
      <c r="Y68" s="5">
        <f>IF(tblOrdenes[[#This Row],[centro_costo]]="","",_xlfn.XLOOKUP(tblOrdenes[[#This Row],[centro_costo]],tblCECO[codigo],tblCECO[area],"(sin catálogo)"))</f>
        <v/>
      </c>
      <c r="Z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5">
        <f>IF(tblOrdenes[[#This Row],[centro_costo]]="","",_xlfn.XLOOKUP(tblOrdenes[[#This Row],[centro_costo]],tblCECO[codigo],tblCECO[coordinador],"(sin catálogo)"))</f>
        <v/>
      </c>
      <c r="AB68" s="5">
        <f>IF(tblOrdenes[[#This Row],[puesto_trabajo]]="","",_xlfn.XLOOKUP(tblOrdenes[[#This Row],[puesto_trabajo]],tblPuestos[codigo],tblPuestos[especialidad],"(sin catálogo)"))</f>
        <v/>
      </c>
      <c r="AC68" s="5">
        <f>IF(tblOrdenes[[#This Row],[cod_actividad]]="","",_xlfn.XLOOKUP(tblOrdenes[[#This Row],[cod_actividad]],tblActividades[codigo],tblActividades[descripcion],"(sin catálogo)"))</f>
        <v/>
      </c>
      <c r="AD68" s="23">
        <f>IF(tblOrdenes[[#This Row],[fecha_inicio]]="","",TODAY()-tblOrdenes[[#This Row],[fecha_inicio]])</f>
        <v/>
      </c>
      <c r="AE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5">
        <f>IF(tblOrdenes[[#This Row],[backlog_habiles]]="","",IF(tblOrdenes[[#This Row],[backlog_habiles]]&lt;0,"FUTURO",IF(tblOrdenes[[#This Row],[backlog_habiles]]&gt;p_dias_backlog_max,"BACKLOG","MES CORRIENTE")))</f>
        <v/>
      </c>
      <c r="AG68" s="5">
        <f>IF(tblOrdenes[[#This Row],[backlog_habiles]]="",FALSE,AND(tblOrdenes[[#This Row],[backlog_habiles]]&gt;p_dias_backlog_min,tblOrdenes[[#This Row],[backlog_habiles]]&lt;=p_dias_backlog_max))</f>
        <v/>
      </c>
      <c r="AH68" s="4" t="n"/>
      <c r="AI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18">
        <f>IF(tblOrdenes[[#This Row],[orden]]="","",_xlfn.XLOOKUP(tblOrdenes[[#This Row],[id_operacion]],tblEjecucion[id_operacion],tblEjecucion[precio],0))</f>
        <v/>
      </c>
      <c r="AM68" s="18">
        <f>IF(tblOrdenes[[#This Row],[orden]]="","",MAX(0,_xlfn.XLOOKUP(tblOrdenes[[#This Row],[id_operacion]],tblEjecucion[id_operacion],tblEjecucion[costo_plan_total],0)-tblOrdenes[[#This Row],[costo_servicio]]))</f>
        <v/>
      </c>
      <c r="AN68" s="18">
        <f>IF(tblOrdenes[[#This Row],[orden]]="","",tblOrdenes[[#This Row],[costo_servicio]]+tblOrdenes[[#This Row],[costo_materiales]])</f>
        <v/>
      </c>
      <c r="AO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n"/>
      <c r="AQ68" s="4" t="n"/>
      <c r="AR68" s="4" t="n"/>
      <c r="AS68" s="5">
        <f>IF(tblOrdenes[[#This Row],[link_checklist]]="","",HYPERLINK(p_ruta_base_checklists&amp;tblOrdenes[[#This Row],[link_checklist]],"abrir"))</f>
        <v/>
      </c>
      <c r="AT68" s="4" t="n"/>
      <c r="AU68" s="5">
        <f>IF(tblOrdenes[[#This Row],[orden]]="","",tblOrdenes[[#This Row],[orden]]&amp;IF(tblOrdenes[[#This Row],[operacion]]="","0010",tblOrdenes[[#This Row],[operacion]]))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25" t="n"/>
      <c r="K69" s="5" t="n"/>
      <c r="L69" s="18" t="n"/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Row],[fecha_inicio]]="","",tblOrdenes[[#This Row],[anio]]&amp;"-"&amp;TEXT(tblOrdenes[[#This Row],[mes]],"00"))</f>
        <v/>
      </c>
      <c r="S69" s="5">
        <f>IF(tblOrdenes[[#This Row],[fecha_inicio]]="","",INDEX(lista_dias,WEEKDAY(tblOrdenes[[#This Row],[fecha_inicio]],2)))</f>
        <v/>
      </c>
      <c r="T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5">
        <f>IF(tblOrdenes[[#This Row],[tipo_ot]]="","",_xlfn.XLOOKUP(tblOrdenes[[#This Row],[tipo_ot]],tblTiposOT[codigo],tblTiposOT[clasificacion],"sin_clasificar"))</f>
        <v/>
      </c>
      <c r="V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5">
        <f>IF(tblOrdenes[[#This Row],[centro_costo]]="","",_xlfn.XLOOKUP(tblOrdenes[[#This Row],[centro_costo]],tblCECO[codigo],tblCECO[linea],"(sin catálogo)"))</f>
        <v/>
      </c>
      <c r="Y69" s="5">
        <f>IF(tblOrdenes[[#This Row],[centro_costo]]="","",_xlfn.XLOOKUP(tblOrdenes[[#This Row],[centro_costo]],tblCECO[codigo],tblCECO[area],"(sin catálogo)"))</f>
        <v/>
      </c>
      <c r="Z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5">
        <f>IF(tblOrdenes[[#This Row],[centro_costo]]="","",_xlfn.XLOOKUP(tblOrdenes[[#This Row],[centro_costo]],tblCECO[codigo],tblCECO[coordinador],"(sin catálogo)"))</f>
        <v/>
      </c>
      <c r="AB69" s="5">
        <f>IF(tblOrdenes[[#This Row],[puesto_trabajo]]="","",_xlfn.XLOOKUP(tblOrdenes[[#This Row],[puesto_trabajo]],tblPuestos[codigo],tblPuestos[especialidad],"(sin catálogo)"))</f>
        <v/>
      </c>
      <c r="AC69" s="5">
        <f>IF(tblOrdenes[[#This Row],[cod_actividad]]="","",_xlfn.XLOOKUP(tblOrdenes[[#This Row],[cod_actividad]],tblActividades[codigo],tblActividades[descripcion],"(sin catálogo)"))</f>
        <v/>
      </c>
      <c r="AD69" s="23">
        <f>IF(tblOrdenes[[#This Row],[fecha_inicio]]="","",TODAY()-tblOrdenes[[#This Row],[fecha_inicio]])</f>
        <v/>
      </c>
      <c r="AE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5">
        <f>IF(tblOrdenes[[#This Row],[backlog_habiles]]="","",IF(tblOrdenes[[#This Row],[backlog_habiles]]&lt;0,"FUTURO",IF(tblOrdenes[[#This Row],[backlog_habiles]]&gt;p_dias_backlog_max,"BACKLOG","MES CORRIENTE")))</f>
        <v/>
      </c>
      <c r="AG69" s="5">
        <f>IF(tblOrdenes[[#This Row],[backlog_habiles]]="",FALSE,AND(tblOrdenes[[#This Row],[backlog_habiles]]&gt;p_dias_backlog_min,tblOrdenes[[#This Row],[backlog_habiles]]&lt;=p_dias_backlog_max))</f>
        <v/>
      </c>
      <c r="AH69" s="4" t="n"/>
      <c r="AI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18">
        <f>IF(tblOrdenes[[#This Row],[orden]]="","",_xlfn.XLOOKUP(tblOrdenes[[#This Row],[id_operacion]],tblEjecucion[id_operacion],tblEjecucion[precio],0))</f>
        <v/>
      </c>
      <c r="AM69" s="18">
        <f>IF(tblOrdenes[[#This Row],[orden]]="","",MAX(0,_xlfn.XLOOKUP(tblOrdenes[[#This Row],[id_operacion]],tblEjecucion[id_operacion],tblEjecucion[costo_plan_total],0)-tblOrdenes[[#This Row],[costo_servicio]]))</f>
        <v/>
      </c>
      <c r="AN69" s="18">
        <f>IF(tblOrdenes[[#This Row],[orden]]="","",tblOrdenes[[#This Row],[costo_servicio]]+tblOrdenes[[#This Row],[costo_materiales]])</f>
        <v/>
      </c>
      <c r="AO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n"/>
      <c r="AQ69" s="4" t="n"/>
      <c r="AR69" s="4" t="n"/>
      <c r="AS69" s="5">
        <f>IF(tblOrdenes[[#This Row],[link_checklist]]="","",HYPERLINK(p_ruta_base_checklists&amp;tblOrdenes[[#This Row],[link_checklist]],"abrir"))</f>
        <v/>
      </c>
      <c r="AT69" s="4" t="n"/>
      <c r="AU69" s="5">
        <f>IF(tblOrdenes[[#This Row],[orden]]="","",tblOrdenes[[#This Row],[orden]]&amp;IF(tblOrdenes[[#This Row],[operacion]]="","0010",tblOrdenes[[#This Row],[operacion]]))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25" t="n"/>
      <c r="K70" s="5" t="n"/>
      <c r="L70" s="18" t="n"/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Row],[fecha_inicio]]="","",tblOrdenes[[#This Row],[anio]]&amp;"-"&amp;TEXT(tblOrdenes[[#This Row],[mes]],"00"))</f>
        <v/>
      </c>
      <c r="S70" s="5">
        <f>IF(tblOrdenes[[#This Row],[fecha_inicio]]="","",INDEX(lista_dias,WEEKDAY(tblOrdenes[[#This Row],[fecha_inicio]],2)))</f>
        <v/>
      </c>
      <c r="T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5">
        <f>IF(tblOrdenes[[#This Row],[tipo_ot]]="","",_xlfn.XLOOKUP(tblOrdenes[[#This Row],[tipo_ot]],tblTiposOT[codigo],tblTiposOT[clasificacion],"sin_clasificar"))</f>
        <v/>
      </c>
      <c r="V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5">
        <f>IF(tblOrdenes[[#This Row],[centro_costo]]="","",_xlfn.XLOOKUP(tblOrdenes[[#This Row],[centro_costo]],tblCECO[codigo],tblCECO[linea],"(sin catálogo)"))</f>
        <v/>
      </c>
      <c r="Y70" s="5">
        <f>IF(tblOrdenes[[#This Row],[centro_costo]]="","",_xlfn.XLOOKUP(tblOrdenes[[#This Row],[centro_costo]],tblCECO[codigo],tblCECO[area],"(sin catálogo)"))</f>
        <v/>
      </c>
      <c r="Z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5">
        <f>IF(tblOrdenes[[#This Row],[centro_costo]]="","",_xlfn.XLOOKUP(tblOrdenes[[#This Row],[centro_costo]],tblCECO[codigo],tblCECO[coordinador],"(sin catálogo)"))</f>
        <v/>
      </c>
      <c r="AB70" s="5">
        <f>IF(tblOrdenes[[#This Row],[puesto_trabajo]]="","",_xlfn.XLOOKUP(tblOrdenes[[#This Row],[puesto_trabajo]],tblPuestos[codigo],tblPuestos[especialidad],"(sin catálogo)"))</f>
        <v/>
      </c>
      <c r="AC70" s="5">
        <f>IF(tblOrdenes[[#This Row],[cod_actividad]]="","",_xlfn.XLOOKUP(tblOrdenes[[#This Row],[cod_actividad]],tblActividades[codigo],tblActividades[descripcion],"(sin catálogo)"))</f>
        <v/>
      </c>
      <c r="AD70" s="23">
        <f>IF(tblOrdenes[[#This Row],[fecha_inicio]]="","",TODAY()-tblOrdenes[[#This Row],[fecha_inicio]])</f>
        <v/>
      </c>
      <c r="AE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5">
        <f>IF(tblOrdenes[[#This Row],[backlog_habiles]]="","",IF(tblOrdenes[[#This Row],[backlog_habiles]]&lt;0,"FUTURO",IF(tblOrdenes[[#This Row],[backlog_habiles]]&gt;p_dias_backlog_max,"BACKLOG","MES CORRIENTE")))</f>
        <v/>
      </c>
      <c r="AG70" s="5">
        <f>IF(tblOrdenes[[#This Row],[backlog_habiles]]="",FALSE,AND(tblOrdenes[[#This Row],[backlog_habiles]]&gt;p_dias_backlog_min,tblOrdenes[[#This Row],[backlog_habiles]]&lt;=p_dias_backlog_max))</f>
        <v/>
      </c>
      <c r="AH70" s="4" t="n"/>
      <c r="AI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18">
        <f>IF(tblOrdenes[[#This Row],[orden]]="","",_xlfn.XLOOKUP(tblOrdenes[[#This Row],[id_operacion]],tblEjecucion[id_operacion],tblEjecucion[precio],0))</f>
        <v/>
      </c>
      <c r="AM70" s="18">
        <f>IF(tblOrdenes[[#This Row],[orden]]="","",MAX(0,_xlfn.XLOOKUP(tblOrdenes[[#This Row],[id_operacion]],tblEjecucion[id_operacion],tblEjecucion[costo_plan_total],0)-tblOrdenes[[#This Row],[costo_servicio]]))</f>
        <v/>
      </c>
      <c r="AN70" s="18">
        <f>IF(tblOrdenes[[#This Row],[orden]]="","",tblOrdenes[[#This Row],[costo_servicio]]+tblOrdenes[[#This Row],[costo_materiales]])</f>
        <v/>
      </c>
      <c r="AO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n"/>
      <c r="AQ70" s="4" t="n"/>
      <c r="AR70" s="4" t="n"/>
      <c r="AS70" s="5">
        <f>IF(tblOrdenes[[#This Row],[link_checklist]]="","",HYPERLINK(p_ruta_base_checklists&amp;tblOrdenes[[#This Row],[link_checklist]],"abrir"))</f>
        <v/>
      </c>
      <c r="AT70" s="4" t="n"/>
      <c r="AU70" s="5">
        <f>IF(tblOrdenes[[#This Row],[orden]]="","",tblOrdenes[[#This Row],[orden]]&amp;IF(tblOrdenes[[#This Row],[operacion]]="","0010",tblOrdenes[[#This Row],[operacion]]))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25" t="n"/>
      <c r="K71" s="5" t="n"/>
      <c r="L71" s="18" t="n"/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Row],[fecha_inicio]]="","",tblOrdenes[[#This Row],[anio]]&amp;"-"&amp;TEXT(tblOrdenes[[#This Row],[mes]],"00"))</f>
        <v/>
      </c>
      <c r="S71" s="5">
        <f>IF(tblOrdenes[[#This Row],[fecha_inicio]]="","",INDEX(lista_dias,WEEKDAY(tblOrdenes[[#This Row],[fecha_inicio]],2)))</f>
        <v/>
      </c>
      <c r="T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5">
        <f>IF(tblOrdenes[[#This Row],[tipo_ot]]="","",_xlfn.XLOOKUP(tblOrdenes[[#This Row],[tipo_ot]],tblTiposOT[codigo],tblTiposOT[clasificacion],"sin_clasificar"))</f>
        <v/>
      </c>
      <c r="V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5">
        <f>IF(tblOrdenes[[#This Row],[centro_costo]]="","",_xlfn.XLOOKUP(tblOrdenes[[#This Row],[centro_costo]],tblCECO[codigo],tblCECO[linea],"(sin catálogo)"))</f>
        <v/>
      </c>
      <c r="Y71" s="5">
        <f>IF(tblOrdenes[[#This Row],[centro_costo]]="","",_xlfn.XLOOKUP(tblOrdenes[[#This Row],[centro_costo]],tblCECO[codigo],tblCECO[area],"(sin catálogo)"))</f>
        <v/>
      </c>
      <c r="Z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5">
        <f>IF(tblOrdenes[[#This Row],[centro_costo]]="","",_xlfn.XLOOKUP(tblOrdenes[[#This Row],[centro_costo]],tblCECO[codigo],tblCECO[coordinador],"(sin catálogo)"))</f>
        <v/>
      </c>
      <c r="AB71" s="5">
        <f>IF(tblOrdenes[[#This Row],[puesto_trabajo]]="","",_xlfn.XLOOKUP(tblOrdenes[[#This Row],[puesto_trabajo]],tblPuestos[codigo],tblPuestos[especialidad],"(sin catálogo)"))</f>
        <v/>
      </c>
      <c r="AC71" s="5">
        <f>IF(tblOrdenes[[#This Row],[cod_actividad]]="","",_xlfn.XLOOKUP(tblOrdenes[[#This Row],[cod_actividad]],tblActividades[codigo],tblActividades[descripcion],"(sin catálogo)"))</f>
        <v/>
      </c>
      <c r="AD71" s="23">
        <f>IF(tblOrdenes[[#This Row],[fecha_inicio]]="","",TODAY()-tblOrdenes[[#This Row],[fecha_inicio]])</f>
        <v/>
      </c>
      <c r="AE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5">
        <f>IF(tblOrdenes[[#This Row],[backlog_habiles]]="","",IF(tblOrdenes[[#This Row],[backlog_habiles]]&lt;0,"FUTURO",IF(tblOrdenes[[#This Row],[backlog_habiles]]&gt;p_dias_backlog_max,"BACKLOG","MES CORRIENTE")))</f>
        <v/>
      </c>
      <c r="AG71" s="5">
        <f>IF(tblOrdenes[[#This Row],[backlog_habiles]]="",FALSE,AND(tblOrdenes[[#This Row],[backlog_habiles]]&gt;p_dias_backlog_min,tblOrdenes[[#This Row],[backlog_habiles]]&lt;=p_dias_backlog_max))</f>
        <v/>
      </c>
      <c r="AH71" s="4" t="n"/>
      <c r="AI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18">
        <f>IF(tblOrdenes[[#This Row],[orden]]="","",_xlfn.XLOOKUP(tblOrdenes[[#This Row],[id_operacion]],tblEjecucion[id_operacion],tblEjecucion[precio],0))</f>
        <v/>
      </c>
      <c r="AM71" s="18">
        <f>IF(tblOrdenes[[#This Row],[orden]]="","",MAX(0,_xlfn.XLOOKUP(tblOrdenes[[#This Row],[id_operacion]],tblEjecucion[id_operacion],tblEjecucion[costo_plan_total],0)-tblOrdenes[[#This Row],[costo_servicio]]))</f>
        <v/>
      </c>
      <c r="AN71" s="18">
        <f>IF(tblOrdenes[[#This Row],[orden]]="","",tblOrdenes[[#This Row],[costo_servicio]]+tblOrdenes[[#This Row],[costo_materiales]])</f>
        <v/>
      </c>
      <c r="AO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n"/>
      <c r="AQ71" s="4" t="n"/>
      <c r="AR71" s="4" t="n"/>
      <c r="AS71" s="5">
        <f>IF(tblOrdenes[[#This Row],[link_checklist]]="","",HYPERLINK(p_ruta_base_checklists&amp;tblOrdenes[[#This Row],[link_checklist]],"abrir"))</f>
        <v/>
      </c>
      <c r="AT71" s="4" t="n"/>
      <c r="AU71" s="5">
        <f>IF(tblOrdenes[[#This Row],[orden]]="","",tblOrdenes[[#This Row],[orden]]&amp;IF(tblOrdenes[[#This Row],[operacion]]="","0010",tblOrdenes[[#This Row],[operacion]]))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25" t="n"/>
      <c r="K72" s="5" t="n"/>
      <c r="L72" s="18" t="n"/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Row],[fecha_inicio]]="","",tblOrdenes[[#This Row],[anio]]&amp;"-"&amp;TEXT(tblOrdenes[[#This Row],[mes]],"00"))</f>
        <v/>
      </c>
      <c r="S72" s="5">
        <f>IF(tblOrdenes[[#This Row],[fecha_inicio]]="","",INDEX(lista_dias,WEEKDAY(tblOrdenes[[#This Row],[fecha_inicio]],2)))</f>
        <v/>
      </c>
      <c r="T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5">
        <f>IF(tblOrdenes[[#This Row],[tipo_ot]]="","",_xlfn.XLOOKUP(tblOrdenes[[#This Row],[tipo_ot]],tblTiposOT[codigo],tblTiposOT[clasificacion],"sin_clasificar"))</f>
        <v/>
      </c>
      <c r="V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5">
        <f>IF(tblOrdenes[[#This Row],[centro_costo]]="","",_xlfn.XLOOKUP(tblOrdenes[[#This Row],[centro_costo]],tblCECO[codigo],tblCECO[linea],"(sin catálogo)"))</f>
        <v/>
      </c>
      <c r="Y72" s="5">
        <f>IF(tblOrdenes[[#This Row],[centro_costo]]="","",_xlfn.XLOOKUP(tblOrdenes[[#This Row],[centro_costo]],tblCECO[codigo],tblCECO[area],"(sin catálogo)"))</f>
        <v/>
      </c>
      <c r="Z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5">
        <f>IF(tblOrdenes[[#This Row],[centro_costo]]="","",_xlfn.XLOOKUP(tblOrdenes[[#This Row],[centro_costo]],tblCECO[codigo],tblCECO[coordinador],"(sin catálogo)"))</f>
        <v/>
      </c>
      <c r="AB72" s="5">
        <f>IF(tblOrdenes[[#This Row],[puesto_trabajo]]="","",_xlfn.XLOOKUP(tblOrdenes[[#This Row],[puesto_trabajo]],tblPuestos[codigo],tblPuestos[especialidad],"(sin catálogo)"))</f>
        <v/>
      </c>
      <c r="AC72" s="5">
        <f>IF(tblOrdenes[[#This Row],[cod_actividad]]="","",_xlfn.XLOOKUP(tblOrdenes[[#This Row],[cod_actividad]],tblActividades[codigo],tblActividades[descripcion],"(sin catálogo)"))</f>
        <v/>
      </c>
      <c r="AD72" s="23">
        <f>IF(tblOrdenes[[#This Row],[fecha_inicio]]="","",TODAY()-tblOrdenes[[#This Row],[fecha_inicio]])</f>
        <v/>
      </c>
      <c r="AE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5">
        <f>IF(tblOrdenes[[#This Row],[backlog_habiles]]="","",IF(tblOrdenes[[#This Row],[backlog_habiles]]&lt;0,"FUTURO",IF(tblOrdenes[[#This Row],[backlog_habiles]]&gt;p_dias_backlog_max,"BACKLOG","MES CORRIENTE")))</f>
        <v/>
      </c>
      <c r="AG72" s="5">
        <f>IF(tblOrdenes[[#This Row],[backlog_habiles]]="",FALSE,AND(tblOrdenes[[#This Row],[backlog_habiles]]&gt;p_dias_backlog_min,tblOrdenes[[#This Row],[backlog_habiles]]&lt;=p_dias_backlog_max))</f>
        <v/>
      </c>
      <c r="AH72" s="4" t="n"/>
      <c r="AI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18">
        <f>IF(tblOrdenes[[#This Row],[orden]]="","",_xlfn.XLOOKUP(tblOrdenes[[#This Row],[id_operacion]],tblEjecucion[id_operacion],tblEjecucion[precio],0))</f>
        <v/>
      </c>
      <c r="AM72" s="18">
        <f>IF(tblOrdenes[[#This Row],[orden]]="","",MAX(0,_xlfn.XLOOKUP(tblOrdenes[[#This Row],[id_operacion]],tblEjecucion[id_operacion],tblEjecucion[costo_plan_total],0)-tblOrdenes[[#This Row],[costo_servicio]]))</f>
        <v/>
      </c>
      <c r="AN72" s="18">
        <f>IF(tblOrdenes[[#This Row],[orden]]="","",tblOrdenes[[#This Row],[costo_servicio]]+tblOrdenes[[#This Row],[costo_materiales]])</f>
        <v/>
      </c>
      <c r="AO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n"/>
      <c r="AQ72" s="4" t="n"/>
      <c r="AR72" s="4" t="n"/>
      <c r="AS72" s="5">
        <f>IF(tblOrdenes[[#This Row],[link_checklist]]="","",HYPERLINK(p_ruta_base_checklists&amp;tblOrdenes[[#This Row],[link_checklist]],"abrir"))</f>
        <v/>
      </c>
      <c r="AT72" s="4" t="n"/>
      <c r="AU72" s="5">
        <f>IF(tblOrdenes[[#This Row],[orden]]="","",tblOrdenes[[#This Row],[orden]]&amp;IF(tblOrdenes[[#This Row],[operacion]]="","0010",tblOrdenes[[#This Row],[operacion]]))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25" t="n"/>
      <c r="K73" s="5" t="n"/>
      <c r="L73" s="18" t="n"/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Row],[fecha_inicio]]="","",tblOrdenes[[#This Row],[anio]]&amp;"-"&amp;TEXT(tblOrdenes[[#This Row],[mes]],"00"))</f>
        <v/>
      </c>
      <c r="S73" s="5">
        <f>IF(tblOrdenes[[#This Row],[fecha_inicio]]="","",INDEX(lista_dias,WEEKDAY(tblOrdenes[[#This Row],[fecha_inicio]],2)))</f>
        <v/>
      </c>
      <c r="T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5">
        <f>IF(tblOrdenes[[#This Row],[tipo_ot]]="","",_xlfn.XLOOKUP(tblOrdenes[[#This Row],[tipo_ot]],tblTiposOT[codigo],tblTiposOT[clasificacion],"sin_clasificar"))</f>
        <v/>
      </c>
      <c r="V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5">
        <f>IF(tblOrdenes[[#This Row],[centro_costo]]="","",_xlfn.XLOOKUP(tblOrdenes[[#This Row],[centro_costo]],tblCECO[codigo],tblCECO[linea],"(sin catálogo)"))</f>
        <v/>
      </c>
      <c r="Y73" s="5">
        <f>IF(tblOrdenes[[#This Row],[centro_costo]]="","",_xlfn.XLOOKUP(tblOrdenes[[#This Row],[centro_costo]],tblCECO[codigo],tblCECO[area],"(sin catálogo)"))</f>
        <v/>
      </c>
      <c r="Z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5">
        <f>IF(tblOrdenes[[#This Row],[centro_costo]]="","",_xlfn.XLOOKUP(tblOrdenes[[#This Row],[centro_costo]],tblCECO[codigo],tblCECO[coordinador],"(sin catálogo)"))</f>
        <v/>
      </c>
      <c r="AB73" s="5">
        <f>IF(tblOrdenes[[#This Row],[puesto_trabajo]]="","",_xlfn.XLOOKUP(tblOrdenes[[#This Row],[puesto_trabajo]],tblPuestos[codigo],tblPuestos[especialidad],"(sin catálogo)"))</f>
        <v/>
      </c>
      <c r="AC73" s="5">
        <f>IF(tblOrdenes[[#This Row],[cod_actividad]]="","",_xlfn.XLOOKUP(tblOrdenes[[#This Row],[cod_actividad]],tblActividades[codigo],tblActividades[descripcion],"(sin catálogo)"))</f>
        <v/>
      </c>
      <c r="AD73" s="23">
        <f>IF(tblOrdenes[[#This Row],[fecha_inicio]]="","",TODAY()-tblOrdenes[[#This Row],[fecha_inicio]])</f>
        <v/>
      </c>
      <c r="AE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5">
        <f>IF(tblOrdenes[[#This Row],[backlog_habiles]]="","",IF(tblOrdenes[[#This Row],[backlog_habiles]]&lt;0,"FUTURO",IF(tblOrdenes[[#This Row],[backlog_habiles]]&gt;p_dias_backlog_max,"BACKLOG","MES CORRIENTE")))</f>
        <v/>
      </c>
      <c r="AG73" s="5">
        <f>IF(tblOrdenes[[#This Row],[backlog_habiles]]="",FALSE,AND(tblOrdenes[[#This Row],[backlog_habiles]]&gt;p_dias_backlog_min,tblOrdenes[[#This Row],[backlog_habiles]]&lt;=p_dias_backlog_max))</f>
        <v/>
      </c>
      <c r="AH73" s="4" t="n"/>
      <c r="AI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18">
        <f>IF(tblOrdenes[[#This Row],[orden]]="","",_xlfn.XLOOKUP(tblOrdenes[[#This Row],[id_operacion]],tblEjecucion[id_operacion],tblEjecucion[precio],0))</f>
        <v/>
      </c>
      <c r="AM73" s="18">
        <f>IF(tblOrdenes[[#This Row],[orden]]="","",MAX(0,_xlfn.XLOOKUP(tblOrdenes[[#This Row],[id_operacion]],tblEjecucion[id_operacion],tblEjecucion[costo_plan_total],0)-tblOrdenes[[#This Row],[costo_servicio]]))</f>
        <v/>
      </c>
      <c r="AN73" s="18">
        <f>IF(tblOrdenes[[#This Row],[orden]]="","",tblOrdenes[[#This Row],[costo_servicio]]+tblOrdenes[[#This Row],[costo_materiales]])</f>
        <v/>
      </c>
      <c r="AO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n"/>
      <c r="AQ73" s="4" t="n"/>
      <c r="AR73" s="4" t="n"/>
      <c r="AS73" s="5">
        <f>IF(tblOrdenes[[#This Row],[link_checklist]]="","",HYPERLINK(p_ruta_base_checklists&amp;tblOrdenes[[#This Row],[link_checklist]],"abrir"))</f>
        <v/>
      </c>
      <c r="AT73" s="4" t="n"/>
      <c r="AU73" s="5">
        <f>IF(tblOrdenes[[#This Row],[orden]]="","",tblOrdenes[[#This Row],[orden]]&amp;IF(tblOrdenes[[#This Row],[operacion]]="","0010",tblOrdenes[[#This Row],[operacion]]))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25" t="n"/>
      <c r="K74" s="5" t="n"/>
      <c r="L74" s="18" t="n"/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Row],[fecha_inicio]]="","",tblOrdenes[[#This Row],[anio]]&amp;"-"&amp;TEXT(tblOrdenes[[#This Row],[mes]],"00"))</f>
        <v/>
      </c>
      <c r="S74" s="5">
        <f>IF(tblOrdenes[[#This Row],[fecha_inicio]]="","",INDEX(lista_dias,WEEKDAY(tblOrdenes[[#This Row],[fecha_inicio]],2)))</f>
        <v/>
      </c>
      <c r="T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5">
        <f>IF(tblOrdenes[[#This Row],[tipo_ot]]="","",_xlfn.XLOOKUP(tblOrdenes[[#This Row],[tipo_ot]],tblTiposOT[codigo],tblTiposOT[clasificacion],"sin_clasificar"))</f>
        <v/>
      </c>
      <c r="V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5">
        <f>IF(tblOrdenes[[#This Row],[centro_costo]]="","",_xlfn.XLOOKUP(tblOrdenes[[#This Row],[centro_costo]],tblCECO[codigo],tblCECO[linea],"(sin catálogo)"))</f>
        <v/>
      </c>
      <c r="Y74" s="5">
        <f>IF(tblOrdenes[[#This Row],[centro_costo]]="","",_xlfn.XLOOKUP(tblOrdenes[[#This Row],[centro_costo]],tblCECO[codigo],tblCECO[area],"(sin catálogo)"))</f>
        <v/>
      </c>
      <c r="Z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5">
        <f>IF(tblOrdenes[[#This Row],[centro_costo]]="","",_xlfn.XLOOKUP(tblOrdenes[[#This Row],[centro_costo]],tblCECO[codigo],tblCECO[coordinador],"(sin catálogo)"))</f>
        <v/>
      </c>
      <c r="AB74" s="5">
        <f>IF(tblOrdenes[[#This Row],[puesto_trabajo]]="","",_xlfn.XLOOKUP(tblOrdenes[[#This Row],[puesto_trabajo]],tblPuestos[codigo],tblPuestos[especialidad],"(sin catálogo)"))</f>
        <v/>
      </c>
      <c r="AC74" s="5">
        <f>IF(tblOrdenes[[#This Row],[cod_actividad]]="","",_xlfn.XLOOKUP(tblOrdenes[[#This Row],[cod_actividad]],tblActividades[codigo],tblActividades[descripcion],"(sin catálogo)"))</f>
        <v/>
      </c>
      <c r="AD74" s="23">
        <f>IF(tblOrdenes[[#This Row],[fecha_inicio]]="","",TODAY()-tblOrdenes[[#This Row],[fecha_inicio]])</f>
        <v/>
      </c>
      <c r="AE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5">
        <f>IF(tblOrdenes[[#This Row],[backlog_habiles]]="","",IF(tblOrdenes[[#This Row],[backlog_habiles]]&lt;0,"FUTURO",IF(tblOrdenes[[#This Row],[backlog_habiles]]&gt;p_dias_backlog_max,"BACKLOG","MES CORRIENTE")))</f>
        <v/>
      </c>
      <c r="AG74" s="5">
        <f>IF(tblOrdenes[[#This Row],[backlog_habiles]]="",FALSE,AND(tblOrdenes[[#This Row],[backlog_habiles]]&gt;p_dias_backlog_min,tblOrdenes[[#This Row],[backlog_habiles]]&lt;=p_dias_backlog_max))</f>
        <v/>
      </c>
      <c r="AH74" s="4" t="n"/>
      <c r="AI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18">
        <f>IF(tblOrdenes[[#This Row],[orden]]="","",_xlfn.XLOOKUP(tblOrdenes[[#This Row],[id_operacion]],tblEjecucion[id_operacion],tblEjecucion[precio],0))</f>
        <v/>
      </c>
      <c r="AM74" s="18">
        <f>IF(tblOrdenes[[#This Row],[orden]]="","",MAX(0,_xlfn.XLOOKUP(tblOrdenes[[#This Row],[id_operacion]],tblEjecucion[id_operacion],tblEjecucion[costo_plan_total],0)-tblOrdenes[[#This Row],[costo_servicio]]))</f>
        <v/>
      </c>
      <c r="AN74" s="18">
        <f>IF(tblOrdenes[[#This Row],[orden]]="","",tblOrdenes[[#This Row],[costo_servicio]]+tblOrdenes[[#This Row],[costo_materiales]])</f>
        <v/>
      </c>
      <c r="AO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n"/>
      <c r="AQ74" s="4" t="n"/>
      <c r="AR74" s="4" t="n"/>
      <c r="AS74" s="5">
        <f>IF(tblOrdenes[[#This Row],[link_checklist]]="","",HYPERLINK(p_ruta_base_checklists&amp;tblOrdenes[[#This Row],[link_checklist]],"abrir"))</f>
        <v/>
      </c>
      <c r="AT74" s="4" t="n"/>
      <c r="AU74" s="5">
        <f>IF(tblOrdenes[[#This Row],[orden]]="","",tblOrdenes[[#This Row],[orden]]&amp;IF(tblOrdenes[[#This Row],[operacion]]="","0010",tblOrdenes[[#This Row],[operacion]]))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25" t="n"/>
      <c r="K75" s="5" t="n"/>
      <c r="L75" s="18" t="n"/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Row],[fecha_inicio]]="","",tblOrdenes[[#This Row],[anio]]&amp;"-"&amp;TEXT(tblOrdenes[[#This Row],[mes]],"00"))</f>
        <v/>
      </c>
      <c r="S75" s="5">
        <f>IF(tblOrdenes[[#This Row],[fecha_inicio]]="","",INDEX(lista_dias,WEEKDAY(tblOrdenes[[#This Row],[fecha_inicio]],2)))</f>
        <v/>
      </c>
      <c r="T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5">
        <f>IF(tblOrdenes[[#This Row],[tipo_ot]]="","",_xlfn.XLOOKUP(tblOrdenes[[#This Row],[tipo_ot]],tblTiposOT[codigo],tblTiposOT[clasificacion],"sin_clasificar"))</f>
        <v/>
      </c>
      <c r="V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5">
        <f>IF(tblOrdenes[[#This Row],[centro_costo]]="","",_xlfn.XLOOKUP(tblOrdenes[[#This Row],[centro_costo]],tblCECO[codigo],tblCECO[linea],"(sin catálogo)"))</f>
        <v/>
      </c>
      <c r="Y75" s="5">
        <f>IF(tblOrdenes[[#This Row],[centro_costo]]="","",_xlfn.XLOOKUP(tblOrdenes[[#This Row],[centro_costo]],tblCECO[codigo],tblCECO[area],"(sin catálogo)"))</f>
        <v/>
      </c>
      <c r="Z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5">
        <f>IF(tblOrdenes[[#This Row],[centro_costo]]="","",_xlfn.XLOOKUP(tblOrdenes[[#This Row],[centro_costo]],tblCECO[codigo],tblCECO[coordinador],"(sin catálogo)"))</f>
        <v/>
      </c>
      <c r="AB75" s="5">
        <f>IF(tblOrdenes[[#This Row],[puesto_trabajo]]="","",_xlfn.XLOOKUP(tblOrdenes[[#This Row],[puesto_trabajo]],tblPuestos[codigo],tblPuestos[especialidad],"(sin catálogo)"))</f>
        <v/>
      </c>
      <c r="AC75" s="5">
        <f>IF(tblOrdenes[[#This Row],[cod_actividad]]="","",_xlfn.XLOOKUP(tblOrdenes[[#This Row],[cod_actividad]],tblActividades[codigo],tblActividades[descripcion],"(sin catálogo)"))</f>
        <v/>
      </c>
      <c r="AD75" s="23">
        <f>IF(tblOrdenes[[#This Row],[fecha_inicio]]="","",TODAY()-tblOrdenes[[#This Row],[fecha_inicio]])</f>
        <v/>
      </c>
      <c r="AE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5">
        <f>IF(tblOrdenes[[#This Row],[backlog_habiles]]="","",IF(tblOrdenes[[#This Row],[backlog_habiles]]&lt;0,"FUTURO",IF(tblOrdenes[[#This Row],[backlog_habiles]]&gt;p_dias_backlog_max,"BACKLOG","MES CORRIENTE")))</f>
        <v/>
      </c>
      <c r="AG75" s="5">
        <f>IF(tblOrdenes[[#This Row],[backlog_habiles]]="",FALSE,AND(tblOrdenes[[#This Row],[backlog_habiles]]&gt;p_dias_backlog_min,tblOrdenes[[#This Row],[backlog_habiles]]&lt;=p_dias_backlog_max))</f>
        <v/>
      </c>
      <c r="AH75" s="4" t="n"/>
      <c r="AI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18">
        <f>IF(tblOrdenes[[#This Row],[orden]]="","",_xlfn.XLOOKUP(tblOrdenes[[#This Row],[id_operacion]],tblEjecucion[id_operacion],tblEjecucion[precio],0))</f>
        <v/>
      </c>
      <c r="AM75" s="18">
        <f>IF(tblOrdenes[[#This Row],[orden]]="","",MAX(0,_xlfn.XLOOKUP(tblOrdenes[[#This Row],[id_operacion]],tblEjecucion[id_operacion],tblEjecucion[costo_plan_total],0)-tblOrdenes[[#This Row],[costo_servicio]]))</f>
        <v/>
      </c>
      <c r="AN75" s="18">
        <f>IF(tblOrdenes[[#This Row],[orden]]="","",tblOrdenes[[#This Row],[costo_servicio]]+tblOrdenes[[#This Row],[costo_materiales]])</f>
        <v/>
      </c>
      <c r="AO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n"/>
      <c r="AQ75" s="4" t="n"/>
      <c r="AR75" s="4" t="n"/>
      <c r="AS75" s="5">
        <f>IF(tblOrdenes[[#This Row],[link_checklist]]="","",HYPERLINK(p_ruta_base_checklists&amp;tblOrdenes[[#This Row],[link_checklist]],"abrir"))</f>
        <v/>
      </c>
      <c r="AT75" s="4" t="n"/>
      <c r="AU75" s="5">
        <f>IF(tblOrdenes[[#This Row],[orden]]="","",tblOrdenes[[#This Row],[orden]]&amp;IF(tblOrdenes[[#This Row],[operacion]]="","0010",tblOrdenes[[#This Row],[operacion]]))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25" t="n"/>
      <c r="K76" s="5" t="n"/>
      <c r="L76" s="18" t="n"/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Row],[fecha_inicio]]="","",tblOrdenes[[#This Row],[anio]]&amp;"-"&amp;TEXT(tblOrdenes[[#This Row],[mes]],"00"))</f>
        <v/>
      </c>
      <c r="S76" s="5">
        <f>IF(tblOrdenes[[#This Row],[fecha_inicio]]="","",INDEX(lista_dias,WEEKDAY(tblOrdenes[[#This Row],[fecha_inicio]],2)))</f>
        <v/>
      </c>
      <c r="T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5">
        <f>IF(tblOrdenes[[#This Row],[tipo_ot]]="","",_xlfn.XLOOKUP(tblOrdenes[[#This Row],[tipo_ot]],tblTiposOT[codigo],tblTiposOT[clasificacion],"sin_clasificar"))</f>
        <v/>
      </c>
      <c r="V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5">
        <f>IF(tblOrdenes[[#This Row],[centro_costo]]="","",_xlfn.XLOOKUP(tblOrdenes[[#This Row],[centro_costo]],tblCECO[codigo],tblCECO[linea],"(sin catálogo)"))</f>
        <v/>
      </c>
      <c r="Y76" s="5">
        <f>IF(tblOrdenes[[#This Row],[centro_costo]]="","",_xlfn.XLOOKUP(tblOrdenes[[#This Row],[centro_costo]],tblCECO[codigo],tblCECO[area],"(sin catálogo)"))</f>
        <v/>
      </c>
      <c r="Z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5">
        <f>IF(tblOrdenes[[#This Row],[centro_costo]]="","",_xlfn.XLOOKUP(tblOrdenes[[#This Row],[centro_costo]],tblCECO[codigo],tblCECO[coordinador],"(sin catálogo)"))</f>
        <v/>
      </c>
      <c r="AB76" s="5">
        <f>IF(tblOrdenes[[#This Row],[puesto_trabajo]]="","",_xlfn.XLOOKUP(tblOrdenes[[#This Row],[puesto_trabajo]],tblPuestos[codigo],tblPuestos[especialidad],"(sin catálogo)"))</f>
        <v/>
      </c>
      <c r="AC76" s="5">
        <f>IF(tblOrdenes[[#This Row],[cod_actividad]]="","",_xlfn.XLOOKUP(tblOrdenes[[#This Row],[cod_actividad]],tblActividades[codigo],tblActividades[descripcion],"(sin catálogo)"))</f>
        <v/>
      </c>
      <c r="AD76" s="23">
        <f>IF(tblOrdenes[[#This Row],[fecha_inicio]]="","",TODAY()-tblOrdenes[[#This Row],[fecha_inicio]])</f>
        <v/>
      </c>
      <c r="AE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5">
        <f>IF(tblOrdenes[[#This Row],[backlog_habiles]]="","",IF(tblOrdenes[[#This Row],[backlog_habiles]]&lt;0,"FUTURO",IF(tblOrdenes[[#This Row],[backlog_habiles]]&gt;p_dias_backlog_max,"BACKLOG","MES CORRIENTE")))</f>
        <v/>
      </c>
      <c r="AG76" s="5">
        <f>IF(tblOrdenes[[#This Row],[backlog_habiles]]="",FALSE,AND(tblOrdenes[[#This Row],[backlog_habiles]]&gt;p_dias_backlog_min,tblOrdenes[[#This Row],[backlog_habiles]]&lt;=p_dias_backlog_max))</f>
        <v/>
      </c>
      <c r="AH76" s="4" t="n"/>
      <c r="AI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18">
        <f>IF(tblOrdenes[[#This Row],[orden]]="","",_xlfn.XLOOKUP(tblOrdenes[[#This Row],[id_operacion]],tblEjecucion[id_operacion],tblEjecucion[precio],0))</f>
        <v/>
      </c>
      <c r="AM76" s="18">
        <f>IF(tblOrdenes[[#This Row],[orden]]="","",MAX(0,_xlfn.XLOOKUP(tblOrdenes[[#This Row],[id_operacion]],tblEjecucion[id_operacion],tblEjecucion[costo_plan_total],0)-tblOrdenes[[#This Row],[costo_servicio]]))</f>
        <v/>
      </c>
      <c r="AN76" s="18">
        <f>IF(tblOrdenes[[#This Row],[orden]]="","",tblOrdenes[[#This Row],[costo_servicio]]+tblOrdenes[[#This Row],[costo_materiales]])</f>
        <v/>
      </c>
      <c r="AO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n"/>
      <c r="AQ76" s="4" t="n"/>
      <c r="AR76" s="4" t="n"/>
      <c r="AS76" s="5">
        <f>IF(tblOrdenes[[#This Row],[link_checklist]]="","",HYPERLINK(p_ruta_base_checklists&amp;tblOrdenes[[#This Row],[link_checklist]],"abrir"))</f>
        <v/>
      </c>
      <c r="AT76" s="4" t="n"/>
      <c r="AU76" s="5">
        <f>IF(tblOrdenes[[#This Row],[orden]]="","",tblOrdenes[[#This Row],[orden]]&amp;IF(tblOrdenes[[#This Row],[operacion]]="","0010",tblOrdenes[[#This Row],[operacion]]))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25" t="n"/>
      <c r="K77" s="5" t="n"/>
      <c r="L77" s="18" t="n"/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Row],[fecha_inicio]]="","",tblOrdenes[[#This Row],[anio]]&amp;"-"&amp;TEXT(tblOrdenes[[#This Row],[mes]],"00"))</f>
        <v/>
      </c>
      <c r="S77" s="5">
        <f>IF(tblOrdenes[[#This Row],[fecha_inicio]]="","",INDEX(lista_dias,WEEKDAY(tblOrdenes[[#This Row],[fecha_inicio]],2)))</f>
        <v/>
      </c>
      <c r="T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5">
        <f>IF(tblOrdenes[[#This Row],[tipo_ot]]="","",_xlfn.XLOOKUP(tblOrdenes[[#This Row],[tipo_ot]],tblTiposOT[codigo],tblTiposOT[clasificacion],"sin_clasificar"))</f>
        <v/>
      </c>
      <c r="V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5">
        <f>IF(tblOrdenes[[#This Row],[centro_costo]]="","",_xlfn.XLOOKUP(tblOrdenes[[#This Row],[centro_costo]],tblCECO[codigo],tblCECO[linea],"(sin catálogo)"))</f>
        <v/>
      </c>
      <c r="Y77" s="5">
        <f>IF(tblOrdenes[[#This Row],[centro_costo]]="","",_xlfn.XLOOKUP(tblOrdenes[[#This Row],[centro_costo]],tblCECO[codigo],tblCECO[area],"(sin catálogo)"))</f>
        <v/>
      </c>
      <c r="Z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5">
        <f>IF(tblOrdenes[[#This Row],[centro_costo]]="","",_xlfn.XLOOKUP(tblOrdenes[[#This Row],[centro_costo]],tblCECO[codigo],tblCECO[coordinador],"(sin catálogo)"))</f>
        <v/>
      </c>
      <c r="AB77" s="5">
        <f>IF(tblOrdenes[[#This Row],[puesto_trabajo]]="","",_xlfn.XLOOKUP(tblOrdenes[[#This Row],[puesto_trabajo]],tblPuestos[codigo],tblPuestos[especialidad],"(sin catálogo)"))</f>
        <v/>
      </c>
      <c r="AC77" s="5">
        <f>IF(tblOrdenes[[#This Row],[cod_actividad]]="","",_xlfn.XLOOKUP(tblOrdenes[[#This Row],[cod_actividad]],tblActividades[codigo],tblActividades[descripcion],"(sin catálogo)"))</f>
        <v/>
      </c>
      <c r="AD77" s="23">
        <f>IF(tblOrdenes[[#This Row],[fecha_inicio]]="","",TODAY()-tblOrdenes[[#This Row],[fecha_inicio]])</f>
        <v/>
      </c>
      <c r="AE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5">
        <f>IF(tblOrdenes[[#This Row],[backlog_habiles]]="","",IF(tblOrdenes[[#This Row],[backlog_habiles]]&lt;0,"FUTURO",IF(tblOrdenes[[#This Row],[backlog_habiles]]&gt;p_dias_backlog_max,"BACKLOG","MES CORRIENTE")))</f>
        <v/>
      </c>
      <c r="AG77" s="5">
        <f>IF(tblOrdenes[[#This Row],[backlog_habiles]]="",FALSE,AND(tblOrdenes[[#This Row],[backlog_habiles]]&gt;p_dias_backlog_min,tblOrdenes[[#This Row],[backlog_habiles]]&lt;=p_dias_backlog_max))</f>
        <v/>
      </c>
      <c r="AH77" s="4" t="n"/>
      <c r="AI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18">
        <f>IF(tblOrdenes[[#This Row],[orden]]="","",_xlfn.XLOOKUP(tblOrdenes[[#This Row],[id_operacion]],tblEjecucion[id_operacion],tblEjecucion[precio],0))</f>
        <v/>
      </c>
      <c r="AM77" s="18">
        <f>IF(tblOrdenes[[#This Row],[orden]]="","",MAX(0,_xlfn.XLOOKUP(tblOrdenes[[#This Row],[id_operacion]],tblEjecucion[id_operacion],tblEjecucion[costo_plan_total],0)-tblOrdenes[[#This Row],[costo_servicio]]))</f>
        <v/>
      </c>
      <c r="AN77" s="18">
        <f>IF(tblOrdenes[[#This Row],[orden]]="","",tblOrdenes[[#This Row],[costo_servicio]]+tblOrdenes[[#This Row],[costo_materiales]])</f>
        <v/>
      </c>
      <c r="AO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n"/>
      <c r="AQ77" s="4" t="n"/>
      <c r="AR77" s="4" t="n"/>
      <c r="AS77" s="5">
        <f>IF(tblOrdenes[[#This Row],[link_checklist]]="","",HYPERLINK(p_ruta_base_checklists&amp;tblOrdenes[[#This Row],[link_checklist]],"abrir"))</f>
        <v/>
      </c>
      <c r="AT77" s="4" t="n"/>
      <c r="AU77" s="5">
        <f>IF(tblOrdenes[[#This Row],[orden]]="","",tblOrdenes[[#This Row],[orden]]&amp;IF(tblOrdenes[[#This Row],[operacion]]="","0010",tblOrdenes[[#This Row],[operacion]]))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25" t="n"/>
      <c r="K78" s="5" t="n"/>
      <c r="L78" s="18" t="n"/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Row],[fecha_inicio]]="","",tblOrdenes[[#This Row],[anio]]&amp;"-"&amp;TEXT(tblOrdenes[[#This Row],[mes]],"00"))</f>
        <v/>
      </c>
      <c r="S78" s="5">
        <f>IF(tblOrdenes[[#This Row],[fecha_inicio]]="","",INDEX(lista_dias,WEEKDAY(tblOrdenes[[#This Row],[fecha_inicio]],2)))</f>
        <v/>
      </c>
      <c r="T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5">
        <f>IF(tblOrdenes[[#This Row],[tipo_ot]]="","",_xlfn.XLOOKUP(tblOrdenes[[#This Row],[tipo_ot]],tblTiposOT[codigo],tblTiposOT[clasificacion],"sin_clasificar"))</f>
        <v/>
      </c>
      <c r="V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5">
        <f>IF(tblOrdenes[[#This Row],[centro_costo]]="","",_xlfn.XLOOKUP(tblOrdenes[[#This Row],[centro_costo]],tblCECO[codigo],tblCECO[linea],"(sin catálogo)"))</f>
        <v/>
      </c>
      <c r="Y78" s="5">
        <f>IF(tblOrdenes[[#This Row],[centro_costo]]="","",_xlfn.XLOOKUP(tblOrdenes[[#This Row],[centro_costo]],tblCECO[codigo],tblCECO[area],"(sin catálogo)"))</f>
        <v/>
      </c>
      <c r="Z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5">
        <f>IF(tblOrdenes[[#This Row],[centro_costo]]="","",_xlfn.XLOOKUP(tblOrdenes[[#This Row],[centro_costo]],tblCECO[codigo],tblCECO[coordinador],"(sin catálogo)"))</f>
        <v/>
      </c>
      <c r="AB78" s="5">
        <f>IF(tblOrdenes[[#This Row],[puesto_trabajo]]="","",_xlfn.XLOOKUP(tblOrdenes[[#This Row],[puesto_trabajo]],tblPuestos[codigo],tblPuestos[especialidad],"(sin catálogo)"))</f>
        <v/>
      </c>
      <c r="AC78" s="5">
        <f>IF(tblOrdenes[[#This Row],[cod_actividad]]="","",_xlfn.XLOOKUP(tblOrdenes[[#This Row],[cod_actividad]],tblActividades[codigo],tblActividades[descripcion],"(sin catálogo)"))</f>
        <v/>
      </c>
      <c r="AD78" s="23">
        <f>IF(tblOrdenes[[#This Row],[fecha_inicio]]="","",TODAY()-tblOrdenes[[#This Row],[fecha_inicio]])</f>
        <v/>
      </c>
      <c r="AE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5">
        <f>IF(tblOrdenes[[#This Row],[backlog_habiles]]="","",IF(tblOrdenes[[#This Row],[backlog_habiles]]&lt;0,"FUTURO",IF(tblOrdenes[[#This Row],[backlog_habiles]]&gt;p_dias_backlog_max,"BACKLOG","MES CORRIENTE")))</f>
        <v/>
      </c>
      <c r="AG78" s="5">
        <f>IF(tblOrdenes[[#This Row],[backlog_habiles]]="",FALSE,AND(tblOrdenes[[#This Row],[backlog_habiles]]&gt;p_dias_backlog_min,tblOrdenes[[#This Row],[backlog_habiles]]&lt;=p_dias_backlog_max))</f>
        <v/>
      </c>
      <c r="AH78" s="4" t="n"/>
      <c r="AI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18">
        <f>IF(tblOrdenes[[#This Row],[orden]]="","",_xlfn.XLOOKUP(tblOrdenes[[#This Row],[id_operacion]],tblEjecucion[id_operacion],tblEjecucion[precio],0))</f>
        <v/>
      </c>
      <c r="AM78" s="18">
        <f>IF(tblOrdenes[[#This Row],[orden]]="","",MAX(0,_xlfn.XLOOKUP(tblOrdenes[[#This Row],[id_operacion]],tblEjecucion[id_operacion],tblEjecucion[costo_plan_total],0)-tblOrdenes[[#This Row],[costo_servicio]]))</f>
        <v/>
      </c>
      <c r="AN78" s="18">
        <f>IF(tblOrdenes[[#This Row],[orden]]="","",tblOrdenes[[#This Row],[costo_servicio]]+tblOrdenes[[#This Row],[costo_materiales]])</f>
        <v/>
      </c>
      <c r="AO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n"/>
      <c r="AQ78" s="4" t="n"/>
      <c r="AR78" s="4" t="n"/>
      <c r="AS78" s="5">
        <f>IF(tblOrdenes[[#This Row],[link_checklist]]="","",HYPERLINK(p_ruta_base_checklists&amp;tblOrdenes[[#This Row],[link_checklist]],"abrir"))</f>
        <v/>
      </c>
      <c r="AT78" s="4" t="n"/>
      <c r="AU78" s="5">
        <f>IF(tblOrdenes[[#This Row],[orden]]="","",tblOrdenes[[#This Row],[orden]]&amp;IF(tblOrdenes[[#This Row],[operacion]]="","0010",tblOrdenes[[#This Row],[operacion]]))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25" t="n"/>
      <c r="K79" s="5" t="n"/>
      <c r="L79" s="18" t="n"/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Row],[fecha_inicio]]="","",tblOrdenes[[#This Row],[anio]]&amp;"-"&amp;TEXT(tblOrdenes[[#This Row],[mes]],"00"))</f>
        <v/>
      </c>
      <c r="S79" s="5">
        <f>IF(tblOrdenes[[#This Row],[fecha_inicio]]="","",INDEX(lista_dias,WEEKDAY(tblOrdenes[[#This Row],[fecha_inicio]],2)))</f>
        <v/>
      </c>
      <c r="T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5">
        <f>IF(tblOrdenes[[#This Row],[tipo_ot]]="","",_xlfn.XLOOKUP(tblOrdenes[[#This Row],[tipo_ot]],tblTiposOT[codigo],tblTiposOT[clasificacion],"sin_clasificar"))</f>
        <v/>
      </c>
      <c r="V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5">
        <f>IF(tblOrdenes[[#This Row],[centro_costo]]="","",_xlfn.XLOOKUP(tblOrdenes[[#This Row],[centro_costo]],tblCECO[codigo],tblCECO[linea],"(sin catálogo)"))</f>
        <v/>
      </c>
      <c r="Y79" s="5">
        <f>IF(tblOrdenes[[#This Row],[centro_costo]]="","",_xlfn.XLOOKUP(tblOrdenes[[#This Row],[centro_costo]],tblCECO[codigo],tblCECO[area],"(sin catálogo)"))</f>
        <v/>
      </c>
      <c r="Z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5">
        <f>IF(tblOrdenes[[#This Row],[centro_costo]]="","",_xlfn.XLOOKUP(tblOrdenes[[#This Row],[centro_costo]],tblCECO[codigo],tblCECO[coordinador],"(sin catálogo)"))</f>
        <v/>
      </c>
      <c r="AB79" s="5">
        <f>IF(tblOrdenes[[#This Row],[puesto_trabajo]]="","",_xlfn.XLOOKUP(tblOrdenes[[#This Row],[puesto_trabajo]],tblPuestos[codigo],tblPuestos[especialidad],"(sin catálogo)"))</f>
        <v/>
      </c>
      <c r="AC79" s="5">
        <f>IF(tblOrdenes[[#This Row],[cod_actividad]]="","",_xlfn.XLOOKUP(tblOrdenes[[#This Row],[cod_actividad]],tblActividades[codigo],tblActividades[descripcion],"(sin catálogo)"))</f>
        <v/>
      </c>
      <c r="AD79" s="23">
        <f>IF(tblOrdenes[[#This Row],[fecha_inicio]]="","",TODAY()-tblOrdenes[[#This Row],[fecha_inicio]])</f>
        <v/>
      </c>
      <c r="AE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5">
        <f>IF(tblOrdenes[[#This Row],[backlog_habiles]]="","",IF(tblOrdenes[[#This Row],[backlog_habiles]]&lt;0,"FUTURO",IF(tblOrdenes[[#This Row],[backlog_habiles]]&gt;p_dias_backlog_max,"BACKLOG","MES CORRIENTE")))</f>
        <v/>
      </c>
      <c r="AG79" s="5">
        <f>IF(tblOrdenes[[#This Row],[backlog_habiles]]="",FALSE,AND(tblOrdenes[[#This Row],[backlog_habiles]]&gt;p_dias_backlog_min,tblOrdenes[[#This Row],[backlog_habiles]]&lt;=p_dias_backlog_max))</f>
        <v/>
      </c>
      <c r="AH79" s="4" t="n"/>
      <c r="AI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18">
        <f>IF(tblOrdenes[[#This Row],[orden]]="","",_xlfn.XLOOKUP(tblOrdenes[[#This Row],[id_operacion]],tblEjecucion[id_operacion],tblEjecucion[precio],0))</f>
        <v/>
      </c>
      <c r="AM79" s="18">
        <f>IF(tblOrdenes[[#This Row],[orden]]="","",MAX(0,_xlfn.XLOOKUP(tblOrdenes[[#This Row],[id_operacion]],tblEjecucion[id_operacion],tblEjecucion[costo_plan_total],0)-tblOrdenes[[#This Row],[costo_servicio]]))</f>
        <v/>
      </c>
      <c r="AN79" s="18">
        <f>IF(tblOrdenes[[#This Row],[orden]]="","",tblOrdenes[[#This Row],[costo_servicio]]+tblOrdenes[[#This Row],[costo_materiales]])</f>
        <v/>
      </c>
      <c r="AO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n"/>
      <c r="AQ79" s="4" t="n"/>
      <c r="AR79" s="4" t="n"/>
      <c r="AS79" s="5">
        <f>IF(tblOrdenes[[#This Row],[link_checklist]]="","",HYPERLINK(p_ruta_base_checklists&amp;tblOrdenes[[#This Row],[link_checklist]],"abrir"))</f>
        <v/>
      </c>
      <c r="AT79" s="4" t="n"/>
      <c r="AU79" s="5">
        <f>IF(tblOrdenes[[#This Row],[orden]]="","",tblOrdenes[[#This Row],[orden]]&amp;IF(tblOrdenes[[#This Row],[operacion]]="","0010",tblOrdenes[[#This Row],[operacion]]))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25" t="n"/>
      <c r="K80" s="5" t="n"/>
      <c r="L80" s="18" t="n"/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Row],[fecha_inicio]]="","",tblOrdenes[[#This Row],[anio]]&amp;"-"&amp;TEXT(tblOrdenes[[#This Row],[mes]],"00"))</f>
        <v/>
      </c>
      <c r="S80" s="5">
        <f>IF(tblOrdenes[[#This Row],[fecha_inicio]]="","",INDEX(lista_dias,WEEKDAY(tblOrdenes[[#This Row],[fecha_inicio]],2)))</f>
        <v/>
      </c>
      <c r="T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5">
        <f>IF(tblOrdenes[[#This Row],[tipo_ot]]="","",_xlfn.XLOOKUP(tblOrdenes[[#This Row],[tipo_ot]],tblTiposOT[codigo],tblTiposOT[clasificacion],"sin_clasificar"))</f>
        <v/>
      </c>
      <c r="V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5">
        <f>IF(tblOrdenes[[#This Row],[centro_costo]]="","",_xlfn.XLOOKUP(tblOrdenes[[#This Row],[centro_costo]],tblCECO[codigo],tblCECO[linea],"(sin catálogo)"))</f>
        <v/>
      </c>
      <c r="Y80" s="5">
        <f>IF(tblOrdenes[[#This Row],[centro_costo]]="","",_xlfn.XLOOKUP(tblOrdenes[[#This Row],[centro_costo]],tblCECO[codigo],tblCECO[area],"(sin catálogo)"))</f>
        <v/>
      </c>
      <c r="Z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5">
        <f>IF(tblOrdenes[[#This Row],[centro_costo]]="","",_xlfn.XLOOKUP(tblOrdenes[[#This Row],[centro_costo]],tblCECO[codigo],tblCECO[coordinador],"(sin catálogo)"))</f>
        <v/>
      </c>
      <c r="AB80" s="5">
        <f>IF(tblOrdenes[[#This Row],[puesto_trabajo]]="","",_xlfn.XLOOKUP(tblOrdenes[[#This Row],[puesto_trabajo]],tblPuestos[codigo],tblPuestos[especialidad],"(sin catálogo)"))</f>
        <v/>
      </c>
      <c r="AC80" s="5">
        <f>IF(tblOrdenes[[#This Row],[cod_actividad]]="","",_xlfn.XLOOKUP(tblOrdenes[[#This Row],[cod_actividad]],tblActividades[codigo],tblActividades[descripcion],"(sin catálogo)"))</f>
        <v/>
      </c>
      <c r="AD80" s="23">
        <f>IF(tblOrdenes[[#This Row],[fecha_inicio]]="","",TODAY()-tblOrdenes[[#This Row],[fecha_inicio]])</f>
        <v/>
      </c>
      <c r="AE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5">
        <f>IF(tblOrdenes[[#This Row],[backlog_habiles]]="","",IF(tblOrdenes[[#This Row],[backlog_habiles]]&lt;0,"FUTURO",IF(tblOrdenes[[#This Row],[backlog_habiles]]&gt;p_dias_backlog_max,"BACKLOG","MES CORRIENTE")))</f>
        <v/>
      </c>
      <c r="AG80" s="5">
        <f>IF(tblOrdenes[[#This Row],[backlog_habiles]]="",FALSE,AND(tblOrdenes[[#This Row],[backlog_habiles]]&gt;p_dias_backlog_min,tblOrdenes[[#This Row],[backlog_habiles]]&lt;=p_dias_backlog_max))</f>
        <v/>
      </c>
      <c r="AH80" s="4" t="n"/>
      <c r="AI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18">
        <f>IF(tblOrdenes[[#This Row],[orden]]="","",_xlfn.XLOOKUP(tblOrdenes[[#This Row],[id_operacion]],tblEjecucion[id_operacion],tblEjecucion[precio],0))</f>
        <v/>
      </c>
      <c r="AM80" s="18">
        <f>IF(tblOrdenes[[#This Row],[orden]]="","",MAX(0,_xlfn.XLOOKUP(tblOrdenes[[#This Row],[id_operacion]],tblEjecucion[id_operacion],tblEjecucion[costo_plan_total],0)-tblOrdenes[[#This Row],[costo_servicio]]))</f>
        <v/>
      </c>
      <c r="AN80" s="18">
        <f>IF(tblOrdenes[[#This Row],[orden]]="","",tblOrdenes[[#This Row],[costo_servicio]]+tblOrdenes[[#This Row],[costo_materiales]])</f>
        <v/>
      </c>
      <c r="AO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n"/>
      <c r="AQ80" s="4" t="n"/>
      <c r="AR80" s="4" t="n"/>
      <c r="AS80" s="5">
        <f>IF(tblOrdenes[[#This Row],[link_checklist]]="","",HYPERLINK(p_ruta_base_checklists&amp;tblOrdenes[[#This Row],[link_checklist]],"abrir"))</f>
        <v/>
      </c>
      <c r="AT80" s="4" t="n"/>
      <c r="AU80" s="5">
        <f>IF(tblOrdenes[[#This Row],[orden]]="","",tblOrdenes[[#This Row],[orden]]&amp;IF(tblOrdenes[[#This Row],[operacion]]="","0010",tblOrdenes[[#This Row],[operacion]]))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25" t="n"/>
      <c r="K81" s="5" t="n"/>
      <c r="L81" s="18" t="n"/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Row],[fecha_inicio]]="","",tblOrdenes[[#This Row],[anio]]&amp;"-"&amp;TEXT(tblOrdenes[[#This Row],[mes]],"00"))</f>
        <v/>
      </c>
      <c r="S81" s="5">
        <f>IF(tblOrdenes[[#This Row],[fecha_inicio]]="","",INDEX(lista_dias,WEEKDAY(tblOrdenes[[#This Row],[fecha_inicio]],2)))</f>
        <v/>
      </c>
      <c r="T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5">
        <f>IF(tblOrdenes[[#This Row],[tipo_ot]]="","",_xlfn.XLOOKUP(tblOrdenes[[#This Row],[tipo_ot]],tblTiposOT[codigo],tblTiposOT[clasificacion],"sin_clasificar"))</f>
        <v/>
      </c>
      <c r="V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5">
        <f>IF(tblOrdenes[[#This Row],[centro_costo]]="","",_xlfn.XLOOKUP(tblOrdenes[[#This Row],[centro_costo]],tblCECO[codigo],tblCECO[linea],"(sin catálogo)"))</f>
        <v/>
      </c>
      <c r="Y81" s="5">
        <f>IF(tblOrdenes[[#This Row],[centro_costo]]="","",_xlfn.XLOOKUP(tblOrdenes[[#This Row],[centro_costo]],tblCECO[codigo],tblCECO[area],"(sin catálogo)"))</f>
        <v/>
      </c>
      <c r="Z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5">
        <f>IF(tblOrdenes[[#This Row],[centro_costo]]="","",_xlfn.XLOOKUP(tblOrdenes[[#This Row],[centro_costo]],tblCECO[codigo],tblCECO[coordinador],"(sin catálogo)"))</f>
        <v/>
      </c>
      <c r="AB81" s="5">
        <f>IF(tblOrdenes[[#This Row],[puesto_trabajo]]="","",_xlfn.XLOOKUP(tblOrdenes[[#This Row],[puesto_trabajo]],tblPuestos[codigo],tblPuestos[especialidad],"(sin catálogo)"))</f>
        <v/>
      </c>
      <c r="AC81" s="5">
        <f>IF(tblOrdenes[[#This Row],[cod_actividad]]="","",_xlfn.XLOOKUP(tblOrdenes[[#This Row],[cod_actividad]],tblActividades[codigo],tblActividades[descripcion],"(sin catálogo)"))</f>
        <v/>
      </c>
      <c r="AD81" s="23">
        <f>IF(tblOrdenes[[#This Row],[fecha_inicio]]="","",TODAY()-tblOrdenes[[#This Row],[fecha_inicio]])</f>
        <v/>
      </c>
      <c r="AE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5">
        <f>IF(tblOrdenes[[#This Row],[backlog_habiles]]="","",IF(tblOrdenes[[#This Row],[backlog_habiles]]&lt;0,"FUTURO",IF(tblOrdenes[[#This Row],[backlog_habiles]]&gt;p_dias_backlog_max,"BACKLOG","MES CORRIENTE")))</f>
        <v/>
      </c>
      <c r="AG81" s="5">
        <f>IF(tblOrdenes[[#This Row],[backlog_habiles]]="",FALSE,AND(tblOrdenes[[#This Row],[backlog_habiles]]&gt;p_dias_backlog_min,tblOrdenes[[#This Row],[backlog_habiles]]&lt;=p_dias_backlog_max))</f>
        <v/>
      </c>
      <c r="AH81" s="4" t="n"/>
      <c r="AI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18">
        <f>IF(tblOrdenes[[#This Row],[orden]]="","",_xlfn.XLOOKUP(tblOrdenes[[#This Row],[id_operacion]],tblEjecucion[id_operacion],tblEjecucion[precio],0))</f>
        <v/>
      </c>
      <c r="AM81" s="18">
        <f>IF(tblOrdenes[[#This Row],[orden]]="","",MAX(0,_xlfn.XLOOKUP(tblOrdenes[[#This Row],[id_operacion]],tblEjecucion[id_operacion],tblEjecucion[costo_plan_total],0)-tblOrdenes[[#This Row],[costo_servicio]]))</f>
        <v/>
      </c>
      <c r="AN81" s="18">
        <f>IF(tblOrdenes[[#This Row],[orden]]="","",tblOrdenes[[#This Row],[costo_servicio]]+tblOrdenes[[#This Row],[costo_materiales]])</f>
        <v/>
      </c>
      <c r="AO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n"/>
      <c r="AQ81" s="4" t="n"/>
      <c r="AR81" s="4" t="n"/>
      <c r="AS81" s="5">
        <f>IF(tblOrdenes[[#This Row],[link_checklist]]="","",HYPERLINK(p_ruta_base_checklists&amp;tblOrdenes[[#This Row],[link_checklist]],"abrir"))</f>
        <v/>
      </c>
      <c r="AT81" s="4" t="n"/>
      <c r="AU81" s="5">
        <f>IF(tblOrdenes[[#This Row],[orden]]="","",tblOrdenes[[#This Row],[orden]]&amp;IF(tblOrdenes[[#This Row],[operacion]]="","0010",tblOrdenes[[#This Row],[operacion]]))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25" t="n"/>
      <c r="K82" s="5" t="n"/>
      <c r="L82" s="18" t="n"/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Row],[fecha_inicio]]="","",tblOrdenes[[#This Row],[anio]]&amp;"-"&amp;TEXT(tblOrdenes[[#This Row],[mes]],"00"))</f>
        <v/>
      </c>
      <c r="S82" s="5">
        <f>IF(tblOrdenes[[#This Row],[fecha_inicio]]="","",INDEX(lista_dias,WEEKDAY(tblOrdenes[[#This Row],[fecha_inicio]],2)))</f>
        <v/>
      </c>
      <c r="T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5">
        <f>IF(tblOrdenes[[#This Row],[tipo_ot]]="","",_xlfn.XLOOKUP(tblOrdenes[[#This Row],[tipo_ot]],tblTiposOT[codigo],tblTiposOT[clasificacion],"sin_clasificar"))</f>
        <v/>
      </c>
      <c r="V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5">
        <f>IF(tblOrdenes[[#This Row],[centro_costo]]="","",_xlfn.XLOOKUP(tblOrdenes[[#This Row],[centro_costo]],tblCECO[codigo],tblCECO[linea],"(sin catálogo)"))</f>
        <v/>
      </c>
      <c r="Y82" s="5">
        <f>IF(tblOrdenes[[#This Row],[centro_costo]]="","",_xlfn.XLOOKUP(tblOrdenes[[#This Row],[centro_costo]],tblCECO[codigo],tblCECO[area],"(sin catálogo)"))</f>
        <v/>
      </c>
      <c r="Z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5">
        <f>IF(tblOrdenes[[#This Row],[centro_costo]]="","",_xlfn.XLOOKUP(tblOrdenes[[#This Row],[centro_costo]],tblCECO[codigo],tblCECO[coordinador],"(sin catálogo)"))</f>
        <v/>
      </c>
      <c r="AB82" s="5">
        <f>IF(tblOrdenes[[#This Row],[puesto_trabajo]]="","",_xlfn.XLOOKUP(tblOrdenes[[#This Row],[puesto_trabajo]],tblPuestos[codigo],tblPuestos[especialidad],"(sin catálogo)"))</f>
        <v/>
      </c>
      <c r="AC82" s="5">
        <f>IF(tblOrdenes[[#This Row],[cod_actividad]]="","",_xlfn.XLOOKUP(tblOrdenes[[#This Row],[cod_actividad]],tblActividades[codigo],tblActividades[descripcion],"(sin catálogo)"))</f>
        <v/>
      </c>
      <c r="AD82" s="23">
        <f>IF(tblOrdenes[[#This Row],[fecha_inicio]]="","",TODAY()-tblOrdenes[[#This Row],[fecha_inicio]])</f>
        <v/>
      </c>
      <c r="AE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5">
        <f>IF(tblOrdenes[[#This Row],[backlog_habiles]]="","",IF(tblOrdenes[[#This Row],[backlog_habiles]]&lt;0,"FUTURO",IF(tblOrdenes[[#This Row],[backlog_habiles]]&gt;p_dias_backlog_max,"BACKLOG","MES CORRIENTE")))</f>
        <v/>
      </c>
      <c r="AG82" s="5">
        <f>IF(tblOrdenes[[#This Row],[backlog_habiles]]="",FALSE,AND(tblOrdenes[[#This Row],[backlog_habiles]]&gt;p_dias_backlog_min,tblOrdenes[[#This Row],[backlog_habiles]]&lt;=p_dias_backlog_max))</f>
        <v/>
      </c>
      <c r="AH82" s="4" t="n"/>
      <c r="AI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18">
        <f>IF(tblOrdenes[[#This Row],[orden]]="","",_xlfn.XLOOKUP(tblOrdenes[[#This Row],[id_operacion]],tblEjecucion[id_operacion],tblEjecucion[precio],0))</f>
        <v/>
      </c>
      <c r="AM82" s="18">
        <f>IF(tblOrdenes[[#This Row],[orden]]="","",MAX(0,_xlfn.XLOOKUP(tblOrdenes[[#This Row],[id_operacion]],tblEjecucion[id_operacion],tblEjecucion[costo_plan_total],0)-tblOrdenes[[#This Row],[costo_servicio]]))</f>
        <v/>
      </c>
      <c r="AN82" s="18">
        <f>IF(tblOrdenes[[#This Row],[orden]]="","",tblOrdenes[[#This Row],[costo_servicio]]+tblOrdenes[[#This Row],[costo_materiales]])</f>
        <v/>
      </c>
      <c r="AO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n"/>
      <c r="AQ82" s="4" t="n"/>
      <c r="AR82" s="4" t="n"/>
      <c r="AS82" s="5">
        <f>IF(tblOrdenes[[#This Row],[link_checklist]]="","",HYPERLINK(p_ruta_base_checklists&amp;tblOrdenes[[#This Row],[link_checklist]],"abrir"))</f>
        <v/>
      </c>
      <c r="AT82" s="4" t="n"/>
      <c r="AU82" s="5">
        <f>IF(tblOrdenes[[#This Row],[orden]]="","",tblOrdenes[[#This Row],[orden]]&amp;IF(tblOrdenes[[#This Row],[operacion]]="","0010",tblOrdenes[[#This Row],[operacion]]))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25" t="n"/>
      <c r="K83" s="5" t="n"/>
      <c r="L83" s="18" t="n"/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Row],[fecha_inicio]]="","",tblOrdenes[[#This Row],[anio]]&amp;"-"&amp;TEXT(tblOrdenes[[#This Row],[mes]],"00"))</f>
        <v/>
      </c>
      <c r="S83" s="5">
        <f>IF(tblOrdenes[[#This Row],[fecha_inicio]]="","",INDEX(lista_dias,WEEKDAY(tblOrdenes[[#This Row],[fecha_inicio]],2)))</f>
        <v/>
      </c>
      <c r="T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5">
        <f>IF(tblOrdenes[[#This Row],[tipo_ot]]="","",_xlfn.XLOOKUP(tblOrdenes[[#This Row],[tipo_ot]],tblTiposOT[codigo],tblTiposOT[clasificacion],"sin_clasificar"))</f>
        <v/>
      </c>
      <c r="V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5">
        <f>IF(tblOrdenes[[#This Row],[centro_costo]]="","",_xlfn.XLOOKUP(tblOrdenes[[#This Row],[centro_costo]],tblCECO[codigo],tblCECO[linea],"(sin catálogo)"))</f>
        <v/>
      </c>
      <c r="Y83" s="5">
        <f>IF(tblOrdenes[[#This Row],[centro_costo]]="","",_xlfn.XLOOKUP(tblOrdenes[[#This Row],[centro_costo]],tblCECO[codigo],tblCECO[area],"(sin catálogo)"))</f>
        <v/>
      </c>
      <c r="Z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5">
        <f>IF(tblOrdenes[[#This Row],[centro_costo]]="","",_xlfn.XLOOKUP(tblOrdenes[[#This Row],[centro_costo]],tblCECO[codigo],tblCECO[coordinador],"(sin catálogo)"))</f>
        <v/>
      </c>
      <c r="AB83" s="5">
        <f>IF(tblOrdenes[[#This Row],[puesto_trabajo]]="","",_xlfn.XLOOKUP(tblOrdenes[[#This Row],[puesto_trabajo]],tblPuestos[codigo],tblPuestos[especialidad],"(sin catálogo)"))</f>
        <v/>
      </c>
      <c r="AC83" s="5">
        <f>IF(tblOrdenes[[#This Row],[cod_actividad]]="","",_xlfn.XLOOKUP(tblOrdenes[[#This Row],[cod_actividad]],tblActividades[codigo],tblActividades[descripcion],"(sin catálogo)"))</f>
        <v/>
      </c>
      <c r="AD83" s="23">
        <f>IF(tblOrdenes[[#This Row],[fecha_inicio]]="","",TODAY()-tblOrdenes[[#This Row],[fecha_inicio]])</f>
        <v/>
      </c>
      <c r="AE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5">
        <f>IF(tblOrdenes[[#This Row],[backlog_habiles]]="","",IF(tblOrdenes[[#This Row],[backlog_habiles]]&lt;0,"FUTURO",IF(tblOrdenes[[#This Row],[backlog_habiles]]&gt;p_dias_backlog_max,"BACKLOG","MES CORRIENTE")))</f>
        <v/>
      </c>
      <c r="AG83" s="5">
        <f>IF(tblOrdenes[[#This Row],[backlog_habiles]]="",FALSE,AND(tblOrdenes[[#This Row],[backlog_habiles]]&gt;p_dias_backlog_min,tblOrdenes[[#This Row],[backlog_habiles]]&lt;=p_dias_backlog_max))</f>
        <v/>
      </c>
      <c r="AH83" s="4" t="n"/>
      <c r="AI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18">
        <f>IF(tblOrdenes[[#This Row],[orden]]="","",_xlfn.XLOOKUP(tblOrdenes[[#This Row],[id_operacion]],tblEjecucion[id_operacion],tblEjecucion[precio],0))</f>
        <v/>
      </c>
      <c r="AM83" s="18">
        <f>IF(tblOrdenes[[#This Row],[orden]]="","",MAX(0,_xlfn.XLOOKUP(tblOrdenes[[#This Row],[id_operacion]],tblEjecucion[id_operacion],tblEjecucion[costo_plan_total],0)-tblOrdenes[[#This Row],[costo_servicio]]))</f>
        <v/>
      </c>
      <c r="AN83" s="18">
        <f>IF(tblOrdenes[[#This Row],[orden]]="","",tblOrdenes[[#This Row],[costo_servicio]]+tblOrdenes[[#This Row],[costo_materiales]])</f>
        <v/>
      </c>
      <c r="AO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n"/>
      <c r="AQ83" s="4" t="n"/>
      <c r="AR83" s="4" t="n"/>
      <c r="AS83" s="5">
        <f>IF(tblOrdenes[[#This Row],[link_checklist]]="","",HYPERLINK(p_ruta_base_checklists&amp;tblOrdenes[[#This Row],[link_checklist]],"abrir"))</f>
        <v/>
      </c>
      <c r="AT83" s="4" t="n"/>
      <c r="AU83" s="5">
        <f>IF(tblOrdenes[[#This Row],[orden]]="","",tblOrdenes[[#This Row],[orden]]&amp;IF(tblOrdenes[[#This Row],[operacion]]="","0010",tblOrdenes[[#This Row],[operacion]]))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25" t="n"/>
      <c r="K84" s="5" t="n"/>
      <c r="L84" s="18" t="n"/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Row],[fecha_inicio]]="","",tblOrdenes[[#This Row],[anio]]&amp;"-"&amp;TEXT(tblOrdenes[[#This Row],[mes]],"00"))</f>
        <v/>
      </c>
      <c r="S84" s="5">
        <f>IF(tblOrdenes[[#This Row],[fecha_inicio]]="","",INDEX(lista_dias,WEEKDAY(tblOrdenes[[#This Row],[fecha_inicio]],2)))</f>
        <v/>
      </c>
      <c r="T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5">
        <f>IF(tblOrdenes[[#This Row],[tipo_ot]]="","",_xlfn.XLOOKUP(tblOrdenes[[#This Row],[tipo_ot]],tblTiposOT[codigo],tblTiposOT[clasificacion],"sin_clasificar"))</f>
        <v/>
      </c>
      <c r="V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5">
        <f>IF(tblOrdenes[[#This Row],[centro_costo]]="","",_xlfn.XLOOKUP(tblOrdenes[[#This Row],[centro_costo]],tblCECO[codigo],tblCECO[linea],"(sin catálogo)"))</f>
        <v/>
      </c>
      <c r="Y84" s="5">
        <f>IF(tblOrdenes[[#This Row],[centro_costo]]="","",_xlfn.XLOOKUP(tblOrdenes[[#This Row],[centro_costo]],tblCECO[codigo],tblCECO[area],"(sin catálogo)"))</f>
        <v/>
      </c>
      <c r="Z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5">
        <f>IF(tblOrdenes[[#This Row],[centro_costo]]="","",_xlfn.XLOOKUP(tblOrdenes[[#This Row],[centro_costo]],tblCECO[codigo],tblCECO[coordinador],"(sin catálogo)"))</f>
        <v/>
      </c>
      <c r="AB84" s="5">
        <f>IF(tblOrdenes[[#This Row],[puesto_trabajo]]="","",_xlfn.XLOOKUP(tblOrdenes[[#This Row],[puesto_trabajo]],tblPuestos[codigo],tblPuestos[especialidad],"(sin catálogo)"))</f>
        <v/>
      </c>
      <c r="AC84" s="5">
        <f>IF(tblOrdenes[[#This Row],[cod_actividad]]="","",_xlfn.XLOOKUP(tblOrdenes[[#This Row],[cod_actividad]],tblActividades[codigo],tblActividades[descripcion],"(sin catálogo)"))</f>
        <v/>
      </c>
      <c r="AD84" s="23">
        <f>IF(tblOrdenes[[#This Row],[fecha_inicio]]="","",TODAY()-tblOrdenes[[#This Row],[fecha_inicio]])</f>
        <v/>
      </c>
      <c r="AE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5">
        <f>IF(tblOrdenes[[#This Row],[backlog_habiles]]="","",IF(tblOrdenes[[#This Row],[backlog_habiles]]&lt;0,"FUTURO",IF(tblOrdenes[[#This Row],[backlog_habiles]]&gt;p_dias_backlog_max,"BACKLOG","MES CORRIENTE")))</f>
        <v/>
      </c>
      <c r="AG84" s="5">
        <f>IF(tblOrdenes[[#This Row],[backlog_habiles]]="",FALSE,AND(tblOrdenes[[#This Row],[backlog_habiles]]&gt;p_dias_backlog_min,tblOrdenes[[#This Row],[backlog_habiles]]&lt;=p_dias_backlog_max))</f>
        <v/>
      </c>
      <c r="AH84" s="4" t="n"/>
      <c r="AI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18">
        <f>IF(tblOrdenes[[#This Row],[orden]]="","",_xlfn.XLOOKUP(tblOrdenes[[#This Row],[id_operacion]],tblEjecucion[id_operacion],tblEjecucion[precio],0))</f>
        <v/>
      </c>
      <c r="AM84" s="18">
        <f>IF(tblOrdenes[[#This Row],[orden]]="","",MAX(0,_xlfn.XLOOKUP(tblOrdenes[[#This Row],[id_operacion]],tblEjecucion[id_operacion],tblEjecucion[costo_plan_total],0)-tblOrdenes[[#This Row],[costo_servicio]]))</f>
        <v/>
      </c>
      <c r="AN84" s="18">
        <f>IF(tblOrdenes[[#This Row],[orden]]="","",tblOrdenes[[#This Row],[costo_servicio]]+tblOrdenes[[#This Row],[costo_materiales]])</f>
        <v/>
      </c>
      <c r="AO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n"/>
      <c r="AQ84" s="4" t="n"/>
      <c r="AR84" s="4" t="n"/>
      <c r="AS84" s="5">
        <f>IF(tblOrdenes[[#This Row],[link_checklist]]="","",HYPERLINK(p_ruta_base_checklists&amp;tblOrdenes[[#This Row],[link_checklist]],"abrir"))</f>
        <v/>
      </c>
      <c r="AT84" s="4" t="n"/>
      <c r="AU84" s="5">
        <f>IF(tblOrdenes[[#This Row],[orden]]="","",tblOrdenes[[#This Row],[orden]]&amp;IF(tblOrdenes[[#This Row],[operacion]]="","0010",tblOrdenes[[#This Row],[operacion]]))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25" t="n"/>
      <c r="K85" s="5" t="n"/>
      <c r="L85" s="18" t="n"/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Row],[fecha_inicio]]="","",tblOrdenes[[#This Row],[anio]]&amp;"-"&amp;TEXT(tblOrdenes[[#This Row],[mes]],"00"))</f>
        <v/>
      </c>
      <c r="S85" s="5">
        <f>IF(tblOrdenes[[#This Row],[fecha_inicio]]="","",INDEX(lista_dias,WEEKDAY(tblOrdenes[[#This Row],[fecha_inicio]],2)))</f>
        <v/>
      </c>
      <c r="T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5">
        <f>IF(tblOrdenes[[#This Row],[tipo_ot]]="","",_xlfn.XLOOKUP(tblOrdenes[[#This Row],[tipo_ot]],tblTiposOT[codigo],tblTiposOT[clasificacion],"sin_clasificar"))</f>
        <v/>
      </c>
      <c r="V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5">
        <f>IF(tblOrdenes[[#This Row],[centro_costo]]="","",_xlfn.XLOOKUP(tblOrdenes[[#This Row],[centro_costo]],tblCECO[codigo],tblCECO[linea],"(sin catálogo)"))</f>
        <v/>
      </c>
      <c r="Y85" s="5">
        <f>IF(tblOrdenes[[#This Row],[centro_costo]]="","",_xlfn.XLOOKUP(tblOrdenes[[#This Row],[centro_costo]],tblCECO[codigo],tblCECO[area],"(sin catálogo)"))</f>
        <v/>
      </c>
      <c r="Z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5">
        <f>IF(tblOrdenes[[#This Row],[centro_costo]]="","",_xlfn.XLOOKUP(tblOrdenes[[#This Row],[centro_costo]],tblCECO[codigo],tblCECO[coordinador],"(sin catálogo)"))</f>
        <v/>
      </c>
      <c r="AB85" s="5">
        <f>IF(tblOrdenes[[#This Row],[puesto_trabajo]]="","",_xlfn.XLOOKUP(tblOrdenes[[#This Row],[puesto_trabajo]],tblPuestos[codigo],tblPuestos[especialidad],"(sin catálogo)"))</f>
        <v/>
      </c>
      <c r="AC85" s="5">
        <f>IF(tblOrdenes[[#This Row],[cod_actividad]]="","",_xlfn.XLOOKUP(tblOrdenes[[#This Row],[cod_actividad]],tblActividades[codigo],tblActividades[descripcion],"(sin catálogo)"))</f>
        <v/>
      </c>
      <c r="AD85" s="23">
        <f>IF(tblOrdenes[[#This Row],[fecha_inicio]]="","",TODAY()-tblOrdenes[[#This Row],[fecha_inicio]])</f>
        <v/>
      </c>
      <c r="AE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5">
        <f>IF(tblOrdenes[[#This Row],[backlog_habiles]]="","",IF(tblOrdenes[[#This Row],[backlog_habiles]]&lt;0,"FUTURO",IF(tblOrdenes[[#This Row],[backlog_habiles]]&gt;p_dias_backlog_max,"BACKLOG","MES CORRIENTE")))</f>
        <v/>
      </c>
      <c r="AG85" s="5">
        <f>IF(tblOrdenes[[#This Row],[backlog_habiles]]="",FALSE,AND(tblOrdenes[[#This Row],[backlog_habiles]]&gt;p_dias_backlog_min,tblOrdenes[[#This Row],[backlog_habiles]]&lt;=p_dias_backlog_max))</f>
        <v/>
      </c>
      <c r="AH85" s="4" t="n"/>
      <c r="AI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18">
        <f>IF(tblOrdenes[[#This Row],[orden]]="","",_xlfn.XLOOKUP(tblOrdenes[[#This Row],[id_operacion]],tblEjecucion[id_operacion],tblEjecucion[precio],0))</f>
        <v/>
      </c>
      <c r="AM85" s="18">
        <f>IF(tblOrdenes[[#This Row],[orden]]="","",MAX(0,_xlfn.XLOOKUP(tblOrdenes[[#This Row],[id_operacion]],tblEjecucion[id_operacion],tblEjecucion[costo_plan_total],0)-tblOrdenes[[#This Row],[costo_servicio]]))</f>
        <v/>
      </c>
      <c r="AN85" s="18">
        <f>IF(tblOrdenes[[#This Row],[orden]]="","",tblOrdenes[[#This Row],[costo_servicio]]+tblOrdenes[[#This Row],[costo_materiales]])</f>
        <v/>
      </c>
      <c r="AO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n"/>
      <c r="AQ85" s="4" t="n"/>
      <c r="AR85" s="4" t="n"/>
      <c r="AS85" s="5">
        <f>IF(tblOrdenes[[#This Row],[link_checklist]]="","",HYPERLINK(p_ruta_base_checklists&amp;tblOrdenes[[#This Row],[link_checklist]],"abrir"))</f>
        <v/>
      </c>
      <c r="AT85" s="4" t="n"/>
      <c r="AU85" s="5">
        <f>IF(tblOrdenes[[#This Row],[orden]]="","",tblOrdenes[[#This Row],[orden]]&amp;IF(tblOrdenes[[#This Row],[operacion]]="","0010",tblOrdenes[[#This Row],[operacion]]))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25" t="n"/>
      <c r="K86" s="5" t="n"/>
      <c r="L86" s="18" t="n"/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Row],[fecha_inicio]]="","",tblOrdenes[[#This Row],[anio]]&amp;"-"&amp;TEXT(tblOrdenes[[#This Row],[mes]],"00"))</f>
        <v/>
      </c>
      <c r="S86" s="5">
        <f>IF(tblOrdenes[[#This Row],[fecha_inicio]]="","",INDEX(lista_dias,WEEKDAY(tblOrdenes[[#This Row],[fecha_inicio]],2)))</f>
        <v/>
      </c>
      <c r="T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5">
        <f>IF(tblOrdenes[[#This Row],[tipo_ot]]="","",_xlfn.XLOOKUP(tblOrdenes[[#This Row],[tipo_ot]],tblTiposOT[codigo],tblTiposOT[clasificacion],"sin_clasificar"))</f>
        <v/>
      </c>
      <c r="V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5">
        <f>IF(tblOrdenes[[#This Row],[centro_costo]]="","",_xlfn.XLOOKUP(tblOrdenes[[#This Row],[centro_costo]],tblCECO[codigo],tblCECO[linea],"(sin catálogo)"))</f>
        <v/>
      </c>
      <c r="Y86" s="5">
        <f>IF(tblOrdenes[[#This Row],[centro_costo]]="","",_xlfn.XLOOKUP(tblOrdenes[[#This Row],[centro_costo]],tblCECO[codigo],tblCECO[area],"(sin catálogo)"))</f>
        <v/>
      </c>
      <c r="Z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5">
        <f>IF(tblOrdenes[[#This Row],[centro_costo]]="","",_xlfn.XLOOKUP(tblOrdenes[[#This Row],[centro_costo]],tblCECO[codigo],tblCECO[coordinador],"(sin catálogo)"))</f>
        <v/>
      </c>
      <c r="AB86" s="5">
        <f>IF(tblOrdenes[[#This Row],[puesto_trabajo]]="","",_xlfn.XLOOKUP(tblOrdenes[[#This Row],[puesto_trabajo]],tblPuestos[codigo],tblPuestos[especialidad],"(sin catálogo)"))</f>
        <v/>
      </c>
      <c r="AC86" s="5">
        <f>IF(tblOrdenes[[#This Row],[cod_actividad]]="","",_xlfn.XLOOKUP(tblOrdenes[[#This Row],[cod_actividad]],tblActividades[codigo],tblActividades[descripcion],"(sin catálogo)"))</f>
        <v/>
      </c>
      <c r="AD86" s="23">
        <f>IF(tblOrdenes[[#This Row],[fecha_inicio]]="","",TODAY()-tblOrdenes[[#This Row],[fecha_inicio]])</f>
        <v/>
      </c>
      <c r="AE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5">
        <f>IF(tblOrdenes[[#This Row],[backlog_habiles]]="","",IF(tblOrdenes[[#This Row],[backlog_habiles]]&lt;0,"FUTURO",IF(tblOrdenes[[#This Row],[backlog_habiles]]&gt;p_dias_backlog_max,"BACKLOG","MES CORRIENTE")))</f>
        <v/>
      </c>
      <c r="AG86" s="5">
        <f>IF(tblOrdenes[[#This Row],[backlog_habiles]]="",FALSE,AND(tblOrdenes[[#This Row],[backlog_habiles]]&gt;p_dias_backlog_min,tblOrdenes[[#This Row],[backlog_habiles]]&lt;=p_dias_backlog_max))</f>
        <v/>
      </c>
      <c r="AH86" s="4" t="n"/>
      <c r="AI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18">
        <f>IF(tblOrdenes[[#This Row],[orden]]="","",_xlfn.XLOOKUP(tblOrdenes[[#This Row],[id_operacion]],tblEjecucion[id_operacion],tblEjecucion[precio],0))</f>
        <v/>
      </c>
      <c r="AM86" s="18">
        <f>IF(tblOrdenes[[#This Row],[orden]]="","",MAX(0,_xlfn.XLOOKUP(tblOrdenes[[#This Row],[id_operacion]],tblEjecucion[id_operacion],tblEjecucion[costo_plan_total],0)-tblOrdenes[[#This Row],[costo_servicio]]))</f>
        <v/>
      </c>
      <c r="AN86" s="18">
        <f>IF(tblOrdenes[[#This Row],[orden]]="","",tblOrdenes[[#This Row],[costo_servicio]]+tblOrdenes[[#This Row],[costo_materiales]])</f>
        <v/>
      </c>
      <c r="AO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n"/>
      <c r="AQ86" s="4" t="n"/>
      <c r="AR86" s="4" t="n"/>
      <c r="AS86" s="5">
        <f>IF(tblOrdenes[[#This Row],[link_checklist]]="","",HYPERLINK(p_ruta_base_checklists&amp;tblOrdenes[[#This Row],[link_checklist]],"abrir"))</f>
        <v/>
      </c>
      <c r="AT86" s="4" t="n"/>
      <c r="AU86" s="5">
        <f>IF(tblOrdenes[[#This Row],[orden]]="","",tblOrdenes[[#This Row],[orden]]&amp;IF(tblOrdenes[[#This Row],[operacion]]="","0010",tblOrdenes[[#This Row],[operacion]]))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25" t="n"/>
      <c r="K87" s="5" t="n"/>
      <c r="L87" s="18" t="n"/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Row],[fecha_inicio]]="","",tblOrdenes[[#This Row],[anio]]&amp;"-"&amp;TEXT(tblOrdenes[[#This Row],[mes]],"00"))</f>
        <v/>
      </c>
      <c r="S87" s="5">
        <f>IF(tblOrdenes[[#This Row],[fecha_inicio]]="","",INDEX(lista_dias,WEEKDAY(tblOrdenes[[#This Row],[fecha_inicio]],2)))</f>
        <v/>
      </c>
      <c r="T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5">
        <f>IF(tblOrdenes[[#This Row],[tipo_ot]]="","",_xlfn.XLOOKUP(tblOrdenes[[#This Row],[tipo_ot]],tblTiposOT[codigo],tblTiposOT[clasificacion],"sin_clasificar"))</f>
        <v/>
      </c>
      <c r="V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5">
        <f>IF(tblOrdenes[[#This Row],[centro_costo]]="","",_xlfn.XLOOKUP(tblOrdenes[[#This Row],[centro_costo]],tblCECO[codigo],tblCECO[linea],"(sin catálogo)"))</f>
        <v/>
      </c>
      <c r="Y87" s="5">
        <f>IF(tblOrdenes[[#This Row],[centro_costo]]="","",_xlfn.XLOOKUP(tblOrdenes[[#This Row],[centro_costo]],tblCECO[codigo],tblCECO[area],"(sin catálogo)"))</f>
        <v/>
      </c>
      <c r="Z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5">
        <f>IF(tblOrdenes[[#This Row],[centro_costo]]="","",_xlfn.XLOOKUP(tblOrdenes[[#This Row],[centro_costo]],tblCECO[codigo],tblCECO[coordinador],"(sin catálogo)"))</f>
        <v/>
      </c>
      <c r="AB87" s="5">
        <f>IF(tblOrdenes[[#This Row],[puesto_trabajo]]="","",_xlfn.XLOOKUP(tblOrdenes[[#This Row],[puesto_trabajo]],tblPuestos[codigo],tblPuestos[especialidad],"(sin catálogo)"))</f>
        <v/>
      </c>
      <c r="AC87" s="5">
        <f>IF(tblOrdenes[[#This Row],[cod_actividad]]="","",_xlfn.XLOOKUP(tblOrdenes[[#This Row],[cod_actividad]],tblActividades[codigo],tblActividades[descripcion],"(sin catálogo)"))</f>
        <v/>
      </c>
      <c r="AD87" s="23">
        <f>IF(tblOrdenes[[#This Row],[fecha_inicio]]="","",TODAY()-tblOrdenes[[#This Row],[fecha_inicio]])</f>
        <v/>
      </c>
      <c r="AE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5">
        <f>IF(tblOrdenes[[#This Row],[backlog_habiles]]="","",IF(tblOrdenes[[#This Row],[backlog_habiles]]&lt;0,"FUTURO",IF(tblOrdenes[[#This Row],[backlog_habiles]]&gt;p_dias_backlog_max,"BACKLOG","MES CORRIENTE")))</f>
        <v/>
      </c>
      <c r="AG87" s="5">
        <f>IF(tblOrdenes[[#This Row],[backlog_habiles]]="",FALSE,AND(tblOrdenes[[#This Row],[backlog_habiles]]&gt;p_dias_backlog_min,tblOrdenes[[#This Row],[backlog_habiles]]&lt;=p_dias_backlog_max))</f>
        <v/>
      </c>
      <c r="AH87" s="4" t="n"/>
      <c r="AI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18">
        <f>IF(tblOrdenes[[#This Row],[orden]]="","",_xlfn.XLOOKUP(tblOrdenes[[#This Row],[id_operacion]],tblEjecucion[id_operacion],tblEjecucion[precio],0))</f>
        <v/>
      </c>
      <c r="AM87" s="18">
        <f>IF(tblOrdenes[[#This Row],[orden]]="","",MAX(0,_xlfn.XLOOKUP(tblOrdenes[[#This Row],[id_operacion]],tblEjecucion[id_operacion],tblEjecucion[costo_plan_total],0)-tblOrdenes[[#This Row],[costo_servicio]]))</f>
        <v/>
      </c>
      <c r="AN87" s="18">
        <f>IF(tblOrdenes[[#This Row],[orden]]="","",tblOrdenes[[#This Row],[costo_servicio]]+tblOrdenes[[#This Row],[costo_materiales]])</f>
        <v/>
      </c>
      <c r="AO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n"/>
      <c r="AQ87" s="4" t="n"/>
      <c r="AR87" s="4" t="n"/>
      <c r="AS87" s="5">
        <f>IF(tblOrdenes[[#This Row],[link_checklist]]="","",HYPERLINK(p_ruta_base_checklists&amp;tblOrdenes[[#This Row],[link_checklist]],"abrir"))</f>
        <v/>
      </c>
      <c r="AT87" s="4" t="n"/>
      <c r="AU87" s="5">
        <f>IF(tblOrdenes[[#This Row],[orden]]="","",tblOrdenes[[#This Row],[orden]]&amp;IF(tblOrdenes[[#This Row],[operacion]]="","0010",tblOrdenes[[#This Row],[operacion]]))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25" t="n"/>
      <c r="K88" s="5" t="n"/>
      <c r="L88" s="18" t="n"/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Row],[fecha_inicio]]="","",tblOrdenes[[#This Row],[anio]]&amp;"-"&amp;TEXT(tblOrdenes[[#This Row],[mes]],"00"))</f>
        <v/>
      </c>
      <c r="S88" s="5">
        <f>IF(tblOrdenes[[#This Row],[fecha_inicio]]="","",INDEX(lista_dias,WEEKDAY(tblOrdenes[[#This Row],[fecha_inicio]],2)))</f>
        <v/>
      </c>
      <c r="T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5">
        <f>IF(tblOrdenes[[#This Row],[tipo_ot]]="","",_xlfn.XLOOKUP(tblOrdenes[[#This Row],[tipo_ot]],tblTiposOT[codigo],tblTiposOT[clasificacion],"sin_clasificar"))</f>
        <v/>
      </c>
      <c r="V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5">
        <f>IF(tblOrdenes[[#This Row],[centro_costo]]="","",_xlfn.XLOOKUP(tblOrdenes[[#This Row],[centro_costo]],tblCECO[codigo],tblCECO[linea],"(sin catálogo)"))</f>
        <v/>
      </c>
      <c r="Y88" s="5">
        <f>IF(tblOrdenes[[#This Row],[centro_costo]]="","",_xlfn.XLOOKUP(tblOrdenes[[#This Row],[centro_costo]],tblCECO[codigo],tblCECO[area],"(sin catálogo)"))</f>
        <v/>
      </c>
      <c r="Z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5">
        <f>IF(tblOrdenes[[#This Row],[centro_costo]]="","",_xlfn.XLOOKUP(tblOrdenes[[#This Row],[centro_costo]],tblCECO[codigo],tblCECO[coordinador],"(sin catálogo)"))</f>
        <v/>
      </c>
      <c r="AB88" s="5">
        <f>IF(tblOrdenes[[#This Row],[puesto_trabajo]]="","",_xlfn.XLOOKUP(tblOrdenes[[#This Row],[puesto_trabajo]],tblPuestos[codigo],tblPuestos[especialidad],"(sin catálogo)"))</f>
        <v/>
      </c>
      <c r="AC88" s="5">
        <f>IF(tblOrdenes[[#This Row],[cod_actividad]]="","",_xlfn.XLOOKUP(tblOrdenes[[#This Row],[cod_actividad]],tblActividades[codigo],tblActividades[descripcion],"(sin catálogo)"))</f>
        <v/>
      </c>
      <c r="AD88" s="23">
        <f>IF(tblOrdenes[[#This Row],[fecha_inicio]]="","",TODAY()-tblOrdenes[[#This Row],[fecha_inicio]])</f>
        <v/>
      </c>
      <c r="AE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5">
        <f>IF(tblOrdenes[[#This Row],[backlog_habiles]]="","",IF(tblOrdenes[[#This Row],[backlog_habiles]]&lt;0,"FUTURO",IF(tblOrdenes[[#This Row],[backlog_habiles]]&gt;p_dias_backlog_max,"BACKLOG","MES CORRIENTE")))</f>
        <v/>
      </c>
      <c r="AG88" s="5">
        <f>IF(tblOrdenes[[#This Row],[backlog_habiles]]="",FALSE,AND(tblOrdenes[[#This Row],[backlog_habiles]]&gt;p_dias_backlog_min,tblOrdenes[[#This Row],[backlog_habiles]]&lt;=p_dias_backlog_max))</f>
        <v/>
      </c>
      <c r="AH88" s="4" t="n"/>
      <c r="AI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18">
        <f>IF(tblOrdenes[[#This Row],[orden]]="","",_xlfn.XLOOKUP(tblOrdenes[[#This Row],[id_operacion]],tblEjecucion[id_operacion],tblEjecucion[precio],0))</f>
        <v/>
      </c>
      <c r="AM88" s="18">
        <f>IF(tblOrdenes[[#This Row],[orden]]="","",MAX(0,_xlfn.XLOOKUP(tblOrdenes[[#This Row],[id_operacion]],tblEjecucion[id_operacion],tblEjecucion[costo_plan_total],0)-tblOrdenes[[#This Row],[costo_servicio]]))</f>
        <v/>
      </c>
      <c r="AN88" s="18">
        <f>IF(tblOrdenes[[#This Row],[orden]]="","",tblOrdenes[[#This Row],[costo_servicio]]+tblOrdenes[[#This Row],[costo_materiales]])</f>
        <v/>
      </c>
      <c r="AO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n"/>
      <c r="AQ88" s="4" t="n"/>
      <c r="AR88" s="4" t="n"/>
      <c r="AS88" s="5">
        <f>IF(tblOrdenes[[#This Row],[link_checklist]]="","",HYPERLINK(p_ruta_base_checklists&amp;tblOrdenes[[#This Row],[link_checklist]],"abrir"))</f>
        <v/>
      </c>
      <c r="AT88" s="4" t="n"/>
      <c r="AU88" s="5">
        <f>IF(tblOrdenes[[#This Row],[orden]]="","",tblOrdenes[[#This Row],[orden]]&amp;IF(tblOrdenes[[#This Row],[operacion]]="","0010",tblOrdenes[[#This Row],[operacion]]))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25" t="n"/>
      <c r="K89" s="5" t="n"/>
      <c r="L89" s="18" t="n"/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Row],[fecha_inicio]]="","",tblOrdenes[[#This Row],[anio]]&amp;"-"&amp;TEXT(tblOrdenes[[#This Row],[mes]],"00"))</f>
        <v/>
      </c>
      <c r="S89" s="5">
        <f>IF(tblOrdenes[[#This Row],[fecha_inicio]]="","",INDEX(lista_dias,WEEKDAY(tblOrdenes[[#This Row],[fecha_inicio]],2)))</f>
        <v/>
      </c>
      <c r="T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5">
        <f>IF(tblOrdenes[[#This Row],[tipo_ot]]="","",_xlfn.XLOOKUP(tblOrdenes[[#This Row],[tipo_ot]],tblTiposOT[codigo],tblTiposOT[clasificacion],"sin_clasificar"))</f>
        <v/>
      </c>
      <c r="V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5">
        <f>IF(tblOrdenes[[#This Row],[centro_costo]]="","",_xlfn.XLOOKUP(tblOrdenes[[#This Row],[centro_costo]],tblCECO[codigo],tblCECO[linea],"(sin catálogo)"))</f>
        <v/>
      </c>
      <c r="Y89" s="5">
        <f>IF(tblOrdenes[[#This Row],[centro_costo]]="","",_xlfn.XLOOKUP(tblOrdenes[[#This Row],[centro_costo]],tblCECO[codigo],tblCECO[area],"(sin catálogo)"))</f>
        <v/>
      </c>
      <c r="Z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5">
        <f>IF(tblOrdenes[[#This Row],[centro_costo]]="","",_xlfn.XLOOKUP(tblOrdenes[[#This Row],[centro_costo]],tblCECO[codigo],tblCECO[coordinador],"(sin catálogo)"))</f>
        <v/>
      </c>
      <c r="AB89" s="5">
        <f>IF(tblOrdenes[[#This Row],[puesto_trabajo]]="","",_xlfn.XLOOKUP(tblOrdenes[[#This Row],[puesto_trabajo]],tblPuestos[codigo],tblPuestos[especialidad],"(sin catálogo)"))</f>
        <v/>
      </c>
      <c r="AC89" s="5">
        <f>IF(tblOrdenes[[#This Row],[cod_actividad]]="","",_xlfn.XLOOKUP(tblOrdenes[[#This Row],[cod_actividad]],tblActividades[codigo],tblActividades[descripcion],"(sin catálogo)"))</f>
        <v/>
      </c>
      <c r="AD89" s="23">
        <f>IF(tblOrdenes[[#This Row],[fecha_inicio]]="","",TODAY()-tblOrdenes[[#This Row],[fecha_inicio]])</f>
        <v/>
      </c>
      <c r="AE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5">
        <f>IF(tblOrdenes[[#This Row],[backlog_habiles]]="","",IF(tblOrdenes[[#This Row],[backlog_habiles]]&lt;0,"FUTURO",IF(tblOrdenes[[#This Row],[backlog_habiles]]&gt;p_dias_backlog_max,"BACKLOG","MES CORRIENTE")))</f>
        <v/>
      </c>
      <c r="AG89" s="5">
        <f>IF(tblOrdenes[[#This Row],[backlog_habiles]]="",FALSE,AND(tblOrdenes[[#This Row],[backlog_habiles]]&gt;p_dias_backlog_min,tblOrdenes[[#This Row],[backlog_habiles]]&lt;=p_dias_backlog_max))</f>
        <v/>
      </c>
      <c r="AH89" s="4" t="n"/>
      <c r="AI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18">
        <f>IF(tblOrdenes[[#This Row],[orden]]="","",_xlfn.XLOOKUP(tblOrdenes[[#This Row],[id_operacion]],tblEjecucion[id_operacion],tblEjecucion[precio],0))</f>
        <v/>
      </c>
      <c r="AM89" s="18">
        <f>IF(tblOrdenes[[#This Row],[orden]]="","",MAX(0,_xlfn.XLOOKUP(tblOrdenes[[#This Row],[id_operacion]],tblEjecucion[id_operacion],tblEjecucion[costo_plan_total],0)-tblOrdenes[[#This Row],[costo_servicio]]))</f>
        <v/>
      </c>
      <c r="AN89" s="18">
        <f>IF(tblOrdenes[[#This Row],[orden]]="","",tblOrdenes[[#This Row],[costo_servicio]]+tblOrdenes[[#This Row],[costo_materiales]])</f>
        <v/>
      </c>
      <c r="AO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n"/>
      <c r="AQ89" s="4" t="n"/>
      <c r="AR89" s="4" t="n"/>
      <c r="AS89" s="5">
        <f>IF(tblOrdenes[[#This Row],[link_checklist]]="","",HYPERLINK(p_ruta_base_checklists&amp;tblOrdenes[[#This Row],[link_checklist]],"abrir"))</f>
        <v/>
      </c>
      <c r="AT89" s="4" t="n"/>
      <c r="AU89" s="5">
        <f>IF(tblOrdenes[[#This Row],[orden]]="","",tblOrdenes[[#This Row],[orden]]&amp;IF(tblOrdenes[[#This Row],[operacion]]="","0010",tblOrdenes[[#This Row],[operacion]]))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25" t="n"/>
      <c r="K90" s="5" t="n"/>
      <c r="L90" s="18" t="n"/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Row],[fecha_inicio]]="","",tblOrdenes[[#This Row],[anio]]&amp;"-"&amp;TEXT(tblOrdenes[[#This Row],[mes]],"00"))</f>
        <v/>
      </c>
      <c r="S90" s="5">
        <f>IF(tblOrdenes[[#This Row],[fecha_inicio]]="","",INDEX(lista_dias,WEEKDAY(tblOrdenes[[#This Row],[fecha_inicio]],2)))</f>
        <v/>
      </c>
      <c r="T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5">
        <f>IF(tblOrdenes[[#This Row],[tipo_ot]]="","",_xlfn.XLOOKUP(tblOrdenes[[#This Row],[tipo_ot]],tblTiposOT[codigo],tblTiposOT[clasificacion],"sin_clasificar"))</f>
        <v/>
      </c>
      <c r="V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5">
        <f>IF(tblOrdenes[[#This Row],[centro_costo]]="","",_xlfn.XLOOKUP(tblOrdenes[[#This Row],[centro_costo]],tblCECO[codigo],tblCECO[linea],"(sin catálogo)"))</f>
        <v/>
      </c>
      <c r="Y90" s="5">
        <f>IF(tblOrdenes[[#This Row],[centro_costo]]="","",_xlfn.XLOOKUP(tblOrdenes[[#This Row],[centro_costo]],tblCECO[codigo],tblCECO[area],"(sin catálogo)"))</f>
        <v/>
      </c>
      <c r="Z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5">
        <f>IF(tblOrdenes[[#This Row],[centro_costo]]="","",_xlfn.XLOOKUP(tblOrdenes[[#This Row],[centro_costo]],tblCECO[codigo],tblCECO[coordinador],"(sin catálogo)"))</f>
        <v/>
      </c>
      <c r="AB90" s="5">
        <f>IF(tblOrdenes[[#This Row],[puesto_trabajo]]="","",_xlfn.XLOOKUP(tblOrdenes[[#This Row],[puesto_trabajo]],tblPuestos[codigo],tblPuestos[especialidad],"(sin catálogo)"))</f>
        <v/>
      </c>
      <c r="AC90" s="5">
        <f>IF(tblOrdenes[[#This Row],[cod_actividad]]="","",_xlfn.XLOOKUP(tblOrdenes[[#This Row],[cod_actividad]],tblActividades[codigo],tblActividades[descripcion],"(sin catálogo)"))</f>
        <v/>
      </c>
      <c r="AD90" s="23">
        <f>IF(tblOrdenes[[#This Row],[fecha_inicio]]="","",TODAY()-tblOrdenes[[#This Row],[fecha_inicio]])</f>
        <v/>
      </c>
      <c r="AE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5">
        <f>IF(tblOrdenes[[#This Row],[backlog_habiles]]="","",IF(tblOrdenes[[#This Row],[backlog_habiles]]&lt;0,"FUTURO",IF(tblOrdenes[[#This Row],[backlog_habiles]]&gt;p_dias_backlog_max,"BACKLOG","MES CORRIENTE")))</f>
        <v/>
      </c>
      <c r="AG90" s="5">
        <f>IF(tblOrdenes[[#This Row],[backlog_habiles]]="",FALSE,AND(tblOrdenes[[#This Row],[backlog_habiles]]&gt;p_dias_backlog_min,tblOrdenes[[#This Row],[backlog_habiles]]&lt;=p_dias_backlog_max))</f>
        <v/>
      </c>
      <c r="AH90" s="4" t="n"/>
      <c r="AI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18">
        <f>IF(tblOrdenes[[#This Row],[orden]]="","",_xlfn.XLOOKUP(tblOrdenes[[#This Row],[id_operacion]],tblEjecucion[id_operacion],tblEjecucion[precio],0))</f>
        <v/>
      </c>
      <c r="AM90" s="18">
        <f>IF(tblOrdenes[[#This Row],[orden]]="","",MAX(0,_xlfn.XLOOKUP(tblOrdenes[[#This Row],[id_operacion]],tblEjecucion[id_operacion],tblEjecucion[costo_plan_total],0)-tblOrdenes[[#This Row],[costo_servicio]]))</f>
        <v/>
      </c>
      <c r="AN90" s="18">
        <f>IF(tblOrdenes[[#This Row],[orden]]="","",tblOrdenes[[#This Row],[costo_servicio]]+tblOrdenes[[#This Row],[costo_materiales]])</f>
        <v/>
      </c>
      <c r="AO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n"/>
      <c r="AQ90" s="4" t="n"/>
      <c r="AR90" s="4" t="n"/>
      <c r="AS90" s="5">
        <f>IF(tblOrdenes[[#This Row],[link_checklist]]="","",HYPERLINK(p_ruta_base_checklists&amp;tblOrdenes[[#This Row],[link_checklist]],"abrir"))</f>
        <v/>
      </c>
      <c r="AT90" s="4" t="n"/>
      <c r="AU90" s="5">
        <f>IF(tblOrdenes[[#This Row],[orden]]="","",tblOrdenes[[#This Row],[orden]]&amp;IF(tblOrdenes[[#This Row],[operacion]]="","0010",tblOrdenes[[#This Row],[operacion]]))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25" t="n"/>
      <c r="K91" s="5" t="n"/>
      <c r="L91" s="18" t="n"/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Row],[fecha_inicio]]="","",tblOrdenes[[#This Row],[anio]]&amp;"-"&amp;TEXT(tblOrdenes[[#This Row],[mes]],"00"))</f>
        <v/>
      </c>
      <c r="S91" s="5">
        <f>IF(tblOrdenes[[#This Row],[fecha_inicio]]="","",INDEX(lista_dias,WEEKDAY(tblOrdenes[[#This Row],[fecha_inicio]],2)))</f>
        <v/>
      </c>
      <c r="T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5">
        <f>IF(tblOrdenes[[#This Row],[tipo_ot]]="","",_xlfn.XLOOKUP(tblOrdenes[[#This Row],[tipo_ot]],tblTiposOT[codigo],tblTiposOT[clasificacion],"sin_clasificar"))</f>
        <v/>
      </c>
      <c r="V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5">
        <f>IF(tblOrdenes[[#This Row],[centro_costo]]="","",_xlfn.XLOOKUP(tblOrdenes[[#This Row],[centro_costo]],tblCECO[codigo],tblCECO[linea],"(sin catálogo)"))</f>
        <v/>
      </c>
      <c r="Y91" s="5">
        <f>IF(tblOrdenes[[#This Row],[centro_costo]]="","",_xlfn.XLOOKUP(tblOrdenes[[#This Row],[centro_costo]],tblCECO[codigo],tblCECO[area],"(sin catálogo)"))</f>
        <v/>
      </c>
      <c r="Z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5">
        <f>IF(tblOrdenes[[#This Row],[centro_costo]]="","",_xlfn.XLOOKUP(tblOrdenes[[#This Row],[centro_costo]],tblCECO[codigo],tblCECO[coordinador],"(sin catálogo)"))</f>
        <v/>
      </c>
      <c r="AB91" s="5">
        <f>IF(tblOrdenes[[#This Row],[puesto_trabajo]]="","",_xlfn.XLOOKUP(tblOrdenes[[#This Row],[puesto_trabajo]],tblPuestos[codigo],tblPuestos[especialidad],"(sin catálogo)"))</f>
        <v/>
      </c>
      <c r="AC91" s="5">
        <f>IF(tblOrdenes[[#This Row],[cod_actividad]]="","",_xlfn.XLOOKUP(tblOrdenes[[#This Row],[cod_actividad]],tblActividades[codigo],tblActividades[descripcion],"(sin catálogo)"))</f>
        <v/>
      </c>
      <c r="AD91" s="23">
        <f>IF(tblOrdenes[[#This Row],[fecha_inicio]]="","",TODAY()-tblOrdenes[[#This Row],[fecha_inicio]])</f>
        <v/>
      </c>
      <c r="AE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5">
        <f>IF(tblOrdenes[[#This Row],[backlog_habiles]]="","",IF(tblOrdenes[[#This Row],[backlog_habiles]]&lt;0,"FUTURO",IF(tblOrdenes[[#This Row],[backlog_habiles]]&gt;p_dias_backlog_max,"BACKLOG","MES CORRIENTE")))</f>
        <v/>
      </c>
      <c r="AG91" s="5">
        <f>IF(tblOrdenes[[#This Row],[backlog_habiles]]="",FALSE,AND(tblOrdenes[[#This Row],[backlog_habiles]]&gt;p_dias_backlog_min,tblOrdenes[[#This Row],[backlog_habiles]]&lt;=p_dias_backlog_max))</f>
        <v/>
      </c>
      <c r="AH91" s="4" t="n"/>
      <c r="AI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18">
        <f>IF(tblOrdenes[[#This Row],[orden]]="","",_xlfn.XLOOKUP(tblOrdenes[[#This Row],[id_operacion]],tblEjecucion[id_operacion],tblEjecucion[precio],0))</f>
        <v/>
      </c>
      <c r="AM91" s="18">
        <f>IF(tblOrdenes[[#This Row],[orden]]="","",MAX(0,_xlfn.XLOOKUP(tblOrdenes[[#This Row],[id_operacion]],tblEjecucion[id_operacion],tblEjecucion[costo_plan_total],0)-tblOrdenes[[#This Row],[costo_servicio]]))</f>
        <v/>
      </c>
      <c r="AN91" s="18">
        <f>IF(tblOrdenes[[#This Row],[orden]]="","",tblOrdenes[[#This Row],[costo_servicio]]+tblOrdenes[[#This Row],[costo_materiales]])</f>
        <v/>
      </c>
      <c r="AO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n"/>
      <c r="AQ91" s="4" t="n"/>
      <c r="AR91" s="4" t="n"/>
      <c r="AS91" s="5">
        <f>IF(tblOrdenes[[#This Row],[link_checklist]]="","",HYPERLINK(p_ruta_base_checklists&amp;tblOrdenes[[#This Row],[link_checklist]],"abrir"))</f>
        <v/>
      </c>
      <c r="AT91" s="4" t="n"/>
      <c r="AU91" s="5">
        <f>IF(tblOrdenes[[#This Row],[orden]]="","",tblOrdenes[[#This Row],[orden]]&amp;IF(tblOrdenes[[#This Row],[operacion]]="","0010",tblOrdenes[[#This Row],[operacion]]))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25" t="n"/>
      <c r="K92" s="5" t="n"/>
      <c r="L92" s="18" t="n"/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Row],[fecha_inicio]]="","",tblOrdenes[[#This Row],[anio]]&amp;"-"&amp;TEXT(tblOrdenes[[#This Row],[mes]],"00"))</f>
        <v/>
      </c>
      <c r="S92" s="5">
        <f>IF(tblOrdenes[[#This Row],[fecha_inicio]]="","",INDEX(lista_dias,WEEKDAY(tblOrdenes[[#This Row],[fecha_inicio]],2)))</f>
        <v/>
      </c>
      <c r="T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5">
        <f>IF(tblOrdenes[[#This Row],[tipo_ot]]="","",_xlfn.XLOOKUP(tblOrdenes[[#This Row],[tipo_ot]],tblTiposOT[codigo],tblTiposOT[clasificacion],"sin_clasificar"))</f>
        <v/>
      </c>
      <c r="V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5">
        <f>IF(tblOrdenes[[#This Row],[centro_costo]]="","",_xlfn.XLOOKUP(tblOrdenes[[#This Row],[centro_costo]],tblCECO[codigo],tblCECO[linea],"(sin catálogo)"))</f>
        <v/>
      </c>
      <c r="Y92" s="5">
        <f>IF(tblOrdenes[[#This Row],[centro_costo]]="","",_xlfn.XLOOKUP(tblOrdenes[[#This Row],[centro_costo]],tblCECO[codigo],tblCECO[area],"(sin catálogo)"))</f>
        <v/>
      </c>
      <c r="Z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5">
        <f>IF(tblOrdenes[[#This Row],[centro_costo]]="","",_xlfn.XLOOKUP(tblOrdenes[[#This Row],[centro_costo]],tblCECO[codigo],tblCECO[coordinador],"(sin catálogo)"))</f>
        <v/>
      </c>
      <c r="AB92" s="5">
        <f>IF(tblOrdenes[[#This Row],[puesto_trabajo]]="","",_xlfn.XLOOKUP(tblOrdenes[[#This Row],[puesto_trabajo]],tblPuestos[codigo],tblPuestos[especialidad],"(sin catálogo)"))</f>
        <v/>
      </c>
      <c r="AC92" s="5">
        <f>IF(tblOrdenes[[#This Row],[cod_actividad]]="","",_xlfn.XLOOKUP(tblOrdenes[[#This Row],[cod_actividad]],tblActividades[codigo],tblActividades[descripcion],"(sin catálogo)"))</f>
        <v/>
      </c>
      <c r="AD92" s="23">
        <f>IF(tblOrdenes[[#This Row],[fecha_inicio]]="","",TODAY()-tblOrdenes[[#This Row],[fecha_inicio]])</f>
        <v/>
      </c>
      <c r="AE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5">
        <f>IF(tblOrdenes[[#This Row],[backlog_habiles]]="","",IF(tblOrdenes[[#This Row],[backlog_habiles]]&lt;0,"FUTURO",IF(tblOrdenes[[#This Row],[backlog_habiles]]&gt;p_dias_backlog_max,"BACKLOG","MES CORRIENTE")))</f>
        <v/>
      </c>
      <c r="AG92" s="5">
        <f>IF(tblOrdenes[[#This Row],[backlog_habiles]]="",FALSE,AND(tblOrdenes[[#This Row],[backlog_habiles]]&gt;p_dias_backlog_min,tblOrdenes[[#This Row],[backlog_habiles]]&lt;=p_dias_backlog_max))</f>
        <v/>
      </c>
      <c r="AH92" s="4" t="n"/>
      <c r="AI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18">
        <f>IF(tblOrdenes[[#This Row],[orden]]="","",_xlfn.XLOOKUP(tblOrdenes[[#This Row],[id_operacion]],tblEjecucion[id_operacion],tblEjecucion[precio],0))</f>
        <v/>
      </c>
      <c r="AM92" s="18">
        <f>IF(tblOrdenes[[#This Row],[orden]]="","",MAX(0,_xlfn.XLOOKUP(tblOrdenes[[#This Row],[id_operacion]],tblEjecucion[id_operacion],tblEjecucion[costo_plan_total],0)-tblOrdenes[[#This Row],[costo_servicio]]))</f>
        <v/>
      </c>
      <c r="AN92" s="18">
        <f>IF(tblOrdenes[[#This Row],[orden]]="","",tblOrdenes[[#This Row],[costo_servicio]]+tblOrdenes[[#This Row],[costo_materiales]])</f>
        <v/>
      </c>
      <c r="AO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n"/>
      <c r="AQ92" s="4" t="n"/>
      <c r="AR92" s="4" t="n"/>
      <c r="AS92" s="5">
        <f>IF(tblOrdenes[[#This Row],[link_checklist]]="","",HYPERLINK(p_ruta_base_checklists&amp;tblOrdenes[[#This Row],[link_checklist]],"abrir"))</f>
        <v/>
      </c>
      <c r="AT92" s="4" t="n"/>
      <c r="AU92" s="5">
        <f>IF(tblOrdenes[[#This Row],[orden]]="","",tblOrdenes[[#This Row],[orden]]&amp;IF(tblOrdenes[[#This Row],[operacion]]="","0010",tblOrdenes[[#This Row],[operacion]]))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25" t="n"/>
      <c r="K93" s="5" t="n"/>
      <c r="L93" s="18" t="n"/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Row],[fecha_inicio]]="","",tblOrdenes[[#This Row],[anio]]&amp;"-"&amp;TEXT(tblOrdenes[[#This Row],[mes]],"00"))</f>
        <v/>
      </c>
      <c r="S93" s="5">
        <f>IF(tblOrdenes[[#This Row],[fecha_inicio]]="","",INDEX(lista_dias,WEEKDAY(tblOrdenes[[#This Row],[fecha_inicio]],2)))</f>
        <v/>
      </c>
      <c r="T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5">
        <f>IF(tblOrdenes[[#This Row],[tipo_ot]]="","",_xlfn.XLOOKUP(tblOrdenes[[#This Row],[tipo_ot]],tblTiposOT[codigo],tblTiposOT[clasificacion],"sin_clasificar"))</f>
        <v/>
      </c>
      <c r="V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5">
        <f>IF(tblOrdenes[[#This Row],[centro_costo]]="","",_xlfn.XLOOKUP(tblOrdenes[[#This Row],[centro_costo]],tblCECO[codigo],tblCECO[linea],"(sin catálogo)"))</f>
        <v/>
      </c>
      <c r="Y93" s="5">
        <f>IF(tblOrdenes[[#This Row],[centro_costo]]="","",_xlfn.XLOOKUP(tblOrdenes[[#This Row],[centro_costo]],tblCECO[codigo],tblCECO[area],"(sin catálogo)"))</f>
        <v/>
      </c>
      <c r="Z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5">
        <f>IF(tblOrdenes[[#This Row],[centro_costo]]="","",_xlfn.XLOOKUP(tblOrdenes[[#This Row],[centro_costo]],tblCECO[codigo],tblCECO[coordinador],"(sin catálogo)"))</f>
        <v/>
      </c>
      <c r="AB93" s="5">
        <f>IF(tblOrdenes[[#This Row],[puesto_trabajo]]="","",_xlfn.XLOOKUP(tblOrdenes[[#This Row],[puesto_trabajo]],tblPuestos[codigo],tblPuestos[especialidad],"(sin catálogo)"))</f>
        <v/>
      </c>
      <c r="AC93" s="5">
        <f>IF(tblOrdenes[[#This Row],[cod_actividad]]="","",_xlfn.XLOOKUP(tblOrdenes[[#This Row],[cod_actividad]],tblActividades[codigo],tblActividades[descripcion],"(sin catálogo)"))</f>
        <v/>
      </c>
      <c r="AD93" s="23">
        <f>IF(tblOrdenes[[#This Row],[fecha_inicio]]="","",TODAY()-tblOrdenes[[#This Row],[fecha_inicio]])</f>
        <v/>
      </c>
      <c r="AE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5">
        <f>IF(tblOrdenes[[#This Row],[backlog_habiles]]="","",IF(tblOrdenes[[#This Row],[backlog_habiles]]&lt;0,"FUTURO",IF(tblOrdenes[[#This Row],[backlog_habiles]]&gt;p_dias_backlog_max,"BACKLOG","MES CORRIENTE")))</f>
        <v/>
      </c>
      <c r="AG93" s="5">
        <f>IF(tblOrdenes[[#This Row],[backlog_habiles]]="",FALSE,AND(tblOrdenes[[#This Row],[backlog_habiles]]&gt;p_dias_backlog_min,tblOrdenes[[#This Row],[backlog_habiles]]&lt;=p_dias_backlog_max))</f>
        <v/>
      </c>
      <c r="AH93" s="4" t="n"/>
      <c r="AI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18">
        <f>IF(tblOrdenes[[#This Row],[orden]]="","",_xlfn.XLOOKUP(tblOrdenes[[#This Row],[id_operacion]],tblEjecucion[id_operacion],tblEjecucion[precio],0))</f>
        <v/>
      </c>
      <c r="AM93" s="18">
        <f>IF(tblOrdenes[[#This Row],[orden]]="","",MAX(0,_xlfn.XLOOKUP(tblOrdenes[[#This Row],[id_operacion]],tblEjecucion[id_operacion],tblEjecucion[costo_plan_total],0)-tblOrdenes[[#This Row],[costo_servicio]]))</f>
        <v/>
      </c>
      <c r="AN93" s="18">
        <f>IF(tblOrdenes[[#This Row],[orden]]="","",tblOrdenes[[#This Row],[costo_servicio]]+tblOrdenes[[#This Row],[costo_materiales]])</f>
        <v/>
      </c>
      <c r="AO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n"/>
      <c r="AQ93" s="4" t="n"/>
      <c r="AR93" s="4" t="n"/>
      <c r="AS93" s="5">
        <f>IF(tblOrdenes[[#This Row],[link_checklist]]="","",HYPERLINK(p_ruta_base_checklists&amp;tblOrdenes[[#This Row],[link_checklist]],"abrir"))</f>
        <v/>
      </c>
      <c r="AT93" s="4" t="n"/>
      <c r="AU93" s="5">
        <f>IF(tblOrdenes[[#This Row],[orden]]="","",tblOrdenes[[#This Row],[orden]]&amp;IF(tblOrdenes[[#This Row],[operacion]]="","0010",tblOrdenes[[#This Row],[operacion]]))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25" t="n"/>
      <c r="K94" s="5" t="n"/>
      <c r="L94" s="18" t="n"/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Row],[fecha_inicio]]="","",tblOrdenes[[#This Row],[anio]]&amp;"-"&amp;TEXT(tblOrdenes[[#This Row],[mes]],"00"))</f>
        <v/>
      </c>
      <c r="S94" s="5">
        <f>IF(tblOrdenes[[#This Row],[fecha_inicio]]="","",INDEX(lista_dias,WEEKDAY(tblOrdenes[[#This Row],[fecha_inicio]],2)))</f>
        <v/>
      </c>
      <c r="T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5">
        <f>IF(tblOrdenes[[#This Row],[tipo_ot]]="","",_xlfn.XLOOKUP(tblOrdenes[[#This Row],[tipo_ot]],tblTiposOT[codigo],tblTiposOT[clasificacion],"sin_clasificar"))</f>
        <v/>
      </c>
      <c r="V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5">
        <f>IF(tblOrdenes[[#This Row],[centro_costo]]="","",_xlfn.XLOOKUP(tblOrdenes[[#This Row],[centro_costo]],tblCECO[codigo],tblCECO[linea],"(sin catálogo)"))</f>
        <v/>
      </c>
      <c r="Y94" s="5">
        <f>IF(tblOrdenes[[#This Row],[centro_costo]]="","",_xlfn.XLOOKUP(tblOrdenes[[#This Row],[centro_costo]],tblCECO[codigo],tblCECO[area],"(sin catálogo)"))</f>
        <v/>
      </c>
      <c r="Z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5">
        <f>IF(tblOrdenes[[#This Row],[centro_costo]]="","",_xlfn.XLOOKUP(tblOrdenes[[#This Row],[centro_costo]],tblCECO[codigo],tblCECO[coordinador],"(sin catálogo)"))</f>
        <v/>
      </c>
      <c r="AB94" s="5">
        <f>IF(tblOrdenes[[#This Row],[puesto_trabajo]]="","",_xlfn.XLOOKUP(tblOrdenes[[#This Row],[puesto_trabajo]],tblPuestos[codigo],tblPuestos[especialidad],"(sin catálogo)"))</f>
        <v/>
      </c>
      <c r="AC94" s="5">
        <f>IF(tblOrdenes[[#This Row],[cod_actividad]]="","",_xlfn.XLOOKUP(tblOrdenes[[#This Row],[cod_actividad]],tblActividades[codigo],tblActividades[descripcion],"(sin catálogo)"))</f>
        <v/>
      </c>
      <c r="AD94" s="23">
        <f>IF(tblOrdenes[[#This Row],[fecha_inicio]]="","",TODAY()-tblOrdenes[[#This Row],[fecha_inicio]])</f>
        <v/>
      </c>
      <c r="AE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5">
        <f>IF(tblOrdenes[[#This Row],[backlog_habiles]]="","",IF(tblOrdenes[[#This Row],[backlog_habiles]]&lt;0,"FUTURO",IF(tblOrdenes[[#This Row],[backlog_habiles]]&gt;p_dias_backlog_max,"BACKLOG","MES CORRIENTE")))</f>
        <v/>
      </c>
      <c r="AG94" s="5">
        <f>IF(tblOrdenes[[#This Row],[backlog_habiles]]="",FALSE,AND(tblOrdenes[[#This Row],[backlog_habiles]]&gt;p_dias_backlog_min,tblOrdenes[[#This Row],[backlog_habiles]]&lt;=p_dias_backlog_max))</f>
        <v/>
      </c>
      <c r="AH94" s="4" t="n"/>
      <c r="AI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18">
        <f>IF(tblOrdenes[[#This Row],[orden]]="","",_xlfn.XLOOKUP(tblOrdenes[[#This Row],[id_operacion]],tblEjecucion[id_operacion],tblEjecucion[precio],0))</f>
        <v/>
      </c>
      <c r="AM94" s="18">
        <f>IF(tblOrdenes[[#This Row],[orden]]="","",MAX(0,_xlfn.XLOOKUP(tblOrdenes[[#This Row],[id_operacion]],tblEjecucion[id_operacion],tblEjecucion[costo_plan_total],0)-tblOrdenes[[#This Row],[costo_servicio]]))</f>
        <v/>
      </c>
      <c r="AN94" s="18">
        <f>IF(tblOrdenes[[#This Row],[orden]]="","",tblOrdenes[[#This Row],[costo_servicio]]+tblOrdenes[[#This Row],[costo_materiales]])</f>
        <v/>
      </c>
      <c r="AO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n"/>
      <c r="AQ94" s="4" t="n"/>
      <c r="AR94" s="4" t="n"/>
      <c r="AS94" s="5">
        <f>IF(tblOrdenes[[#This Row],[link_checklist]]="","",HYPERLINK(p_ruta_base_checklists&amp;tblOrdenes[[#This Row],[link_checklist]],"abrir"))</f>
        <v/>
      </c>
      <c r="AT94" s="4" t="n"/>
      <c r="AU94" s="5">
        <f>IF(tblOrdenes[[#This Row],[orden]]="","",tblOrdenes[[#This Row],[orden]]&amp;IF(tblOrdenes[[#This Row],[operacion]]="","0010",tblOrdenes[[#This Row],[operacion]]))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25" t="n"/>
      <c r="K95" s="5" t="n"/>
      <c r="L95" s="18" t="n"/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Row],[fecha_inicio]]="","",tblOrdenes[[#This Row],[anio]]&amp;"-"&amp;TEXT(tblOrdenes[[#This Row],[mes]],"00"))</f>
        <v/>
      </c>
      <c r="S95" s="5">
        <f>IF(tblOrdenes[[#This Row],[fecha_inicio]]="","",INDEX(lista_dias,WEEKDAY(tblOrdenes[[#This Row],[fecha_inicio]],2)))</f>
        <v/>
      </c>
      <c r="T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5">
        <f>IF(tblOrdenes[[#This Row],[tipo_ot]]="","",_xlfn.XLOOKUP(tblOrdenes[[#This Row],[tipo_ot]],tblTiposOT[codigo],tblTiposOT[clasificacion],"sin_clasificar"))</f>
        <v/>
      </c>
      <c r="V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5">
        <f>IF(tblOrdenes[[#This Row],[centro_costo]]="","",_xlfn.XLOOKUP(tblOrdenes[[#This Row],[centro_costo]],tblCECO[codigo],tblCECO[linea],"(sin catálogo)"))</f>
        <v/>
      </c>
      <c r="Y95" s="5">
        <f>IF(tblOrdenes[[#This Row],[centro_costo]]="","",_xlfn.XLOOKUP(tblOrdenes[[#This Row],[centro_costo]],tblCECO[codigo],tblCECO[area],"(sin catálogo)"))</f>
        <v/>
      </c>
      <c r="Z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5">
        <f>IF(tblOrdenes[[#This Row],[centro_costo]]="","",_xlfn.XLOOKUP(tblOrdenes[[#This Row],[centro_costo]],tblCECO[codigo],tblCECO[coordinador],"(sin catálogo)"))</f>
        <v/>
      </c>
      <c r="AB95" s="5">
        <f>IF(tblOrdenes[[#This Row],[puesto_trabajo]]="","",_xlfn.XLOOKUP(tblOrdenes[[#This Row],[puesto_trabajo]],tblPuestos[codigo],tblPuestos[especialidad],"(sin catálogo)"))</f>
        <v/>
      </c>
      <c r="AC95" s="5">
        <f>IF(tblOrdenes[[#This Row],[cod_actividad]]="","",_xlfn.XLOOKUP(tblOrdenes[[#This Row],[cod_actividad]],tblActividades[codigo],tblActividades[descripcion],"(sin catálogo)"))</f>
        <v/>
      </c>
      <c r="AD95" s="23">
        <f>IF(tblOrdenes[[#This Row],[fecha_inicio]]="","",TODAY()-tblOrdenes[[#This Row],[fecha_inicio]])</f>
        <v/>
      </c>
      <c r="AE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5">
        <f>IF(tblOrdenes[[#This Row],[backlog_habiles]]="","",IF(tblOrdenes[[#This Row],[backlog_habiles]]&lt;0,"FUTURO",IF(tblOrdenes[[#This Row],[backlog_habiles]]&gt;p_dias_backlog_max,"BACKLOG","MES CORRIENTE")))</f>
        <v/>
      </c>
      <c r="AG95" s="5">
        <f>IF(tblOrdenes[[#This Row],[backlog_habiles]]="",FALSE,AND(tblOrdenes[[#This Row],[backlog_habiles]]&gt;p_dias_backlog_min,tblOrdenes[[#This Row],[backlog_habiles]]&lt;=p_dias_backlog_max))</f>
        <v/>
      </c>
      <c r="AH95" s="4" t="n"/>
      <c r="AI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18">
        <f>IF(tblOrdenes[[#This Row],[orden]]="","",_xlfn.XLOOKUP(tblOrdenes[[#This Row],[id_operacion]],tblEjecucion[id_operacion],tblEjecucion[precio],0))</f>
        <v/>
      </c>
      <c r="AM95" s="18">
        <f>IF(tblOrdenes[[#This Row],[orden]]="","",MAX(0,_xlfn.XLOOKUP(tblOrdenes[[#This Row],[id_operacion]],tblEjecucion[id_operacion],tblEjecucion[costo_plan_total],0)-tblOrdenes[[#This Row],[costo_servicio]]))</f>
        <v/>
      </c>
      <c r="AN95" s="18">
        <f>IF(tblOrdenes[[#This Row],[orden]]="","",tblOrdenes[[#This Row],[costo_servicio]]+tblOrdenes[[#This Row],[costo_materiales]])</f>
        <v/>
      </c>
      <c r="AO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n"/>
      <c r="AQ95" s="4" t="n"/>
      <c r="AR95" s="4" t="n"/>
      <c r="AS95" s="5">
        <f>IF(tblOrdenes[[#This Row],[link_checklist]]="","",HYPERLINK(p_ruta_base_checklists&amp;tblOrdenes[[#This Row],[link_checklist]],"abrir"))</f>
        <v/>
      </c>
      <c r="AT95" s="4" t="n"/>
      <c r="AU95" s="5">
        <f>IF(tblOrdenes[[#This Row],[orden]]="","",tblOrdenes[[#This Row],[orden]]&amp;IF(tblOrdenes[[#This Row],[operacion]]="","0010",tblOrdenes[[#This Row],[operacion]]))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25" t="n"/>
      <c r="K96" s="5" t="n"/>
      <c r="L96" s="18" t="n"/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Row],[fecha_inicio]]="","",tblOrdenes[[#This Row],[anio]]&amp;"-"&amp;TEXT(tblOrdenes[[#This Row],[mes]],"00"))</f>
        <v/>
      </c>
      <c r="S96" s="5">
        <f>IF(tblOrdenes[[#This Row],[fecha_inicio]]="","",INDEX(lista_dias,WEEKDAY(tblOrdenes[[#This Row],[fecha_inicio]],2)))</f>
        <v/>
      </c>
      <c r="T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5">
        <f>IF(tblOrdenes[[#This Row],[tipo_ot]]="","",_xlfn.XLOOKUP(tblOrdenes[[#This Row],[tipo_ot]],tblTiposOT[codigo],tblTiposOT[clasificacion],"sin_clasificar"))</f>
        <v/>
      </c>
      <c r="V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5">
        <f>IF(tblOrdenes[[#This Row],[centro_costo]]="","",_xlfn.XLOOKUP(tblOrdenes[[#This Row],[centro_costo]],tblCECO[codigo],tblCECO[linea],"(sin catálogo)"))</f>
        <v/>
      </c>
      <c r="Y96" s="5">
        <f>IF(tblOrdenes[[#This Row],[centro_costo]]="","",_xlfn.XLOOKUP(tblOrdenes[[#This Row],[centro_costo]],tblCECO[codigo],tblCECO[area],"(sin catálogo)"))</f>
        <v/>
      </c>
      <c r="Z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5">
        <f>IF(tblOrdenes[[#This Row],[centro_costo]]="","",_xlfn.XLOOKUP(tblOrdenes[[#This Row],[centro_costo]],tblCECO[codigo],tblCECO[coordinador],"(sin catálogo)"))</f>
        <v/>
      </c>
      <c r="AB96" s="5">
        <f>IF(tblOrdenes[[#This Row],[puesto_trabajo]]="","",_xlfn.XLOOKUP(tblOrdenes[[#This Row],[puesto_trabajo]],tblPuestos[codigo],tblPuestos[especialidad],"(sin catálogo)"))</f>
        <v/>
      </c>
      <c r="AC96" s="5">
        <f>IF(tblOrdenes[[#This Row],[cod_actividad]]="","",_xlfn.XLOOKUP(tblOrdenes[[#This Row],[cod_actividad]],tblActividades[codigo],tblActividades[descripcion],"(sin catálogo)"))</f>
        <v/>
      </c>
      <c r="AD96" s="23">
        <f>IF(tblOrdenes[[#This Row],[fecha_inicio]]="","",TODAY()-tblOrdenes[[#This Row],[fecha_inicio]])</f>
        <v/>
      </c>
      <c r="AE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5">
        <f>IF(tblOrdenes[[#This Row],[backlog_habiles]]="","",IF(tblOrdenes[[#This Row],[backlog_habiles]]&lt;0,"FUTURO",IF(tblOrdenes[[#This Row],[backlog_habiles]]&gt;p_dias_backlog_max,"BACKLOG","MES CORRIENTE")))</f>
        <v/>
      </c>
      <c r="AG96" s="5">
        <f>IF(tblOrdenes[[#This Row],[backlog_habiles]]="",FALSE,AND(tblOrdenes[[#This Row],[backlog_habiles]]&gt;p_dias_backlog_min,tblOrdenes[[#This Row],[backlog_habiles]]&lt;=p_dias_backlog_max))</f>
        <v/>
      </c>
      <c r="AH96" s="4" t="n"/>
      <c r="AI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18">
        <f>IF(tblOrdenes[[#This Row],[orden]]="","",_xlfn.XLOOKUP(tblOrdenes[[#This Row],[id_operacion]],tblEjecucion[id_operacion],tblEjecucion[precio],0))</f>
        <v/>
      </c>
      <c r="AM96" s="18">
        <f>IF(tblOrdenes[[#This Row],[orden]]="","",MAX(0,_xlfn.XLOOKUP(tblOrdenes[[#This Row],[id_operacion]],tblEjecucion[id_operacion],tblEjecucion[costo_plan_total],0)-tblOrdenes[[#This Row],[costo_servicio]]))</f>
        <v/>
      </c>
      <c r="AN96" s="18">
        <f>IF(tblOrdenes[[#This Row],[orden]]="","",tblOrdenes[[#This Row],[costo_servicio]]+tblOrdenes[[#This Row],[costo_materiales]])</f>
        <v/>
      </c>
      <c r="AO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n"/>
      <c r="AQ96" s="4" t="n"/>
      <c r="AR96" s="4" t="n"/>
      <c r="AS96" s="5">
        <f>IF(tblOrdenes[[#This Row],[link_checklist]]="","",HYPERLINK(p_ruta_base_checklists&amp;tblOrdenes[[#This Row],[link_checklist]],"abrir"))</f>
        <v/>
      </c>
      <c r="AT96" s="4" t="n"/>
      <c r="AU96" s="5">
        <f>IF(tblOrdenes[[#This Row],[orden]]="","",tblOrdenes[[#This Row],[orden]]&amp;IF(tblOrdenes[[#This Row],[operacion]]="","0010",tblOrdenes[[#This Row],[operacion]]))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25" t="n"/>
      <c r="K97" s="5" t="n"/>
      <c r="L97" s="18" t="n"/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Row],[fecha_inicio]]="","",tblOrdenes[[#This Row],[anio]]&amp;"-"&amp;TEXT(tblOrdenes[[#This Row],[mes]],"00"))</f>
        <v/>
      </c>
      <c r="S97" s="5">
        <f>IF(tblOrdenes[[#This Row],[fecha_inicio]]="","",INDEX(lista_dias,WEEKDAY(tblOrdenes[[#This Row],[fecha_inicio]],2)))</f>
        <v/>
      </c>
      <c r="T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5">
        <f>IF(tblOrdenes[[#This Row],[tipo_ot]]="","",_xlfn.XLOOKUP(tblOrdenes[[#This Row],[tipo_ot]],tblTiposOT[codigo],tblTiposOT[clasificacion],"sin_clasificar"))</f>
        <v/>
      </c>
      <c r="V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5">
        <f>IF(tblOrdenes[[#This Row],[centro_costo]]="","",_xlfn.XLOOKUP(tblOrdenes[[#This Row],[centro_costo]],tblCECO[codigo],tblCECO[linea],"(sin catálogo)"))</f>
        <v/>
      </c>
      <c r="Y97" s="5">
        <f>IF(tblOrdenes[[#This Row],[centro_costo]]="","",_xlfn.XLOOKUP(tblOrdenes[[#This Row],[centro_costo]],tblCECO[codigo],tblCECO[area],"(sin catálogo)"))</f>
        <v/>
      </c>
      <c r="Z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5">
        <f>IF(tblOrdenes[[#This Row],[centro_costo]]="","",_xlfn.XLOOKUP(tblOrdenes[[#This Row],[centro_costo]],tblCECO[codigo],tblCECO[coordinador],"(sin catálogo)"))</f>
        <v/>
      </c>
      <c r="AB97" s="5">
        <f>IF(tblOrdenes[[#This Row],[puesto_trabajo]]="","",_xlfn.XLOOKUP(tblOrdenes[[#This Row],[puesto_trabajo]],tblPuestos[codigo],tblPuestos[especialidad],"(sin catálogo)"))</f>
        <v/>
      </c>
      <c r="AC97" s="5">
        <f>IF(tblOrdenes[[#This Row],[cod_actividad]]="","",_xlfn.XLOOKUP(tblOrdenes[[#This Row],[cod_actividad]],tblActividades[codigo],tblActividades[descripcion],"(sin catálogo)"))</f>
        <v/>
      </c>
      <c r="AD97" s="23">
        <f>IF(tblOrdenes[[#This Row],[fecha_inicio]]="","",TODAY()-tblOrdenes[[#This Row],[fecha_inicio]])</f>
        <v/>
      </c>
      <c r="AE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5">
        <f>IF(tblOrdenes[[#This Row],[backlog_habiles]]="","",IF(tblOrdenes[[#This Row],[backlog_habiles]]&lt;0,"FUTURO",IF(tblOrdenes[[#This Row],[backlog_habiles]]&gt;p_dias_backlog_max,"BACKLOG","MES CORRIENTE")))</f>
        <v/>
      </c>
      <c r="AG97" s="5">
        <f>IF(tblOrdenes[[#This Row],[backlog_habiles]]="",FALSE,AND(tblOrdenes[[#This Row],[backlog_habiles]]&gt;p_dias_backlog_min,tblOrdenes[[#This Row],[backlog_habiles]]&lt;=p_dias_backlog_max))</f>
        <v/>
      </c>
      <c r="AH97" s="4" t="n"/>
      <c r="AI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18">
        <f>IF(tblOrdenes[[#This Row],[orden]]="","",_xlfn.XLOOKUP(tblOrdenes[[#This Row],[id_operacion]],tblEjecucion[id_operacion],tblEjecucion[precio],0))</f>
        <v/>
      </c>
      <c r="AM97" s="18">
        <f>IF(tblOrdenes[[#This Row],[orden]]="","",MAX(0,_xlfn.XLOOKUP(tblOrdenes[[#This Row],[id_operacion]],tblEjecucion[id_operacion],tblEjecucion[costo_plan_total],0)-tblOrdenes[[#This Row],[costo_servicio]]))</f>
        <v/>
      </c>
      <c r="AN97" s="18">
        <f>IF(tblOrdenes[[#This Row],[orden]]="","",tblOrdenes[[#This Row],[costo_servicio]]+tblOrdenes[[#This Row],[costo_materiales]])</f>
        <v/>
      </c>
      <c r="AO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n"/>
      <c r="AQ97" s="4" t="n"/>
      <c r="AR97" s="4" t="n"/>
      <c r="AS97" s="5">
        <f>IF(tblOrdenes[[#This Row],[link_checklist]]="","",HYPERLINK(p_ruta_base_checklists&amp;tblOrdenes[[#This Row],[link_checklist]],"abrir"))</f>
        <v/>
      </c>
      <c r="AT97" s="4" t="n"/>
      <c r="AU97" s="5">
        <f>IF(tblOrdenes[[#This Row],[orden]]="","",tblOrdenes[[#This Row],[orden]]&amp;IF(tblOrdenes[[#This Row],[operacion]]="","0010",tblOrdenes[[#This Row],[operacion]]))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25" t="n"/>
      <c r="K98" s="5" t="n"/>
      <c r="L98" s="18" t="n"/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Row],[fecha_inicio]]="","",tblOrdenes[[#This Row],[anio]]&amp;"-"&amp;TEXT(tblOrdenes[[#This Row],[mes]],"00"))</f>
        <v/>
      </c>
      <c r="S98" s="5">
        <f>IF(tblOrdenes[[#This Row],[fecha_inicio]]="","",INDEX(lista_dias,WEEKDAY(tblOrdenes[[#This Row],[fecha_inicio]],2)))</f>
        <v/>
      </c>
      <c r="T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5">
        <f>IF(tblOrdenes[[#This Row],[tipo_ot]]="","",_xlfn.XLOOKUP(tblOrdenes[[#This Row],[tipo_ot]],tblTiposOT[codigo],tblTiposOT[clasificacion],"sin_clasificar"))</f>
        <v/>
      </c>
      <c r="V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5">
        <f>IF(tblOrdenes[[#This Row],[centro_costo]]="","",_xlfn.XLOOKUP(tblOrdenes[[#This Row],[centro_costo]],tblCECO[codigo],tblCECO[linea],"(sin catálogo)"))</f>
        <v/>
      </c>
      <c r="Y98" s="5">
        <f>IF(tblOrdenes[[#This Row],[centro_costo]]="","",_xlfn.XLOOKUP(tblOrdenes[[#This Row],[centro_costo]],tblCECO[codigo],tblCECO[area],"(sin catálogo)"))</f>
        <v/>
      </c>
      <c r="Z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5">
        <f>IF(tblOrdenes[[#This Row],[centro_costo]]="","",_xlfn.XLOOKUP(tblOrdenes[[#This Row],[centro_costo]],tblCECO[codigo],tblCECO[coordinador],"(sin catálogo)"))</f>
        <v/>
      </c>
      <c r="AB98" s="5">
        <f>IF(tblOrdenes[[#This Row],[puesto_trabajo]]="","",_xlfn.XLOOKUP(tblOrdenes[[#This Row],[puesto_trabajo]],tblPuestos[codigo],tblPuestos[especialidad],"(sin catálogo)"))</f>
        <v/>
      </c>
      <c r="AC98" s="5">
        <f>IF(tblOrdenes[[#This Row],[cod_actividad]]="","",_xlfn.XLOOKUP(tblOrdenes[[#This Row],[cod_actividad]],tblActividades[codigo],tblActividades[descripcion],"(sin catálogo)"))</f>
        <v/>
      </c>
      <c r="AD98" s="23">
        <f>IF(tblOrdenes[[#This Row],[fecha_inicio]]="","",TODAY()-tblOrdenes[[#This Row],[fecha_inicio]])</f>
        <v/>
      </c>
      <c r="AE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5">
        <f>IF(tblOrdenes[[#This Row],[backlog_habiles]]="","",IF(tblOrdenes[[#This Row],[backlog_habiles]]&lt;0,"FUTURO",IF(tblOrdenes[[#This Row],[backlog_habiles]]&gt;p_dias_backlog_max,"BACKLOG","MES CORRIENTE")))</f>
        <v/>
      </c>
      <c r="AG98" s="5">
        <f>IF(tblOrdenes[[#This Row],[backlog_habiles]]="",FALSE,AND(tblOrdenes[[#This Row],[backlog_habiles]]&gt;p_dias_backlog_min,tblOrdenes[[#This Row],[backlog_habiles]]&lt;=p_dias_backlog_max))</f>
        <v/>
      </c>
      <c r="AH98" s="4" t="n"/>
      <c r="AI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18">
        <f>IF(tblOrdenes[[#This Row],[orden]]="","",_xlfn.XLOOKUP(tblOrdenes[[#This Row],[id_operacion]],tblEjecucion[id_operacion],tblEjecucion[precio],0))</f>
        <v/>
      </c>
      <c r="AM98" s="18">
        <f>IF(tblOrdenes[[#This Row],[orden]]="","",MAX(0,_xlfn.XLOOKUP(tblOrdenes[[#This Row],[id_operacion]],tblEjecucion[id_operacion],tblEjecucion[costo_plan_total],0)-tblOrdenes[[#This Row],[costo_servicio]]))</f>
        <v/>
      </c>
      <c r="AN98" s="18">
        <f>IF(tblOrdenes[[#This Row],[orden]]="","",tblOrdenes[[#This Row],[costo_servicio]]+tblOrdenes[[#This Row],[costo_materiales]])</f>
        <v/>
      </c>
      <c r="AO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n"/>
      <c r="AQ98" s="4" t="n"/>
      <c r="AR98" s="4" t="n"/>
      <c r="AS98" s="5">
        <f>IF(tblOrdenes[[#This Row],[link_checklist]]="","",HYPERLINK(p_ruta_base_checklists&amp;tblOrdenes[[#This Row],[link_checklist]],"abrir"))</f>
        <v/>
      </c>
      <c r="AT98" s="4" t="n"/>
      <c r="AU98" s="5">
        <f>IF(tblOrdenes[[#This Row],[orden]]="","",tblOrdenes[[#This Row],[orden]]&amp;IF(tblOrdenes[[#This Row],[operacion]]="","0010",tblOrdenes[[#This Row],[operacion]]))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25" t="n"/>
      <c r="K99" s="5" t="n"/>
      <c r="L99" s="18" t="n"/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Row],[fecha_inicio]]="","",tblOrdenes[[#This Row],[anio]]&amp;"-"&amp;TEXT(tblOrdenes[[#This Row],[mes]],"00"))</f>
        <v/>
      </c>
      <c r="S99" s="5">
        <f>IF(tblOrdenes[[#This Row],[fecha_inicio]]="","",INDEX(lista_dias,WEEKDAY(tblOrdenes[[#This Row],[fecha_inicio]],2)))</f>
        <v/>
      </c>
      <c r="T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5">
        <f>IF(tblOrdenes[[#This Row],[tipo_ot]]="","",_xlfn.XLOOKUP(tblOrdenes[[#This Row],[tipo_ot]],tblTiposOT[codigo],tblTiposOT[clasificacion],"sin_clasificar"))</f>
        <v/>
      </c>
      <c r="V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5">
        <f>IF(tblOrdenes[[#This Row],[centro_costo]]="","",_xlfn.XLOOKUP(tblOrdenes[[#This Row],[centro_costo]],tblCECO[codigo],tblCECO[linea],"(sin catálogo)"))</f>
        <v/>
      </c>
      <c r="Y99" s="5">
        <f>IF(tblOrdenes[[#This Row],[centro_costo]]="","",_xlfn.XLOOKUP(tblOrdenes[[#This Row],[centro_costo]],tblCECO[codigo],tblCECO[area],"(sin catálogo)"))</f>
        <v/>
      </c>
      <c r="Z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5">
        <f>IF(tblOrdenes[[#This Row],[centro_costo]]="","",_xlfn.XLOOKUP(tblOrdenes[[#This Row],[centro_costo]],tblCECO[codigo],tblCECO[coordinador],"(sin catálogo)"))</f>
        <v/>
      </c>
      <c r="AB99" s="5">
        <f>IF(tblOrdenes[[#This Row],[puesto_trabajo]]="","",_xlfn.XLOOKUP(tblOrdenes[[#This Row],[puesto_trabajo]],tblPuestos[codigo],tblPuestos[especialidad],"(sin catálogo)"))</f>
        <v/>
      </c>
      <c r="AC99" s="5">
        <f>IF(tblOrdenes[[#This Row],[cod_actividad]]="","",_xlfn.XLOOKUP(tblOrdenes[[#This Row],[cod_actividad]],tblActividades[codigo],tblActividades[descripcion],"(sin catálogo)"))</f>
        <v/>
      </c>
      <c r="AD99" s="23">
        <f>IF(tblOrdenes[[#This Row],[fecha_inicio]]="","",TODAY()-tblOrdenes[[#This Row],[fecha_inicio]])</f>
        <v/>
      </c>
      <c r="AE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5">
        <f>IF(tblOrdenes[[#This Row],[backlog_habiles]]="","",IF(tblOrdenes[[#This Row],[backlog_habiles]]&lt;0,"FUTURO",IF(tblOrdenes[[#This Row],[backlog_habiles]]&gt;p_dias_backlog_max,"BACKLOG","MES CORRIENTE")))</f>
        <v/>
      </c>
      <c r="AG99" s="5">
        <f>IF(tblOrdenes[[#This Row],[backlog_habiles]]="",FALSE,AND(tblOrdenes[[#This Row],[backlog_habiles]]&gt;p_dias_backlog_min,tblOrdenes[[#This Row],[backlog_habiles]]&lt;=p_dias_backlog_max))</f>
        <v/>
      </c>
      <c r="AH99" s="4" t="n"/>
      <c r="AI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18">
        <f>IF(tblOrdenes[[#This Row],[orden]]="","",_xlfn.XLOOKUP(tblOrdenes[[#This Row],[id_operacion]],tblEjecucion[id_operacion],tblEjecucion[precio],0))</f>
        <v/>
      </c>
      <c r="AM99" s="18">
        <f>IF(tblOrdenes[[#This Row],[orden]]="","",MAX(0,_xlfn.XLOOKUP(tblOrdenes[[#This Row],[id_operacion]],tblEjecucion[id_operacion],tblEjecucion[costo_plan_total],0)-tblOrdenes[[#This Row],[costo_servicio]]))</f>
        <v/>
      </c>
      <c r="AN99" s="18">
        <f>IF(tblOrdenes[[#This Row],[orden]]="","",tblOrdenes[[#This Row],[costo_servicio]]+tblOrdenes[[#This Row],[costo_materiales]])</f>
        <v/>
      </c>
      <c r="AO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n"/>
      <c r="AQ99" s="4" t="n"/>
      <c r="AR99" s="4" t="n"/>
      <c r="AS99" s="5">
        <f>IF(tblOrdenes[[#This Row],[link_checklist]]="","",HYPERLINK(p_ruta_base_checklists&amp;tblOrdenes[[#This Row],[link_checklist]],"abrir"))</f>
        <v/>
      </c>
      <c r="AT99" s="4" t="n"/>
      <c r="AU99" s="5">
        <f>IF(tblOrdenes[[#This Row],[orden]]="","",tblOrdenes[[#This Row],[orden]]&amp;IF(tblOrdenes[[#This Row],[operacion]]="","0010",tblOrdenes[[#This Row],[operacion]]))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25" t="n"/>
      <c r="K100" s="5" t="n"/>
      <c r="L100" s="18" t="n"/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Row],[fecha_inicio]]="","",tblOrdenes[[#This Row],[anio]]&amp;"-"&amp;TEXT(tblOrdenes[[#This Row],[mes]],"00"))</f>
        <v/>
      </c>
      <c r="S100" s="5">
        <f>IF(tblOrdenes[[#This Row],[fecha_inicio]]="","",INDEX(lista_dias,WEEKDAY(tblOrdenes[[#This Row],[fecha_inicio]],2)))</f>
        <v/>
      </c>
      <c r="T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5">
        <f>IF(tblOrdenes[[#This Row],[tipo_ot]]="","",_xlfn.XLOOKUP(tblOrdenes[[#This Row],[tipo_ot]],tblTiposOT[codigo],tblTiposOT[clasificacion],"sin_clasificar"))</f>
        <v/>
      </c>
      <c r="V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5">
        <f>IF(tblOrdenes[[#This Row],[centro_costo]]="","",_xlfn.XLOOKUP(tblOrdenes[[#This Row],[centro_costo]],tblCECO[codigo],tblCECO[linea],"(sin catálogo)"))</f>
        <v/>
      </c>
      <c r="Y100" s="5">
        <f>IF(tblOrdenes[[#This Row],[centro_costo]]="","",_xlfn.XLOOKUP(tblOrdenes[[#This Row],[centro_costo]],tblCECO[codigo],tblCECO[area],"(sin catálogo)"))</f>
        <v/>
      </c>
      <c r="Z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5">
        <f>IF(tblOrdenes[[#This Row],[centro_costo]]="","",_xlfn.XLOOKUP(tblOrdenes[[#This Row],[centro_costo]],tblCECO[codigo],tblCECO[coordinador],"(sin catálogo)"))</f>
        <v/>
      </c>
      <c r="AB100" s="5">
        <f>IF(tblOrdenes[[#This Row],[puesto_trabajo]]="","",_xlfn.XLOOKUP(tblOrdenes[[#This Row],[puesto_trabajo]],tblPuestos[codigo],tblPuestos[especialidad],"(sin catálogo)"))</f>
        <v/>
      </c>
      <c r="AC100" s="5">
        <f>IF(tblOrdenes[[#This Row],[cod_actividad]]="","",_xlfn.XLOOKUP(tblOrdenes[[#This Row],[cod_actividad]],tblActividades[codigo],tblActividades[descripcion],"(sin catálogo)"))</f>
        <v/>
      </c>
      <c r="AD100" s="23">
        <f>IF(tblOrdenes[[#This Row],[fecha_inicio]]="","",TODAY()-tblOrdenes[[#This Row],[fecha_inicio]])</f>
        <v/>
      </c>
      <c r="AE1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5">
        <f>IF(tblOrdenes[[#This Row],[backlog_habiles]]="","",IF(tblOrdenes[[#This Row],[backlog_habiles]]&lt;0,"FUTURO",IF(tblOrdenes[[#This Row],[backlog_habiles]]&gt;p_dias_backlog_max,"BACKLOG","MES CORRIENTE")))</f>
        <v/>
      </c>
      <c r="AG100" s="5">
        <f>IF(tblOrdenes[[#This Row],[backlog_habiles]]="",FALSE,AND(tblOrdenes[[#This Row],[backlog_habiles]]&gt;p_dias_backlog_min,tblOrdenes[[#This Row],[backlog_habiles]]&lt;=p_dias_backlog_max))</f>
        <v/>
      </c>
      <c r="AH100" s="4" t="n"/>
      <c r="AI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18">
        <f>IF(tblOrdenes[[#This Row],[orden]]="","",_xlfn.XLOOKUP(tblOrdenes[[#This Row],[id_operacion]],tblEjecucion[id_operacion],tblEjecucion[precio],0))</f>
        <v/>
      </c>
      <c r="AM100" s="18">
        <f>IF(tblOrdenes[[#This Row],[orden]]="","",MAX(0,_xlfn.XLOOKUP(tblOrdenes[[#This Row],[id_operacion]],tblEjecucion[id_operacion],tblEjecucion[costo_plan_total],0)-tblOrdenes[[#This Row],[costo_servicio]]))</f>
        <v/>
      </c>
      <c r="AN100" s="18">
        <f>IF(tblOrdenes[[#This Row],[orden]]="","",tblOrdenes[[#This Row],[costo_servicio]]+tblOrdenes[[#This Row],[costo_materiales]])</f>
        <v/>
      </c>
      <c r="AO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n"/>
      <c r="AQ100" s="4" t="n"/>
      <c r="AR100" s="4" t="n"/>
      <c r="AS100" s="5">
        <f>IF(tblOrdenes[[#This Row],[link_checklist]]="","",HYPERLINK(p_ruta_base_checklists&amp;tblOrdenes[[#This Row],[link_checklist]],"abrir"))</f>
        <v/>
      </c>
      <c r="AT100" s="4" t="n"/>
      <c r="AU100" s="5">
        <f>IF(tblOrdenes[[#This Row],[orden]]="","",tblOrdenes[[#This Row],[orden]]&amp;IF(tblOrdenes[[#This Row],[operacion]]="","0010",tblOrdenes[[#This Row],[operacion]]))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25" t="n"/>
      <c r="K101" s="5" t="n"/>
      <c r="L101" s="18" t="n"/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Row],[fecha_inicio]]="","",tblOrdenes[[#This Row],[anio]]&amp;"-"&amp;TEXT(tblOrdenes[[#This Row],[mes]],"00"))</f>
        <v/>
      </c>
      <c r="S101" s="5">
        <f>IF(tblOrdenes[[#This Row],[fecha_inicio]]="","",INDEX(lista_dias,WEEKDAY(tblOrdenes[[#This Row],[fecha_inicio]],2)))</f>
        <v/>
      </c>
      <c r="T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5">
        <f>IF(tblOrdenes[[#This Row],[tipo_ot]]="","",_xlfn.XLOOKUP(tblOrdenes[[#This Row],[tipo_ot]],tblTiposOT[codigo],tblTiposOT[clasificacion],"sin_clasificar"))</f>
        <v/>
      </c>
      <c r="V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5">
        <f>IF(tblOrdenes[[#This Row],[centro_costo]]="","",_xlfn.XLOOKUP(tblOrdenes[[#This Row],[centro_costo]],tblCECO[codigo],tblCECO[linea],"(sin catálogo)"))</f>
        <v/>
      </c>
      <c r="Y101" s="5">
        <f>IF(tblOrdenes[[#This Row],[centro_costo]]="","",_xlfn.XLOOKUP(tblOrdenes[[#This Row],[centro_costo]],tblCECO[codigo],tblCECO[area],"(sin catálogo)"))</f>
        <v/>
      </c>
      <c r="Z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5">
        <f>IF(tblOrdenes[[#This Row],[centro_costo]]="","",_xlfn.XLOOKUP(tblOrdenes[[#This Row],[centro_costo]],tblCECO[codigo],tblCECO[coordinador],"(sin catálogo)"))</f>
        <v/>
      </c>
      <c r="AB101" s="5">
        <f>IF(tblOrdenes[[#This Row],[puesto_trabajo]]="","",_xlfn.XLOOKUP(tblOrdenes[[#This Row],[puesto_trabajo]],tblPuestos[codigo],tblPuestos[especialidad],"(sin catálogo)"))</f>
        <v/>
      </c>
      <c r="AC101" s="5">
        <f>IF(tblOrdenes[[#This Row],[cod_actividad]]="","",_xlfn.XLOOKUP(tblOrdenes[[#This Row],[cod_actividad]],tblActividades[codigo],tblActividades[descripcion],"(sin catálogo)"))</f>
        <v/>
      </c>
      <c r="AD101" s="23">
        <f>IF(tblOrdenes[[#This Row],[fecha_inicio]]="","",TODAY()-tblOrdenes[[#This Row],[fecha_inicio]])</f>
        <v/>
      </c>
      <c r="AE1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5">
        <f>IF(tblOrdenes[[#This Row],[backlog_habiles]]="","",IF(tblOrdenes[[#This Row],[backlog_habiles]]&lt;0,"FUTURO",IF(tblOrdenes[[#This Row],[backlog_habiles]]&gt;p_dias_backlog_max,"BACKLOG","MES CORRIENTE")))</f>
        <v/>
      </c>
      <c r="AG101" s="5">
        <f>IF(tblOrdenes[[#This Row],[backlog_habiles]]="",FALSE,AND(tblOrdenes[[#This Row],[backlog_habiles]]&gt;p_dias_backlog_min,tblOrdenes[[#This Row],[backlog_habiles]]&lt;=p_dias_backlog_max))</f>
        <v/>
      </c>
      <c r="AH101" s="4" t="n"/>
      <c r="AI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18">
        <f>IF(tblOrdenes[[#This Row],[orden]]="","",_xlfn.XLOOKUP(tblOrdenes[[#This Row],[id_operacion]],tblEjecucion[id_operacion],tblEjecucion[precio],0))</f>
        <v/>
      </c>
      <c r="AM101" s="18">
        <f>IF(tblOrdenes[[#This Row],[orden]]="","",MAX(0,_xlfn.XLOOKUP(tblOrdenes[[#This Row],[id_operacion]],tblEjecucion[id_operacion],tblEjecucion[costo_plan_total],0)-tblOrdenes[[#This Row],[costo_servicio]]))</f>
        <v/>
      </c>
      <c r="AN101" s="18">
        <f>IF(tblOrdenes[[#This Row],[orden]]="","",tblOrdenes[[#This Row],[costo_servicio]]+tblOrdenes[[#This Row],[costo_materiales]])</f>
        <v/>
      </c>
      <c r="AO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n"/>
      <c r="AQ101" s="4" t="n"/>
      <c r="AR101" s="4" t="n"/>
      <c r="AS101" s="5">
        <f>IF(tblOrdenes[[#This Row],[link_checklist]]="","",HYPERLINK(p_ruta_base_checklists&amp;tblOrdenes[[#This Row],[link_checklist]],"abrir"))</f>
        <v/>
      </c>
      <c r="AT101" s="4" t="n"/>
      <c r="AU101" s="5">
        <f>IF(tblOrdenes[[#This Row],[orden]]="","",tblOrdenes[[#This Row],[orden]]&amp;IF(tblOrdenes[[#This Row],[operacion]]="","0010",tblOrdenes[[#This Row],[operacion]]))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25" t="n"/>
      <c r="K102" s="5" t="n"/>
      <c r="L102" s="18" t="n"/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Row],[fecha_inicio]]="","",tblOrdenes[[#This Row],[anio]]&amp;"-"&amp;TEXT(tblOrdenes[[#This Row],[mes]],"00"))</f>
        <v/>
      </c>
      <c r="S102" s="5">
        <f>IF(tblOrdenes[[#This Row],[fecha_inicio]]="","",INDEX(lista_dias,WEEKDAY(tblOrdenes[[#This Row],[fecha_inicio]],2)))</f>
        <v/>
      </c>
      <c r="T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5">
        <f>IF(tblOrdenes[[#This Row],[tipo_ot]]="","",_xlfn.XLOOKUP(tblOrdenes[[#This Row],[tipo_ot]],tblTiposOT[codigo],tblTiposOT[clasificacion],"sin_clasificar"))</f>
        <v/>
      </c>
      <c r="V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5">
        <f>IF(tblOrdenes[[#This Row],[centro_costo]]="","",_xlfn.XLOOKUP(tblOrdenes[[#This Row],[centro_costo]],tblCECO[codigo],tblCECO[linea],"(sin catálogo)"))</f>
        <v/>
      </c>
      <c r="Y102" s="5">
        <f>IF(tblOrdenes[[#This Row],[centro_costo]]="","",_xlfn.XLOOKUP(tblOrdenes[[#This Row],[centro_costo]],tblCECO[codigo],tblCECO[area],"(sin catálogo)"))</f>
        <v/>
      </c>
      <c r="Z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5">
        <f>IF(tblOrdenes[[#This Row],[centro_costo]]="","",_xlfn.XLOOKUP(tblOrdenes[[#This Row],[centro_costo]],tblCECO[codigo],tblCECO[coordinador],"(sin catálogo)"))</f>
        <v/>
      </c>
      <c r="AB102" s="5">
        <f>IF(tblOrdenes[[#This Row],[puesto_trabajo]]="","",_xlfn.XLOOKUP(tblOrdenes[[#This Row],[puesto_trabajo]],tblPuestos[codigo],tblPuestos[especialidad],"(sin catálogo)"))</f>
        <v/>
      </c>
      <c r="AC102" s="5">
        <f>IF(tblOrdenes[[#This Row],[cod_actividad]]="","",_xlfn.XLOOKUP(tblOrdenes[[#This Row],[cod_actividad]],tblActividades[codigo],tblActividades[descripcion],"(sin catálogo)"))</f>
        <v/>
      </c>
      <c r="AD102" s="23">
        <f>IF(tblOrdenes[[#This Row],[fecha_inicio]]="","",TODAY()-tblOrdenes[[#This Row],[fecha_inicio]])</f>
        <v/>
      </c>
      <c r="AE1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5">
        <f>IF(tblOrdenes[[#This Row],[backlog_habiles]]="","",IF(tblOrdenes[[#This Row],[backlog_habiles]]&lt;0,"FUTURO",IF(tblOrdenes[[#This Row],[backlog_habiles]]&gt;p_dias_backlog_max,"BACKLOG","MES CORRIENTE")))</f>
        <v/>
      </c>
      <c r="AG102" s="5">
        <f>IF(tblOrdenes[[#This Row],[backlog_habiles]]="",FALSE,AND(tblOrdenes[[#This Row],[backlog_habiles]]&gt;p_dias_backlog_min,tblOrdenes[[#This Row],[backlog_habiles]]&lt;=p_dias_backlog_max))</f>
        <v/>
      </c>
      <c r="AH102" s="4" t="n"/>
      <c r="AI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18">
        <f>IF(tblOrdenes[[#This Row],[orden]]="","",_xlfn.XLOOKUP(tblOrdenes[[#This Row],[id_operacion]],tblEjecucion[id_operacion],tblEjecucion[precio],0))</f>
        <v/>
      </c>
      <c r="AM102" s="18">
        <f>IF(tblOrdenes[[#This Row],[orden]]="","",MAX(0,_xlfn.XLOOKUP(tblOrdenes[[#This Row],[id_operacion]],tblEjecucion[id_operacion],tblEjecucion[costo_plan_total],0)-tblOrdenes[[#This Row],[costo_servicio]]))</f>
        <v/>
      </c>
      <c r="AN102" s="18">
        <f>IF(tblOrdenes[[#This Row],[orden]]="","",tblOrdenes[[#This Row],[costo_servicio]]+tblOrdenes[[#This Row],[costo_materiales]])</f>
        <v/>
      </c>
      <c r="AO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n"/>
      <c r="AQ102" s="4" t="n"/>
      <c r="AR102" s="4" t="n"/>
      <c r="AS102" s="5">
        <f>IF(tblOrdenes[[#This Row],[link_checklist]]="","",HYPERLINK(p_ruta_base_checklists&amp;tblOrdenes[[#This Row],[link_checklist]],"abrir"))</f>
        <v/>
      </c>
      <c r="AT102" s="4" t="n"/>
      <c r="AU102" s="5">
        <f>IF(tblOrdenes[[#This Row],[orden]]="","",tblOrdenes[[#This Row],[orden]]&amp;IF(tblOrdenes[[#This Row],[operacion]]="","0010",tblOrdenes[[#This Row],[operacion]]))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25" t="n"/>
      <c r="K103" s="5" t="n"/>
      <c r="L103" s="18" t="n"/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Row],[fecha_inicio]]="","",tblOrdenes[[#This Row],[anio]]&amp;"-"&amp;TEXT(tblOrdenes[[#This Row],[mes]],"00"))</f>
        <v/>
      </c>
      <c r="S103" s="5">
        <f>IF(tblOrdenes[[#This Row],[fecha_inicio]]="","",INDEX(lista_dias,WEEKDAY(tblOrdenes[[#This Row],[fecha_inicio]],2)))</f>
        <v/>
      </c>
      <c r="T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5">
        <f>IF(tblOrdenes[[#This Row],[tipo_ot]]="","",_xlfn.XLOOKUP(tblOrdenes[[#This Row],[tipo_ot]],tblTiposOT[codigo],tblTiposOT[clasificacion],"sin_clasificar"))</f>
        <v/>
      </c>
      <c r="V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5">
        <f>IF(tblOrdenes[[#This Row],[centro_costo]]="","",_xlfn.XLOOKUP(tblOrdenes[[#This Row],[centro_costo]],tblCECO[codigo],tblCECO[linea],"(sin catálogo)"))</f>
        <v/>
      </c>
      <c r="Y103" s="5">
        <f>IF(tblOrdenes[[#This Row],[centro_costo]]="","",_xlfn.XLOOKUP(tblOrdenes[[#This Row],[centro_costo]],tblCECO[codigo],tblCECO[area],"(sin catálogo)"))</f>
        <v/>
      </c>
      <c r="Z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5">
        <f>IF(tblOrdenes[[#This Row],[centro_costo]]="","",_xlfn.XLOOKUP(tblOrdenes[[#This Row],[centro_costo]],tblCECO[codigo],tblCECO[coordinador],"(sin catálogo)"))</f>
        <v/>
      </c>
      <c r="AB103" s="5">
        <f>IF(tblOrdenes[[#This Row],[puesto_trabajo]]="","",_xlfn.XLOOKUP(tblOrdenes[[#This Row],[puesto_trabajo]],tblPuestos[codigo],tblPuestos[especialidad],"(sin catálogo)"))</f>
        <v/>
      </c>
      <c r="AC103" s="5">
        <f>IF(tblOrdenes[[#This Row],[cod_actividad]]="","",_xlfn.XLOOKUP(tblOrdenes[[#This Row],[cod_actividad]],tblActividades[codigo],tblActividades[descripcion],"(sin catálogo)"))</f>
        <v/>
      </c>
      <c r="AD103" s="23">
        <f>IF(tblOrdenes[[#This Row],[fecha_inicio]]="","",TODAY()-tblOrdenes[[#This Row],[fecha_inicio]])</f>
        <v/>
      </c>
      <c r="AE1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5">
        <f>IF(tblOrdenes[[#This Row],[backlog_habiles]]="","",IF(tblOrdenes[[#This Row],[backlog_habiles]]&lt;0,"FUTURO",IF(tblOrdenes[[#This Row],[backlog_habiles]]&gt;p_dias_backlog_max,"BACKLOG","MES CORRIENTE")))</f>
        <v/>
      </c>
      <c r="AG103" s="5">
        <f>IF(tblOrdenes[[#This Row],[backlog_habiles]]="",FALSE,AND(tblOrdenes[[#This Row],[backlog_habiles]]&gt;p_dias_backlog_min,tblOrdenes[[#This Row],[backlog_habiles]]&lt;=p_dias_backlog_max))</f>
        <v/>
      </c>
      <c r="AH103" s="4" t="n"/>
      <c r="AI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18">
        <f>IF(tblOrdenes[[#This Row],[orden]]="","",_xlfn.XLOOKUP(tblOrdenes[[#This Row],[id_operacion]],tblEjecucion[id_operacion],tblEjecucion[precio],0))</f>
        <v/>
      </c>
      <c r="AM103" s="18">
        <f>IF(tblOrdenes[[#This Row],[orden]]="","",MAX(0,_xlfn.XLOOKUP(tblOrdenes[[#This Row],[id_operacion]],tblEjecucion[id_operacion],tblEjecucion[costo_plan_total],0)-tblOrdenes[[#This Row],[costo_servicio]]))</f>
        <v/>
      </c>
      <c r="AN103" s="18">
        <f>IF(tblOrdenes[[#This Row],[orden]]="","",tblOrdenes[[#This Row],[costo_servicio]]+tblOrdenes[[#This Row],[costo_materiales]])</f>
        <v/>
      </c>
      <c r="AO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n"/>
      <c r="AQ103" s="4" t="n"/>
      <c r="AR103" s="4" t="n"/>
      <c r="AS103" s="5">
        <f>IF(tblOrdenes[[#This Row],[link_checklist]]="","",HYPERLINK(p_ruta_base_checklists&amp;tblOrdenes[[#This Row],[link_checklist]],"abrir"))</f>
        <v/>
      </c>
      <c r="AT103" s="4" t="n"/>
      <c r="AU103" s="5">
        <f>IF(tblOrdenes[[#This Row],[orden]]="","",tblOrdenes[[#This Row],[orden]]&amp;IF(tblOrdenes[[#This Row],[operacion]]="","0010",tblOrdenes[[#This Row],[operacion]]))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25" t="n"/>
      <c r="K104" s="5" t="n"/>
      <c r="L104" s="18" t="n"/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Row],[fecha_inicio]]="","",tblOrdenes[[#This Row],[anio]]&amp;"-"&amp;TEXT(tblOrdenes[[#This Row],[mes]],"00"))</f>
        <v/>
      </c>
      <c r="S104" s="5">
        <f>IF(tblOrdenes[[#This Row],[fecha_inicio]]="","",INDEX(lista_dias,WEEKDAY(tblOrdenes[[#This Row],[fecha_inicio]],2)))</f>
        <v/>
      </c>
      <c r="T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5">
        <f>IF(tblOrdenes[[#This Row],[tipo_ot]]="","",_xlfn.XLOOKUP(tblOrdenes[[#This Row],[tipo_ot]],tblTiposOT[codigo],tblTiposOT[clasificacion],"sin_clasificar"))</f>
        <v/>
      </c>
      <c r="V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5">
        <f>IF(tblOrdenes[[#This Row],[centro_costo]]="","",_xlfn.XLOOKUP(tblOrdenes[[#This Row],[centro_costo]],tblCECO[codigo],tblCECO[linea],"(sin catálogo)"))</f>
        <v/>
      </c>
      <c r="Y104" s="5">
        <f>IF(tblOrdenes[[#This Row],[centro_costo]]="","",_xlfn.XLOOKUP(tblOrdenes[[#This Row],[centro_costo]],tblCECO[codigo],tblCECO[area],"(sin catálogo)"))</f>
        <v/>
      </c>
      <c r="Z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5">
        <f>IF(tblOrdenes[[#This Row],[centro_costo]]="","",_xlfn.XLOOKUP(tblOrdenes[[#This Row],[centro_costo]],tblCECO[codigo],tblCECO[coordinador],"(sin catálogo)"))</f>
        <v/>
      </c>
      <c r="AB104" s="5">
        <f>IF(tblOrdenes[[#This Row],[puesto_trabajo]]="","",_xlfn.XLOOKUP(tblOrdenes[[#This Row],[puesto_trabajo]],tblPuestos[codigo],tblPuestos[especialidad],"(sin catálogo)"))</f>
        <v/>
      </c>
      <c r="AC104" s="5">
        <f>IF(tblOrdenes[[#This Row],[cod_actividad]]="","",_xlfn.XLOOKUP(tblOrdenes[[#This Row],[cod_actividad]],tblActividades[codigo],tblActividades[descripcion],"(sin catálogo)"))</f>
        <v/>
      </c>
      <c r="AD104" s="23">
        <f>IF(tblOrdenes[[#This Row],[fecha_inicio]]="","",TODAY()-tblOrdenes[[#This Row],[fecha_inicio]])</f>
        <v/>
      </c>
      <c r="AE1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5">
        <f>IF(tblOrdenes[[#This Row],[backlog_habiles]]="","",IF(tblOrdenes[[#This Row],[backlog_habiles]]&lt;0,"FUTURO",IF(tblOrdenes[[#This Row],[backlog_habiles]]&gt;p_dias_backlog_max,"BACKLOG","MES CORRIENTE")))</f>
        <v/>
      </c>
      <c r="AG104" s="5">
        <f>IF(tblOrdenes[[#This Row],[backlog_habiles]]="",FALSE,AND(tblOrdenes[[#This Row],[backlog_habiles]]&gt;p_dias_backlog_min,tblOrdenes[[#This Row],[backlog_habiles]]&lt;=p_dias_backlog_max))</f>
        <v/>
      </c>
      <c r="AH104" s="4" t="n"/>
      <c r="AI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18">
        <f>IF(tblOrdenes[[#This Row],[orden]]="","",_xlfn.XLOOKUP(tblOrdenes[[#This Row],[id_operacion]],tblEjecucion[id_operacion],tblEjecucion[precio],0))</f>
        <v/>
      </c>
      <c r="AM104" s="18">
        <f>IF(tblOrdenes[[#This Row],[orden]]="","",MAX(0,_xlfn.XLOOKUP(tblOrdenes[[#This Row],[id_operacion]],tblEjecucion[id_operacion],tblEjecucion[costo_plan_total],0)-tblOrdenes[[#This Row],[costo_servicio]]))</f>
        <v/>
      </c>
      <c r="AN104" s="18">
        <f>IF(tblOrdenes[[#This Row],[orden]]="","",tblOrdenes[[#This Row],[costo_servicio]]+tblOrdenes[[#This Row],[costo_materiales]])</f>
        <v/>
      </c>
      <c r="AO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n"/>
      <c r="AQ104" s="4" t="n"/>
      <c r="AR104" s="4" t="n"/>
      <c r="AS104" s="5">
        <f>IF(tblOrdenes[[#This Row],[link_checklist]]="","",HYPERLINK(p_ruta_base_checklists&amp;tblOrdenes[[#This Row],[link_checklist]],"abrir"))</f>
        <v/>
      </c>
      <c r="AT104" s="4" t="n"/>
      <c r="AU104" s="5">
        <f>IF(tblOrdenes[[#This Row],[orden]]="","",tblOrdenes[[#This Row],[orden]]&amp;IF(tblOrdenes[[#This Row],[operacion]]="","0010",tblOrdenes[[#This Row],[operacion]]))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25" t="n"/>
      <c r="K105" s="5" t="n"/>
      <c r="L105" s="18" t="n"/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Row],[fecha_inicio]]="","",tblOrdenes[[#This Row],[anio]]&amp;"-"&amp;TEXT(tblOrdenes[[#This Row],[mes]],"00"))</f>
        <v/>
      </c>
      <c r="S105" s="5">
        <f>IF(tblOrdenes[[#This Row],[fecha_inicio]]="","",INDEX(lista_dias,WEEKDAY(tblOrdenes[[#This Row],[fecha_inicio]],2)))</f>
        <v/>
      </c>
      <c r="T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5">
        <f>IF(tblOrdenes[[#This Row],[tipo_ot]]="","",_xlfn.XLOOKUP(tblOrdenes[[#This Row],[tipo_ot]],tblTiposOT[codigo],tblTiposOT[clasificacion],"sin_clasificar"))</f>
        <v/>
      </c>
      <c r="V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5">
        <f>IF(tblOrdenes[[#This Row],[centro_costo]]="","",_xlfn.XLOOKUP(tblOrdenes[[#This Row],[centro_costo]],tblCECO[codigo],tblCECO[linea],"(sin catálogo)"))</f>
        <v/>
      </c>
      <c r="Y105" s="5">
        <f>IF(tblOrdenes[[#This Row],[centro_costo]]="","",_xlfn.XLOOKUP(tblOrdenes[[#This Row],[centro_costo]],tblCECO[codigo],tblCECO[area],"(sin catálogo)"))</f>
        <v/>
      </c>
      <c r="Z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5">
        <f>IF(tblOrdenes[[#This Row],[centro_costo]]="","",_xlfn.XLOOKUP(tblOrdenes[[#This Row],[centro_costo]],tblCECO[codigo],tblCECO[coordinador],"(sin catálogo)"))</f>
        <v/>
      </c>
      <c r="AB105" s="5">
        <f>IF(tblOrdenes[[#This Row],[puesto_trabajo]]="","",_xlfn.XLOOKUP(tblOrdenes[[#This Row],[puesto_trabajo]],tblPuestos[codigo],tblPuestos[especialidad],"(sin catálogo)"))</f>
        <v/>
      </c>
      <c r="AC105" s="5">
        <f>IF(tblOrdenes[[#This Row],[cod_actividad]]="","",_xlfn.XLOOKUP(tblOrdenes[[#This Row],[cod_actividad]],tblActividades[codigo],tblActividades[descripcion],"(sin catálogo)"))</f>
        <v/>
      </c>
      <c r="AD105" s="23">
        <f>IF(tblOrdenes[[#This Row],[fecha_inicio]]="","",TODAY()-tblOrdenes[[#This Row],[fecha_inicio]])</f>
        <v/>
      </c>
      <c r="AE1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5">
        <f>IF(tblOrdenes[[#This Row],[backlog_habiles]]="","",IF(tblOrdenes[[#This Row],[backlog_habiles]]&lt;0,"FUTURO",IF(tblOrdenes[[#This Row],[backlog_habiles]]&gt;p_dias_backlog_max,"BACKLOG","MES CORRIENTE")))</f>
        <v/>
      </c>
      <c r="AG105" s="5">
        <f>IF(tblOrdenes[[#This Row],[backlog_habiles]]="",FALSE,AND(tblOrdenes[[#This Row],[backlog_habiles]]&gt;p_dias_backlog_min,tblOrdenes[[#This Row],[backlog_habiles]]&lt;=p_dias_backlog_max))</f>
        <v/>
      </c>
      <c r="AH105" s="4" t="n"/>
      <c r="AI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18">
        <f>IF(tblOrdenes[[#This Row],[orden]]="","",_xlfn.XLOOKUP(tblOrdenes[[#This Row],[id_operacion]],tblEjecucion[id_operacion],tblEjecucion[precio],0))</f>
        <v/>
      </c>
      <c r="AM105" s="18">
        <f>IF(tblOrdenes[[#This Row],[orden]]="","",MAX(0,_xlfn.XLOOKUP(tblOrdenes[[#This Row],[id_operacion]],tblEjecucion[id_operacion],tblEjecucion[costo_plan_total],0)-tblOrdenes[[#This Row],[costo_servicio]]))</f>
        <v/>
      </c>
      <c r="AN105" s="18">
        <f>IF(tblOrdenes[[#This Row],[orden]]="","",tblOrdenes[[#This Row],[costo_servicio]]+tblOrdenes[[#This Row],[costo_materiales]])</f>
        <v/>
      </c>
      <c r="AO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n"/>
      <c r="AQ105" s="4" t="n"/>
      <c r="AR105" s="4" t="n"/>
      <c r="AS105" s="5">
        <f>IF(tblOrdenes[[#This Row],[link_checklist]]="","",HYPERLINK(p_ruta_base_checklists&amp;tblOrdenes[[#This Row],[link_checklist]],"abrir"))</f>
        <v/>
      </c>
      <c r="AT105" s="4" t="n"/>
      <c r="AU105" s="5">
        <f>IF(tblOrdenes[[#This Row],[orden]]="","",tblOrdenes[[#This Row],[orden]]&amp;IF(tblOrdenes[[#This Row],[operacion]]="","0010",tblOrdenes[[#This Row],[operacion]]))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25" t="n"/>
      <c r="K106" s="5" t="n"/>
      <c r="L106" s="18" t="n"/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Row],[fecha_inicio]]="","",tblOrdenes[[#This Row],[anio]]&amp;"-"&amp;TEXT(tblOrdenes[[#This Row],[mes]],"00"))</f>
        <v/>
      </c>
      <c r="S106" s="5">
        <f>IF(tblOrdenes[[#This Row],[fecha_inicio]]="","",INDEX(lista_dias,WEEKDAY(tblOrdenes[[#This Row],[fecha_inicio]],2)))</f>
        <v/>
      </c>
      <c r="T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5">
        <f>IF(tblOrdenes[[#This Row],[tipo_ot]]="","",_xlfn.XLOOKUP(tblOrdenes[[#This Row],[tipo_ot]],tblTiposOT[codigo],tblTiposOT[clasificacion],"sin_clasificar"))</f>
        <v/>
      </c>
      <c r="V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5">
        <f>IF(tblOrdenes[[#This Row],[centro_costo]]="","",_xlfn.XLOOKUP(tblOrdenes[[#This Row],[centro_costo]],tblCECO[codigo],tblCECO[linea],"(sin catálogo)"))</f>
        <v/>
      </c>
      <c r="Y106" s="5">
        <f>IF(tblOrdenes[[#This Row],[centro_costo]]="","",_xlfn.XLOOKUP(tblOrdenes[[#This Row],[centro_costo]],tblCECO[codigo],tblCECO[area],"(sin catálogo)"))</f>
        <v/>
      </c>
      <c r="Z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5">
        <f>IF(tblOrdenes[[#This Row],[centro_costo]]="","",_xlfn.XLOOKUP(tblOrdenes[[#This Row],[centro_costo]],tblCECO[codigo],tblCECO[coordinador],"(sin catálogo)"))</f>
        <v/>
      </c>
      <c r="AB106" s="5">
        <f>IF(tblOrdenes[[#This Row],[puesto_trabajo]]="","",_xlfn.XLOOKUP(tblOrdenes[[#This Row],[puesto_trabajo]],tblPuestos[codigo],tblPuestos[especialidad],"(sin catálogo)"))</f>
        <v/>
      </c>
      <c r="AC106" s="5">
        <f>IF(tblOrdenes[[#This Row],[cod_actividad]]="","",_xlfn.XLOOKUP(tblOrdenes[[#This Row],[cod_actividad]],tblActividades[codigo],tblActividades[descripcion],"(sin catálogo)"))</f>
        <v/>
      </c>
      <c r="AD106" s="23">
        <f>IF(tblOrdenes[[#This Row],[fecha_inicio]]="","",TODAY()-tblOrdenes[[#This Row],[fecha_inicio]])</f>
        <v/>
      </c>
      <c r="AE1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5">
        <f>IF(tblOrdenes[[#This Row],[backlog_habiles]]="","",IF(tblOrdenes[[#This Row],[backlog_habiles]]&lt;0,"FUTURO",IF(tblOrdenes[[#This Row],[backlog_habiles]]&gt;p_dias_backlog_max,"BACKLOG","MES CORRIENTE")))</f>
        <v/>
      </c>
      <c r="AG106" s="5">
        <f>IF(tblOrdenes[[#This Row],[backlog_habiles]]="",FALSE,AND(tblOrdenes[[#This Row],[backlog_habiles]]&gt;p_dias_backlog_min,tblOrdenes[[#This Row],[backlog_habiles]]&lt;=p_dias_backlog_max))</f>
        <v/>
      </c>
      <c r="AH106" s="4" t="n"/>
      <c r="AI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18">
        <f>IF(tblOrdenes[[#This Row],[orden]]="","",_xlfn.XLOOKUP(tblOrdenes[[#This Row],[id_operacion]],tblEjecucion[id_operacion],tblEjecucion[precio],0))</f>
        <v/>
      </c>
      <c r="AM106" s="18">
        <f>IF(tblOrdenes[[#This Row],[orden]]="","",MAX(0,_xlfn.XLOOKUP(tblOrdenes[[#This Row],[id_operacion]],tblEjecucion[id_operacion],tblEjecucion[costo_plan_total],0)-tblOrdenes[[#This Row],[costo_servicio]]))</f>
        <v/>
      </c>
      <c r="AN106" s="18">
        <f>IF(tblOrdenes[[#This Row],[orden]]="","",tblOrdenes[[#This Row],[costo_servicio]]+tblOrdenes[[#This Row],[costo_materiales]])</f>
        <v/>
      </c>
      <c r="AO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n"/>
      <c r="AQ106" s="4" t="n"/>
      <c r="AR106" s="4" t="n"/>
      <c r="AS106" s="5">
        <f>IF(tblOrdenes[[#This Row],[link_checklist]]="","",HYPERLINK(p_ruta_base_checklists&amp;tblOrdenes[[#This Row],[link_checklist]],"abrir"))</f>
        <v/>
      </c>
      <c r="AT106" s="4" t="n"/>
      <c r="AU106" s="5">
        <f>IF(tblOrdenes[[#This Row],[orden]]="","",tblOrdenes[[#This Row],[orden]]&amp;IF(tblOrdenes[[#This Row],[operacion]]="","0010",tblOrdenes[[#This Row],[operacion]]))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25" t="n"/>
      <c r="K107" s="5" t="n"/>
      <c r="L107" s="18" t="n"/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Row],[fecha_inicio]]="","",tblOrdenes[[#This Row],[anio]]&amp;"-"&amp;TEXT(tblOrdenes[[#This Row],[mes]],"00"))</f>
        <v/>
      </c>
      <c r="S107" s="5">
        <f>IF(tblOrdenes[[#This Row],[fecha_inicio]]="","",INDEX(lista_dias,WEEKDAY(tblOrdenes[[#This Row],[fecha_inicio]],2)))</f>
        <v/>
      </c>
      <c r="T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5">
        <f>IF(tblOrdenes[[#This Row],[tipo_ot]]="","",_xlfn.XLOOKUP(tblOrdenes[[#This Row],[tipo_ot]],tblTiposOT[codigo],tblTiposOT[clasificacion],"sin_clasificar"))</f>
        <v/>
      </c>
      <c r="V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5">
        <f>IF(tblOrdenes[[#This Row],[centro_costo]]="","",_xlfn.XLOOKUP(tblOrdenes[[#This Row],[centro_costo]],tblCECO[codigo],tblCECO[linea],"(sin catálogo)"))</f>
        <v/>
      </c>
      <c r="Y107" s="5">
        <f>IF(tblOrdenes[[#This Row],[centro_costo]]="","",_xlfn.XLOOKUP(tblOrdenes[[#This Row],[centro_costo]],tblCECO[codigo],tblCECO[area],"(sin catálogo)"))</f>
        <v/>
      </c>
      <c r="Z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5">
        <f>IF(tblOrdenes[[#This Row],[centro_costo]]="","",_xlfn.XLOOKUP(tblOrdenes[[#This Row],[centro_costo]],tblCECO[codigo],tblCECO[coordinador],"(sin catálogo)"))</f>
        <v/>
      </c>
      <c r="AB107" s="5">
        <f>IF(tblOrdenes[[#This Row],[puesto_trabajo]]="","",_xlfn.XLOOKUP(tblOrdenes[[#This Row],[puesto_trabajo]],tblPuestos[codigo],tblPuestos[especialidad],"(sin catálogo)"))</f>
        <v/>
      </c>
      <c r="AC107" s="5">
        <f>IF(tblOrdenes[[#This Row],[cod_actividad]]="","",_xlfn.XLOOKUP(tblOrdenes[[#This Row],[cod_actividad]],tblActividades[codigo],tblActividades[descripcion],"(sin catálogo)"))</f>
        <v/>
      </c>
      <c r="AD107" s="23">
        <f>IF(tblOrdenes[[#This Row],[fecha_inicio]]="","",TODAY()-tblOrdenes[[#This Row],[fecha_inicio]])</f>
        <v/>
      </c>
      <c r="AE1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5">
        <f>IF(tblOrdenes[[#This Row],[backlog_habiles]]="","",IF(tblOrdenes[[#This Row],[backlog_habiles]]&lt;0,"FUTURO",IF(tblOrdenes[[#This Row],[backlog_habiles]]&gt;p_dias_backlog_max,"BACKLOG","MES CORRIENTE")))</f>
        <v/>
      </c>
      <c r="AG107" s="5">
        <f>IF(tblOrdenes[[#This Row],[backlog_habiles]]="",FALSE,AND(tblOrdenes[[#This Row],[backlog_habiles]]&gt;p_dias_backlog_min,tblOrdenes[[#This Row],[backlog_habiles]]&lt;=p_dias_backlog_max))</f>
        <v/>
      </c>
      <c r="AH107" s="4" t="n"/>
      <c r="AI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18">
        <f>IF(tblOrdenes[[#This Row],[orden]]="","",_xlfn.XLOOKUP(tblOrdenes[[#This Row],[id_operacion]],tblEjecucion[id_operacion],tblEjecucion[precio],0))</f>
        <v/>
      </c>
      <c r="AM107" s="18">
        <f>IF(tblOrdenes[[#This Row],[orden]]="","",MAX(0,_xlfn.XLOOKUP(tblOrdenes[[#This Row],[id_operacion]],tblEjecucion[id_operacion],tblEjecucion[costo_plan_total],0)-tblOrdenes[[#This Row],[costo_servicio]]))</f>
        <v/>
      </c>
      <c r="AN107" s="18">
        <f>IF(tblOrdenes[[#This Row],[orden]]="","",tblOrdenes[[#This Row],[costo_servicio]]+tblOrdenes[[#This Row],[costo_materiales]])</f>
        <v/>
      </c>
      <c r="AO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n"/>
      <c r="AQ107" s="4" t="n"/>
      <c r="AR107" s="4" t="n"/>
      <c r="AS107" s="5">
        <f>IF(tblOrdenes[[#This Row],[link_checklist]]="","",HYPERLINK(p_ruta_base_checklists&amp;tblOrdenes[[#This Row],[link_checklist]],"abrir"))</f>
        <v/>
      </c>
      <c r="AT107" s="4" t="n"/>
      <c r="AU107" s="5">
        <f>IF(tblOrdenes[[#This Row],[orden]]="","",tblOrdenes[[#This Row],[orden]]&amp;IF(tblOrdenes[[#This Row],[operacion]]="","0010",tblOrdenes[[#This Row],[operacion]]))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25" t="n"/>
      <c r="K108" s="5" t="n"/>
      <c r="L108" s="18" t="n"/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Row],[fecha_inicio]]="","",tblOrdenes[[#This Row],[anio]]&amp;"-"&amp;TEXT(tblOrdenes[[#This Row],[mes]],"00"))</f>
        <v/>
      </c>
      <c r="S108" s="5">
        <f>IF(tblOrdenes[[#This Row],[fecha_inicio]]="","",INDEX(lista_dias,WEEKDAY(tblOrdenes[[#This Row],[fecha_inicio]],2)))</f>
        <v/>
      </c>
      <c r="T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5">
        <f>IF(tblOrdenes[[#This Row],[tipo_ot]]="","",_xlfn.XLOOKUP(tblOrdenes[[#This Row],[tipo_ot]],tblTiposOT[codigo],tblTiposOT[clasificacion],"sin_clasificar"))</f>
        <v/>
      </c>
      <c r="V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5">
        <f>IF(tblOrdenes[[#This Row],[centro_costo]]="","",_xlfn.XLOOKUP(tblOrdenes[[#This Row],[centro_costo]],tblCECO[codigo],tblCECO[linea],"(sin catálogo)"))</f>
        <v/>
      </c>
      <c r="Y108" s="5">
        <f>IF(tblOrdenes[[#This Row],[centro_costo]]="","",_xlfn.XLOOKUP(tblOrdenes[[#This Row],[centro_costo]],tblCECO[codigo],tblCECO[area],"(sin catálogo)"))</f>
        <v/>
      </c>
      <c r="Z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5">
        <f>IF(tblOrdenes[[#This Row],[centro_costo]]="","",_xlfn.XLOOKUP(tblOrdenes[[#This Row],[centro_costo]],tblCECO[codigo],tblCECO[coordinador],"(sin catálogo)"))</f>
        <v/>
      </c>
      <c r="AB108" s="5">
        <f>IF(tblOrdenes[[#This Row],[puesto_trabajo]]="","",_xlfn.XLOOKUP(tblOrdenes[[#This Row],[puesto_trabajo]],tblPuestos[codigo],tblPuestos[especialidad],"(sin catálogo)"))</f>
        <v/>
      </c>
      <c r="AC108" s="5">
        <f>IF(tblOrdenes[[#This Row],[cod_actividad]]="","",_xlfn.XLOOKUP(tblOrdenes[[#This Row],[cod_actividad]],tblActividades[codigo],tblActividades[descripcion],"(sin catálogo)"))</f>
        <v/>
      </c>
      <c r="AD108" s="23">
        <f>IF(tblOrdenes[[#This Row],[fecha_inicio]]="","",TODAY()-tblOrdenes[[#This Row],[fecha_inicio]])</f>
        <v/>
      </c>
      <c r="AE1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5">
        <f>IF(tblOrdenes[[#This Row],[backlog_habiles]]="","",IF(tblOrdenes[[#This Row],[backlog_habiles]]&lt;0,"FUTURO",IF(tblOrdenes[[#This Row],[backlog_habiles]]&gt;p_dias_backlog_max,"BACKLOG","MES CORRIENTE")))</f>
        <v/>
      </c>
      <c r="AG108" s="5">
        <f>IF(tblOrdenes[[#This Row],[backlog_habiles]]="",FALSE,AND(tblOrdenes[[#This Row],[backlog_habiles]]&gt;p_dias_backlog_min,tblOrdenes[[#This Row],[backlog_habiles]]&lt;=p_dias_backlog_max))</f>
        <v/>
      </c>
      <c r="AH108" s="4" t="n"/>
      <c r="AI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18">
        <f>IF(tblOrdenes[[#This Row],[orden]]="","",_xlfn.XLOOKUP(tblOrdenes[[#This Row],[id_operacion]],tblEjecucion[id_operacion],tblEjecucion[precio],0))</f>
        <v/>
      </c>
      <c r="AM108" s="18">
        <f>IF(tblOrdenes[[#This Row],[orden]]="","",MAX(0,_xlfn.XLOOKUP(tblOrdenes[[#This Row],[id_operacion]],tblEjecucion[id_operacion],tblEjecucion[costo_plan_total],0)-tblOrdenes[[#This Row],[costo_servicio]]))</f>
        <v/>
      </c>
      <c r="AN108" s="18">
        <f>IF(tblOrdenes[[#This Row],[orden]]="","",tblOrdenes[[#This Row],[costo_servicio]]+tblOrdenes[[#This Row],[costo_materiales]])</f>
        <v/>
      </c>
      <c r="AO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n"/>
      <c r="AQ108" s="4" t="n"/>
      <c r="AR108" s="4" t="n"/>
      <c r="AS108" s="5">
        <f>IF(tblOrdenes[[#This Row],[link_checklist]]="","",HYPERLINK(p_ruta_base_checklists&amp;tblOrdenes[[#This Row],[link_checklist]],"abrir"))</f>
        <v/>
      </c>
      <c r="AT108" s="4" t="n"/>
      <c r="AU108" s="5">
        <f>IF(tblOrdenes[[#This Row],[orden]]="","",tblOrdenes[[#This Row],[orden]]&amp;IF(tblOrdenes[[#This Row],[operacion]]="","0010",tblOrdenes[[#This Row],[operacion]]))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25" t="n"/>
      <c r="K109" s="5" t="n"/>
      <c r="L109" s="18" t="n"/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Row],[fecha_inicio]]="","",tblOrdenes[[#This Row],[anio]]&amp;"-"&amp;TEXT(tblOrdenes[[#This Row],[mes]],"00"))</f>
        <v/>
      </c>
      <c r="S109" s="5">
        <f>IF(tblOrdenes[[#This Row],[fecha_inicio]]="","",INDEX(lista_dias,WEEKDAY(tblOrdenes[[#This Row],[fecha_inicio]],2)))</f>
        <v/>
      </c>
      <c r="T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5">
        <f>IF(tblOrdenes[[#This Row],[tipo_ot]]="","",_xlfn.XLOOKUP(tblOrdenes[[#This Row],[tipo_ot]],tblTiposOT[codigo],tblTiposOT[clasificacion],"sin_clasificar"))</f>
        <v/>
      </c>
      <c r="V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5">
        <f>IF(tblOrdenes[[#This Row],[centro_costo]]="","",_xlfn.XLOOKUP(tblOrdenes[[#This Row],[centro_costo]],tblCECO[codigo],tblCECO[linea],"(sin catálogo)"))</f>
        <v/>
      </c>
      <c r="Y109" s="5">
        <f>IF(tblOrdenes[[#This Row],[centro_costo]]="","",_xlfn.XLOOKUP(tblOrdenes[[#This Row],[centro_costo]],tblCECO[codigo],tblCECO[area],"(sin catálogo)"))</f>
        <v/>
      </c>
      <c r="Z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5">
        <f>IF(tblOrdenes[[#This Row],[centro_costo]]="","",_xlfn.XLOOKUP(tblOrdenes[[#This Row],[centro_costo]],tblCECO[codigo],tblCECO[coordinador],"(sin catálogo)"))</f>
        <v/>
      </c>
      <c r="AB109" s="5">
        <f>IF(tblOrdenes[[#This Row],[puesto_trabajo]]="","",_xlfn.XLOOKUP(tblOrdenes[[#This Row],[puesto_trabajo]],tblPuestos[codigo],tblPuestos[especialidad],"(sin catálogo)"))</f>
        <v/>
      </c>
      <c r="AC109" s="5">
        <f>IF(tblOrdenes[[#This Row],[cod_actividad]]="","",_xlfn.XLOOKUP(tblOrdenes[[#This Row],[cod_actividad]],tblActividades[codigo],tblActividades[descripcion],"(sin catálogo)"))</f>
        <v/>
      </c>
      <c r="AD109" s="23">
        <f>IF(tblOrdenes[[#This Row],[fecha_inicio]]="","",TODAY()-tblOrdenes[[#This Row],[fecha_inicio]])</f>
        <v/>
      </c>
      <c r="AE1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5">
        <f>IF(tblOrdenes[[#This Row],[backlog_habiles]]="","",IF(tblOrdenes[[#This Row],[backlog_habiles]]&lt;0,"FUTURO",IF(tblOrdenes[[#This Row],[backlog_habiles]]&gt;p_dias_backlog_max,"BACKLOG","MES CORRIENTE")))</f>
        <v/>
      </c>
      <c r="AG109" s="5">
        <f>IF(tblOrdenes[[#This Row],[backlog_habiles]]="",FALSE,AND(tblOrdenes[[#This Row],[backlog_habiles]]&gt;p_dias_backlog_min,tblOrdenes[[#This Row],[backlog_habiles]]&lt;=p_dias_backlog_max))</f>
        <v/>
      </c>
      <c r="AH109" s="4" t="n"/>
      <c r="AI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18">
        <f>IF(tblOrdenes[[#This Row],[orden]]="","",_xlfn.XLOOKUP(tblOrdenes[[#This Row],[id_operacion]],tblEjecucion[id_operacion],tblEjecucion[precio],0))</f>
        <v/>
      </c>
      <c r="AM109" s="18">
        <f>IF(tblOrdenes[[#This Row],[orden]]="","",MAX(0,_xlfn.XLOOKUP(tblOrdenes[[#This Row],[id_operacion]],tblEjecucion[id_operacion],tblEjecucion[costo_plan_total],0)-tblOrdenes[[#This Row],[costo_servicio]]))</f>
        <v/>
      </c>
      <c r="AN109" s="18">
        <f>IF(tblOrdenes[[#This Row],[orden]]="","",tblOrdenes[[#This Row],[costo_servicio]]+tblOrdenes[[#This Row],[costo_materiales]])</f>
        <v/>
      </c>
      <c r="AO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n"/>
      <c r="AQ109" s="4" t="n"/>
      <c r="AR109" s="4" t="n"/>
      <c r="AS109" s="5">
        <f>IF(tblOrdenes[[#This Row],[link_checklist]]="","",HYPERLINK(p_ruta_base_checklists&amp;tblOrdenes[[#This Row],[link_checklist]],"abrir"))</f>
        <v/>
      </c>
      <c r="AT109" s="4" t="n"/>
      <c r="AU109" s="5">
        <f>IF(tblOrdenes[[#This Row],[orden]]="","",tblOrdenes[[#This Row],[orden]]&amp;IF(tblOrdenes[[#This Row],[operacion]]="","0010",tblOrdenes[[#This Row],[operacion]]))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25" t="n"/>
      <c r="K110" s="5" t="n"/>
      <c r="L110" s="18" t="n"/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Row],[fecha_inicio]]="","",tblOrdenes[[#This Row],[anio]]&amp;"-"&amp;TEXT(tblOrdenes[[#This Row],[mes]],"00"))</f>
        <v/>
      </c>
      <c r="S110" s="5">
        <f>IF(tblOrdenes[[#This Row],[fecha_inicio]]="","",INDEX(lista_dias,WEEKDAY(tblOrdenes[[#This Row],[fecha_inicio]],2)))</f>
        <v/>
      </c>
      <c r="T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5">
        <f>IF(tblOrdenes[[#This Row],[tipo_ot]]="","",_xlfn.XLOOKUP(tblOrdenes[[#This Row],[tipo_ot]],tblTiposOT[codigo],tblTiposOT[clasificacion],"sin_clasificar"))</f>
        <v/>
      </c>
      <c r="V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5">
        <f>IF(tblOrdenes[[#This Row],[centro_costo]]="","",_xlfn.XLOOKUP(tblOrdenes[[#This Row],[centro_costo]],tblCECO[codigo],tblCECO[linea],"(sin catálogo)"))</f>
        <v/>
      </c>
      <c r="Y110" s="5">
        <f>IF(tblOrdenes[[#This Row],[centro_costo]]="","",_xlfn.XLOOKUP(tblOrdenes[[#This Row],[centro_costo]],tblCECO[codigo],tblCECO[area],"(sin catálogo)"))</f>
        <v/>
      </c>
      <c r="Z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5">
        <f>IF(tblOrdenes[[#This Row],[centro_costo]]="","",_xlfn.XLOOKUP(tblOrdenes[[#This Row],[centro_costo]],tblCECO[codigo],tblCECO[coordinador],"(sin catálogo)"))</f>
        <v/>
      </c>
      <c r="AB110" s="5">
        <f>IF(tblOrdenes[[#This Row],[puesto_trabajo]]="","",_xlfn.XLOOKUP(tblOrdenes[[#This Row],[puesto_trabajo]],tblPuestos[codigo],tblPuestos[especialidad],"(sin catálogo)"))</f>
        <v/>
      </c>
      <c r="AC110" s="5">
        <f>IF(tblOrdenes[[#This Row],[cod_actividad]]="","",_xlfn.XLOOKUP(tblOrdenes[[#This Row],[cod_actividad]],tblActividades[codigo],tblActividades[descripcion],"(sin catálogo)"))</f>
        <v/>
      </c>
      <c r="AD110" s="23">
        <f>IF(tblOrdenes[[#This Row],[fecha_inicio]]="","",TODAY()-tblOrdenes[[#This Row],[fecha_inicio]])</f>
        <v/>
      </c>
      <c r="AE1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5">
        <f>IF(tblOrdenes[[#This Row],[backlog_habiles]]="","",IF(tblOrdenes[[#This Row],[backlog_habiles]]&lt;0,"FUTURO",IF(tblOrdenes[[#This Row],[backlog_habiles]]&gt;p_dias_backlog_max,"BACKLOG","MES CORRIENTE")))</f>
        <v/>
      </c>
      <c r="AG110" s="5">
        <f>IF(tblOrdenes[[#This Row],[backlog_habiles]]="",FALSE,AND(tblOrdenes[[#This Row],[backlog_habiles]]&gt;p_dias_backlog_min,tblOrdenes[[#This Row],[backlog_habiles]]&lt;=p_dias_backlog_max))</f>
        <v/>
      </c>
      <c r="AH110" s="4" t="n"/>
      <c r="AI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18">
        <f>IF(tblOrdenes[[#This Row],[orden]]="","",_xlfn.XLOOKUP(tblOrdenes[[#This Row],[id_operacion]],tblEjecucion[id_operacion],tblEjecucion[precio],0))</f>
        <v/>
      </c>
      <c r="AM110" s="18">
        <f>IF(tblOrdenes[[#This Row],[orden]]="","",MAX(0,_xlfn.XLOOKUP(tblOrdenes[[#This Row],[id_operacion]],tblEjecucion[id_operacion],tblEjecucion[costo_plan_total],0)-tblOrdenes[[#This Row],[costo_servicio]]))</f>
        <v/>
      </c>
      <c r="AN110" s="18">
        <f>IF(tblOrdenes[[#This Row],[orden]]="","",tblOrdenes[[#This Row],[costo_servicio]]+tblOrdenes[[#This Row],[costo_materiales]])</f>
        <v/>
      </c>
      <c r="AO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n"/>
      <c r="AQ110" s="4" t="n"/>
      <c r="AR110" s="4" t="n"/>
      <c r="AS110" s="5">
        <f>IF(tblOrdenes[[#This Row],[link_checklist]]="","",HYPERLINK(p_ruta_base_checklists&amp;tblOrdenes[[#This Row],[link_checklist]],"abrir"))</f>
        <v/>
      </c>
      <c r="AT110" s="4" t="n"/>
      <c r="AU110" s="5">
        <f>IF(tblOrdenes[[#This Row],[orden]]="","",tblOrdenes[[#This Row],[orden]]&amp;IF(tblOrdenes[[#This Row],[operacion]]="","0010",tblOrdenes[[#This Row],[operacion]]))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25" t="n"/>
      <c r="K111" s="5" t="n"/>
      <c r="L111" s="18" t="n"/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Row],[fecha_inicio]]="","",tblOrdenes[[#This Row],[anio]]&amp;"-"&amp;TEXT(tblOrdenes[[#This Row],[mes]],"00"))</f>
        <v/>
      </c>
      <c r="S111" s="5">
        <f>IF(tblOrdenes[[#This Row],[fecha_inicio]]="","",INDEX(lista_dias,WEEKDAY(tblOrdenes[[#This Row],[fecha_inicio]],2)))</f>
        <v/>
      </c>
      <c r="T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5">
        <f>IF(tblOrdenes[[#This Row],[tipo_ot]]="","",_xlfn.XLOOKUP(tblOrdenes[[#This Row],[tipo_ot]],tblTiposOT[codigo],tblTiposOT[clasificacion],"sin_clasificar"))</f>
        <v/>
      </c>
      <c r="V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5">
        <f>IF(tblOrdenes[[#This Row],[centro_costo]]="","",_xlfn.XLOOKUP(tblOrdenes[[#This Row],[centro_costo]],tblCECO[codigo],tblCECO[linea],"(sin catálogo)"))</f>
        <v/>
      </c>
      <c r="Y111" s="5">
        <f>IF(tblOrdenes[[#This Row],[centro_costo]]="","",_xlfn.XLOOKUP(tblOrdenes[[#This Row],[centro_costo]],tblCECO[codigo],tblCECO[area],"(sin catálogo)"))</f>
        <v/>
      </c>
      <c r="Z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5">
        <f>IF(tblOrdenes[[#This Row],[centro_costo]]="","",_xlfn.XLOOKUP(tblOrdenes[[#This Row],[centro_costo]],tblCECO[codigo],tblCECO[coordinador],"(sin catálogo)"))</f>
        <v/>
      </c>
      <c r="AB111" s="5">
        <f>IF(tblOrdenes[[#This Row],[puesto_trabajo]]="","",_xlfn.XLOOKUP(tblOrdenes[[#This Row],[puesto_trabajo]],tblPuestos[codigo],tblPuestos[especialidad],"(sin catálogo)"))</f>
        <v/>
      </c>
      <c r="AC111" s="5">
        <f>IF(tblOrdenes[[#This Row],[cod_actividad]]="","",_xlfn.XLOOKUP(tblOrdenes[[#This Row],[cod_actividad]],tblActividades[codigo],tblActividades[descripcion],"(sin catálogo)"))</f>
        <v/>
      </c>
      <c r="AD111" s="23">
        <f>IF(tblOrdenes[[#This Row],[fecha_inicio]]="","",TODAY()-tblOrdenes[[#This Row],[fecha_inicio]])</f>
        <v/>
      </c>
      <c r="AE1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5">
        <f>IF(tblOrdenes[[#This Row],[backlog_habiles]]="","",IF(tblOrdenes[[#This Row],[backlog_habiles]]&lt;0,"FUTURO",IF(tblOrdenes[[#This Row],[backlog_habiles]]&gt;p_dias_backlog_max,"BACKLOG","MES CORRIENTE")))</f>
        <v/>
      </c>
      <c r="AG111" s="5">
        <f>IF(tblOrdenes[[#This Row],[backlog_habiles]]="",FALSE,AND(tblOrdenes[[#This Row],[backlog_habiles]]&gt;p_dias_backlog_min,tblOrdenes[[#This Row],[backlog_habiles]]&lt;=p_dias_backlog_max))</f>
        <v/>
      </c>
      <c r="AH111" s="4" t="n"/>
      <c r="AI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18">
        <f>IF(tblOrdenes[[#This Row],[orden]]="","",_xlfn.XLOOKUP(tblOrdenes[[#This Row],[id_operacion]],tblEjecucion[id_operacion],tblEjecucion[precio],0))</f>
        <v/>
      </c>
      <c r="AM111" s="18">
        <f>IF(tblOrdenes[[#This Row],[orden]]="","",MAX(0,_xlfn.XLOOKUP(tblOrdenes[[#This Row],[id_operacion]],tblEjecucion[id_operacion],tblEjecucion[costo_plan_total],0)-tblOrdenes[[#This Row],[costo_servicio]]))</f>
        <v/>
      </c>
      <c r="AN111" s="18">
        <f>IF(tblOrdenes[[#This Row],[orden]]="","",tblOrdenes[[#This Row],[costo_servicio]]+tblOrdenes[[#This Row],[costo_materiales]])</f>
        <v/>
      </c>
      <c r="AO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n"/>
      <c r="AQ111" s="4" t="n"/>
      <c r="AR111" s="4" t="n"/>
      <c r="AS111" s="5">
        <f>IF(tblOrdenes[[#This Row],[link_checklist]]="","",HYPERLINK(p_ruta_base_checklists&amp;tblOrdenes[[#This Row],[link_checklist]],"abrir"))</f>
        <v/>
      </c>
      <c r="AT111" s="4" t="n"/>
      <c r="AU111" s="5">
        <f>IF(tblOrdenes[[#This Row],[orden]]="","",tblOrdenes[[#This Row],[orden]]&amp;IF(tblOrdenes[[#This Row],[operacion]]="","0010",tblOrdenes[[#This Row],[operacion]]))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25" t="n"/>
      <c r="K112" s="5" t="n"/>
      <c r="L112" s="18" t="n"/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Row],[fecha_inicio]]="","",tblOrdenes[[#This Row],[anio]]&amp;"-"&amp;TEXT(tblOrdenes[[#This Row],[mes]],"00"))</f>
        <v/>
      </c>
      <c r="S112" s="5">
        <f>IF(tblOrdenes[[#This Row],[fecha_inicio]]="","",INDEX(lista_dias,WEEKDAY(tblOrdenes[[#This Row],[fecha_inicio]],2)))</f>
        <v/>
      </c>
      <c r="T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5">
        <f>IF(tblOrdenes[[#This Row],[tipo_ot]]="","",_xlfn.XLOOKUP(tblOrdenes[[#This Row],[tipo_ot]],tblTiposOT[codigo],tblTiposOT[clasificacion],"sin_clasificar"))</f>
        <v/>
      </c>
      <c r="V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5">
        <f>IF(tblOrdenes[[#This Row],[centro_costo]]="","",_xlfn.XLOOKUP(tblOrdenes[[#This Row],[centro_costo]],tblCECO[codigo],tblCECO[linea],"(sin catálogo)"))</f>
        <v/>
      </c>
      <c r="Y112" s="5">
        <f>IF(tblOrdenes[[#This Row],[centro_costo]]="","",_xlfn.XLOOKUP(tblOrdenes[[#This Row],[centro_costo]],tblCECO[codigo],tblCECO[area],"(sin catálogo)"))</f>
        <v/>
      </c>
      <c r="Z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5">
        <f>IF(tblOrdenes[[#This Row],[centro_costo]]="","",_xlfn.XLOOKUP(tblOrdenes[[#This Row],[centro_costo]],tblCECO[codigo],tblCECO[coordinador],"(sin catálogo)"))</f>
        <v/>
      </c>
      <c r="AB112" s="5">
        <f>IF(tblOrdenes[[#This Row],[puesto_trabajo]]="","",_xlfn.XLOOKUP(tblOrdenes[[#This Row],[puesto_trabajo]],tblPuestos[codigo],tblPuestos[especialidad],"(sin catálogo)"))</f>
        <v/>
      </c>
      <c r="AC112" s="5">
        <f>IF(tblOrdenes[[#This Row],[cod_actividad]]="","",_xlfn.XLOOKUP(tblOrdenes[[#This Row],[cod_actividad]],tblActividades[codigo],tblActividades[descripcion],"(sin catálogo)"))</f>
        <v/>
      </c>
      <c r="AD112" s="23">
        <f>IF(tblOrdenes[[#This Row],[fecha_inicio]]="","",TODAY()-tblOrdenes[[#This Row],[fecha_inicio]])</f>
        <v/>
      </c>
      <c r="AE1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5">
        <f>IF(tblOrdenes[[#This Row],[backlog_habiles]]="","",IF(tblOrdenes[[#This Row],[backlog_habiles]]&lt;0,"FUTURO",IF(tblOrdenes[[#This Row],[backlog_habiles]]&gt;p_dias_backlog_max,"BACKLOG","MES CORRIENTE")))</f>
        <v/>
      </c>
      <c r="AG112" s="5">
        <f>IF(tblOrdenes[[#This Row],[backlog_habiles]]="",FALSE,AND(tblOrdenes[[#This Row],[backlog_habiles]]&gt;p_dias_backlog_min,tblOrdenes[[#This Row],[backlog_habiles]]&lt;=p_dias_backlog_max))</f>
        <v/>
      </c>
      <c r="AH112" s="4" t="n"/>
      <c r="AI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18">
        <f>IF(tblOrdenes[[#This Row],[orden]]="","",_xlfn.XLOOKUP(tblOrdenes[[#This Row],[id_operacion]],tblEjecucion[id_operacion],tblEjecucion[precio],0))</f>
        <v/>
      </c>
      <c r="AM112" s="18">
        <f>IF(tblOrdenes[[#This Row],[orden]]="","",MAX(0,_xlfn.XLOOKUP(tblOrdenes[[#This Row],[id_operacion]],tblEjecucion[id_operacion],tblEjecucion[costo_plan_total],0)-tblOrdenes[[#This Row],[costo_servicio]]))</f>
        <v/>
      </c>
      <c r="AN112" s="18">
        <f>IF(tblOrdenes[[#This Row],[orden]]="","",tblOrdenes[[#This Row],[costo_servicio]]+tblOrdenes[[#This Row],[costo_materiales]])</f>
        <v/>
      </c>
      <c r="AO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n"/>
      <c r="AQ112" s="4" t="n"/>
      <c r="AR112" s="4" t="n"/>
      <c r="AS112" s="5">
        <f>IF(tblOrdenes[[#This Row],[link_checklist]]="","",HYPERLINK(p_ruta_base_checklists&amp;tblOrdenes[[#This Row],[link_checklist]],"abrir"))</f>
        <v/>
      </c>
      <c r="AT112" s="4" t="n"/>
      <c r="AU112" s="5">
        <f>IF(tblOrdenes[[#This Row],[orden]]="","",tblOrdenes[[#This Row],[orden]]&amp;IF(tblOrdenes[[#This Row],[operacion]]="","0010",tblOrdenes[[#This Row],[operacion]]))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25" t="n"/>
      <c r="K113" s="5" t="n"/>
      <c r="L113" s="18" t="n"/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Row],[fecha_inicio]]="","",tblOrdenes[[#This Row],[anio]]&amp;"-"&amp;TEXT(tblOrdenes[[#This Row],[mes]],"00"))</f>
        <v/>
      </c>
      <c r="S113" s="5">
        <f>IF(tblOrdenes[[#This Row],[fecha_inicio]]="","",INDEX(lista_dias,WEEKDAY(tblOrdenes[[#This Row],[fecha_inicio]],2)))</f>
        <v/>
      </c>
      <c r="T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5">
        <f>IF(tblOrdenes[[#This Row],[tipo_ot]]="","",_xlfn.XLOOKUP(tblOrdenes[[#This Row],[tipo_ot]],tblTiposOT[codigo],tblTiposOT[clasificacion],"sin_clasificar"))</f>
        <v/>
      </c>
      <c r="V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5">
        <f>IF(tblOrdenes[[#This Row],[centro_costo]]="","",_xlfn.XLOOKUP(tblOrdenes[[#This Row],[centro_costo]],tblCECO[codigo],tblCECO[linea],"(sin catálogo)"))</f>
        <v/>
      </c>
      <c r="Y113" s="5">
        <f>IF(tblOrdenes[[#This Row],[centro_costo]]="","",_xlfn.XLOOKUP(tblOrdenes[[#This Row],[centro_costo]],tblCECO[codigo],tblCECO[area],"(sin catálogo)"))</f>
        <v/>
      </c>
      <c r="Z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5">
        <f>IF(tblOrdenes[[#This Row],[centro_costo]]="","",_xlfn.XLOOKUP(tblOrdenes[[#This Row],[centro_costo]],tblCECO[codigo],tblCECO[coordinador],"(sin catálogo)"))</f>
        <v/>
      </c>
      <c r="AB113" s="5">
        <f>IF(tblOrdenes[[#This Row],[puesto_trabajo]]="","",_xlfn.XLOOKUP(tblOrdenes[[#This Row],[puesto_trabajo]],tblPuestos[codigo],tblPuestos[especialidad],"(sin catálogo)"))</f>
        <v/>
      </c>
      <c r="AC113" s="5">
        <f>IF(tblOrdenes[[#This Row],[cod_actividad]]="","",_xlfn.XLOOKUP(tblOrdenes[[#This Row],[cod_actividad]],tblActividades[codigo],tblActividades[descripcion],"(sin catálogo)"))</f>
        <v/>
      </c>
      <c r="AD113" s="23">
        <f>IF(tblOrdenes[[#This Row],[fecha_inicio]]="","",TODAY()-tblOrdenes[[#This Row],[fecha_inicio]])</f>
        <v/>
      </c>
      <c r="AE1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5">
        <f>IF(tblOrdenes[[#This Row],[backlog_habiles]]="","",IF(tblOrdenes[[#This Row],[backlog_habiles]]&lt;0,"FUTURO",IF(tblOrdenes[[#This Row],[backlog_habiles]]&gt;p_dias_backlog_max,"BACKLOG","MES CORRIENTE")))</f>
        <v/>
      </c>
      <c r="AG113" s="5">
        <f>IF(tblOrdenes[[#This Row],[backlog_habiles]]="",FALSE,AND(tblOrdenes[[#This Row],[backlog_habiles]]&gt;p_dias_backlog_min,tblOrdenes[[#This Row],[backlog_habiles]]&lt;=p_dias_backlog_max))</f>
        <v/>
      </c>
      <c r="AH113" s="4" t="n"/>
      <c r="AI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18">
        <f>IF(tblOrdenes[[#This Row],[orden]]="","",_xlfn.XLOOKUP(tblOrdenes[[#This Row],[id_operacion]],tblEjecucion[id_operacion],tblEjecucion[precio],0))</f>
        <v/>
      </c>
      <c r="AM113" s="18">
        <f>IF(tblOrdenes[[#This Row],[orden]]="","",MAX(0,_xlfn.XLOOKUP(tblOrdenes[[#This Row],[id_operacion]],tblEjecucion[id_operacion],tblEjecucion[costo_plan_total],0)-tblOrdenes[[#This Row],[costo_servicio]]))</f>
        <v/>
      </c>
      <c r="AN113" s="18">
        <f>IF(tblOrdenes[[#This Row],[orden]]="","",tblOrdenes[[#This Row],[costo_servicio]]+tblOrdenes[[#This Row],[costo_materiales]])</f>
        <v/>
      </c>
      <c r="AO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n"/>
      <c r="AQ113" s="4" t="n"/>
      <c r="AR113" s="4" t="n"/>
      <c r="AS113" s="5">
        <f>IF(tblOrdenes[[#This Row],[link_checklist]]="","",HYPERLINK(p_ruta_base_checklists&amp;tblOrdenes[[#This Row],[link_checklist]],"abrir"))</f>
        <v/>
      </c>
      <c r="AT113" s="4" t="n"/>
      <c r="AU113" s="5">
        <f>IF(tblOrdenes[[#This Row],[orden]]="","",tblOrdenes[[#This Row],[orden]]&amp;IF(tblOrdenes[[#This Row],[operacion]]="","0010",tblOrdenes[[#This Row],[operacion]]))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25" t="n"/>
      <c r="K114" s="5" t="n"/>
      <c r="L114" s="18" t="n"/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Row],[fecha_inicio]]="","",tblOrdenes[[#This Row],[anio]]&amp;"-"&amp;TEXT(tblOrdenes[[#This Row],[mes]],"00"))</f>
        <v/>
      </c>
      <c r="S114" s="5">
        <f>IF(tblOrdenes[[#This Row],[fecha_inicio]]="","",INDEX(lista_dias,WEEKDAY(tblOrdenes[[#This Row],[fecha_inicio]],2)))</f>
        <v/>
      </c>
      <c r="T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5">
        <f>IF(tblOrdenes[[#This Row],[tipo_ot]]="","",_xlfn.XLOOKUP(tblOrdenes[[#This Row],[tipo_ot]],tblTiposOT[codigo],tblTiposOT[clasificacion],"sin_clasificar"))</f>
        <v/>
      </c>
      <c r="V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5">
        <f>IF(tblOrdenes[[#This Row],[centro_costo]]="","",_xlfn.XLOOKUP(tblOrdenes[[#This Row],[centro_costo]],tblCECO[codigo],tblCECO[linea],"(sin catálogo)"))</f>
        <v/>
      </c>
      <c r="Y114" s="5">
        <f>IF(tblOrdenes[[#This Row],[centro_costo]]="","",_xlfn.XLOOKUP(tblOrdenes[[#This Row],[centro_costo]],tblCECO[codigo],tblCECO[area],"(sin catálogo)"))</f>
        <v/>
      </c>
      <c r="Z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5">
        <f>IF(tblOrdenes[[#This Row],[centro_costo]]="","",_xlfn.XLOOKUP(tblOrdenes[[#This Row],[centro_costo]],tblCECO[codigo],tblCECO[coordinador],"(sin catálogo)"))</f>
        <v/>
      </c>
      <c r="AB114" s="5">
        <f>IF(tblOrdenes[[#This Row],[puesto_trabajo]]="","",_xlfn.XLOOKUP(tblOrdenes[[#This Row],[puesto_trabajo]],tblPuestos[codigo],tblPuestos[especialidad],"(sin catálogo)"))</f>
        <v/>
      </c>
      <c r="AC114" s="5">
        <f>IF(tblOrdenes[[#This Row],[cod_actividad]]="","",_xlfn.XLOOKUP(tblOrdenes[[#This Row],[cod_actividad]],tblActividades[codigo],tblActividades[descripcion],"(sin catálogo)"))</f>
        <v/>
      </c>
      <c r="AD114" s="23">
        <f>IF(tblOrdenes[[#This Row],[fecha_inicio]]="","",TODAY()-tblOrdenes[[#This Row],[fecha_inicio]])</f>
        <v/>
      </c>
      <c r="AE1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5">
        <f>IF(tblOrdenes[[#This Row],[backlog_habiles]]="","",IF(tblOrdenes[[#This Row],[backlog_habiles]]&lt;0,"FUTURO",IF(tblOrdenes[[#This Row],[backlog_habiles]]&gt;p_dias_backlog_max,"BACKLOG","MES CORRIENTE")))</f>
        <v/>
      </c>
      <c r="AG114" s="5">
        <f>IF(tblOrdenes[[#This Row],[backlog_habiles]]="",FALSE,AND(tblOrdenes[[#This Row],[backlog_habiles]]&gt;p_dias_backlog_min,tblOrdenes[[#This Row],[backlog_habiles]]&lt;=p_dias_backlog_max))</f>
        <v/>
      </c>
      <c r="AH114" s="4" t="n"/>
      <c r="AI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18">
        <f>IF(tblOrdenes[[#This Row],[orden]]="","",_xlfn.XLOOKUP(tblOrdenes[[#This Row],[id_operacion]],tblEjecucion[id_operacion],tblEjecucion[precio],0))</f>
        <v/>
      </c>
      <c r="AM114" s="18">
        <f>IF(tblOrdenes[[#This Row],[orden]]="","",MAX(0,_xlfn.XLOOKUP(tblOrdenes[[#This Row],[id_operacion]],tblEjecucion[id_operacion],tblEjecucion[costo_plan_total],0)-tblOrdenes[[#This Row],[costo_servicio]]))</f>
        <v/>
      </c>
      <c r="AN114" s="18">
        <f>IF(tblOrdenes[[#This Row],[orden]]="","",tblOrdenes[[#This Row],[costo_servicio]]+tblOrdenes[[#This Row],[costo_materiales]])</f>
        <v/>
      </c>
      <c r="AO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n"/>
      <c r="AQ114" s="4" t="n"/>
      <c r="AR114" s="4" t="n"/>
      <c r="AS114" s="5">
        <f>IF(tblOrdenes[[#This Row],[link_checklist]]="","",HYPERLINK(p_ruta_base_checklists&amp;tblOrdenes[[#This Row],[link_checklist]],"abrir"))</f>
        <v/>
      </c>
      <c r="AT114" s="4" t="n"/>
      <c r="AU114" s="5">
        <f>IF(tblOrdenes[[#This Row],[orden]]="","",tblOrdenes[[#This Row],[orden]]&amp;IF(tblOrdenes[[#This Row],[operacion]]="","0010",tblOrdenes[[#This Row],[operacion]]))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25" t="n"/>
      <c r="K115" s="5" t="n"/>
      <c r="L115" s="18" t="n"/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Row],[fecha_inicio]]="","",tblOrdenes[[#This Row],[anio]]&amp;"-"&amp;TEXT(tblOrdenes[[#This Row],[mes]],"00"))</f>
        <v/>
      </c>
      <c r="S115" s="5">
        <f>IF(tblOrdenes[[#This Row],[fecha_inicio]]="","",INDEX(lista_dias,WEEKDAY(tblOrdenes[[#This Row],[fecha_inicio]],2)))</f>
        <v/>
      </c>
      <c r="T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5">
        <f>IF(tblOrdenes[[#This Row],[tipo_ot]]="","",_xlfn.XLOOKUP(tblOrdenes[[#This Row],[tipo_ot]],tblTiposOT[codigo],tblTiposOT[clasificacion],"sin_clasificar"))</f>
        <v/>
      </c>
      <c r="V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5">
        <f>IF(tblOrdenes[[#This Row],[centro_costo]]="","",_xlfn.XLOOKUP(tblOrdenes[[#This Row],[centro_costo]],tblCECO[codigo],tblCECO[linea],"(sin catálogo)"))</f>
        <v/>
      </c>
      <c r="Y115" s="5">
        <f>IF(tblOrdenes[[#This Row],[centro_costo]]="","",_xlfn.XLOOKUP(tblOrdenes[[#This Row],[centro_costo]],tblCECO[codigo],tblCECO[area],"(sin catálogo)"))</f>
        <v/>
      </c>
      <c r="Z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5">
        <f>IF(tblOrdenes[[#This Row],[centro_costo]]="","",_xlfn.XLOOKUP(tblOrdenes[[#This Row],[centro_costo]],tblCECO[codigo],tblCECO[coordinador],"(sin catálogo)"))</f>
        <v/>
      </c>
      <c r="AB115" s="5">
        <f>IF(tblOrdenes[[#This Row],[puesto_trabajo]]="","",_xlfn.XLOOKUP(tblOrdenes[[#This Row],[puesto_trabajo]],tblPuestos[codigo],tblPuestos[especialidad],"(sin catálogo)"))</f>
        <v/>
      </c>
      <c r="AC115" s="5">
        <f>IF(tblOrdenes[[#This Row],[cod_actividad]]="","",_xlfn.XLOOKUP(tblOrdenes[[#This Row],[cod_actividad]],tblActividades[codigo],tblActividades[descripcion],"(sin catálogo)"))</f>
        <v/>
      </c>
      <c r="AD115" s="23">
        <f>IF(tblOrdenes[[#This Row],[fecha_inicio]]="","",TODAY()-tblOrdenes[[#This Row],[fecha_inicio]])</f>
        <v/>
      </c>
      <c r="AE1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5">
        <f>IF(tblOrdenes[[#This Row],[backlog_habiles]]="","",IF(tblOrdenes[[#This Row],[backlog_habiles]]&lt;0,"FUTURO",IF(tblOrdenes[[#This Row],[backlog_habiles]]&gt;p_dias_backlog_max,"BACKLOG","MES CORRIENTE")))</f>
        <v/>
      </c>
      <c r="AG115" s="5">
        <f>IF(tblOrdenes[[#This Row],[backlog_habiles]]="",FALSE,AND(tblOrdenes[[#This Row],[backlog_habiles]]&gt;p_dias_backlog_min,tblOrdenes[[#This Row],[backlog_habiles]]&lt;=p_dias_backlog_max))</f>
        <v/>
      </c>
      <c r="AH115" s="4" t="n"/>
      <c r="AI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18">
        <f>IF(tblOrdenes[[#This Row],[orden]]="","",_xlfn.XLOOKUP(tblOrdenes[[#This Row],[id_operacion]],tblEjecucion[id_operacion],tblEjecucion[precio],0))</f>
        <v/>
      </c>
      <c r="AM115" s="18">
        <f>IF(tblOrdenes[[#This Row],[orden]]="","",MAX(0,_xlfn.XLOOKUP(tblOrdenes[[#This Row],[id_operacion]],tblEjecucion[id_operacion],tblEjecucion[costo_plan_total],0)-tblOrdenes[[#This Row],[costo_servicio]]))</f>
        <v/>
      </c>
      <c r="AN115" s="18">
        <f>IF(tblOrdenes[[#This Row],[orden]]="","",tblOrdenes[[#This Row],[costo_servicio]]+tblOrdenes[[#This Row],[costo_materiales]])</f>
        <v/>
      </c>
      <c r="AO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n"/>
      <c r="AQ115" s="4" t="n"/>
      <c r="AR115" s="4" t="n"/>
      <c r="AS115" s="5">
        <f>IF(tblOrdenes[[#This Row],[link_checklist]]="","",HYPERLINK(p_ruta_base_checklists&amp;tblOrdenes[[#This Row],[link_checklist]],"abrir"))</f>
        <v/>
      </c>
      <c r="AT115" s="4" t="n"/>
      <c r="AU115" s="5">
        <f>IF(tblOrdenes[[#This Row],[orden]]="","",tblOrdenes[[#This Row],[orden]]&amp;IF(tblOrdenes[[#This Row],[operacion]]="","0010",tblOrdenes[[#This Row],[operacion]]))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25" t="n"/>
      <c r="K116" s="5" t="n"/>
      <c r="L116" s="18" t="n"/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Row],[fecha_inicio]]="","",tblOrdenes[[#This Row],[anio]]&amp;"-"&amp;TEXT(tblOrdenes[[#This Row],[mes]],"00"))</f>
        <v/>
      </c>
      <c r="S116" s="5">
        <f>IF(tblOrdenes[[#This Row],[fecha_inicio]]="","",INDEX(lista_dias,WEEKDAY(tblOrdenes[[#This Row],[fecha_inicio]],2)))</f>
        <v/>
      </c>
      <c r="T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5">
        <f>IF(tblOrdenes[[#This Row],[tipo_ot]]="","",_xlfn.XLOOKUP(tblOrdenes[[#This Row],[tipo_ot]],tblTiposOT[codigo],tblTiposOT[clasificacion],"sin_clasificar"))</f>
        <v/>
      </c>
      <c r="V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5">
        <f>IF(tblOrdenes[[#This Row],[centro_costo]]="","",_xlfn.XLOOKUP(tblOrdenes[[#This Row],[centro_costo]],tblCECO[codigo],tblCECO[linea],"(sin catálogo)"))</f>
        <v/>
      </c>
      <c r="Y116" s="5">
        <f>IF(tblOrdenes[[#This Row],[centro_costo]]="","",_xlfn.XLOOKUP(tblOrdenes[[#This Row],[centro_costo]],tblCECO[codigo],tblCECO[area],"(sin catálogo)"))</f>
        <v/>
      </c>
      <c r="Z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5">
        <f>IF(tblOrdenes[[#This Row],[centro_costo]]="","",_xlfn.XLOOKUP(tblOrdenes[[#This Row],[centro_costo]],tblCECO[codigo],tblCECO[coordinador],"(sin catálogo)"))</f>
        <v/>
      </c>
      <c r="AB116" s="5">
        <f>IF(tblOrdenes[[#This Row],[puesto_trabajo]]="","",_xlfn.XLOOKUP(tblOrdenes[[#This Row],[puesto_trabajo]],tblPuestos[codigo],tblPuestos[especialidad],"(sin catálogo)"))</f>
        <v/>
      </c>
      <c r="AC116" s="5">
        <f>IF(tblOrdenes[[#This Row],[cod_actividad]]="","",_xlfn.XLOOKUP(tblOrdenes[[#This Row],[cod_actividad]],tblActividades[codigo],tblActividades[descripcion],"(sin catálogo)"))</f>
        <v/>
      </c>
      <c r="AD116" s="23">
        <f>IF(tblOrdenes[[#This Row],[fecha_inicio]]="","",TODAY()-tblOrdenes[[#This Row],[fecha_inicio]])</f>
        <v/>
      </c>
      <c r="AE1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5">
        <f>IF(tblOrdenes[[#This Row],[backlog_habiles]]="","",IF(tblOrdenes[[#This Row],[backlog_habiles]]&lt;0,"FUTURO",IF(tblOrdenes[[#This Row],[backlog_habiles]]&gt;p_dias_backlog_max,"BACKLOG","MES CORRIENTE")))</f>
        <v/>
      </c>
      <c r="AG116" s="5">
        <f>IF(tblOrdenes[[#This Row],[backlog_habiles]]="",FALSE,AND(tblOrdenes[[#This Row],[backlog_habiles]]&gt;p_dias_backlog_min,tblOrdenes[[#This Row],[backlog_habiles]]&lt;=p_dias_backlog_max))</f>
        <v/>
      </c>
      <c r="AH116" s="4" t="n"/>
      <c r="AI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18">
        <f>IF(tblOrdenes[[#This Row],[orden]]="","",_xlfn.XLOOKUP(tblOrdenes[[#This Row],[id_operacion]],tblEjecucion[id_operacion],tblEjecucion[precio],0))</f>
        <v/>
      </c>
      <c r="AM116" s="18">
        <f>IF(tblOrdenes[[#This Row],[orden]]="","",MAX(0,_xlfn.XLOOKUP(tblOrdenes[[#This Row],[id_operacion]],tblEjecucion[id_operacion],tblEjecucion[costo_plan_total],0)-tblOrdenes[[#This Row],[costo_servicio]]))</f>
        <v/>
      </c>
      <c r="AN116" s="18">
        <f>IF(tblOrdenes[[#This Row],[orden]]="","",tblOrdenes[[#This Row],[costo_servicio]]+tblOrdenes[[#This Row],[costo_materiales]])</f>
        <v/>
      </c>
      <c r="AO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n"/>
      <c r="AQ116" s="4" t="n"/>
      <c r="AR116" s="4" t="n"/>
      <c r="AS116" s="5">
        <f>IF(tblOrdenes[[#This Row],[link_checklist]]="","",HYPERLINK(p_ruta_base_checklists&amp;tblOrdenes[[#This Row],[link_checklist]],"abrir"))</f>
        <v/>
      </c>
      <c r="AT116" s="4" t="n"/>
      <c r="AU116" s="5">
        <f>IF(tblOrdenes[[#This Row],[orden]]="","",tblOrdenes[[#This Row],[orden]]&amp;IF(tblOrdenes[[#This Row],[operacion]]="","0010",tblOrdenes[[#This Row],[operacion]]))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25" t="n"/>
      <c r="K117" s="5" t="n"/>
      <c r="L117" s="18" t="n"/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Row],[fecha_inicio]]="","",tblOrdenes[[#This Row],[anio]]&amp;"-"&amp;TEXT(tblOrdenes[[#This Row],[mes]],"00"))</f>
        <v/>
      </c>
      <c r="S117" s="5">
        <f>IF(tblOrdenes[[#This Row],[fecha_inicio]]="","",INDEX(lista_dias,WEEKDAY(tblOrdenes[[#This Row],[fecha_inicio]],2)))</f>
        <v/>
      </c>
      <c r="T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5">
        <f>IF(tblOrdenes[[#This Row],[tipo_ot]]="","",_xlfn.XLOOKUP(tblOrdenes[[#This Row],[tipo_ot]],tblTiposOT[codigo],tblTiposOT[clasificacion],"sin_clasificar"))</f>
        <v/>
      </c>
      <c r="V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5">
        <f>IF(tblOrdenes[[#This Row],[centro_costo]]="","",_xlfn.XLOOKUP(tblOrdenes[[#This Row],[centro_costo]],tblCECO[codigo],tblCECO[linea],"(sin catálogo)"))</f>
        <v/>
      </c>
      <c r="Y117" s="5">
        <f>IF(tblOrdenes[[#This Row],[centro_costo]]="","",_xlfn.XLOOKUP(tblOrdenes[[#This Row],[centro_costo]],tblCECO[codigo],tblCECO[area],"(sin catálogo)"))</f>
        <v/>
      </c>
      <c r="Z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5">
        <f>IF(tblOrdenes[[#This Row],[centro_costo]]="","",_xlfn.XLOOKUP(tblOrdenes[[#This Row],[centro_costo]],tblCECO[codigo],tblCECO[coordinador],"(sin catálogo)"))</f>
        <v/>
      </c>
      <c r="AB117" s="5">
        <f>IF(tblOrdenes[[#This Row],[puesto_trabajo]]="","",_xlfn.XLOOKUP(tblOrdenes[[#This Row],[puesto_trabajo]],tblPuestos[codigo],tblPuestos[especialidad],"(sin catálogo)"))</f>
        <v/>
      </c>
      <c r="AC117" s="5">
        <f>IF(tblOrdenes[[#This Row],[cod_actividad]]="","",_xlfn.XLOOKUP(tblOrdenes[[#This Row],[cod_actividad]],tblActividades[codigo],tblActividades[descripcion],"(sin catálogo)"))</f>
        <v/>
      </c>
      <c r="AD117" s="23">
        <f>IF(tblOrdenes[[#This Row],[fecha_inicio]]="","",TODAY()-tblOrdenes[[#This Row],[fecha_inicio]])</f>
        <v/>
      </c>
      <c r="AE1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5">
        <f>IF(tblOrdenes[[#This Row],[backlog_habiles]]="","",IF(tblOrdenes[[#This Row],[backlog_habiles]]&lt;0,"FUTURO",IF(tblOrdenes[[#This Row],[backlog_habiles]]&gt;p_dias_backlog_max,"BACKLOG","MES CORRIENTE")))</f>
        <v/>
      </c>
      <c r="AG117" s="5">
        <f>IF(tblOrdenes[[#This Row],[backlog_habiles]]="",FALSE,AND(tblOrdenes[[#This Row],[backlog_habiles]]&gt;p_dias_backlog_min,tblOrdenes[[#This Row],[backlog_habiles]]&lt;=p_dias_backlog_max))</f>
        <v/>
      </c>
      <c r="AH117" s="4" t="n"/>
      <c r="AI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18">
        <f>IF(tblOrdenes[[#This Row],[orden]]="","",_xlfn.XLOOKUP(tblOrdenes[[#This Row],[id_operacion]],tblEjecucion[id_operacion],tblEjecucion[precio],0))</f>
        <v/>
      </c>
      <c r="AM117" s="18">
        <f>IF(tblOrdenes[[#This Row],[orden]]="","",MAX(0,_xlfn.XLOOKUP(tblOrdenes[[#This Row],[id_operacion]],tblEjecucion[id_operacion],tblEjecucion[costo_plan_total],0)-tblOrdenes[[#This Row],[costo_servicio]]))</f>
        <v/>
      </c>
      <c r="AN117" s="18">
        <f>IF(tblOrdenes[[#This Row],[orden]]="","",tblOrdenes[[#This Row],[costo_servicio]]+tblOrdenes[[#This Row],[costo_materiales]])</f>
        <v/>
      </c>
      <c r="AO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n"/>
      <c r="AQ117" s="4" t="n"/>
      <c r="AR117" s="4" t="n"/>
      <c r="AS117" s="5">
        <f>IF(tblOrdenes[[#This Row],[link_checklist]]="","",HYPERLINK(p_ruta_base_checklists&amp;tblOrdenes[[#This Row],[link_checklist]],"abrir"))</f>
        <v/>
      </c>
      <c r="AT117" s="4" t="n"/>
      <c r="AU117" s="5">
        <f>IF(tblOrdenes[[#This Row],[orden]]="","",tblOrdenes[[#This Row],[orden]]&amp;IF(tblOrdenes[[#This Row],[operacion]]="","0010",tblOrdenes[[#This Row],[operacion]]))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25" t="n"/>
      <c r="K118" s="5" t="n"/>
      <c r="L118" s="18" t="n"/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Row],[fecha_inicio]]="","",tblOrdenes[[#This Row],[anio]]&amp;"-"&amp;TEXT(tblOrdenes[[#This Row],[mes]],"00"))</f>
        <v/>
      </c>
      <c r="S118" s="5">
        <f>IF(tblOrdenes[[#This Row],[fecha_inicio]]="","",INDEX(lista_dias,WEEKDAY(tblOrdenes[[#This Row],[fecha_inicio]],2)))</f>
        <v/>
      </c>
      <c r="T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5">
        <f>IF(tblOrdenes[[#This Row],[tipo_ot]]="","",_xlfn.XLOOKUP(tblOrdenes[[#This Row],[tipo_ot]],tblTiposOT[codigo],tblTiposOT[clasificacion],"sin_clasificar"))</f>
        <v/>
      </c>
      <c r="V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5">
        <f>IF(tblOrdenes[[#This Row],[centro_costo]]="","",_xlfn.XLOOKUP(tblOrdenes[[#This Row],[centro_costo]],tblCECO[codigo],tblCECO[linea],"(sin catálogo)"))</f>
        <v/>
      </c>
      <c r="Y118" s="5">
        <f>IF(tblOrdenes[[#This Row],[centro_costo]]="","",_xlfn.XLOOKUP(tblOrdenes[[#This Row],[centro_costo]],tblCECO[codigo],tblCECO[area],"(sin catálogo)"))</f>
        <v/>
      </c>
      <c r="Z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5">
        <f>IF(tblOrdenes[[#This Row],[centro_costo]]="","",_xlfn.XLOOKUP(tblOrdenes[[#This Row],[centro_costo]],tblCECO[codigo],tblCECO[coordinador],"(sin catálogo)"))</f>
        <v/>
      </c>
      <c r="AB118" s="5">
        <f>IF(tblOrdenes[[#This Row],[puesto_trabajo]]="","",_xlfn.XLOOKUP(tblOrdenes[[#This Row],[puesto_trabajo]],tblPuestos[codigo],tblPuestos[especialidad],"(sin catálogo)"))</f>
        <v/>
      </c>
      <c r="AC118" s="5">
        <f>IF(tblOrdenes[[#This Row],[cod_actividad]]="","",_xlfn.XLOOKUP(tblOrdenes[[#This Row],[cod_actividad]],tblActividades[codigo],tblActividades[descripcion],"(sin catálogo)"))</f>
        <v/>
      </c>
      <c r="AD118" s="23">
        <f>IF(tblOrdenes[[#This Row],[fecha_inicio]]="","",TODAY()-tblOrdenes[[#This Row],[fecha_inicio]])</f>
        <v/>
      </c>
      <c r="AE1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5">
        <f>IF(tblOrdenes[[#This Row],[backlog_habiles]]="","",IF(tblOrdenes[[#This Row],[backlog_habiles]]&lt;0,"FUTURO",IF(tblOrdenes[[#This Row],[backlog_habiles]]&gt;p_dias_backlog_max,"BACKLOG","MES CORRIENTE")))</f>
        <v/>
      </c>
      <c r="AG118" s="5">
        <f>IF(tblOrdenes[[#This Row],[backlog_habiles]]="",FALSE,AND(tblOrdenes[[#This Row],[backlog_habiles]]&gt;p_dias_backlog_min,tblOrdenes[[#This Row],[backlog_habiles]]&lt;=p_dias_backlog_max))</f>
        <v/>
      </c>
      <c r="AH118" s="4" t="n"/>
      <c r="AI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18">
        <f>IF(tblOrdenes[[#This Row],[orden]]="","",_xlfn.XLOOKUP(tblOrdenes[[#This Row],[id_operacion]],tblEjecucion[id_operacion],tblEjecucion[precio],0))</f>
        <v/>
      </c>
      <c r="AM118" s="18">
        <f>IF(tblOrdenes[[#This Row],[orden]]="","",MAX(0,_xlfn.XLOOKUP(tblOrdenes[[#This Row],[id_operacion]],tblEjecucion[id_operacion],tblEjecucion[costo_plan_total],0)-tblOrdenes[[#This Row],[costo_servicio]]))</f>
        <v/>
      </c>
      <c r="AN118" s="18">
        <f>IF(tblOrdenes[[#This Row],[orden]]="","",tblOrdenes[[#This Row],[costo_servicio]]+tblOrdenes[[#This Row],[costo_materiales]])</f>
        <v/>
      </c>
      <c r="AO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n"/>
      <c r="AQ118" s="4" t="n"/>
      <c r="AR118" s="4" t="n"/>
      <c r="AS118" s="5">
        <f>IF(tblOrdenes[[#This Row],[link_checklist]]="","",HYPERLINK(p_ruta_base_checklists&amp;tblOrdenes[[#This Row],[link_checklist]],"abrir"))</f>
        <v/>
      </c>
      <c r="AT118" s="4" t="n"/>
      <c r="AU118" s="5">
        <f>IF(tblOrdenes[[#This Row],[orden]]="","",tblOrdenes[[#This Row],[orden]]&amp;IF(tblOrdenes[[#This Row],[operacion]]="","0010",tblOrdenes[[#This Row],[operacion]]))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25" t="n"/>
      <c r="K119" s="5" t="n"/>
      <c r="L119" s="18" t="n"/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Row],[fecha_inicio]]="","",tblOrdenes[[#This Row],[anio]]&amp;"-"&amp;TEXT(tblOrdenes[[#This Row],[mes]],"00"))</f>
        <v/>
      </c>
      <c r="S119" s="5">
        <f>IF(tblOrdenes[[#This Row],[fecha_inicio]]="","",INDEX(lista_dias,WEEKDAY(tblOrdenes[[#This Row],[fecha_inicio]],2)))</f>
        <v/>
      </c>
      <c r="T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5">
        <f>IF(tblOrdenes[[#This Row],[tipo_ot]]="","",_xlfn.XLOOKUP(tblOrdenes[[#This Row],[tipo_ot]],tblTiposOT[codigo],tblTiposOT[clasificacion],"sin_clasificar"))</f>
        <v/>
      </c>
      <c r="V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5">
        <f>IF(tblOrdenes[[#This Row],[centro_costo]]="","",_xlfn.XLOOKUP(tblOrdenes[[#This Row],[centro_costo]],tblCECO[codigo],tblCECO[linea],"(sin catálogo)"))</f>
        <v/>
      </c>
      <c r="Y119" s="5">
        <f>IF(tblOrdenes[[#This Row],[centro_costo]]="","",_xlfn.XLOOKUP(tblOrdenes[[#This Row],[centro_costo]],tblCECO[codigo],tblCECO[area],"(sin catálogo)"))</f>
        <v/>
      </c>
      <c r="Z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5">
        <f>IF(tblOrdenes[[#This Row],[centro_costo]]="","",_xlfn.XLOOKUP(tblOrdenes[[#This Row],[centro_costo]],tblCECO[codigo],tblCECO[coordinador],"(sin catálogo)"))</f>
        <v/>
      </c>
      <c r="AB119" s="5">
        <f>IF(tblOrdenes[[#This Row],[puesto_trabajo]]="","",_xlfn.XLOOKUP(tblOrdenes[[#This Row],[puesto_trabajo]],tblPuestos[codigo],tblPuestos[especialidad],"(sin catálogo)"))</f>
        <v/>
      </c>
      <c r="AC119" s="5">
        <f>IF(tblOrdenes[[#This Row],[cod_actividad]]="","",_xlfn.XLOOKUP(tblOrdenes[[#This Row],[cod_actividad]],tblActividades[codigo],tblActividades[descripcion],"(sin catálogo)"))</f>
        <v/>
      </c>
      <c r="AD119" s="23">
        <f>IF(tblOrdenes[[#This Row],[fecha_inicio]]="","",TODAY()-tblOrdenes[[#This Row],[fecha_inicio]])</f>
        <v/>
      </c>
      <c r="AE1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5">
        <f>IF(tblOrdenes[[#This Row],[backlog_habiles]]="","",IF(tblOrdenes[[#This Row],[backlog_habiles]]&lt;0,"FUTURO",IF(tblOrdenes[[#This Row],[backlog_habiles]]&gt;p_dias_backlog_max,"BACKLOG","MES CORRIENTE")))</f>
        <v/>
      </c>
      <c r="AG119" s="5">
        <f>IF(tblOrdenes[[#This Row],[backlog_habiles]]="",FALSE,AND(tblOrdenes[[#This Row],[backlog_habiles]]&gt;p_dias_backlog_min,tblOrdenes[[#This Row],[backlog_habiles]]&lt;=p_dias_backlog_max))</f>
        <v/>
      </c>
      <c r="AH119" s="4" t="n"/>
      <c r="AI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18">
        <f>IF(tblOrdenes[[#This Row],[orden]]="","",_xlfn.XLOOKUP(tblOrdenes[[#This Row],[id_operacion]],tblEjecucion[id_operacion],tblEjecucion[precio],0))</f>
        <v/>
      </c>
      <c r="AM119" s="18">
        <f>IF(tblOrdenes[[#This Row],[orden]]="","",MAX(0,_xlfn.XLOOKUP(tblOrdenes[[#This Row],[id_operacion]],tblEjecucion[id_operacion],tblEjecucion[costo_plan_total],0)-tblOrdenes[[#This Row],[costo_servicio]]))</f>
        <v/>
      </c>
      <c r="AN119" s="18">
        <f>IF(tblOrdenes[[#This Row],[orden]]="","",tblOrdenes[[#This Row],[costo_servicio]]+tblOrdenes[[#This Row],[costo_materiales]])</f>
        <v/>
      </c>
      <c r="AO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n"/>
      <c r="AQ119" s="4" t="n"/>
      <c r="AR119" s="4" t="n"/>
      <c r="AS119" s="5">
        <f>IF(tblOrdenes[[#This Row],[link_checklist]]="","",HYPERLINK(p_ruta_base_checklists&amp;tblOrdenes[[#This Row],[link_checklist]],"abrir"))</f>
        <v/>
      </c>
      <c r="AT119" s="4" t="n"/>
      <c r="AU119" s="5">
        <f>IF(tblOrdenes[[#This Row],[orden]]="","",tblOrdenes[[#This Row],[orden]]&amp;IF(tblOrdenes[[#This Row],[operacion]]="","0010",tblOrdenes[[#This Row],[operacion]]))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25" t="n"/>
      <c r="K120" s="5" t="n"/>
      <c r="L120" s="18" t="n"/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Row],[fecha_inicio]]="","",tblOrdenes[[#This Row],[anio]]&amp;"-"&amp;TEXT(tblOrdenes[[#This Row],[mes]],"00"))</f>
        <v/>
      </c>
      <c r="S120" s="5">
        <f>IF(tblOrdenes[[#This Row],[fecha_inicio]]="","",INDEX(lista_dias,WEEKDAY(tblOrdenes[[#This Row],[fecha_inicio]],2)))</f>
        <v/>
      </c>
      <c r="T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5">
        <f>IF(tblOrdenes[[#This Row],[tipo_ot]]="","",_xlfn.XLOOKUP(tblOrdenes[[#This Row],[tipo_ot]],tblTiposOT[codigo],tblTiposOT[clasificacion],"sin_clasificar"))</f>
        <v/>
      </c>
      <c r="V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5">
        <f>IF(tblOrdenes[[#This Row],[centro_costo]]="","",_xlfn.XLOOKUP(tblOrdenes[[#This Row],[centro_costo]],tblCECO[codigo],tblCECO[linea],"(sin catálogo)"))</f>
        <v/>
      </c>
      <c r="Y120" s="5">
        <f>IF(tblOrdenes[[#This Row],[centro_costo]]="","",_xlfn.XLOOKUP(tblOrdenes[[#This Row],[centro_costo]],tblCECO[codigo],tblCECO[area],"(sin catálogo)"))</f>
        <v/>
      </c>
      <c r="Z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5">
        <f>IF(tblOrdenes[[#This Row],[centro_costo]]="","",_xlfn.XLOOKUP(tblOrdenes[[#This Row],[centro_costo]],tblCECO[codigo],tblCECO[coordinador],"(sin catálogo)"))</f>
        <v/>
      </c>
      <c r="AB120" s="5">
        <f>IF(tblOrdenes[[#This Row],[puesto_trabajo]]="","",_xlfn.XLOOKUP(tblOrdenes[[#This Row],[puesto_trabajo]],tblPuestos[codigo],tblPuestos[especialidad],"(sin catálogo)"))</f>
        <v/>
      </c>
      <c r="AC120" s="5">
        <f>IF(tblOrdenes[[#This Row],[cod_actividad]]="","",_xlfn.XLOOKUP(tblOrdenes[[#This Row],[cod_actividad]],tblActividades[codigo],tblActividades[descripcion],"(sin catálogo)"))</f>
        <v/>
      </c>
      <c r="AD120" s="23">
        <f>IF(tblOrdenes[[#This Row],[fecha_inicio]]="","",TODAY()-tblOrdenes[[#This Row],[fecha_inicio]])</f>
        <v/>
      </c>
      <c r="AE1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5">
        <f>IF(tblOrdenes[[#This Row],[backlog_habiles]]="","",IF(tblOrdenes[[#This Row],[backlog_habiles]]&lt;0,"FUTURO",IF(tblOrdenes[[#This Row],[backlog_habiles]]&gt;p_dias_backlog_max,"BACKLOG","MES CORRIENTE")))</f>
        <v/>
      </c>
      <c r="AG120" s="5">
        <f>IF(tblOrdenes[[#This Row],[backlog_habiles]]="",FALSE,AND(tblOrdenes[[#This Row],[backlog_habiles]]&gt;p_dias_backlog_min,tblOrdenes[[#This Row],[backlog_habiles]]&lt;=p_dias_backlog_max))</f>
        <v/>
      </c>
      <c r="AH120" s="4" t="n"/>
      <c r="AI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18">
        <f>IF(tblOrdenes[[#This Row],[orden]]="","",_xlfn.XLOOKUP(tblOrdenes[[#This Row],[id_operacion]],tblEjecucion[id_operacion],tblEjecucion[precio],0))</f>
        <v/>
      </c>
      <c r="AM120" s="18">
        <f>IF(tblOrdenes[[#This Row],[orden]]="","",MAX(0,_xlfn.XLOOKUP(tblOrdenes[[#This Row],[id_operacion]],tblEjecucion[id_operacion],tblEjecucion[costo_plan_total],0)-tblOrdenes[[#This Row],[costo_servicio]]))</f>
        <v/>
      </c>
      <c r="AN120" s="18">
        <f>IF(tblOrdenes[[#This Row],[orden]]="","",tblOrdenes[[#This Row],[costo_servicio]]+tblOrdenes[[#This Row],[costo_materiales]])</f>
        <v/>
      </c>
      <c r="AO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n"/>
      <c r="AQ120" s="4" t="n"/>
      <c r="AR120" s="4" t="n"/>
      <c r="AS120" s="5">
        <f>IF(tblOrdenes[[#This Row],[link_checklist]]="","",HYPERLINK(p_ruta_base_checklists&amp;tblOrdenes[[#This Row],[link_checklist]],"abrir"))</f>
        <v/>
      </c>
      <c r="AT120" s="4" t="n"/>
      <c r="AU120" s="5">
        <f>IF(tblOrdenes[[#This Row],[orden]]="","",tblOrdenes[[#This Row],[orden]]&amp;IF(tblOrdenes[[#This Row],[operacion]]="","0010",tblOrdenes[[#This Row],[operacion]]))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25" t="n"/>
      <c r="K121" s="5" t="n"/>
      <c r="L121" s="18" t="n"/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Row],[fecha_inicio]]="","",tblOrdenes[[#This Row],[anio]]&amp;"-"&amp;TEXT(tblOrdenes[[#This Row],[mes]],"00"))</f>
        <v/>
      </c>
      <c r="S121" s="5">
        <f>IF(tblOrdenes[[#This Row],[fecha_inicio]]="","",INDEX(lista_dias,WEEKDAY(tblOrdenes[[#This Row],[fecha_inicio]],2)))</f>
        <v/>
      </c>
      <c r="T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5">
        <f>IF(tblOrdenes[[#This Row],[tipo_ot]]="","",_xlfn.XLOOKUP(tblOrdenes[[#This Row],[tipo_ot]],tblTiposOT[codigo],tblTiposOT[clasificacion],"sin_clasificar"))</f>
        <v/>
      </c>
      <c r="V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5">
        <f>IF(tblOrdenes[[#This Row],[centro_costo]]="","",_xlfn.XLOOKUP(tblOrdenes[[#This Row],[centro_costo]],tblCECO[codigo],tblCECO[linea],"(sin catálogo)"))</f>
        <v/>
      </c>
      <c r="Y121" s="5">
        <f>IF(tblOrdenes[[#This Row],[centro_costo]]="","",_xlfn.XLOOKUP(tblOrdenes[[#This Row],[centro_costo]],tblCECO[codigo],tblCECO[area],"(sin catálogo)"))</f>
        <v/>
      </c>
      <c r="Z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5">
        <f>IF(tblOrdenes[[#This Row],[centro_costo]]="","",_xlfn.XLOOKUP(tblOrdenes[[#This Row],[centro_costo]],tblCECO[codigo],tblCECO[coordinador],"(sin catálogo)"))</f>
        <v/>
      </c>
      <c r="AB121" s="5">
        <f>IF(tblOrdenes[[#This Row],[puesto_trabajo]]="","",_xlfn.XLOOKUP(tblOrdenes[[#This Row],[puesto_trabajo]],tblPuestos[codigo],tblPuestos[especialidad],"(sin catálogo)"))</f>
        <v/>
      </c>
      <c r="AC121" s="5">
        <f>IF(tblOrdenes[[#This Row],[cod_actividad]]="","",_xlfn.XLOOKUP(tblOrdenes[[#This Row],[cod_actividad]],tblActividades[codigo],tblActividades[descripcion],"(sin catálogo)"))</f>
        <v/>
      </c>
      <c r="AD121" s="23">
        <f>IF(tblOrdenes[[#This Row],[fecha_inicio]]="","",TODAY()-tblOrdenes[[#This Row],[fecha_inicio]])</f>
        <v/>
      </c>
      <c r="AE1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5">
        <f>IF(tblOrdenes[[#This Row],[backlog_habiles]]="","",IF(tblOrdenes[[#This Row],[backlog_habiles]]&lt;0,"FUTURO",IF(tblOrdenes[[#This Row],[backlog_habiles]]&gt;p_dias_backlog_max,"BACKLOG","MES CORRIENTE")))</f>
        <v/>
      </c>
      <c r="AG121" s="5">
        <f>IF(tblOrdenes[[#This Row],[backlog_habiles]]="",FALSE,AND(tblOrdenes[[#This Row],[backlog_habiles]]&gt;p_dias_backlog_min,tblOrdenes[[#This Row],[backlog_habiles]]&lt;=p_dias_backlog_max))</f>
        <v/>
      </c>
      <c r="AH121" s="4" t="n"/>
      <c r="AI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18">
        <f>IF(tblOrdenes[[#This Row],[orden]]="","",_xlfn.XLOOKUP(tblOrdenes[[#This Row],[id_operacion]],tblEjecucion[id_operacion],tblEjecucion[precio],0))</f>
        <v/>
      </c>
      <c r="AM121" s="18">
        <f>IF(tblOrdenes[[#This Row],[orden]]="","",MAX(0,_xlfn.XLOOKUP(tblOrdenes[[#This Row],[id_operacion]],tblEjecucion[id_operacion],tblEjecucion[costo_plan_total],0)-tblOrdenes[[#This Row],[costo_servicio]]))</f>
        <v/>
      </c>
      <c r="AN121" s="18">
        <f>IF(tblOrdenes[[#This Row],[orden]]="","",tblOrdenes[[#This Row],[costo_servicio]]+tblOrdenes[[#This Row],[costo_materiales]])</f>
        <v/>
      </c>
      <c r="AO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n"/>
      <c r="AQ121" s="4" t="n"/>
      <c r="AR121" s="4" t="n"/>
      <c r="AS121" s="5">
        <f>IF(tblOrdenes[[#This Row],[link_checklist]]="","",HYPERLINK(p_ruta_base_checklists&amp;tblOrdenes[[#This Row],[link_checklist]],"abrir"))</f>
        <v/>
      </c>
      <c r="AT121" s="4" t="n"/>
      <c r="AU121" s="5">
        <f>IF(tblOrdenes[[#This Row],[orden]]="","",tblOrdenes[[#This Row],[orden]]&amp;IF(tblOrdenes[[#This Row],[operacion]]="","0010",tblOrdenes[[#This Row],[operacion]]))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25" t="n"/>
      <c r="K122" s="5" t="n"/>
      <c r="L122" s="18" t="n"/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Row],[fecha_inicio]]="","",tblOrdenes[[#This Row],[anio]]&amp;"-"&amp;TEXT(tblOrdenes[[#This Row],[mes]],"00"))</f>
        <v/>
      </c>
      <c r="S122" s="5">
        <f>IF(tblOrdenes[[#This Row],[fecha_inicio]]="","",INDEX(lista_dias,WEEKDAY(tblOrdenes[[#This Row],[fecha_inicio]],2)))</f>
        <v/>
      </c>
      <c r="T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5">
        <f>IF(tblOrdenes[[#This Row],[tipo_ot]]="","",_xlfn.XLOOKUP(tblOrdenes[[#This Row],[tipo_ot]],tblTiposOT[codigo],tblTiposOT[clasificacion],"sin_clasificar"))</f>
        <v/>
      </c>
      <c r="V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5">
        <f>IF(tblOrdenes[[#This Row],[centro_costo]]="","",_xlfn.XLOOKUP(tblOrdenes[[#This Row],[centro_costo]],tblCECO[codigo],tblCECO[linea],"(sin catálogo)"))</f>
        <v/>
      </c>
      <c r="Y122" s="5">
        <f>IF(tblOrdenes[[#This Row],[centro_costo]]="","",_xlfn.XLOOKUP(tblOrdenes[[#This Row],[centro_costo]],tblCECO[codigo],tblCECO[area],"(sin catálogo)"))</f>
        <v/>
      </c>
      <c r="Z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5">
        <f>IF(tblOrdenes[[#This Row],[centro_costo]]="","",_xlfn.XLOOKUP(tblOrdenes[[#This Row],[centro_costo]],tblCECO[codigo],tblCECO[coordinador],"(sin catálogo)"))</f>
        <v/>
      </c>
      <c r="AB122" s="5">
        <f>IF(tblOrdenes[[#This Row],[puesto_trabajo]]="","",_xlfn.XLOOKUP(tblOrdenes[[#This Row],[puesto_trabajo]],tblPuestos[codigo],tblPuestos[especialidad],"(sin catálogo)"))</f>
        <v/>
      </c>
      <c r="AC122" s="5">
        <f>IF(tblOrdenes[[#This Row],[cod_actividad]]="","",_xlfn.XLOOKUP(tblOrdenes[[#This Row],[cod_actividad]],tblActividades[codigo],tblActividades[descripcion],"(sin catálogo)"))</f>
        <v/>
      </c>
      <c r="AD122" s="23">
        <f>IF(tblOrdenes[[#This Row],[fecha_inicio]]="","",TODAY()-tblOrdenes[[#This Row],[fecha_inicio]])</f>
        <v/>
      </c>
      <c r="AE1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5">
        <f>IF(tblOrdenes[[#This Row],[backlog_habiles]]="","",IF(tblOrdenes[[#This Row],[backlog_habiles]]&lt;0,"FUTURO",IF(tblOrdenes[[#This Row],[backlog_habiles]]&gt;p_dias_backlog_max,"BACKLOG","MES CORRIENTE")))</f>
        <v/>
      </c>
      <c r="AG122" s="5">
        <f>IF(tblOrdenes[[#This Row],[backlog_habiles]]="",FALSE,AND(tblOrdenes[[#This Row],[backlog_habiles]]&gt;p_dias_backlog_min,tblOrdenes[[#This Row],[backlog_habiles]]&lt;=p_dias_backlog_max))</f>
        <v/>
      </c>
      <c r="AH122" s="4" t="n"/>
      <c r="AI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18">
        <f>IF(tblOrdenes[[#This Row],[orden]]="","",_xlfn.XLOOKUP(tblOrdenes[[#This Row],[id_operacion]],tblEjecucion[id_operacion],tblEjecucion[precio],0))</f>
        <v/>
      </c>
      <c r="AM122" s="18">
        <f>IF(tblOrdenes[[#This Row],[orden]]="","",MAX(0,_xlfn.XLOOKUP(tblOrdenes[[#This Row],[id_operacion]],tblEjecucion[id_operacion],tblEjecucion[costo_plan_total],0)-tblOrdenes[[#This Row],[costo_servicio]]))</f>
        <v/>
      </c>
      <c r="AN122" s="18">
        <f>IF(tblOrdenes[[#This Row],[orden]]="","",tblOrdenes[[#This Row],[costo_servicio]]+tblOrdenes[[#This Row],[costo_materiales]])</f>
        <v/>
      </c>
      <c r="AO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n"/>
      <c r="AQ122" s="4" t="n"/>
      <c r="AR122" s="4" t="n"/>
      <c r="AS122" s="5">
        <f>IF(tblOrdenes[[#This Row],[link_checklist]]="","",HYPERLINK(p_ruta_base_checklists&amp;tblOrdenes[[#This Row],[link_checklist]],"abrir"))</f>
        <v/>
      </c>
      <c r="AT122" s="4" t="n"/>
      <c r="AU122" s="5">
        <f>IF(tblOrdenes[[#This Row],[orden]]="","",tblOrdenes[[#This Row],[orden]]&amp;IF(tblOrdenes[[#This Row],[operacion]]="","0010",tblOrdenes[[#This Row],[operacion]]))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25" t="n"/>
      <c r="K123" s="5" t="n"/>
      <c r="L123" s="18" t="n"/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Row],[fecha_inicio]]="","",tblOrdenes[[#This Row],[anio]]&amp;"-"&amp;TEXT(tblOrdenes[[#This Row],[mes]],"00"))</f>
        <v/>
      </c>
      <c r="S123" s="5">
        <f>IF(tblOrdenes[[#This Row],[fecha_inicio]]="","",INDEX(lista_dias,WEEKDAY(tblOrdenes[[#This Row],[fecha_inicio]],2)))</f>
        <v/>
      </c>
      <c r="T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5">
        <f>IF(tblOrdenes[[#This Row],[tipo_ot]]="","",_xlfn.XLOOKUP(tblOrdenes[[#This Row],[tipo_ot]],tblTiposOT[codigo],tblTiposOT[clasificacion],"sin_clasificar"))</f>
        <v/>
      </c>
      <c r="V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5">
        <f>IF(tblOrdenes[[#This Row],[centro_costo]]="","",_xlfn.XLOOKUP(tblOrdenes[[#This Row],[centro_costo]],tblCECO[codigo],tblCECO[linea],"(sin catálogo)"))</f>
        <v/>
      </c>
      <c r="Y123" s="5">
        <f>IF(tblOrdenes[[#This Row],[centro_costo]]="","",_xlfn.XLOOKUP(tblOrdenes[[#This Row],[centro_costo]],tblCECO[codigo],tblCECO[area],"(sin catálogo)"))</f>
        <v/>
      </c>
      <c r="Z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5">
        <f>IF(tblOrdenes[[#This Row],[centro_costo]]="","",_xlfn.XLOOKUP(tblOrdenes[[#This Row],[centro_costo]],tblCECO[codigo],tblCECO[coordinador],"(sin catálogo)"))</f>
        <v/>
      </c>
      <c r="AB123" s="5">
        <f>IF(tblOrdenes[[#This Row],[puesto_trabajo]]="","",_xlfn.XLOOKUP(tblOrdenes[[#This Row],[puesto_trabajo]],tblPuestos[codigo],tblPuestos[especialidad],"(sin catálogo)"))</f>
        <v/>
      </c>
      <c r="AC123" s="5">
        <f>IF(tblOrdenes[[#This Row],[cod_actividad]]="","",_xlfn.XLOOKUP(tblOrdenes[[#This Row],[cod_actividad]],tblActividades[codigo],tblActividades[descripcion],"(sin catálogo)"))</f>
        <v/>
      </c>
      <c r="AD123" s="23">
        <f>IF(tblOrdenes[[#This Row],[fecha_inicio]]="","",TODAY()-tblOrdenes[[#This Row],[fecha_inicio]])</f>
        <v/>
      </c>
      <c r="AE1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5">
        <f>IF(tblOrdenes[[#This Row],[backlog_habiles]]="","",IF(tblOrdenes[[#This Row],[backlog_habiles]]&lt;0,"FUTURO",IF(tblOrdenes[[#This Row],[backlog_habiles]]&gt;p_dias_backlog_max,"BACKLOG","MES CORRIENTE")))</f>
        <v/>
      </c>
      <c r="AG123" s="5">
        <f>IF(tblOrdenes[[#This Row],[backlog_habiles]]="",FALSE,AND(tblOrdenes[[#This Row],[backlog_habiles]]&gt;p_dias_backlog_min,tblOrdenes[[#This Row],[backlog_habiles]]&lt;=p_dias_backlog_max))</f>
        <v/>
      </c>
      <c r="AH123" s="4" t="n"/>
      <c r="AI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18">
        <f>IF(tblOrdenes[[#This Row],[orden]]="","",_xlfn.XLOOKUP(tblOrdenes[[#This Row],[id_operacion]],tblEjecucion[id_operacion],tblEjecucion[precio],0))</f>
        <v/>
      </c>
      <c r="AM123" s="18">
        <f>IF(tblOrdenes[[#This Row],[orden]]="","",MAX(0,_xlfn.XLOOKUP(tblOrdenes[[#This Row],[id_operacion]],tblEjecucion[id_operacion],tblEjecucion[costo_plan_total],0)-tblOrdenes[[#This Row],[costo_servicio]]))</f>
        <v/>
      </c>
      <c r="AN123" s="18">
        <f>IF(tblOrdenes[[#This Row],[orden]]="","",tblOrdenes[[#This Row],[costo_servicio]]+tblOrdenes[[#This Row],[costo_materiales]])</f>
        <v/>
      </c>
      <c r="AO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n"/>
      <c r="AQ123" s="4" t="n"/>
      <c r="AR123" s="4" t="n"/>
      <c r="AS123" s="5">
        <f>IF(tblOrdenes[[#This Row],[link_checklist]]="","",HYPERLINK(p_ruta_base_checklists&amp;tblOrdenes[[#This Row],[link_checklist]],"abrir"))</f>
        <v/>
      </c>
      <c r="AT123" s="4" t="n"/>
      <c r="AU123" s="5">
        <f>IF(tblOrdenes[[#This Row],[orden]]="","",tblOrdenes[[#This Row],[orden]]&amp;IF(tblOrdenes[[#This Row],[operacion]]="","0010",tblOrdenes[[#This Row],[operacion]]))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25" t="n"/>
      <c r="K124" s="5" t="n"/>
      <c r="L124" s="18" t="n"/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Row],[fecha_inicio]]="","",tblOrdenes[[#This Row],[anio]]&amp;"-"&amp;TEXT(tblOrdenes[[#This Row],[mes]],"00"))</f>
        <v/>
      </c>
      <c r="S124" s="5">
        <f>IF(tblOrdenes[[#This Row],[fecha_inicio]]="","",INDEX(lista_dias,WEEKDAY(tblOrdenes[[#This Row],[fecha_inicio]],2)))</f>
        <v/>
      </c>
      <c r="T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5">
        <f>IF(tblOrdenes[[#This Row],[tipo_ot]]="","",_xlfn.XLOOKUP(tblOrdenes[[#This Row],[tipo_ot]],tblTiposOT[codigo],tblTiposOT[clasificacion],"sin_clasificar"))</f>
        <v/>
      </c>
      <c r="V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5">
        <f>IF(tblOrdenes[[#This Row],[centro_costo]]="","",_xlfn.XLOOKUP(tblOrdenes[[#This Row],[centro_costo]],tblCECO[codigo],tblCECO[linea],"(sin catálogo)"))</f>
        <v/>
      </c>
      <c r="Y124" s="5">
        <f>IF(tblOrdenes[[#This Row],[centro_costo]]="","",_xlfn.XLOOKUP(tblOrdenes[[#This Row],[centro_costo]],tblCECO[codigo],tblCECO[area],"(sin catálogo)"))</f>
        <v/>
      </c>
      <c r="Z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5">
        <f>IF(tblOrdenes[[#This Row],[centro_costo]]="","",_xlfn.XLOOKUP(tblOrdenes[[#This Row],[centro_costo]],tblCECO[codigo],tblCECO[coordinador],"(sin catálogo)"))</f>
        <v/>
      </c>
      <c r="AB124" s="5">
        <f>IF(tblOrdenes[[#This Row],[puesto_trabajo]]="","",_xlfn.XLOOKUP(tblOrdenes[[#This Row],[puesto_trabajo]],tblPuestos[codigo],tblPuestos[especialidad],"(sin catálogo)"))</f>
        <v/>
      </c>
      <c r="AC124" s="5">
        <f>IF(tblOrdenes[[#This Row],[cod_actividad]]="","",_xlfn.XLOOKUP(tblOrdenes[[#This Row],[cod_actividad]],tblActividades[codigo],tblActividades[descripcion],"(sin catálogo)"))</f>
        <v/>
      </c>
      <c r="AD124" s="23">
        <f>IF(tblOrdenes[[#This Row],[fecha_inicio]]="","",TODAY()-tblOrdenes[[#This Row],[fecha_inicio]])</f>
        <v/>
      </c>
      <c r="AE1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5">
        <f>IF(tblOrdenes[[#This Row],[backlog_habiles]]="","",IF(tblOrdenes[[#This Row],[backlog_habiles]]&lt;0,"FUTURO",IF(tblOrdenes[[#This Row],[backlog_habiles]]&gt;p_dias_backlog_max,"BACKLOG","MES CORRIENTE")))</f>
        <v/>
      </c>
      <c r="AG124" s="5">
        <f>IF(tblOrdenes[[#This Row],[backlog_habiles]]="",FALSE,AND(tblOrdenes[[#This Row],[backlog_habiles]]&gt;p_dias_backlog_min,tblOrdenes[[#This Row],[backlog_habiles]]&lt;=p_dias_backlog_max))</f>
        <v/>
      </c>
      <c r="AH124" s="4" t="n"/>
      <c r="AI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18">
        <f>IF(tblOrdenes[[#This Row],[orden]]="","",_xlfn.XLOOKUP(tblOrdenes[[#This Row],[id_operacion]],tblEjecucion[id_operacion],tblEjecucion[precio],0))</f>
        <v/>
      </c>
      <c r="AM124" s="18">
        <f>IF(tblOrdenes[[#This Row],[orden]]="","",MAX(0,_xlfn.XLOOKUP(tblOrdenes[[#This Row],[id_operacion]],tblEjecucion[id_operacion],tblEjecucion[costo_plan_total],0)-tblOrdenes[[#This Row],[costo_servicio]]))</f>
        <v/>
      </c>
      <c r="AN124" s="18">
        <f>IF(tblOrdenes[[#This Row],[orden]]="","",tblOrdenes[[#This Row],[costo_servicio]]+tblOrdenes[[#This Row],[costo_materiales]])</f>
        <v/>
      </c>
      <c r="AO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n"/>
      <c r="AQ124" s="4" t="n"/>
      <c r="AR124" s="4" t="n"/>
      <c r="AS124" s="5">
        <f>IF(tblOrdenes[[#This Row],[link_checklist]]="","",HYPERLINK(p_ruta_base_checklists&amp;tblOrdenes[[#This Row],[link_checklist]],"abrir"))</f>
        <v/>
      </c>
      <c r="AT124" s="4" t="n"/>
      <c r="AU124" s="5">
        <f>IF(tblOrdenes[[#This Row],[orden]]="","",tblOrdenes[[#This Row],[orden]]&amp;IF(tblOrdenes[[#This Row],[operacion]]="","0010",tblOrdenes[[#This Row],[operacion]]))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25" t="n"/>
      <c r="K125" s="5" t="n"/>
      <c r="L125" s="18" t="n"/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Row],[fecha_inicio]]="","",tblOrdenes[[#This Row],[anio]]&amp;"-"&amp;TEXT(tblOrdenes[[#This Row],[mes]],"00"))</f>
        <v/>
      </c>
      <c r="S125" s="5">
        <f>IF(tblOrdenes[[#This Row],[fecha_inicio]]="","",INDEX(lista_dias,WEEKDAY(tblOrdenes[[#This Row],[fecha_inicio]],2)))</f>
        <v/>
      </c>
      <c r="T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5">
        <f>IF(tblOrdenes[[#This Row],[tipo_ot]]="","",_xlfn.XLOOKUP(tblOrdenes[[#This Row],[tipo_ot]],tblTiposOT[codigo],tblTiposOT[clasificacion],"sin_clasificar"))</f>
        <v/>
      </c>
      <c r="V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5">
        <f>IF(tblOrdenes[[#This Row],[centro_costo]]="","",_xlfn.XLOOKUP(tblOrdenes[[#This Row],[centro_costo]],tblCECO[codigo],tblCECO[linea],"(sin catálogo)"))</f>
        <v/>
      </c>
      <c r="Y125" s="5">
        <f>IF(tblOrdenes[[#This Row],[centro_costo]]="","",_xlfn.XLOOKUP(tblOrdenes[[#This Row],[centro_costo]],tblCECO[codigo],tblCECO[area],"(sin catálogo)"))</f>
        <v/>
      </c>
      <c r="Z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5">
        <f>IF(tblOrdenes[[#This Row],[centro_costo]]="","",_xlfn.XLOOKUP(tblOrdenes[[#This Row],[centro_costo]],tblCECO[codigo],tblCECO[coordinador],"(sin catálogo)"))</f>
        <v/>
      </c>
      <c r="AB125" s="5">
        <f>IF(tblOrdenes[[#This Row],[puesto_trabajo]]="","",_xlfn.XLOOKUP(tblOrdenes[[#This Row],[puesto_trabajo]],tblPuestos[codigo],tblPuestos[especialidad],"(sin catálogo)"))</f>
        <v/>
      </c>
      <c r="AC125" s="5">
        <f>IF(tblOrdenes[[#This Row],[cod_actividad]]="","",_xlfn.XLOOKUP(tblOrdenes[[#This Row],[cod_actividad]],tblActividades[codigo],tblActividades[descripcion],"(sin catálogo)"))</f>
        <v/>
      </c>
      <c r="AD125" s="23">
        <f>IF(tblOrdenes[[#This Row],[fecha_inicio]]="","",TODAY()-tblOrdenes[[#This Row],[fecha_inicio]])</f>
        <v/>
      </c>
      <c r="AE1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5">
        <f>IF(tblOrdenes[[#This Row],[backlog_habiles]]="","",IF(tblOrdenes[[#This Row],[backlog_habiles]]&lt;0,"FUTURO",IF(tblOrdenes[[#This Row],[backlog_habiles]]&gt;p_dias_backlog_max,"BACKLOG","MES CORRIENTE")))</f>
        <v/>
      </c>
      <c r="AG125" s="5">
        <f>IF(tblOrdenes[[#This Row],[backlog_habiles]]="",FALSE,AND(tblOrdenes[[#This Row],[backlog_habiles]]&gt;p_dias_backlog_min,tblOrdenes[[#This Row],[backlog_habiles]]&lt;=p_dias_backlog_max))</f>
        <v/>
      </c>
      <c r="AH125" s="4" t="n"/>
      <c r="AI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18">
        <f>IF(tblOrdenes[[#This Row],[orden]]="","",_xlfn.XLOOKUP(tblOrdenes[[#This Row],[id_operacion]],tblEjecucion[id_operacion],tblEjecucion[precio],0))</f>
        <v/>
      </c>
      <c r="AM125" s="18">
        <f>IF(tblOrdenes[[#This Row],[orden]]="","",MAX(0,_xlfn.XLOOKUP(tblOrdenes[[#This Row],[id_operacion]],tblEjecucion[id_operacion],tblEjecucion[costo_plan_total],0)-tblOrdenes[[#This Row],[costo_servicio]]))</f>
        <v/>
      </c>
      <c r="AN125" s="18">
        <f>IF(tblOrdenes[[#This Row],[orden]]="","",tblOrdenes[[#This Row],[costo_servicio]]+tblOrdenes[[#This Row],[costo_materiales]])</f>
        <v/>
      </c>
      <c r="AO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n"/>
      <c r="AQ125" s="4" t="n"/>
      <c r="AR125" s="4" t="n"/>
      <c r="AS125" s="5">
        <f>IF(tblOrdenes[[#This Row],[link_checklist]]="","",HYPERLINK(p_ruta_base_checklists&amp;tblOrdenes[[#This Row],[link_checklist]],"abrir"))</f>
        <v/>
      </c>
      <c r="AT125" s="4" t="n"/>
      <c r="AU125" s="5">
        <f>IF(tblOrdenes[[#This Row],[orden]]="","",tblOrdenes[[#This Row],[orden]]&amp;IF(tblOrdenes[[#This Row],[operacion]]="","0010",tblOrdenes[[#This Row],[operacion]]))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25" t="n"/>
      <c r="K126" s="5" t="n"/>
      <c r="L126" s="18" t="n"/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Row],[fecha_inicio]]="","",tblOrdenes[[#This Row],[anio]]&amp;"-"&amp;TEXT(tblOrdenes[[#This Row],[mes]],"00"))</f>
        <v/>
      </c>
      <c r="S126" s="5">
        <f>IF(tblOrdenes[[#This Row],[fecha_inicio]]="","",INDEX(lista_dias,WEEKDAY(tblOrdenes[[#This Row],[fecha_inicio]],2)))</f>
        <v/>
      </c>
      <c r="T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5">
        <f>IF(tblOrdenes[[#This Row],[tipo_ot]]="","",_xlfn.XLOOKUP(tblOrdenes[[#This Row],[tipo_ot]],tblTiposOT[codigo],tblTiposOT[clasificacion],"sin_clasificar"))</f>
        <v/>
      </c>
      <c r="V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5">
        <f>IF(tblOrdenes[[#This Row],[centro_costo]]="","",_xlfn.XLOOKUP(tblOrdenes[[#This Row],[centro_costo]],tblCECO[codigo],tblCECO[linea],"(sin catálogo)"))</f>
        <v/>
      </c>
      <c r="Y126" s="5">
        <f>IF(tblOrdenes[[#This Row],[centro_costo]]="","",_xlfn.XLOOKUP(tblOrdenes[[#This Row],[centro_costo]],tblCECO[codigo],tblCECO[area],"(sin catálogo)"))</f>
        <v/>
      </c>
      <c r="Z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5">
        <f>IF(tblOrdenes[[#This Row],[centro_costo]]="","",_xlfn.XLOOKUP(tblOrdenes[[#This Row],[centro_costo]],tblCECO[codigo],tblCECO[coordinador],"(sin catálogo)"))</f>
        <v/>
      </c>
      <c r="AB126" s="5">
        <f>IF(tblOrdenes[[#This Row],[puesto_trabajo]]="","",_xlfn.XLOOKUP(tblOrdenes[[#This Row],[puesto_trabajo]],tblPuestos[codigo],tblPuestos[especialidad],"(sin catálogo)"))</f>
        <v/>
      </c>
      <c r="AC126" s="5">
        <f>IF(tblOrdenes[[#This Row],[cod_actividad]]="","",_xlfn.XLOOKUP(tblOrdenes[[#This Row],[cod_actividad]],tblActividades[codigo],tblActividades[descripcion],"(sin catálogo)"))</f>
        <v/>
      </c>
      <c r="AD126" s="23">
        <f>IF(tblOrdenes[[#This Row],[fecha_inicio]]="","",TODAY()-tblOrdenes[[#This Row],[fecha_inicio]])</f>
        <v/>
      </c>
      <c r="AE1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5">
        <f>IF(tblOrdenes[[#This Row],[backlog_habiles]]="","",IF(tblOrdenes[[#This Row],[backlog_habiles]]&lt;0,"FUTURO",IF(tblOrdenes[[#This Row],[backlog_habiles]]&gt;p_dias_backlog_max,"BACKLOG","MES CORRIENTE")))</f>
        <v/>
      </c>
      <c r="AG126" s="5">
        <f>IF(tblOrdenes[[#This Row],[backlog_habiles]]="",FALSE,AND(tblOrdenes[[#This Row],[backlog_habiles]]&gt;p_dias_backlog_min,tblOrdenes[[#This Row],[backlog_habiles]]&lt;=p_dias_backlog_max))</f>
        <v/>
      </c>
      <c r="AH126" s="4" t="n"/>
      <c r="AI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18">
        <f>IF(tblOrdenes[[#This Row],[orden]]="","",_xlfn.XLOOKUP(tblOrdenes[[#This Row],[id_operacion]],tblEjecucion[id_operacion],tblEjecucion[precio],0))</f>
        <v/>
      </c>
      <c r="AM126" s="18">
        <f>IF(tblOrdenes[[#This Row],[orden]]="","",MAX(0,_xlfn.XLOOKUP(tblOrdenes[[#This Row],[id_operacion]],tblEjecucion[id_operacion],tblEjecucion[costo_plan_total],0)-tblOrdenes[[#This Row],[costo_servicio]]))</f>
        <v/>
      </c>
      <c r="AN126" s="18">
        <f>IF(tblOrdenes[[#This Row],[orden]]="","",tblOrdenes[[#This Row],[costo_servicio]]+tblOrdenes[[#This Row],[costo_materiales]])</f>
        <v/>
      </c>
      <c r="AO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n"/>
      <c r="AQ126" s="4" t="n"/>
      <c r="AR126" s="4" t="n"/>
      <c r="AS126" s="5">
        <f>IF(tblOrdenes[[#This Row],[link_checklist]]="","",HYPERLINK(p_ruta_base_checklists&amp;tblOrdenes[[#This Row],[link_checklist]],"abrir"))</f>
        <v/>
      </c>
      <c r="AT126" s="4" t="n"/>
      <c r="AU126" s="5">
        <f>IF(tblOrdenes[[#This Row],[orden]]="","",tblOrdenes[[#This Row],[orden]]&amp;IF(tblOrdenes[[#This Row],[operacion]]="","0010",tblOrdenes[[#This Row],[operacion]]))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25" t="n"/>
      <c r="K127" s="5" t="n"/>
      <c r="L127" s="18" t="n"/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Row],[fecha_inicio]]="","",tblOrdenes[[#This Row],[anio]]&amp;"-"&amp;TEXT(tblOrdenes[[#This Row],[mes]],"00"))</f>
        <v/>
      </c>
      <c r="S127" s="5">
        <f>IF(tblOrdenes[[#This Row],[fecha_inicio]]="","",INDEX(lista_dias,WEEKDAY(tblOrdenes[[#This Row],[fecha_inicio]],2)))</f>
        <v/>
      </c>
      <c r="T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5">
        <f>IF(tblOrdenes[[#This Row],[tipo_ot]]="","",_xlfn.XLOOKUP(tblOrdenes[[#This Row],[tipo_ot]],tblTiposOT[codigo],tblTiposOT[clasificacion],"sin_clasificar"))</f>
        <v/>
      </c>
      <c r="V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5">
        <f>IF(tblOrdenes[[#This Row],[centro_costo]]="","",_xlfn.XLOOKUP(tblOrdenes[[#This Row],[centro_costo]],tblCECO[codigo],tblCECO[linea],"(sin catálogo)"))</f>
        <v/>
      </c>
      <c r="Y127" s="5">
        <f>IF(tblOrdenes[[#This Row],[centro_costo]]="","",_xlfn.XLOOKUP(tblOrdenes[[#This Row],[centro_costo]],tblCECO[codigo],tblCECO[area],"(sin catálogo)"))</f>
        <v/>
      </c>
      <c r="Z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5">
        <f>IF(tblOrdenes[[#This Row],[centro_costo]]="","",_xlfn.XLOOKUP(tblOrdenes[[#This Row],[centro_costo]],tblCECO[codigo],tblCECO[coordinador],"(sin catálogo)"))</f>
        <v/>
      </c>
      <c r="AB127" s="5">
        <f>IF(tblOrdenes[[#This Row],[puesto_trabajo]]="","",_xlfn.XLOOKUP(tblOrdenes[[#This Row],[puesto_trabajo]],tblPuestos[codigo],tblPuestos[especialidad],"(sin catálogo)"))</f>
        <v/>
      </c>
      <c r="AC127" s="5">
        <f>IF(tblOrdenes[[#This Row],[cod_actividad]]="","",_xlfn.XLOOKUP(tblOrdenes[[#This Row],[cod_actividad]],tblActividades[codigo],tblActividades[descripcion],"(sin catálogo)"))</f>
        <v/>
      </c>
      <c r="AD127" s="23">
        <f>IF(tblOrdenes[[#This Row],[fecha_inicio]]="","",TODAY()-tblOrdenes[[#This Row],[fecha_inicio]])</f>
        <v/>
      </c>
      <c r="AE1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5">
        <f>IF(tblOrdenes[[#This Row],[backlog_habiles]]="","",IF(tblOrdenes[[#This Row],[backlog_habiles]]&lt;0,"FUTURO",IF(tblOrdenes[[#This Row],[backlog_habiles]]&gt;p_dias_backlog_max,"BACKLOG","MES CORRIENTE")))</f>
        <v/>
      </c>
      <c r="AG127" s="5">
        <f>IF(tblOrdenes[[#This Row],[backlog_habiles]]="",FALSE,AND(tblOrdenes[[#This Row],[backlog_habiles]]&gt;p_dias_backlog_min,tblOrdenes[[#This Row],[backlog_habiles]]&lt;=p_dias_backlog_max))</f>
        <v/>
      </c>
      <c r="AH127" s="4" t="n"/>
      <c r="AI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18">
        <f>IF(tblOrdenes[[#This Row],[orden]]="","",_xlfn.XLOOKUP(tblOrdenes[[#This Row],[id_operacion]],tblEjecucion[id_operacion],tblEjecucion[precio],0))</f>
        <v/>
      </c>
      <c r="AM127" s="18">
        <f>IF(tblOrdenes[[#This Row],[orden]]="","",MAX(0,_xlfn.XLOOKUP(tblOrdenes[[#This Row],[id_operacion]],tblEjecucion[id_operacion],tblEjecucion[costo_plan_total],0)-tblOrdenes[[#This Row],[costo_servicio]]))</f>
        <v/>
      </c>
      <c r="AN127" s="18">
        <f>IF(tblOrdenes[[#This Row],[orden]]="","",tblOrdenes[[#This Row],[costo_servicio]]+tblOrdenes[[#This Row],[costo_materiales]])</f>
        <v/>
      </c>
      <c r="AO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n"/>
      <c r="AQ127" s="4" t="n"/>
      <c r="AR127" s="4" t="n"/>
      <c r="AS127" s="5">
        <f>IF(tblOrdenes[[#This Row],[link_checklist]]="","",HYPERLINK(p_ruta_base_checklists&amp;tblOrdenes[[#This Row],[link_checklist]],"abrir"))</f>
        <v/>
      </c>
      <c r="AT127" s="4" t="n"/>
      <c r="AU127" s="5">
        <f>IF(tblOrdenes[[#This Row],[orden]]="","",tblOrdenes[[#This Row],[orden]]&amp;IF(tblOrdenes[[#This Row],[operacion]]="","0010",tblOrdenes[[#This Row],[operacion]]))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25" t="n"/>
      <c r="K128" s="5" t="n"/>
      <c r="L128" s="18" t="n"/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Row],[fecha_inicio]]="","",tblOrdenes[[#This Row],[anio]]&amp;"-"&amp;TEXT(tblOrdenes[[#This Row],[mes]],"00"))</f>
        <v/>
      </c>
      <c r="S128" s="5">
        <f>IF(tblOrdenes[[#This Row],[fecha_inicio]]="","",INDEX(lista_dias,WEEKDAY(tblOrdenes[[#This Row],[fecha_inicio]],2)))</f>
        <v/>
      </c>
      <c r="T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5">
        <f>IF(tblOrdenes[[#This Row],[tipo_ot]]="","",_xlfn.XLOOKUP(tblOrdenes[[#This Row],[tipo_ot]],tblTiposOT[codigo],tblTiposOT[clasificacion],"sin_clasificar"))</f>
        <v/>
      </c>
      <c r="V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5">
        <f>IF(tblOrdenes[[#This Row],[centro_costo]]="","",_xlfn.XLOOKUP(tblOrdenes[[#This Row],[centro_costo]],tblCECO[codigo],tblCECO[linea],"(sin catálogo)"))</f>
        <v/>
      </c>
      <c r="Y128" s="5">
        <f>IF(tblOrdenes[[#This Row],[centro_costo]]="","",_xlfn.XLOOKUP(tblOrdenes[[#This Row],[centro_costo]],tblCECO[codigo],tblCECO[area],"(sin catálogo)"))</f>
        <v/>
      </c>
      <c r="Z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5">
        <f>IF(tblOrdenes[[#This Row],[centro_costo]]="","",_xlfn.XLOOKUP(tblOrdenes[[#This Row],[centro_costo]],tblCECO[codigo],tblCECO[coordinador],"(sin catálogo)"))</f>
        <v/>
      </c>
      <c r="AB128" s="5">
        <f>IF(tblOrdenes[[#This Row],[puesto_trabajo]]="","",_xlfn.XLOOKUP(tblOrdenes[[#This Row],[puesto_trabajo]],tblPuestos[codigo],tblPuestos[especialidad],"(sin catálogo)"))</f>
        <v/>
      </c>
      <c r="AC128" s="5">
        <f>IF(tblOrdenes[[#This Row],[cod_actividad]]="","",_xlfn.XLOOKUP(tblOrdenes[[#This Row],[cod_actividad]],tblActividades[codigo],tblActividades[descripcion],"(sin catálogo)"))</f>
        <v/>
      </c>
      <c r="AD128" s="23">
        <f>IF(tblOrdenes[[#This Row],[fecha_inicio]]="","",TODAY()-tblOrdenes[[#This Row],[fecha_inicio]])</f>
        <v/>
      </c>
      <c r="AE1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5">
        <f>IF(tblOrdenes[[#This Row],[backlog_habiles]]="","",IF(tblOrdenes[[#This Row],[backlog_habiles]]&lt;0,"FUTURO",IF(tblOrdenes[[#This Row],[backlog_habiles]]&gt;p_dias_backlog_max,"BACKLOG","MES CORRIENTE")))</f>
        <v/>
      </c>
      <c r="AG128" s="5">
        <f>IF(tblOrdenes[[#This Row],[backlog_habiles]]="",FALSE,AND(tblOrdenes[[#This Row],[backlog_habiles]]&gt;p_dias_backlog_min,tblOrdenes[[#This Row],[backlog_habiles]]&lt;=p_dias_backlog_max))</f>
        <v/>
      </c>
      <c r="AH128" s="4" t="n"/>
      <c r="AI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18">
        <f>IF(tblOrdenes[[#This Row],[orden]]="","",_xlfn.XLOOKUP(tblOrdenes[[#This Row],[id_operacion]],tblEjecucion[id_operacion],tblEjecucion[precio],0))</f>
        <v/>
      </c>
      <c r="AM128" s="18">
        <f>IF(tblOrdenes[[#This Row],[orden]]="","",MAX(0,_xlfn.XLOOKUP(tblOrdenes[[#This Row],[id_operacion]],tblEjecucion[id_operacion],tblEjecucion[costo_plan_total],0)-tblOrdenes[[#This Row],[costo_servicio]]))</f>
        <v/>
      </c>
      <c r="AN128" s="18">
        <f>IF(tblOrdenes[[#This Row],[orden]]="","",tblOrdenes[[#This Row],[costo_servicio]]+tblOrdenes[[#This Row],[costo_materiales]])</f>
        <v/>
      </c>
      <c r="AO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n"/>
      <c r="AQ128" s="4" t="n"/>
      <c r="AR128" s="4" t="n"/>
      <c r="AS128" s="5">
        <f>IF(tblOrdenes[[#This Row],[link_checklist]]="","",HYPERLINK(p_ruta_base_checklists&amp;tblOrdenes[[#This Row],[link_checklist]],"abrir"))</f>
        <v/>
      </c>
      <c r="AT128" s="4" t="n"/>
      <c r="AU128" s="5">
        <f>IF(tblOrdenes[[#This Row],[orden]]="","",tblOrdenes[[#This Row],[orden]]&amp;IF(tblOrdenes[[#This Row],[operacion]]="","0010",tblOrdenes[[#This Row],[operacion]]))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25" t="n"/>
      <c r="K129" s="5" t="n"/>
      <c r="L129" s="18" t="n"/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Row],[fecha_inicio]]="","",tblOrdenes[[#This Row],[anio]]&amp;"-"&amp;TEXT(tblOrdenes[[#This Row],[mes]],"00"))</f>
        <v/>
      </c>
      <c r="S129" s="5">
        <f>IF(tblOrdenes[[#This Row],[fecha_inicio]]="","",INDEX(lista_dias,WEEKDAY(tblOrdenes[[#This Row],[fecha_inicio]],2)))</f>
        <v/>
      </c>
      <c r="T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5">
        <f>IF(tblOrdenes[[#This Row],[tipo_ot]]="","",_xlfn.XLOOKUP(tblOrdenes[[#This Row],[tipo_ot]],tblTiposOT[codigo],tblTiposOT[clasificacion],"sin_clasificar"))</f>
        <v/>
      </c>
      <c r="V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5">
        <f>IF(tblOrdenes[[#This Row],[centro_costo]]="","",_xlfn.XLOOKUP(tblOrdenes[[#This Row],[centro_costo]],tblCECO[codigo],tblCECO[linea],"(sin catálogo)"))</f>
        <v/>
      </c>
      <c r="Y129" s="5">
        <f>IF(tblOrdenes[[#This Row],[centro_costo]]="","",_xlfn.XLOOKUP(tblOrdenes[[#This Row],[centro_costo]],tblCECO[codigo],tblCECO[area],"(sin catálogo)"))</f>
        <v/>
      </c>
      <c r="Z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5">
        <f>IF(tblOrdenes[[#This Row],[centro_costo]]="","",_xlfn.XLOOKUP(tblOrdenes[[#This Row],[centro_costo]],tblCECO[codigo],tblCECO[coordinador],"(sin catálogo)"))</f>
        <v/>
      </c>
      <c r="AB129" s="5">
        <f>IF(tblOrdenes[[#This Row],[puesto_trabajo]]="","",_xlfn.XLOOKUP(tblOrdenes[[#This Row],[puesto_trabajo]],tblPuestos[codigo],tblPuestos[especialidad],"(sin catálogo)"))</f>
        <v/>
      </c>
      <c r="AC129" s="5">
        <f>IF(tblOrdenes[[#This Row],[cod_actividad]]="","",_xlfn.XLOOKUP(tblOrdenes[[#This Row],[cod_actividad]],tblActividades[codigo],tblActividades[descripcion],"(sin catálogo)"))</f>
        <v/>
      </c>
      <c r="AD129" s="23">
        <f>IF(tblOrdenes[[#This Row],[fecha_inicio]]="","",TODAY()-tblOrdenes[[#This Row],[fecha_inicio]])</f>
        <v/>
      </c>
      <c r="AE1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5">
        <f>IF(tblOrdenes[[#This Row],[backlog_habiles]]="","",IF(tblOrdenes[[#This Row],[backlog_habiles]]&lt;0,"FUTURO",IF(tblOrdenes[[#This Row],[backlog_habiles]]&gt;p_dias_backlog_max,"BACKLOG","MES CORRIENTE")))</f>
        <v/>
      </c>
      <c r="AG129" s="5">
        <f>IF(tblOrdenes[[#This Row],[backlog_habiles]]="",FALSE,AND(tblOrdenes[[#This Row],[backlog_habiles]]&gt;p_dias_backlog_min,tblOrdenes[[#This Row],[backlog_habiles]]&lt;=p_dias_backlog_max))</f>
        <v/>
      </c>
      <c r="AH129" s="4" t="n"/>
      <c r="AI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18">
        <f>IF(tblOrdenes[[#This Row],[orden]]="","",_xlfn.XLOOKUP(tblOrdenes[[#This Row],[id_operacion]],tblEjecucion[id_operacion],tblEjecucion[precio],0))</f>
        <v/>
      </c>
      <c r="AM129" s="18">
        <f>IF(tblOrdenes[[#This Row],[orden]]="","",MAX(0,_xlfn.XLOOKUP(tblOrdenes[[#This Row],[id_operacion]],tblEjecucion[id_operacion],tblEjecucion[costo_plan_total],0)-tblOrdenes[[#This Row],[costo_servicio]]))</f>
        <v/>
      </c>
      <c r="AN129" s="18">
        <f>IF(tblOrdenes[[#This Row],[orden]]="","",tblOrdenes[[#This Row],[costo_servicio]]+tblOrdenes[[#This Row],[costo_materiales]])</f>
        <v/>
      </c>
      <c r="AO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n"/>
      <c r="AQ129" s="4" t="n"/>
      <c r="AR129" s="4" t="n"/>
      <c r="AS129" s="5">
        <f>IF(tblOrdenes[[#This Row],[link_checklist]]="","",HYPERLINK(p_ruta_base_checklists&amp;tblOrdenes[[#This Row],[link_checklist]],"abrir"))</f>
        <v/>
      </c>
      <c r="AT129" s="4" t="n"/>
      <c r="AU129" s="5">
        <f>IF(tblOrdenes[[#This Row],[orden]]="","",tblOrdenes[[#This Row],[orden]]&amp;IF(tblOrdenes[[#This Row],[operacion]]="","0010",tblOrdenes[[#This Row],[operacion]]))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25" t="n"/>
      <c r="K130" s="5" t="n"/>
      <c r="L130" s="18" t="n"/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Row],[fecha_inicio]]="","",tblOrdenes[[#This Row],[anio]]&amp;"-"&amp;TEXT(tblOrdenes[[#This Row],[mes]],"00"))</f>
        <v/>
      </c>
      <c r="S130" s="5">
        <f>IF(tblOrdenes[[#This Row],[fecha_inicio]]="","",INDEX(lista_dias,WEEKDAY(tblOrdenes[[#This Row],[fecha_inicio]],2)))</f>
        <v/>
      </c>
      <c r="T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5">
        <f>IF(tblOrdenes[[#This Row],[tipo_ot]]="","",_xlfn.XLOOKUP(tblOrdenes[[#This Row],[tipo_ot]],tblTiposOT[codigo],tblTiposOT[clasificacion],"sin_clasificar"))</f>
        <v/>
      </c>
      <c r="V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5">
        <f>IF(tblOrdenes[[#This Row],[centro_costo]]="","",_xlfn.XLOOKUP(tblOrdenes[[#This Row],[centro_costo]],tblCECO[codigo],tblCECO[linea],"(sin catálogo)"))</f>
        <v/>
      </c>
      <c r="Y130" s="5">
        <f>IF(tblOrdenes[[#This Row],[centro_costo]]="","",_xlfn.XLOOKUP(tblOrdenes[[#This Row],[centro_costo]],tblCECO[codigo],tblCECO[area],"(sin catálogo)"))</f>
        <v/>
      </c>
      <c r="Z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5">
        <f>IF(tblOrdenes[[#This Row],[centro_costo]]="","",_xlfn.XLOOKUP(tblOrdenes[[#This Row],[centro_costo]],tblCECO[codigo],tblCECO[coordinador],"(sin catálogo)"))</f>
        <v/>
      </c>
      <c r="AB130" s="5">
        <f>IF(tblOrdenes[[#This Row],[puesto_trabajo]]="","",_xlfn.XLOOKUP(tblOrdenes[[#This Row],[puesto_trabajo]],tblPuestos[codigo],tblPuestos[especialidad],"(sin catálogo)"))</f>
        <v/>
      </c>
      <c r="AC130" s="5">
        <f>IF(tblOrdenes[[#This Row],[cod_actividad]]="","",_xlfn.XLOOKUP(tblOrdenes[[#This Row],[cod_actividad]],tblActividades[codigo],tblActividades[descripcion],"(sin catálogo)"))</f>
        <v/>
      </c>
      <c r="AD130" s="23">
        <f>IF(tblOrdenes[[#This Row],[fecha_inicio]]="","",TODAY()-tblOrdenes[[#This Row],[fecha_inicio]])</f>
        <v/>
      </c>
      <c r="AE1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5">
        <f>IF(tblOrdenes[[#This Row],[backlog_habiles]]="","",IF(tblOrdenes[[#This Row],[backlog_habiles]]&lt;0,"FUTURO",IF(tblOrdenes[[#This Row],[backlog_habiles]]&gt;p_dias_backlog_max,"BACKLOG","MES CORRIENTE")))</f>
        <v/>
      </c>
      <c r="AG130" s="5">
        <f>IF(tblOrdenes[[#This Row],[backlog_habiles]]="",FALSE,AND(tblOrdenes[[#This Row],[backlog_habiles]]&gt;p_dias_backlog_min,tblOrdenes[[#This Row],[backlog_habiles]]&lt;=p_dias_backlog_max))</f>
        <v/>
      </c>
      <c r="AH130" s="4" t="n"/>
      <c r="AI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18">
        <f>IF(tblOrdenes[[#This Row],[orden]]="","",_xlfn.XLOOKUP(tblOrdenes[[#This Row],[id_operacion]],tblEjecucion[id_operacion],tblEjecucion[precio],0))</f>
        <v/>
      </c>
      <c r="AM130" s="18">
        <f>IF(tblOrdenes[[#This Row],[orden]]="","",MAX(0,_xlfn.XLOOKUP(tblOrdenes[[#This Row],[id_operacion]],tblEjecucion[id_operacion],tblEjecucion[costo_plan_total],0)-tblOrdenes[[#This Row],[costo_servicio]]))</f>
        <v/>
      </c>
      <c r="AN130" s="18">
        <f>IF(tblOrdenes[[#This Row],[orden]]="","",tblOrdenes[[#This Row],[costo_servicio]]+tblOrdenes[[#This Row],[costo_materiales]])</f>
        <v/>
      </c>
      <c r="AO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n"/>
      <c r="AQ130" s="4" t="n"/>
      <c r="AR130" s="4" t="n"/>
      <c r="AS130" s="5">
        <f>IF(tblOrdenes[[#This Row],[link_checklist]]="","",HYPERLINK(p_ruta_base_checklists&amp;tblOrdenes[[#This Row],[link_checklist]],"abrir"))</f>
        <v/>
      </c>
      <c r="AT130" s="4" t="n"/>
      <c r="AU130" s="5">
        <f>IF(tblOrdenes[[#This Row],[orden]]="","",tblOrdenes[[#This Row],[orden]]&amp;IF(tblOrdenes[[#This Row],[operacion]]="","0010",tblOrdenes[[#This Row],[operacion]]))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25" t="n"/>
      <c r="K131" s="5" t="n"/>
      <c r="L131" s="18" t="n"/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Row],[fecha_inicio]]="","",tblOrdenes[[#This Row],[anio]]&amp;"-"&amp;TEXT(tblOrdenes[[#This Row],[mes]],"00"))</f>
        <v/>
      </c>
      <c r="S131" s="5">
        <f>IF(tblOrdenes[[#This Row],[fecha_inicio]]="","",INDEX(lista_dias,WEEKDAY(tblOrdenes[[#This Row],[fecha_inicio]],2)))</f>
        <v/>
      </c>
      <c r="T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5">
        <f>IF(tblOrdenes[[#This Row],[tipo_ot]]="","",_xlfn.XLOOKUP(tblOrdenes[[#This Row],[tipo_ot]],tblTiposOT[codigo],tblTiposOT[clasificacion],"sin_clasificar"))</f>
        <v/>
      </c>
      <c r="V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5">
        <f>IF(tblOrdenes[[#This Row],[centro_costo]]="","",_xlfn.XLOOKUP(tblOrdenes[[#This Row],[centro_costo]],tblCECO[codigo],tblCECO[linea],"(sin catálogo)"))</f>
        <v/>
      </c>
      <c r="Y131" s="5">
        <f>IF(tblOrdenes[[#This Row],[centro_costo]]="","",_xlfn.XLOOKUP(tblOrdenes[[#This Row],[centro_costo]],tblCECO[codigo],tblCECO[area],"(sin catálogo)"))</f>
        <v/>
      </c>
      <c r="Z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5">
        <f>IF(tblOrdenes[[#This Row],[centro_costo]]="","",_xlfn.XLOOKUP(tblOrdenes[[#This Row],[centro_costo]],tblCECO[codigo],tblCECO[coordinador],"(sin catálogo)"))</f>
        <v/>
      </c>
      <c r="AB131" s="5">
        <f>IF(tblOrdenes[[#This Row],[puesto_trabajo]]="","",_xlfn.XLOOKUP(tblOrdenes[[#This Row],[puesto_trabajo]],tblPuestos[codigo],tblPuestos[especialidad],"(sin catálogo)"))</f>
        <v/>
      </c>
      <c r="AC131" s="5">
        <f>IF(tblOrdenes[[#This Row],[cod_actividad]]="","",_xlfn.XLOOKUP(tblOrdenes[[#This Row],[cod_actividad]],tblActividades[codigo],tblActividades[descripcion],"(sin catálogo)"))</f>
        <v/>
      </c>
      <c r="AD131" s="23">
        <f>IF(tblOrdenes[[#This Row],[fecha_inicio]]="","",TODAY()-tblOrdenes[[#This Row],[fecha_inicio]])</f>
        <v/>
      </c>
      <c r="AE1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5">
        <f>IF(tblOrdenes[[#This Row],[backlog_habiles]]="","",IF(tblOrdenes[[#This Row],[backlog_habiles]]&lt;0,"FUTURO",IF(tblOrdenes[[#This Row],[backlog_habiles]]&gt;p_dias_backlog_max,"BACKLOG","MES CORRIENTE")))</f>
        <v/>
      </c>
      <c r="AG131" s="5">
        <f>IF(tblOrdenes[[#This Row],[backlog_habiles]]="",FALSE,AND(tblOrdenes[[#This Row],[backlog_habiles]]&gt;p_dias_backlog_min,tblOrdenes[[#This Row],[backlog_habiles]]&lt;=p_dias_backlog_max))</f>
        <v/>
      </c>
      <c r="AH131" s="4" t="n"/>
      <c r="AI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18">
        <f>IF(tblOrdenes[[#This Row],[orden]]="","",_xlfn.XLOOKUP(tblOrdenes[[#This Row],[id_operacion]],tblEjecucion[id_operacion],tblEjecucion[precio],0))</f>
        <v/>
      </c>
      <c r="AM131" s="18">
        <f>IF(tblOrdenes[[#This Row],[orden]]="","",MAX(0,_xlfn.XLOOKUP(tblOrdenes[[#This Row],[id_operacion]],tblEjecucion[id_operacion],tblEjecucion[costo_plan_total],0)-tblOrdenes[[#This Row],[costo_servicio]]))</f>
        <v/>
      </c>
      <c r="AN131" s="18">
        <f>IF(tblOrdenes[[#This Row],[orden]]="","",tblOrdenes[[#This Row],[costo_servicio]]+tblOrdenes[[#This Row],[costo_materiales]])</f>
        <v/>
      </c>
      <c r="AO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n"/>
      <c r="AQ131" s="4" t="n"/>
      <c r="AR131" s="4" t="n"/>
      <c r="AS131" s="5">
        <f>IF(tblOrdenes[[#This Row],[link_checklist]]="","",HYPERLINK(p_ruta_base_checklists&amp;tblOrdenes[[#This Row],[link_checklist]],"abrir"))</f>
        <v/>
      </c>
      <c r="AT131" s="4" t="n"/>
      <c r="AU131" s="5">
        <f>IF(tblOrdenes[[#This Row],[orden]]="","",tblOrdenes[[#This Row],[orden]]&amp;IF(tblOrdenes[[#This Row],[operacion]]="","0010",tblOrdenes[[#This Row],[operacion]]))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25" t="n"/>
      <c r="K132" s="5" t="n"/>
      <c r="L132" s="18" t="n"/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Row],[fecha_inicio]]="","",tblOrdenes[[#This Row],[anio]]&amp;"-"&amp;TEXT(tblOrdenes[[#This Row],[mes]],"00"))</f>
        <v/>
      </c>
      <c r="S132" s="5">
        <f>IF(tblOrdenes[[#This Row],[fecha_inicio]]="","",INDEX(lista_dias,WEEKDAY(tblOrdenes[[#This Row],[fecha_inicio]],2)))</f>
        <v/>
      </c>
      <c r="T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5">
        <f>IF(tblOrdenes[[#This Row],[tipo_ot]]="","",_xlfn.XLOOKUP(tblOrdenes[[#This Row],[tipo_ot]],tblTiposOT[codigo],tblTiposOT[clasificacion],"sin_clasificar"))</f>
        <v/>
      </c>
      <c r="V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5">
        <f>IF(tblOrdenes[[#This Row],[centro_costo]]="","",_xlfn.XLOOKUP(tblOrdenes[[#This Row],[centro_costo]],tblCECO[codigo],tblCECO[linea],"(sin catálogo)"))</f>
        <v/>
      </c>
      <c r="Y132" s="5">
        <f>IF(tblOrdenes[[#This Row],[centro_costo]]="","",_xlfn.XLOOKUP(tblOrdenes[[#This Row],[centro_costo]],tblCECO[codigo],tblCECO[area],"(sin catálogo)"))</f>
        <v/>
      </c>
      <c r="Z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5">
        <f>IF(tblOrdenes[[#This Row],[centro_costo]]="","",_xlfn.XLOOKUP(tblOrdenes[[#This Row],[centro_costo]],tblCECO[codigo],tblCECO[coordinador],"(sin catálogo)"))</f>
        <v/>
      </c>
      <c r="AB132" s="5">
        <f>IF(tblOrdenes[[#This Row],[puesto_trabajo]]="","",_xlfn.XLOOKUP(tblOrdenes[[#This Row],[puesto_trabajo]],tblPuestos[codigo],tblPuestos[especialidad],"(sin catálogo)"))</f>
        <v/>
      </c>
      <c r="AC132" s="5">
        <f>IF(tblOrdenes[[#This Row],[cod_actividad]]="","",_xlfn.XLOOKUP(tblOrdenes[[#This Row],[cod_actividad]],tblActividades[codigo],tblActividades[descripcion],"(sin catálogo)"))</f>
        <v/>
      </c>
      <c r="AD132" s="23">
        <f>IF(tblOrdenes[[#This Row],[fecha_inicio]]="","",TODAY()-tblOrdenes[[#This Row],[fecha_inicio]])</f>
        <v/>
      </c>
      <c r="AE1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5">
        <f>IF(tblOrdenes[[#This Row],[backlog_habiles]]="","",IF(tblOrdenes[[#This Row],[backlog_habiles]]&lt;0,"FUTURO",IF(tblOrdenes[[#This Row],[backlog_habiles]]&gt;p_dias_backlog_max,"BACKLOG","MES CORRIENTE")))</f>
        <v/>
      </c>
      <c r="AG132" s="5">
        <f>IF(tblOrdenes[[#This Row],[backlog_habiles]]="",FALSE,AND(tblOrdenes[[#This Row],[backlog_habiles]]&gt;p_dias_backlog_min,tblOrdenes[[#This Row],[backlog_habiles]]&lt;=p_dias_backlog_max))</f>
        <v/>
      </c>
      <c r="AH132" s="4" t="n"/>
      <c r="AI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18">
        <f>IF(tblOrdenes[[#This Row],[orden]]="","",_xlfn.XLOOKUP(tblOrdenes[[#This Row],[id_operacion]],tblEjecucion[id_operacion],tblEjecucion[precio],0))</f>
        <v/>
      </c>
      <c r="AM132" s="18">
        <f>IF(tblOrdenes[[#This Row],[orden]]="","",MAX(0,_xlfn.XLOOKUP(tblOrdenes[[#This Row],[id_operacion]],tblEjecucion[id_operacion],tblEjecucion[costo_plan_total],0)-tblOrdenes[[#This Row],[costo_servicio]]))</f>
        <v/>
      </c>
      <c r="AN132" s="18">
        <f>IF(tblOrdenes[[#This Row],[orden]]="","",tblOrdenes[[#This Row],[costo_servicio]]+tblOrdenes[[#This Row],[costo_materiales]])</f>
        <v/>
      </c>
      <c r="AO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n"/>
      <c r="AQ132" s="4" t="n"/>
      <c r="AR132" s="4" t="n"/>
      <c r="AS132" s="5">
        <f>IF(tblOrdenes[[#This Row],[link_checklist]]="","",HYPERLINK(p_ruta_base_checklists&amp;tblOrdenes[[#This Row],[link_checklist]],"abrir"))</f>
        <v/>
      </c>
      <c r="AT132" s="4" t="n"/>
      <c r="AU132" s="5">
        <f>IF(tblOrdenes[[#This Row],[orden]]="","",tblOrdenes[[#This Row],[orden]]&amp;IF(tblOrdenes[[#This Row],[operacion]]="","0010",tblOrdenes[[#This Row],[operacion]]))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25" t="n"/>
      <c r="K133" s="5" t="n"/>
      <c r="L133" s="18" t="n"/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Row],[fecha_inicio]]="","",tblOrdenes[[#This Row],[anio]]&amp;"-"&amp;TEXT(tblOrdenes[[#This Row],[mes]],"00"))</f>
        <v/>
      </c>
      <c r="S133" s="5">
        <f>IF(tblOrdenes[[#This Row],[fecha_inicio]]="","",INDEX(lista_dias,WEEKDAY(tblOrdenes[[#This Row],[fecha_inicio]],2)))</f>
        <v/>
      </c>
      <c r="T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5">
        <f>IF(tblOrdenes[[#This Row],[tipo_ot]]="","",_xlfn.XLOOKUP(tblOrdenes[[#This Row],[tipo_ot]],tblTiposOT[codigo],tblTiposOT[clasificacion],"sin_clasificar"))</f>
        <v/>
      </c>
      <c r="V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5">
        <f>IF(tblOrdenes[[#This Row],[centro_costo]]="","",_xlfn.XLOOKUP(tblOrdenes[[#This Row],[centro_costo]],tblCECO[codigo],tblCECO[linea],"(sin catálogo)"))</f>
        <v/>
      </c>
      <c r="Y133" s="5">
        <f>IF(tblOrdenes[[#This Row],[centro_costo]]="","",_xlfn.XLOOKUP(tblOrdenes[[#This Row],[centro_costo]],tblCECO[codigo],tblCECO[area],"(sin catálogo)"))</f>
        <v/>
      </c>
      <c r="Z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5">
        <f>IF(tblOrdenes[[#This Row],[centro_costo]]="","",_xlfn.XLOOKUP(tblOrdenes[[#This Row],[centro_costo]],tblCECO[codigo],tblCECO[coordinador],"(sin catálogo)"))</f>
        <v/>
      </c>
      <c r="AB133" s="5">
        <f>IF(tblOrdenes[[#This Row],[puesto_trabajo]]="","",_xlfn.XLOOKUP(tblOrdenes[[#This Row],[puesto_trabajo]],tblPuestos[codigo],tblPuestos[especialidad],"(sin catálogo)"))</f>
        <v/>
      </c>
      <c r="AC133" s="5">
        <f>IF(tblOrdenes[[#This Row],[cod_actividad]]="","",_xlfn.XLOOKUP(tblOrdenes[[#This Row],[cod_actividad]],tblActividades[codigo],tblActividades[descripcion],"(sin catálogo)"))</f>
        <v/>
      </c>
      <c r="AD133" s="23">
        <f>IF(tblOrdenes[[#This Row],[fecha_inicio]]="","",TODAY()-tblOrdenes[[#This Row],[fecha_inicio]])</f>
        <v/>
      </c>
      <c r="AE1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5">
        <f>IF(tblOrdenes[[#This Row],[backlog_habiles]]="","",IF(tblOrdenes[[#This Row],[backlog_habiles]]&lt;0,"FUTURO",IF(tblOrdenes[[#This Row],[backlog_habiles]]&gt;p_dias_backlog_max,"BACKLOG","MES CORRIENTE")))</f>
        <v/>
      </c>
      <c r="AG133" s="5">
        <f>IF(tblOrdenes[[#This Row],[backlog_habiles]]="",FALSE,AND(tblOrdenes[[#This Row],[backlog_habiles]]&gt;p_dias_backlog_min,tblOrdenes[[#This Row],[backlog_habiles]]&lt;=p_dias_backlog_max))</f>
        <v/>
      </c>
      <c r="AH133" s="4" t="n"/>
      <c r="AI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18">
        <f>IF(tblOrdenes[[#This Row],[orden]]="","",_xlfn.XLOOKUP(tblOrdenes[[#This Row],[id_operacion]],tblEjecucion[id_operacion],tblEjecucion[precio],0))</f>
        <v/>
      </c>
      <c r="AM133" s="18">
        <f>IF(tblOrdenes[[#This Row],[orden]]="","",MAX(0,_xlfn.XLOOKUP(tblOrdenes[[#This Row],[id_operacion]],tblEjecucion[id_operacion],tblEjecucion[costo_plan_total],0)-tblOrdenes[[#This Row],[costo_servicio]]))</f>
        <v/>
      </c>
      <c r="AN133" s="18">
        <f>IF(tblOrdenes[[#This Row],[orden]]="","",tblOrdenes[[#This Row],[costo_servicio]]+tblOrdenes[[#This Row],[costo_materiales]])</f>
        <v/>
      </c>
      <c r="AO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n"/>
      <c r="AQ133" s="4" t="n"/>
      <c r="AR133" s="4" t="n"/>
      <c r="AS133" s="5">
        <f>IF(tblOrdenes[[#This Row],[link_checklist]]="","",HYPERLINK(p_ruta_base_checklists&amp;tblOrdenes[[#This Row],[link_checklist]],"abrir"))</f>
        <v/>
      </c>
      <c r="AT133" s="4" t="n"/>
      <c r="AU133" s="5">
        <f>IF(tblOrdenes[[#This Row],[orden]]="","",tblOrdenes[[#This Row],[orden]]&amp;IF(tblOrdenes[[#This Row],[operacion]]="","0010",tblOrdenes[[#This Row],[operacion]]))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25" t="n"/>
      <c r="K134" s="5" t="n"/>
      <c r="L134" s="18" t="n"/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Row],[fecha_inicio]]="","",tblOrdenes[[#This Row],[anio]]&amp;"-"&amp;TEXT(tblOrdenes[[#This Row],[mes]],"00"))</f>
        <v/>
      </c>
      <c r="S134" s="5">
        <f>IF(tblOrdenes[[#This Row],[fecha_inicio]]="","",INDEX(lista_dias,WEEKDAY(tblOrdenes[[#This Row],[fecha_inicio]],2)))</f>
        <v/>
      </c>
      <c r="T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5">
        <f>IF(tblOrdenes[[#This Row],[tipo_ot]]="","",_xlfn.XLOOKUP(tblOrdenes[[#This Row],[tipo_ot]],tblTiposOT[codigo],tblTiposOT[clasificacion],"sin_clasificar"))</f>
        <v/>
      </c>
      <c r="V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5">
        <f>IF(tblOrdenes[[#This Row],[centro_costo]]="","",_xlfn.XLOOKUP(tblOrdenes[[#This Row],[centro_costo]],tblCECO[codigo],tblCECO[linea],"(sin catálogo)"))</f>
        <v/>
      </c>
      <c r="Y134" s="5">
        <f>IF(tblOrdenes[[#This Row],[centro_costo]]="","",_xlfn.XLOOKUP(tblOrdenes[[#This Row],[centro_costo]],tblCECO[codigo],tblCECO[area],"(sin catálogo)"))</f>
        <v/>
      </c>
      <c r="Z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5">
        <f>IF(tblOrdenes[[#This Row],[centro_costo]]="","",_xlfn.XLOOKUP(tblOrdenes[[#This Row],[centro_costo]],tblCECO[codigo],tblCECO[coordinador],"(sin catálogo)"))</f>
        <v/>
      </c>
      <c r="AB134" s="5">
        <f>IF(tblOrdenes[[#This Row],[puesto_trabajo]]="","",_xlfn.XLOOKUP(tblOrdenes[[#This Row],[puesto_trabajo]],tblPuestos[codigo],tblPuestos[especialidad],"(sin catálogo)"))</f>
        <v/>
      </c>
      <c r="AC134" s="5">
        <f>IF(tblOrdenes[[#This Row],[cod_actividad]]="","",_xlfn.XLOOKUP(tblOrdenes[[#This Row],[cod_actividad]],tblActividades[codigo],tblActividades[descripcion],"(sin catálogo)"))</f>
        <v/>
      </c>
      <c r="AD134" s="23">
        <f>IF(tblOrdenes[[#This Row],[fecha_inicio]]="","",TODAY()-tblOrdenes[[#This Row],[fecha_inicio]])</f>
        <v/>
      </c>
      <c r="AE1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5">
        <f>IF(tblOrdenes[[#This Row],[backlog_habiles]]="","",IF(tblOrdenes[[#This Row],[backlog_habiles]]&lt;0,"FUTURO",IF(tblOrdenes[[#This Row],[backlog_habiles]]&gt;p_dias_backlog_max,"BACKLOG","MES CORRIENTE")))</f>
        <v/>
      </c>
      <c r="AG134" s="5">
        <f>IF(tblOrdenes[[#This Row],[backlog_habiles]]="",FALSE,AND(tblOrdenes[[#This Row],[backlog_habiles]]&gt;p_dias_backlog_min,tblOrdenes[[#This Row],[backlog_habiles]]&lt;=p_dias_backlog_max))</f>
        <v/>
      </c>
      <c r="AH134" s="4" t="n"/>
      <c r="AI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18">
        <f>IF(tblOrdenes[[#This Row],[orden]]="","",_xlfn.XLOOKUP(tblOrdenes[[#This Row],[id_operacion]],tblEjecucion[id_operacion],tblEjecucion[precio],0))</f>
        <v/>
      </c>
      <c r="AM134" s="18">
        <f>IF(tblOrdenes[[#This Row],[orden]]="","",MAX(0,_xlfn.XLOOKUP(tblOrdenes[[#This Row],[id_operacion]],tblEjecucion[id_operacion],tblEjecucion[costo_plan_total],0)-tblOrdenes[[#This Row],[costo_servicio]]))</f>
        <v/>
      </c>
      <c r="AN134" s="18">
        <f>IF(tblOrdenes[[#This Row],[orden]]="","",tblOrdenes[[#This Row],[costo_servicio]]+tblOrdenes[[#This Row],[costo_materiales]])</f>
        <v/>
      </c>
      <c r="AO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n"/>
      <c r="AQ134" s="4" t="n"/>
      <c r="AR134" s="4" t="n"/>
      <c r="AS134" s="5">
        <f>IF(tblOrdenes[[#This Row],[link_checklist]]="","",HYPERLINK(p_ruta_base_checklists&amp;tblOrdenes[[#This Row],[link_checklist]],"abrir"))</f>
        <v/>
      </c>
      <c r="AT134" s="4" t="n"/>
      <c r="AU134" s="5">
        <f>IF(tblOrdenes[[#This Row],[orden]]="","",tblOrdenes[[#This Row],[orden]]&amp;IF(tblOrdenes[[#This Row],[operacion]]="","0010",tblOrdenes[[#This Row],[operacion]]))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25" t="n"/>
      <c r="K135" s="5" t="n"/>
      <c r="L135" s="18" t="n"/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Row],[fecha_inicio]]="","",tblOrdenes[[#This Row],[anio]]&amp;"-"&amp;TEXT(tblOrdenes[[#This Row],[mes]],"00"))</f>
        <v/>
      </c>
      <c r="S135" s="5">
        <f>IF(tblOrdenes[[#This Row],[fecha_inicio]]="","",INDEX(lista_dias,WEEKDAY(tblOrdenes[[#This Row],[fecha_inicio]],2)))</f>
        <v/>
      </c>
      <c r="T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5">
        <f>IF(tblOrdenes[[#This Row],[tipo_ot]]="","",_xlfn.XLOOKUP(tblOrdenes[[#This Row],[tipo_ot]],tblTiposOT[codigo],tblTiposOT[clasificacion],"sin_clasificar"))</f>
        <v/>
      </c>
      <c r="V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5">
        <f>IF(tblOrdenes[[#This Row],[centro_costo]]="","",_xlfn.XLOOKUP(tblOrdenes[[#This Row],[centro_costo]],tblCECO[codigo],tblCECO[linea],"(sin catálogo)"))</f>
        <v/>
      </c>
      <c r="Y135" s="5">
        <f>IF(tblOrdenes[[#This Row],[centro_costo]]="","",_xlfn.XLOOKUP(tblOrdenes[[#This Row],[centro_costo]],tblCECO[codigo],tblCECO[area],"(sin catálogo)"))</f>
        <v/>
      </c>
      <c r="Z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5">
        <f>IF(tblOrdenes[[#This Row],[centro_costo]]="","",_xlfn.XLOOKUP(tblOrdenes[[#This Row],[centro_costo]],tblCECO[codigo],tblCECO[coordinador],"(sin catálogo)"))</f>
        <v/>
      </c>
      <c r="AB135" s="5">
        <f>IF(tblOrdenes[[#This Row],[puesto_trabajo]]="","",_xlfn.XLOOKUP(tblOrdenes[[#This Row],[puesto_trabajo]],tblPuestos[codigo],tblPuestos[especialidad],"(sin catálogo)"))</f>
        <v/>
      </c>
      <c r="AC135" s="5">
        <f>IF(tblOrdenes[[#This Row],[cod_actividad]]="","",_xlfn.XLOOKUP(tblOrdenes[[#This Row],[cod_actividad]],tblActividades[codigo],tblActividades[descripcion],"(sin catálogo)"))</f>
        <v/>
      </c>
      <c r="AD135" s="23">
        <f>IF(tblOrdenes[[#This Row],[fecha_inicio]]="","",TODAY()-tblOrdenes[[#This Row],[fecha_inicio]])</f>
        <v/>
      </c>
      <c r="AE1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5">
        <f>IF(tblOrdenes[[#This Row],[backlog_habiles]]="","",IF(tblOrdenes[[#This Row],[backlog_habiles]]&lt;0,"FUTURO",IF(tblOrdenes[[#This Row],[backlog_habiles]]&gt;p_dias_backlog_max,"BACKLOG","MES CORRIENTE")))</f>
        <v/>
      </c>
      <c r="AG135" s="5">
        <f>IF(tblOrdenes[[#This Row],[backlog_habiles]]="",FALSE,AND(tblOrdenes[[#This Row],[backlog_habiles]]&gt;p_dias_backlog_min,tblOrdenes[[#This Row],[backlog_habiles]]&lt;=p_dias_backlog_max))</f>
        <v/>
      </c>
      <c r="AH135" s="4" t="n"/>
      <c r="AI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18">
        <f>IF(tblOrdenes[[#This Row],[orden]]="","",_xlfn.XLOOKUP(tblOrdenes[[#This Row],[id_operacion]],tblEjecucion[id_operacion],tblEjecucion[precio],0))</f>
        <v/>
      </c>
      <c r="AM135" s="18">
        <f>IF(tblOrdenes[[#This Row],[orden]]="","",MAX(0,_xlfn.XLOOKUP(tblOrdenes[[#This Row],[id_operacion]],tblEjecucion[id_operacion],tblEjecucion[costo_plan_total],0)-tblOrdenes[[#This Row],[costo_servicio]]))</f>
        <v/>
      </c>
      <c r="AN135" s="18">
        <f>IF(tblOrdenes[[#This Row],[orden]]="","",tblOrdenes[[#This Row],[costo_servicio]]+tblOrdenes[[#This Row],[costo_materiales]])</f>
        <v/>
      </c>
      <c r="AO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n"/>
      <c r="AQ135" s="4" t="n"/>
      <c r="AR135" s="4" t="n"/>
      <c r="AS135" s="5">
        <f>IF(tblOrdenes[[#This Row],[link_checklist]]="","",HYPERLINK(p_ruta_base_checklists&amp;tblOrdenes[[#This Row],[link_checklist]],"abrir"))</f>
        <v/>
      </c>
      <c r="AT135" s="4" t="n"/>
      <c r="AU135" s="5">
        <f>IF(tblOrdenes[[#This Row],[orden]]="","",tblOrdenes[[#This Row],[orden]]&amp;IF(tblOrdenes[[#This Row],[operacion]]="","0010",tblOrdenes[[#This Row],[operacion]]))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25" t="n"/>
      <c r="K136" s="5" t="n"/>
      <c r="L136" s="18" t="n"/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Row],[fecha_inicio]]="","",tblOrdenes[[#This Row],[anio]]&amp;"-"&amp;TEXT(tblOrdenes[[#This Row],[mes]],"00"))</f>
        <v/>
      </c>
      <c r="S136" s="5">
        <f>IF(tblOrdenes[[#This Row],[fecha_inicio]]="","",INDEX(lista_dias,WEEKDAY(tblOrdenes[[#This Row],[fecha_inicio]],2)))</f>
        <v/>
      </c>
      <c r="T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5">
        <f>IF(tblOrdenes[[#This Row],[tipo_ot]]="","",_xlfn.XLOOKUP(tblOrdenes[[#This Row],[tipo_ot]],tblTiposOT[codigo],tblTiposOT[clasificacion],"sin_clasificar"))</f>
        <v/>
      </c>
      <c r="V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5">
        <f>IF(tblOrdenes[[#This Row],[centro_costo]]="","",_xlfn.XLOOKUP(tblOrdenes[[#This Row],[centro_costo]],tblCECO[codigo],tblCECO[linea],"(sin catálogo)"))</f>
        <v/>
      </c>
      <c r="Y136" s="5">
        <f>IF(tblOrdenes[[#This Row],[centro_costo]]="","",_xlfn.XLOOKUP(tblOrdenes[[#This Row],[centro_costo]],tblCECO[codigo],tblCECO[area],"(sin catálogo)"))</f>
        <v/>
      </c>
      <c r="Z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5">
        <f>IF(tblOrdenes[[#This Row],[centro_costo]]="","",_xlfn.XLOOKUP(tblOrdenes[[#This Row],[centro_costo]],tblCECO[codigo],tblCECO[coordinador],"(sin catálogo)"))</f>
        <v/>
      </c>
      <c r="AB136" s="5">
        <f>IF(tblOrdenes[[#This Row],[puesto_trabajo]]="","",_xlfn.XLOOKUP(tblOrdenes[[#This Row],[puesto_trabajo]],tblPuestos[codigo],tblPuestos[especialidad],"(sin catálogo)"))</f>
        <v/>
      </c>
      <c r="AC136" s="5">
        <f>IF(tblOrdenes[[#This Row],[cod_actividad]]="","",_xlfn.XLOOKUP(tblOrdenes[[#This Row],[cod_actividad]],tblActividades[codigo],tblActividades[descripcion],"(sin catálogo)"))</f>
        <v/>
      </c>
      <c r="AD136" s="23">
        <f>IF(tblOrdenes[[#This Row],[fecha_inicio]]="","",TODAY()-tblOrdenes[[#This Row],[fecha_inicio]])</f>
        <v/>
      </c>
      <c r="AE1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5">
        <f>IF(tblOrdenes[[#This Row],[backlog_habiles]]="","",IF(tblOrdenes[[#This Row],[backlog_habiles]]&lt;0,"FUTURO",IF(tblOrdenes[[#This Row],[backlog_habiles]]&gt;p_dias_backlog_max,"BACKLOG","MES CORRIENTE")))</f>
        <v/>
      </c>
      <c r="AG136" s="5">
        <f>IF(tblOrdenes[[#This Row],[backlog_habiles]]="",FALSE,AND(tblOrdenes[[#This Row],[backlog_habiles]]&gt;p_dias_backlog_min,tblOrdenes[[#This Row],[backlog_habiles]]&lt;=p_dias_backlog_max))</f>
        <v/>
      </c>
      <c r="AH136" s="4" t="n"/>
      <c r="AI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18">
        <f>IF(tblOrdenes[[#This Row],[orden]]="","",_xlfn.XLOOKUP(tblOrdenes[[#This Row],[id_operacion]],tblEjecucion[id_operacion],tblEjecucion[precio],0))</f>
        <v/>
      </c>
      <c r="AM136" s="18">
        <f>IF(tblOrdenes[[#This Row],[orden]]="","",MAX(0,_xlfn.XLOOKUP(tblOrdenes[[#This Row],[id_operacion]],tblEjecucion[id_operacion],tblEjecucion[costo_plan_total],0)-tblOrdenes[[#This Row],[costo_servicio]]))</f>
        <v/>
      </c>
      <c r="AN136" s="18">
        <f>IF(tblOrdenes[[#This Row],[orden]]="","",tblOrdenes[[#This Row],[costo_servicio]]+tblOrdenes[[#This Row],[costo_materiales]])</f>
        <v/>
      </c>
      <c r="AO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n"/>
      <c r="AQ136" s="4" t="n"/>
      <c r="AR136" s="4" t="n"/>
      <c r="AS136" s="5">
        <f>IF(tblOrdenes[[#This Row],[link_checklist]]="","",HYPERLINK(p_ruta_base_checklists&amp;tblOrdenes[[#This Row],[link_checklist]],"abrir"))</f>
        <v/>
      </c>
      <c r="AT136" s="4" t="n"/>
      <c r="AU136" s="5">
        <f>IF(tblOrdenes[[#This Row],[orden]]="","",tblOrdenes[[#This Row],[orden]]&amp;IF(tblOrdenes[[#This Row],[operacion]]="","0010",tblOrdenes[[#This Row],[operacion]]))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25" t="n"/>
      <c r="K137" s="5" t="n"/>
      <c r="L137" s="18" t="n"/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Row],[fecha_inicio]]="","",tblOrdenes[[#This Row],[anio]]&amp;"-"&amp;TEXT(tblOrdenes[[#This Row],[mes]],"00"))</f>
        <v/>
      </c>
      <c r="S137" s="5">
        <f>IF(tblOrdenes[[#This Row],[fecha_inicio]]="","",INDEX(lista_dias,WEEKDAY(tblOrdenes[[#This Row],[fecha_inicio]],2)))</f>
        <v/>
      </c>
      <c r="T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5">
        <f>IF(tblOrdenes[[#This Row],[tipo_ot]]="","",_xlfn.XLOOKUP(tblOrdenes[[#This Row],[tipo_ot]],tblTiposOT[codigo],tblTiposOT[clasificacion],"sin_clasificar"))</f>
        <v/>
      </c>
      <c r="V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5">
        <f>IF(tblOrdenes[[#This Row],[centro_costo]]="","",_xlfn.XLOOKUP(tblOrdenes[[#This Row],[centro_costo]],tblCECO[codigo],tblCECO[linea],"(sin catálogo)"))</f>
        <v/>
      </c>
      <c r="Y137" s="5">
        <f>IF(tblOrdenes[[#This Row],[centro_costo]]="","",_xlfn.XLOOKUP(tblOrdenes[[#This Row],[centro_costo]],tblCECO[codigo],tblCECO[area],"(sin catálogo)"))</f>
        <v/>
      </c>
      <c r="Z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5">
        <f>IF(tblOrdenes[[#This Row],[centro_costo]]="","",_xlfn.XLOOKUP(tblOrdenes[[#This Row],[centro_costo]],tblCECO[codigo],tblCECO[coordinador],"(sin catálogo)"))</f>
        <v/>
      </c>
      <c r="AB137" s="5">
        <f>IF(tblOrdenes[[#This Row],[puesto_trabajo]]="","",_xlfn.XLOOKUP(tblOrdenes[[#This Row],[puesto_trabajo]],tblPuestos[codigo],tblPuestos[especialidad],"(sin catálogo)"))</f>
        <v/>
      </c>
      <c r="AC137" s="5">
        <f>IF(tblOrdenes[[#This Row],[cod_actividad]]="","",_xlfn.XLOOKUP(tblOrdenes[[#This Row],[cod_actividad]],tblActividades[codigo],tblActividades[descripcion],"(sin catálogo)"))</f>
        <v/>
      </c>
      <c r="AD137" s="23">
        <f>IF(tblOrdenes[[#This Row],[fecha_inicio]]="","",TODAY()-tblOrdenes[[#This Row],[fecha_inicio]])</f>
        <v/>
      </c>
      <c r="AE1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5">
        <f>IF(tblOrdenes[[#This Row],[backlog_habiles]]="","",IF(tblOrdenes[[#This Row],[backlog_habiles]]&lt;0,"FUTURO",IF(tblOrdenes[[#This Row],[backlog_habiles]]&gt;p_dias_backlog_max,"BACKLOG","MES CORRIENTE")))</f>
        <v/>
      </c>
      <c r="AG137" s="5">
        <f>IF(tblOrdenes[[#This Row],[backlog_habiles]]="",FALSE,AND(tblOrdenes[[#This Row],[backlog_habiles]]&gt;p_dias_backlog_min,tblOrdenes[[#This Row],[backlog_habiles]]&lt;=p_dias_backlog_max))</f>
        <v/>
      </c>
      <c r="AH137" s="4" t="n"/>
      <c r="AI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18">
        <f>IF(tblOrdenes[[#This Row],[orden]]="","",_xlfn.XLOOKUP(tblOrdenes[[#This Row],[id_operacion]],tblEjecucion[id_operacion],tblEjecucion[precio],0))</f>
        <v/>
      </c>
      <c r="AM137" s="18">
        <f>IF(tblOrdenes[[#This Row],[orden]]="","",MAX(0,_xlfn.XLOOKUP(tblOrdenes[[#This Row],[id_operacion]],tblEjecucion[id_operacion],tblEjecucion[costo_plan_total],0)-tblOrdenes[[#This Row],[costo_servicio]]))</f>
        <v/>
      </c>
      <c r="AN137" s="18">
        <f>IF(tblOrdenes[[#This Row],[orden]]="","",tblOrdenes[[#This Row],[costo_servicio]]+tblOrdenes[[#This Row],[costo_materiales]])</f>
        <v/>
      </c>
      <c r="AO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n"/>
      <c r="AQ137" s="4" t="n"/>
      <c r="AR137" s="4" t="n"/>
      <c r="AS137" s="5">
        <f>IF(tblOrdenes[[#This Row],[link_checklist]]="","",HYPERLINK(p_ruta_base_checklists&amp;tblOrdenes[[#This Row],[link_checklist]],"abrir"))</f>
        <v/>
      </c>
      <c r="AT137" s="4" t="n"/>
      <c r="AU137" s="5">
        <f>IF(tblOrdenes[[#This Row],[orden]]="","",tblOrdenes[[#This Row],[orden]]&amp;IF(tblOrdenes[[#This Row],[operacion]]="","0010",tblOrdenes[[#This Row],[operacion]]))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25" t="n"/>
      <c r="K138" s="5" t="n"/>
      <c r="L138" s="18" t="n"/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Row],[fecha_inicio]]="","",tblOrdenes[[#This Row],[anio]]&amp;"-"&amp;TEXT(tblOrdenes[[#This Row],[mes]],"00"))</f>
        <v/>
      </c>
      <c r="S138" s="5">
        <f>IF(tblOrdenes[[#This Row],[fecha_inicio]]="","",INDEX(lista_dias,WEEKDAY(tblOrdenes[[#This Row],[fecha_inicio]],2)))</f>
        <v/>
      </c>
      <c r="T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5">
        <f>IF(tblOrdenes[[#This Row],[tipo_ot]]="","",_xlfn.XLOOKUP(tblOrdenes[[#This Row],[tipo_ot]],tblTiposOT[codigo],tblTiposOT[clasificacion],"sin_clasificar"))</f>
        <v/>
      </c>
      <c r="V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5">
        <f>IF(tblOrdenes[[#This Row],[centro_costo]]="","",_xlfn.XLOOKUP(tblOrdenes[[#This Row],[centro_costo]],tblCECO[codigo],tblCECO[linea],"(sin catálogo)"))</f>
        <v/>
      </c>
      <c r="Y138" s="5">
        <f>IF(tblOrdenes[[#This Row],[centro_costo]]="","",_xlfn.XLOOKUP(tblOrdenes[[#This Row],[centro_costo]],tblCECO[codigo],tblCECO[area],"(sin catálogo)"))</f>
        <v/>
      </c>
      <c r="Z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5">
        <f>IF(tblOrdenes[[#This Row],[centro_costo]]="","",_xlfn.XLOOKUP(tblOrdenes[[#This Row],[centro_costo]],tblCECO[codigo],tblCECO[coordinador],"(sin catálogo)"))</f>
        <v/>
      </c>
      <c r="AB138" s="5">
        <f>IF(tblOrdenes[[#This Row],[puesto_trabajo]]="","",_xlfn.XLOOKUP(tblOrdenes[[#This Row],[puesto_trabajo]],tblPuestos[codigo],tblPuestos[especialidad],"(sin catálogo)"))</f>
        <v/>
      </c>
      <c r="AC138" s="5">
        <f>IF(tblOrdenes[[#This Row],[cod_actividad]]="","",_xlfn.XLOOKUP(tblOrdenes[[#This Row],[cod_actividad]],tblActividades[codigo],tblActividades[descripcion],"(sin catálogo)"))</f>
        <v/>
      </c>
      <c r="AD138" s="23">
        <f>IF(tblOrdenes[[#This Row],[fecha_inicio]]="","",TODAY()-tblOrdenes[[#This Row],[fecha_inicio]])</f>
        <v/>
      </c>
      <c r="AE1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5">
        <f>IF(tblOrdenes[[#This Row],[backlog_habiles]]="","",IF(tblOrdenes[[#This Row],[backlog_habiles]]&lt;0,"FUTURO",IF(tblOrdenes[[#This Row],[backlog_habiles]]&gt;p_dias_backlog_max,"BACKLOG","MES CORRIENTE")))</f>
        <v/>
      </c>
      <c r="AG138" s="5">
        <f>IF(tblOrdenes[[#This Row],[backlog_habiles]]="",FALSE,AND(tblOrdenes[[#This Row],[backlog_habiles]]&gt;p_dias_backlog_min,tblOrdenes[[#This Row],[backlog_habiles]]&lt;=p_dias_backlog_max))</f>
        <v/>
      </c>
      <c r="AH138" s="4" t="n"/>
      <c r="AI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18">
        <f>IF(tblOrdenes[[#This Row],[orden]]="","",_xlfn.XLOOKUP(tblOrdenes[[#This Row],[id_operacion]],tblEjecucion[id_operacion],tblEjecucion[precio],0))</f>
        <v/>
      </c>
      <c r="AM138" s="18">
        <f>IF(tblOrdenes[[#This Row],[orden]]="","",MAX(0,_xlfn.XLOOKUP(tblOrdenes[[#This Row],[id_operacion]],tblEjecucion[id_operacion],tblEjecucion[costo_plan_total],0)-tblOrdenes[[#This Row],[costo_servicio]]))</f>
        <v/>
      </c>
      <c r="AN138" s="18">
        <f>IF(tblOrdenes[[#This Row],[orden]]="","",tblOrdenes[[#This Row],[costo_servicio]]+tblOrdenes[[#This Row],[costo_materiales]])</f>
        <v/>
      </c>
      <c r="AO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n"/>
      <c r="AQ138" s="4" t="n"/>
      <c r="AR138" s="4" t="n"/>
      <c r="AS138" s="5">
        <f>IF(tblOrdenes[[#This Row],[link_checklist]]="","",HYPERLINK(p_ruta_base_checklists&amp;tblOrdenes[[#This Row],[link_checklist]],"abrir"))</f>
        <v/>
      </c>
      <c r="AT138" s="4" t="n"/>
      <c r="AU138" s="5">
        <f>IF(tblOrdenes[[#This Row],[orden]]="","",tblOrdenes[[#This Row],[orden]]&amp;IF(tblOrdenes[[#This Row],[operacion]]="","0010",tblOrdenes[[#This Row],[operacion]]))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25" t="n"/>
      <c r="K139" s="5" t="n"/>
      <c r="L139" s="18" t="n"/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Row],[fecha_inicio]]="","",tblOrdenes[[#This Row],[anio]]&amp;"-"&amp;TEXT(tblOrdenes[[#This Row],[mes]],"00"))</f>
        <v/>
      </c>
      <c r="S139" s="5">
        <f>IF(tblOrdenes[[#This Row],[fecha_inicio]]="","",INDEX(lista_dias,WEEKDAY(tblOrdenes[[#This Row],[fecha_inicio]],2)))</f>
        <v/>
      </c>
      <c r="T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5">
        <f>IF(tblOrdenes[[#This Row],[tipo_ot]]="","",_xlfn.XLOOKUP(tblOrdenes[[#This Row],[tipo_ot]],tblTiposOT[codigo],tblTiposOT[clasificacion],"sin_clasificar"))</f>
        <v/>
      </c>
      <c r="V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5">
        <f>IF(tblOrdenes[[#This Row],[centro_costo]]="","",_xlfn.XLOOKUP(tblOrdenes[[#This Row],[centro_costo]],tblCECO[codigo],tblCECO[linea],"(sin catálogo)"))</f>
        <v/>
      </c>
      <c r="Y139" s="5">
        <f>IF(tblOrdenes[[#This Row],[centro_costo]]="","",_xlfn.XLOOKUP(tblOrdenes[[#This Row],[centro_costo]],tblCECO[codigo],tblCECO[area],"(sin catálogo)"))</f>
        <v/>
      </c>
      <c r="Z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5">
        <f>IF(tblOrdenes[[#This Row],[centro_costo]]="","",_xlfn.XLOOKUP(tblOrdenes[[#This Row],[centro_costo]],tblCECO[codigo],tblCECO[coordinador],"(sin catálogo)"))</f>
        <v/>
      </c>
      <c r="AB139" s="5">
        <f>IF(tblOrdenes[[#This Row],[puesto_trabajo]]="","",_xlfn.XLOOKUP(tblOrdenes[[#This Row],[puesto_trabajo]],tblPuestos[codigo],tblPuestos[especialidad],"(sin catálogo)"))</f>
        <v/>
      </c>
      <c r="AC139" s="5">
        <f>IF(tblOrdenes[[#This Row],[cod_actividad]]="","",_xlfn.XLOOKUP(tblOrdenes[[#This Row],[cod_actividad]],tblActividades[codigo],tblActividades[descripcion],"(sin catálogo)"))</f>
        <v/>
      </c>
      <c r="AD139" s="23">
        <f>IF(tblOrdenes[[#This Row],[fecha_inicio]]="","",TODAY()-tblOrdenes[[#This Row],[fecha_inicio]])</f>
        <v/>
      </c>
      <c r="AE1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5">
        <f>IF(tblOrdenes[[#This Row],[backlog_habiles]]="","",IF(tblOrdenes[[#This Row],[backlog_habiles]]&lt;0,"FUTURO",IF(tblOrdenes[[#This Row],[backlog_habiles]]&gt;p_dias_backlog_max,"BACKLOG","MES CORRIENTE")))</f>
        <v/>
      </c>
      <c r="AG139" s="5">
        <f>IF(tblOrdenes[[#This Row],[backlog_habiles]]="",FALSE,AND(tblOrdenes[[#This Row],[backlog_habiles]]&gt;p_dias_backlog_min,tblOrdenes[[#This Row],[backlog_habiles]]&lt;=p_dias_backlog_max))</f>
        <v/>
      </c>
      <c r="AH139" s="4" t="n"/>
      <c r="AI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18">
        <f>IF(tblOrdenes[[#This Row],[orden]]="","",_xlfn.XLOOKUP(tblOrdenes[[#This Row],[id_operacion]],tblEjecucion[id_operacion],tblEjecucion[precio],0))</f>
        <v/>
      </c>
      <c r="AM139" s="18">
        <f>IF(tblOrdenes[[#This Row],[orden]]="","",MAX(0,_xlfn.XLOOKUP(tblOrdenes[[#This Row],[id_operacion]],tblEjecucion[id_operacion],tblEjecucion[costo_plan_total],0)-tblOrdenes[[#This Row],[costo_servicio]]))</f>
        <v/>
      </c>
      <c r="AN139" s="18">
        <f>IF(tblOrdenes[[#This Row],[orden]]="","",tblOrdenes[[#This Row],[costo_servicio]]+tblOrdenes[[#This Row],[costo_materiales]])</f>
        <v/>
      </c>
      <c r="AO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n"/>
      <c r="AQ139" s="4" t="n"/>
      <c r="AR139" s="4" t="n"/>
      <c r="AS139" s="5">
        <f>IF(tblOrdenes[[#This Row],[link_checklist]]="","",HYPERLINK(p_ruta_base_checklists&amp;tblOrdenes[[#This Row],[link_checklist]],"abrir"))</f>
        <v/>
      </c>
      <c r="AT139" s="4" t="n"/>
      <c r="AU139" s="5">
        <f>IF(tblOrdenes[[#This Row],[orden]]="","",tblOrdenes[[#This Row],[orden]]&amp;IF(tblOrdenes[[#This Row],[operacion]]="","0010",tblOrdenes[[#This Row],[operacion]]))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25" t="n"/>
      <c r="K140" s="5" t="n"/>
      <c r="L140" s="18" t="n"/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Row],[fecha_inicio]]="","",tblOrdenes[[#This Row],[anio]]&amp;"-"&amp;TEXT(tblOrdenes[[#This Row],[mes]],"00"))</f>
        <v/>
      </c>
      <c r="S140" s="5">
        <f>IF(tblOrdenes[[#This Row],[fecha_inicio]]="","",INDEX(lista_dias,WEEKDAY(tblOrdenes[[#This Row],[fecha_inicio]],2)))</f>
        <v/>
      </c>
      <c r="T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5">
        <f>IF(tblOrdenes[[#This Row],[tipo_ot]]="","",_xlfn.XLOOKUP(tblOrdenes[[#This Row],[tipo_ot]],tblTiposOT[codigo],tblTiposOT[clasificacion],"sin_clasificar"))</f>
        <v/>
      </c>
      <c r="V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5">
        <f>IF(tblOrdenes[[#This Row],[centro_costo]]="","",_xlfn.XLOOKUP(tblOrdenes[[#This Row],[centro_costo]],tblCECO[codigo],tblCECO[linea],"(sin catálogo)"))</f>
        <v/>
      </c>
      <c r="Y140" s="5">
        <f>IF(tblOrdenes[[#This Row],[centro_costo]]="","",_xlfn.XLOOKUP(tblOrdenes[[#This Row],[centro_costo]],tblCECO[codigo],tblCECO[area],"(sin catálogo)"))</f>
        <v/>
      </c>
      <c r="Z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5">
        <f>IF(tblOrdenes[[#This Row],[centro_costo]]="","",_xlfn.XLOOKUP(tblOrdenes[[#This Row],[centro_costo]],tblCECO[codigo],tblCECO[coordinador],"(sin catálogo)"))</f>
        <v/>
      </c>
      <c r="AB140" s="5">
        <f>IF(tblOrdenes[[#This Row],[puesto_trabajo]]="","",_xlfn.XLOOKUP(tblOrdenes[[#This Row],[puesto_trabajo]],tblPuestos[codigo],tblPuestos[especialidad],"(sin catálogo)"))</f>
        <v/>
      </c>
      <c r="AC140" s="5">
        <f>IF(tblOrdenes[[#This Row],[cod_actividad]]="","",_xlfn.XLOOKUP(tblOrdenes[[#This Row],[cod_actividad]],tblActividades[codigo],tblActividades[descripcion],"(sin catálogo)"))</f>
        <v/>
      </c>
      <c r="AD140" s="23">
        <f>IF(tblOrdenes[[#This Row],[fecha_inicio]]="","",TODAY()-tblOrdenes[[#This Row],[fecha_inicio]])</f>
        <v/>
      </c>
      <c r="AE1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5">
        <f>IF(tblOrdenes[[#This Row],[backlog_habiles]]="","",IF(tblOrdenes[[#This Row],[backlog_habiles]]&lt;0,"FUTURO",IF(tblOrdenes[[#This Row],[backlog_habiles]]&gt;p_dias_backlog_max,"BACKLOG","MES CORRIENTE")))</f>
        <v/>
      </c>
      <c r="AG140" s="5">
        <f>IF(tblOrdenes[[#This Row],[backlog_habiles]]="",FALSE,AND(tblOrdenes[[#This Row],[backlog_habiles]]&gt;p_dias_backlog_min,tblOrdenes[[#This Row],[backlog_habiles]]&lt;=p_dias_backlog_max))</f>
        <v/>
      </c>
      <c r="AH140" s="4" t="n"/>
      <c r="AI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18">
        <f>IF(tblOrdenes[[#This Row],[orden]]="","",_xlfn.XLOOKUP(tblOrdenes[[#This Row],[id_operacion]],tblEjecucion[id_operacion],tblEjecucion[precio],0))</f>
        <v/>
      </c>
      <c r="AM140" s="18">
        <f>IF(tblOrdenes[[#This Row],[orden]]="","",MAX(0,_xlfn.XLOOKUP(tblOrdenes[[#This Row],[id_operacion]],tblEjecucion[id_operacion],tblEjecucion[costo_plan_total],0)-tblOrdenes[[#This Row],[costo_servicio]]))</f>
        <v/>
      </c>
      <c r="AN140" s="18">
        <f>IF(tblOrdenes[[#This Row],[orden]]="","",tblOrdenes[[#This Row],[costo_servicio]]+tblOrdenes[[#This Row],[costo_materiales]])</f>
        <v/>
      </c>
      <c r="AO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n"/>
      <c r="AQ140" s="4" t="n"/>
      <c r="AR140" s="4" t="n"/>
      <c r="AS140" s="5">
        <f>IF(tblOrdenes[[#This Row],[link_checklist]]="","",HYPERLINK(p_ruta_base_checklists&amp;tblOrdenes[[#This Row],[link_checklist]],"abrir"))</f>
        <v/>
      </c>
      <c r="AT140" s="4" t="n"/>
      <c r="AU140" s="5">
        <f>IF(tblOrdenes[[#This Row],[orden]]="","",tblOrdenes[[#This Row],[orden]]&amp;IF(tblOrdenes[[#This Row],[operacion]]="","0010",tblOrdenes[[#This Row],[operacion]]))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25" t="n"/>
      <c r="K141" s="5" t="n"/>
      <c r="L141" s="18" t="n"/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Row],[fecha_inicio]]="","",tblOrdenes[[#This Row],[anio]]&amp;"-"&amp;TEXT(tblOrdenes[[#This Row],[mes]],"00"))</f>
        <v/>
      </c>
      <c r="S141" s="5">
        <f>IF(tblOrdenes[[#This Row],[fecha_inicio]]="","",INDEX(lista_dias,WEEKDAY(tblOrdenes[[#This Row],[fecha_inicio]],2)))</f>
        <v/>
      </c>
      <c r="T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5">
        <f>IF(tblOrdenes[[#This Row],[tipo_ot]]="","",_xlfn.XLOOKUP(tblOrdenes[[#This Row],[tipo_ot]],tblTiposOT[codigo],tblTiposOT[clasificacion],"sin_clasificar"))</f>
        <v/>
      </c>
      <c r="V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5">
        <f>IF(tblOrdenes[[#This Row],[centro_costo]]="","",_xlfn.XLOOKUP(tblOrdenes[[#This Row],[centro_costo]],tblCECO[codigo],tblCECO[linea],"(sin catálogo)"))</f>
        <v/>
      </c>
      <c r="Y141" s="5">
        <f>IF(tblOrdenes[[#This Row],[centro_costo]]="","",_xlfn.XLOOKUP(tblOrdenes[[#This Row],[centro_costo]],tblCECO[codigo],tblCECO[area],"(sin catálogo)"))</f>
        <v/>
      </c>
      <c r="Z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5">
        <f>IF(tblOrdenes[[#This Row],[centro_costo]]="","",_xlfn.XLOOKUP(tblOrdenes[[#This Row],[centro_costo]],tblCECO[codigo],tblCECO[coordinador],"(sin catálogo)"))</f>
        <v/>
      </c>
      <c r="AB141" s="5">
        <f>IF(tblOrdenes[[#This Row],[puesto_trabajo]]="","",_xlfn.XLOOKUP(tblOrdenes[[#This Row],[puesto_trabajo]],tblPuestos[codigo],tblPuestos[especialidad],"(sin catálogo)"))</f>
        <v/>
      </c>
      <c r="AC141" s="5">
        <f>IF(tblOrdenes[[#This Row],[cod_actividad]]="","",_xlfn.XLOOKUP(tblOrdenes[[#This Row],[cod_actividad]],tblActividades[codigo],tblActividades[descripcion],"(sin catálogo)"))</f>
        <v/>
      </c>
      <c r="AD141" s="23">
        <f>IF(tblOrdenes[[#This Row],[fecha_inicio]]="","",TODAY()-tblOrdenes[[#This Row],[fecha_inicio]])</f>
        <v/>
      </c>
      <c r="AE1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5">
        <f>IF(tblOrdenes[[#This Row],[backlog_habiles]]="","",IF(tblOrdenes[[#This Row],[backlog_habiles]]&lt;0,"FUTURO",IF(tblOrdenes[[#This Row],[backlog_habiles]]&gt;p_dias_backlog_max,"BACKLOG","MES CORRIENTE")))</f>
        <v/>
      </c>
      <c r="AG141" s="5">
        <f>IF(tblOrdenes[[#This Row],[backlog_habiles]]="",FALSE,AND(tblOrdenes[[#This Row],[backlog_habiles]]&gt;p_dias_backlog_min,tblOrdenes[[#This Row],[backlog_habiles]]&lt;=p_dias_backlog_max))</f>
        <v/>
      </c>
      <c r="AH141" s="4" t="n"/>
      <c r="AI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18">
        <f>IF(tblOrdenes[[#This Row],[orden]]="","",_xlfn.XLOOKUP(tblOrdenes[[#This Row],[id_operacion]],tblEjecucion[id_operacion],tblEjecucion[precio],0))</f>
        <v/>
      </c>
      <c r="AM141" s="18">
        <f>IF(tblOrdenes[[#This Row],[orden]]="","",MAX(0,_xlfn.XLOOKUP(tblOrdenes[[#This Row],[id_operacion]],tblEjecucion[id_operacion],tblEjecucion[costo_plan_total],0)-tblOrdenes[[#This Row],[costo_servicio]]))</f>
        <v/>
      </c>
      <c r="AN141" s="18">
        <f>IF(tblOrdenes[[#This Row],[orden]]="","",tblOrdenes[[#This Row],[costo_servicio]]+tblOrdenes[[#This Row],[costo_materiales]])</f>
        <v/>
      </c>
      <c r="AO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n"/>
      <c r="AQ141" s="4" t="n"/>
      <c r="AR141" s="4" t="n"/>
      <c r="AS141" s="5">
        <f>IF(tblOrdenes[[#This Row],[link_checklist]]="","",HYPERLINK(p_ruta_base_checklists&amp;tblOrdenes[[#This Row],[link_checklist]],"abrir"))</f>
        <v/>
      </c>
      <c r="AT141" s="4" t="n"/>
      <c r="AU141" s="5">
        <f>IF(tblOrdenes[[#This Row],[orden]]="","",tblOrdenes[[#This Row],[orden]]&amp;IF(tblOrdenes[[#This Row],[operacion]]="","0010",tblOrdenes[[#This Row],[operacion]]))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25" t="n"/>
      <c r="K142" s="5" t="n"/>
      <c r="L142" s="18" t="n"/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Row],[fecha_inicio]]="","",tblOrdenes[[#This Row],[anio]]&amp;"-"&amp;TEXT(tblOrdenes[[#This Row],[mes]],"00"))</f>
        <v/>
      </c>
      <c r="S142" s="5">
        <f>IF(tblOrdenes[[#This Row],[fecha_inicio]]="","",INDEX(lista_dias,WEEKDAY(tblOrdenes[[#This Row],[fecha_inicio]],2)))</f>
        <v/>
      </c>
      <c r="T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5">
        <f>IF(tblOrdenes[[#This Row],[tipo_ot]]="","",_xlfn.XLOOKUP(tblOrdenes[[#This Row],[tipo_ot]],tblTiposOT[codigo],tblTiposOT[clasificacion],"sin_clasificar"))</f>
        <v/>
      </c>
      <c r="V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5">
        <f>IF(tblOrdenes[[#This Row],[centro_costo]]="","",_xlfn.XLOOKUP(tblOrdenes[[#This Row],[centro_costo]],tblCECO[codigo],tblCECO[linea],"(sin catálogo)"))</f>
        <v/>
      </c>
      <c r="Y142" s="5">
        <f>IF(tblOrdenes[[#This Row],[centro_costo]]="","",_xlfn.XLOOKUP(tblOrdenes[[#This Row],[centro_costo]],tblCECO[codigo],tblCECO[area],"(sin catálogo)"))</f>
        <v/>
      </c>
      <c r="Z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5">
        <f>IF(tblOrdenes[[#This Row],[centro_costo]]="","",_xlfn.XLOOKUP(tblOrdenes[[#This Row],[centro_costo]],tblCECO[codigo],tblCECO[coordinador],"(sin catálogo)"))</f>
        <v/>
      </c>
      <c r="AB142" s="5">
        <f>IF(tblOrdenes[[#This Row],[puesto_trabajo]]="","",_xlfn.XLOOKUP(tblOrdenes[[#This Row],[puesto_trabajo]],tblPuestos[codigo],tblPuestos[especialidad],"(sin catálogo)"))</f>
        <v/>
      </c>
      <c r="AC142" s="5">
        <f>IF(tblOrdenes[[#This Row],[cod_actividad]]="","",_xlfn.XLOOKUP(tblOrdenes[[#This Row],[cod_actividad]],tblActividades[codigo],tblActividades[descripcion],"(sin catálogo)"))</f>
        <v/>
      </c>
      <c r="AD142" s="23">
        <f>IF(tblOrdenes[[#This Row],[fecha_inicio]]="","",TODAY()-tblOrdenes[[#This Row],[fecha_inicio]])</f>
        <v/>
      </c>
      <c r="AE1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5">
        <f>IF(tblOrdenes[[#This Row],[backlog_habiles]]="","",IF(tblOrdenes[[#This Row],[backlog_habiles]]&lt;0,"FUTURO",IF(tblOrdenes[[#This Row],[backlog_habiles]]&gt;p_dias_backlog_max,"BACKLOG","MES CORRIENTE")))</f>
        <v/>
      </c>
      <c r="AG142" s="5">
        <f>IF(tblOrdenes[[#This Row],[backlog_habiles]]="",FALSE,AND(tblOrdenes[[#This Row],[backlog_habiles]]&gt;p_dias_backlog_min,tblOrdenes[[#This Row],[backlog_habiles]]&lt;=p_dias_backlog_max))</f>
        <v/>
      </c>
      <c r="AH142" s="4" t="n"/>
      <c r="AI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18">
        <f>IF(tblOrdenes[[#This Row],[orden]]="","",_xlfn.XLOOKUP(tblOrdenes[[#This Row],[id_operacion]],tblEjecucion[id_operacion],tblEjecucion[precio],0))</f>
        <v/>
      </c>
      <c r="AM142" s="18">
        <f>IF(tblOrdenes[[#This Row],[orden]]="","",MAX(0,_xlfn.XLOOKUP(tblOrdenes[[#This Row],[id_operacion]],tblEjecucion[id_operacion],tblEjecucion[costo_plan_total],0)-tblOrdenes[[#This Row],[costo_servicio]]))</f>
        <v/>
      </c>
      <c r="AN142" s="18">
        <f>IF(tblOrdenes[[#This Row],[orden]]="","",tblOrdenes[[#This Row],[costo_servicio]]+tblOrdenes[[#This Row],[costo_materiales]])</f>
        <v/>
      </c>
      <c r="AO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n"/>
      <c r="AQ142" s="4" t="n"/>
      <c r="AR142" s="4" t="n"/>
      <c r="AS142" s="5">
        <f>IF(tblOrdenes[[#This Row],[link_checklist]]="","",HYPERLINK(p_ruta_base_checklists&amp;tblOrdenes[[#This Row],[link_checklist]],"abrir"))</f>
        <v/>
      </c>
      <c r="AT142" s="4" t="n"/>
      <c r="AU142" s="5">
        <f>IF(tblOrdenes[[#This Row],[orden]]="","",tblOrdenes[[#This Row],[orden]]&amp;IF(tblOrdenes[[#This Row],[operacion]]="","0010",tblOrdenes[[#This Row],[operacion]]))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25" t="n"/>
      <c r="K143" s="5" t="n"/>
      <c r="L143" s="18" t="n"/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Row],[fecha_inicio]]="","",tblOrdenes[[#This Row],[anio]]&amp;"-"&amp;TEXT(tblOrdenes[[#This Row],[mes]],"00"))</f>
        <v/>
      </c>
      <c r="S143" s="5">
        <f>IF(tblOrdenes[[#This Row],[fecha_inicio]]="","",INDEX(lista_dias,WEEKDAY(tblOrdenes[[#This Row],[fecha_inicio]],2)))</f>
        <v/>
      </c>
      <c r="T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5">
        <f>IF(tblOrdenes[[#This Row],[tipo_ot]]="","",_xlfn.XLOOKUP(tblOrdenes[[#This Row],[tipo_ot]],tblTiposOT[codigo],tblTiposOT[clasificacion],"sin_clasificar"))</f>
        <v/>
      </c>
      <c r="V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5">
        <f>IF(tblOrdenes[[#This Row],[centro_costo]]="","",_xlfn.XLOOKUP(tblOrdenes[[#This Row],[centro_costo]],tblCECO[codigo],tblCECO[linea],"(sin catálogo)"))</f>
        <v/>
      </c>
      <c r="Y143" s="5">
        <f>IF(tblOrdenes[[#This Row],[centro_costo]]="","",_xlfn.XLOOKUP(tblOrdenes[[#This Row],[centro_costo]],tblCECO[codigo],tblCECO[area],"(sin catálogo)"))</f>
        <v/>
      </c>
      <c r="Z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5">
        <f>IF(tblOrdenes[[#This Row],[centro_costo]]="","",_xlfn.XLOOKUP(tblOrdenes[[#This Row],[centro_costo]],tblCECO[codigo],tblCECO[coordinador],"(sin catálogo)"))</f>
        <v/>
      </c>
      <c r="AB143" s="5">
        <f>IF(tblOrdenes[[#This Row],[puesto_trabajo]]="","",_xlfn.XLOOKUP(tblOrdenes[[#This Row],[puesto_trabajo]],tblPuestos[codigo],tblPuestos[especialidad],"(sin catálogo)"))</f>
        <v/>
      </c>
      <c r="AC143" s="5">
        <f>IF(tblOrdenes[[#This Row],[cod_actividad]]="","",_xlfn.XLOOKUP(tblOrdenes[[#This Row],[cod_actividad]],tblActividades[codigo],tblActividades[descripcion],"(sin catálogo)"))</f>
        <v/>
      </c>
      <c r="AD143" s="23">
        <f>IF(tblOrdenes[[#This Row],[fecha_inicio]]="","",TODAY()-tblOrdenes[[#This Row],[fecha_inicio]])</f>
        <v/>
      </c>
      <c r="AE1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5">
        <f>IF(tblOrdenes[[#This Row],[backlog_habiles]]="","",IF(tblOrdenes[[#This Row],[backlog_habiles]]&lt;0,"FUTURO",IF(tblOrdenes[[#This Row],[backlog_habiles]]&gt;p_dias_backlog_max,"BACKLOG","MES CORRIENTE")))</f>
        <v/>
      </c>
      <c r="AG143" s="5">
        <f>IF(tblOrdenes[[#This Row],[backlog_habiles]]="",FALSE,AND(tblOrdenes[[#This Row],[backlog_habiles]]&gt;p_dias_backlog_min,tblOrdenes[[#This Row],[backlog_habiles]]&lt;=p_dias_backlog_max))</f>
        <v/>
      </c>
      <c r="AH143" s="4" t="n"/>
      <c r="AI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18">
        <f>IF(tblOrdenes[[#This Row],[orden]]="","",_xlfn.XLOOKUP(tblOrdenes[[#This Row],[id_operacion]],tblEjecucion[id_operacion],tblEjecucion[precio],0))</f>
        <v/>
      </c>
      <c r="AM143" s="18">
        <f>IF(tblOrdenes[[#This Row],[orden]]="","",MAX(0,_xlfn.XLOOKUP(tblOrdenes[[#This Row],[id_operacion]],tblEjecucion[id_operacion],tblEjecucion[costo_plan_total],0)-tblOrdenes[[#This Row],[costo_servicio]]))</f>
        <v/>
      </c>
      <c r="AN143" s="18">
        <f>IF(tblOrdenes[[#This Row],[orden]]="","",tblOrdenes[[#This Row],[costo_servicio]]+tblOrdenes[[#This Row],[costo_materiales]])</f>
        <v/>
      </c>
      <c r="AO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n"/>
      <c r="AQ143" s="4" t="n"/>
      <c r="AR143" s="4" t="n"/>
      <c r="AS143" s="5">
        <f>IF(tblOrdenes[[#This Row],[link_checklist]]="","",HYPERLINK(p_ruta_base_checklists&amp;tblOrdenes[[#This Row],[link_checklist]],"abrir"))</f>
        <v/>
      </c>
      <c r="AT143" s="4" t="n"/>
      <c r="AU143" s="5">
        <f>IF(tblOrdenes[[#This Row],[orden]]="","",tblOrdenes[[#This Row],[orden]]&amp;IF(tblOrdenes[[#This Row],[operacion]]="","0010",tblOrdenes[[#This Row],[operacion]]))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25" t="n"/>
      <c r="K144" s="5" t="n"/>
      <c r="L144" s="18" t="n"/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Row],[fecha_inicio]]="","",tblOrdenes[[#This Row],[anio]]&amp;"-"&amp;TEXT(tblOrdenes[[#This Row],[mes]],"00"))</f>
        <v/>
      </c>
      <c r="S144" s="5">
        <f>IF(tblOrdenes[[#This Row],[fecha_inicio]]="","",INDEX(lista_dias,WEEKDAY(tblOrdenes[[#This Row],[fecha_inicio]],2)))</f>
        <v/>
      </c>
      <c r="T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5">
        <f>IF(tblOrdenes[[#This Row],[tipo_ot]]="","",_xlfn.XLOOKUP(tblOrdenes[[#This Row],[tipo_ot]],tblTiposOT[codigo],tblTiposOT[clasificacion],"sin_clasificar"))</f>
        <v/>
      </c>
      <c r="V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5">
        <f>IF(tblOrdenes[[#This Row],[centro_costo]]="","",_xlfn.XLOOKUP(tblOrdenes[[#This Row],[centro_costo]],tblCECO[codigo],tblCECO[linea],"(sin catálogo)"))</f>
        <v/>
      </c>
      <c r="Y144" s="5">
        <f>IF(tblOrdenes[[#This Row],[centro_costo]]="","",_xlfn.XLOOKUP(tblOrdenes[[#This Row],[centro_costo]],tblCECO[codigo],tblCECO[area],"(sin catálogo)"))</f>
        <v/>
      </c>
      <c r="Z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5">
        <f>IF(tblOrdenes[[#This Row],[centro_costo]]="","",_xlfn.XLOOKUP(tblOrdenes[[#This Row],[centro_costo]],tblCECO[codigo],tblCECO[coordinador],"(sin catálogo)"))</f>
        <v/>
      </c>
      <c r="AB144" s="5">
        <f>IF(tblOrdenes[[#This Row],[puesto_trabajo]]="","",_xlfn.XLOOKUP(tblOrdenes[[#This Row],[puesto_trabajo]],tblPuestos[codigo],tblPuestos[especialidad],"(sin catálogo)"))</f>
        <v/>
      </c>
      <c r="AC144" s="5">
        <f>IF(tblOrdenes[[#This Row],[cod_actividad]]="","",_xlfn.XLOOKUP(tblOrdenes[[#This Row],[cod_actividad]],tblActividades[codigo],tblActividades[descripcion],"(sin catálogo)"))</f>
        <v/>
      </c>
      <c r="AD144" s="23">
        <f>IF(tblOrdenes[[#This Row],[fecha_inicio]]="","",TODAY()-tblOrdenes[[#This Row],[fecha_inicio]])</f>
        <v/>
      </c>
      <c r="AE1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5">
        <f>IF(tblOrdenes[[#This Row],[backlog_habiles]]="","",IF(tblOrdenes[[#This Row],[backlog_habiles]]&lt;0,"FUTURO",IF(tblOrdenes[[#This Row],[backlog_habiles]]&gt;p_dias_backlog_max,"BACKLOG","MES CORRIENTE")))</f>
        <v/>
      </c>
      <c r="AG144" s="5">
        <f>IF(tblOrdenes[[#This Row],[backlog_habiles]]="",FALSE,AND(tblOrdenes[[#This Row],[backlog_habiles]]&gt;p_dias_backlog_min,tblOrdenes[[#This Row],[backlog_habiles]]&lt;=p_dias_backlog_max))</f>
        <v/>
      </c>
      <c r="AH144" s="4" t="n"/>
      <c r="AI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18">
        <f>IF(tblOrdenes[[#This Row],[orden]]="","",_xlfn.XLOOKUP(tblOrdenes[[#This Row],[id_operacion]],tblEjecucion[id_operacion],tblEjecucion[precio],0))</f>
        <v/>
      </c>
      <c r="AM144" s="18">
        <f>IF(tblOrdenes[[#This Row],[orden]]="","",MAX(0,_xlfn.XLOOKUP(tblOrdenes[[#This Row],[id_operacion]],tblEjecucion[id_operacion],tblEjecucion[costo_plan_total],0)-tblOrdenes[[#This Row],[costo_servicio]]))</f>
        <v/>
      </c>
      <c r="AN144" s="18">
        <f>IF(tblOrdenes[[#This Row],[orden]]="","",tblOrdenes[[#This Row],[costo_servicio]]+tblOrdenes[[#This Row],[costo_materiales]])</f>
        <v/>
      </c>
      <c r="AO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n"/>
      <c r="AQ144" s="4" t="n"/>
      <c r="AR144" s="4" t="n"/>
      <c r="AS144" s="5">
        <f>IF(tblOrdenes[[#This Row],[link_checklist]]="","",HYPERLINK(p_ruta_base_checklists&amp;tblOrdenes[[#This Row],[link_checklist]],"abrir"))</f>
        <v/>
      </c>
      <c r="AT144" s="4" t="n"/>
      <c r="AU144" s="5">
        <f>IF(tblOrdenes[[#This Row],[orden]]="","",tblOrdenes[[#This Row],[orden]]&amp;IF(tblOrdenes[[#This Row],[operacion]]="","0010",tblOrdenes[[#This Row],[operacion]]))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25" t="n"/>
      <c r="K145" s="5" t="n"/>
      <c r="L145" s="18" t="n"/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Row],[fecha_inicio]]="","",tblOrdenes[[#This Row],[anio]]&amp;"-"&amp;TEXT(tblOrdenes[[#This Row],[mes]],"00"))</f>
        <v/>
      </c>
      <c r="S145" s="5">
        <f>IF(tblOrdenes[[#This Row],[fecha_inicio]]="","",INDEX(lista_dias,WEEKDAY(tblOrdenes[[#This Row],[fecha_inicio]],2)))</f>
        <v/>
      </c>
      <c r="T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5">
        <f>IF(tblOrdenes[[#This Row],[tipo_ot]]="","",_xlfn.XLOOKUP(tblOrdenes[[#This Row],[tipo_ot]],tblTiposOT[codigo],tblTiposOT[clasificacion],"sin_clasificar"))</f>
        <v/>
      </c>
      <c r="V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5">
        <f>IF(tblOrdenes[[#This Row],[centro_costo]]="","",_xlfn.XLOOKUP(tblOrdenes[[#This Row],[centro_costo]],tblCECO[codigo],tblCECO[linea],"(sin catálogo)"))</f>
        <v/>
      </c>
      <c r="Y145" s="5">
        <f>IF(tblOrdenes[[#This Row],[centro_costo]]="","",_xlfn.XLOOKUP(tblOrdenes[[#This Row],[centro_costo]],tblCECO[codigo],tblCECO[area],"(sin catálogo)"))</f>
        <v/>
      </c>
      <c r="Z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5">
        <f>IF(tblOrdenes[[#This Row],[centro_costo]]="","",_xlfn.XLOOKUP(tblOrdenes[[#This Row],[centro_costo]],tblCECO[codigo],tblCECO[coordinador],"(sin catálogo)"))</f>
        <v/>
      </c>
      <c r="AB145" s="5">
        <f>IF(tblOrdenes[[#This Row],[puesto_trabajo]]="","",_xlfn.XLOOKUP(tblOrdenes[[#This Row],[puesto_trabajo]],tblPuestos[codigo],tblPuestos[especialidad],"(sin catálogo)"))</f>
        <v/>
      </c>
      <c r="AC145" s="5">
        <f>IF(tblOrdenes[[#This Row],[cod_actividad]]="","",_xlfn.XLOOKUP(tblOrdenes[[#This Row],[cod_actividad]],tblActividades[codigo],tblActividades[descripcion],"(sin catálogo)"))</f>
        <v/>
      </c>
      <c r="AD145" s="23">
        <f>IF(tblOrdenes[[#This Row],[fecha_inicio]]="","",TODAY()-tblOrdenes[[#This Row],[fecha_inicio]])</f>
        <v/>
      </c>
      <c r="AE1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5">
        <f>IF(tblOrdenes[[#This Row],[backlog_habiles]]="","",IF(tblOrdenes[[#This Row],[backlog_habiles]]&lt;0,"FUTURO",IF(tblOrdenes[[#This Row],[backlog_habiles]]&gt;p_dias_backlog_max,"BACKLOG","MES CORRIENTE")))</f>
        <v/>
      </c>
      <c r="AG145" s="5">
        <f>IF(tblOrdenes[[#This Row],[backlog_habiles]]="",FALSE,AND(tblOrdenes[[#This Row],[backlog_habiles]]&gt;p_dias_backlog_min,tblOrdenes[[#This Row],[backlog_habiles]]&lt;=p_dias_backlog_max))</f>
        <v/>
      </c>
      <c r="AH145" s="4" t="n"/>
      <c r="AI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18">
        <f>IF(tblOrdenes[[#This Row],[orden]]="","",_xlfn.XLOOKUP(tblOrdenes[[#This Row],[id_operacion]],tblEjecucion[id_operacion],tblEjecucion[precio],0))</f>
        <v/>
      </c>
      <c r="AM145" s="18">
        <f>IF(tblOrdenes[[#This Row],[orden]]="","",MAX(0,_xlfn.XLOOKUP(tblOrdenes[[#This Row],[id_operacion]],tblEjecucion[id_operacion],tblEjecucion[costo_plan_total],0)-tblOrdenes[[#This Row],[costo_servicio]]))</f>
        <v/>
      </c>
      <c r="AN145" s="18">
        <f>IF(tblOrdenes[[#This Row],[orden]]="","",tblOrdenes[[#This Row],[costo_servicio]]+tblOrdenes[[#This Row],[costo_materiales]])</f>
        <v/>
      </c>
      <c r="AO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n"/>
      <c r="AQ145" s="4" t="n"/>
      <c r="AR145" s="4" t="n"/>
      <c r="AS145" s="5">
        <f>IF(tblOrdenes[[#This Row],[link_checklist]]="","",HYPERLINK(p_ruta_base_checklists&amp;tblOrdenes[[#This Row],[link_checklist]],"abrir"))</f>
        <v/>
      </c>
      <c r="AT145" s="4" t="n"/>
      <c r="AU145" s="5">
        <f>IF(tblOrdenes[[#This Row],[orden]]="","",tblOrdenes[[#This Row],[orden]]&amp;IF(tblOrdenes[[#This Row],[operacion]]="","0010",tblOrdenes[[#This Row],[operacion]]))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25" t="n"/>
      <c r="K146" s="5" t="n"/>
      <c r="L146" s="18" t="n"/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Row],[fecha_inicio]]="","",tblOrdenes[[#This Row],[anio]]&amp;"-"&amp;TEXT(tblOrdenes[[#This Row],[mes]],"00"))</f>
        <v/>
      </c>
      <c r="S146" s="5">
        <f>IF(tblOrdenes[[#This Row],[fecha_inicio]]="","",INDEX(lista_dias,WEEKDAY(tblOrdenes[[#This Row],[fecha_inicio]],2)))</f>
        <v/>
      </c>
      <c r="T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5">
        <f>IF(tblOrdenes[[#This Row],[tipo_ot]]="","",_xlfn.XLOOKUP(tblOrdenes[[#This Row],[tipo_ot]],tblTiposOT[codigo],tblTiposOT[clasificacion],"sin_clasificar"))</f>
        <v/>
      </c>
      <c r="V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5">
        <f>IF(tblOrdenes[[#This Row],[centro_costo]]="","",_xlfn.XLOOKUP(tblOrdenes[[#This Row],[centro_costo]],tblCECO[codigo],tblCECO[linea],"(sin catálogo)"))</f>
        <v/>
      </c>
      <c r="Y146" s="5">
        <f>IF(tblOrdenes[[#This Row],[centro_costo]]="","",_xlfn.XLOOKUP(tblOrdenes[[#This Row],[centro_costo]],tblCECO[codigo],tblCECO[area],"(sin catálogo)"))</f>
        <v/>
      </c>
      <c r="Z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5">
        <f>IF(tblOrdenes[[#This Row],[centro_costo]]="","",_xlfn.XLOOKUP(tblOrdenes[[#This Row],[centro_costo]],tblCECO[codigo],tblCECO[coordinador],"(sin catálogo)"))</f>
        <v/>
      </c>
      <c r="AB146" s="5">
        <f>IF(tblOrdenes[[#This Row],[puesto_trabajo]]="","",_xlfn.XLOOKUP(tblOrdenes[[#This Row],[puesto_trabajo]],tblPuestos[codigo],tblPuestos[especialidad],"(sin catálogo)"))</f>
        <v/>
      </c>
      <c r="AC146" s="5">
        <f>IF(tblOrdenes[[#This Row],[cod_actividad]]="","",_xlfn.XLOOKUP(tblOrdenes[[#This Row],[cod_actividad]],tblActividades[codigo],tblActividades[descripcion],"(sin catálogo)"))</f>
        <v/>
      </c>
      <c r="AD146" s="23">
        <f>IF(tblOrdenes[[#This Row],[fecha_inicio]]="","",TODAY()-tblOrdenes[[#This Row],[fecha_inicio]])</f>
        <v/>
      </c>
      <c r="AE1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5">
        <f>IF(tblOrdenes[[#This Row],[backlog_habiles]]="","",IF(tblOrdenes[[#This Row],[backlog_habiles]]&lt;0,"FUTURO",IF(tblOrdenes[[#This Row],[backlog_habiles]]&gt;p_dias_backlog_max,"BACKLOG","MES CORRIENTE")))</f>
        <v/>
      </c>
      <c r="AG146" s="5">
        <f>IF(tblOrdenes[[#This Row],[backlog_habiles]]="",FALSE,AND(tblOrdenes[[#This Row],[backlog_habiles]]&gt;p_dias_backlog_min,tblOrdenes[[#This Row],[backlog_habiles]]&lt;=p_dias_backlog_max))</f>
        <v/>
      </c>
      <c r="AH146" s="4" t="n"/>
      <c r="AI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18">
        <f>IF(tblOrdenes[[#This Row],[orden]]="","",_xlfn.XLOOKUP(tblOrdenes[[#This Row],[id_operacion]],tblEjecucion[id_operacion],tblEjecucion[precio],0))</f>
        <v/>
      </c>
      <c r="AM146" s="18">
        <f>IF(tblOrdenes[[#This Row],[orden]]="","",MAX(0,_xlfn.XLOOKUP(tblOrdenes[[#This Row],[id_operacion]],tblEjecucion[id_operacion],tblEjecucion[costo_plan_total],0)-tblOrdenes[[#This Row],[costo_servicio]]))</f>
        <v/>
      </c>
      <c r="AN146" s="18">
        <f>IF(tblOrdenes[[#This Row],[orden]]="","",tblOrdenes[[#This Row],[costo_servicio]]+tblOrdenes[[#This Row],[costo_materiales]])</f>
        <v/>
      </c>
      <c r="AO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n"/>
      <c r="AQ146" s="4" t="n"/>
      <c r="AR146" s="4" t="n"/>
      <c r="AS146" s="5">
        <f>IF(tblOrdenes[[#This Row],[link_checklist]]="","",HYPERLINK(p_ruta_base_checklists&amp;tblOrdenes[[#This Row],[link_checklist]],"abrir"))</f>
        <v/>
      </c>
      <c r="AT146" s="4" t="n"/>
      <c r="AU146" s="5">
        <f>IF(tblOrdenes[[#This Row],[orden]]="","",tblOrdenes[[#This Row],[orden]]&amp;IF(tblOrdenes[[#This Row],[operacion]]="","0010",tblOrdenes[[#This Row],[operacion]]))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25" t="n"/>
      <c r="K147" s="5" t="n"/>
      <c r="L147" s="18" t="n"/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Row],[fecha_inicio]]="","",tblOrdenes[[#This Row],[anio]]&amp;"-"&amp;TEXT(tblOrdenes[[#This Row],[mes]],"00"))</f>
        <v/>
      </c>
      <c r="S147" s="5">
        <f>IF(tblOrdenes[[#This Row],[fecha_inicio]]="","",INDEX(lista_dias,WEEKDAY(tblOrdenes[[#This Row],[fecha_inicio]],2)))</f>
        <v/>
      </c>
      <c r="T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5">
        <f>IF(tblOrdenes[[#This Row],[tipo_ot]]="","",_xlfn.XLOOKUP(tblOrdenes[[#This Row],[tipo_ot]],tblTiposOT[codigo],tblTiposOT[clasificacion],"sin_clasificar"))</f>
        <v/>
      </c>
      <c r="V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5">
        <f>IF(tblOrdenes[[#This Row],[centro_costo]]="","",_xlfn.XLOOKUP(tblOrdenes[[#This Row],[centro_costo]],tblCECO[codigo],tblCECO[linea],"(sin catálogo)"))</f>
        <v/>
      </c>
      <c r="Y147" s="5">
        <f>IF(tblOrdenes[[#This Row],[centro_costo]]="","",_xlfn.XLOOKUP(tblOrdenes[[#This Row],[centro_costo]],tblCECO[codigo],tblCECO[area],"(sin catálogo)"))</f>
        <v/>
      </c>
      <c r="Z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5">
        <f>IF(tblOrdenes[[#This Row],[centro_costo]]="","",_xlfn.XLOOKUP(tblOrdenes[[#This Row],[centro_costo]],tblCECO[codigo],tblCECO[coordinador],"(sin catálogo)"))</f>
        <v/>
      </c>
      <c r="AB147" s="5">
        <f>IF(tblOrdenes[[#This Row],[puesto_trabajo]]="","",_xlfn.XLOOKUP(tblOrdenes[[#This Row],[puesto_trabajo]],tblPuestos[codigo],tblPuestos[especialidad],"(sin catálogo)"))</f>
        <v/>
      </c>
      <c r="AC147" s="5">
        <f>IF(tblOrdenes[[#This Row],[cod_actividad]]="","",_xlfn.XLOOKUP(tblOrdenes[[#This Row],[cod_actividad]],tblActividades[codigo],tblActividades[descripcion],"(sin catálogo)"))</f>
        <v/>
      </c>
      <c r="AD147" s="23">
        <f>IF(tblOrdenes[[#This Row],[fecha_inicio]]="","",TODAY()-tblOrdenes[[#This Row],[fecha_inicio]])</f>
        <v/>
      </c>
      <c r="AE1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5">
        <f>IF(tblOrdenes[[#This Row],[backlog_habiles]]="","",IF(tblOrdenes[[#This Row],[backlog_habiles]]&lt;0,"FUTURO",IF(tblOrdenes[[#This Row],[backlog_habiles]]&gt;p_dias_backlog_max,"BACKLOG","MES CORRIENTE")))</f>
        <v/>
      </c>
      <c r="AG147" s="5">
        <f>IF(tblOrdenes[[#This Row],[backlog_habiles]]="",FALSE,AND(tblOrdenes[[#This Row],[backlog_habiles]]&gt;p_dias_backlog_min,tblOrdenes[[#This Row],[backlog_habiles]]&lt;=p_dias_backlog_max))</f>
        <v/>
      </c>
      <c r="AH147" s="4" t="n"/>
      <c r="AI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18">
        <f>IF(tblOrdenes[[#This Row],[orden]]="","",_xlfn.XLOOKUP(tblOrdenes[[#This Row],[id_operacion]],tblEjecucion[id_operacion],tblEjecucion[precio],0))</f>
        <v/>
      </c>
      <c r="AM147" s="18">
        <f>IF(tblOrdenes[[#This Row],[orden]]="","",MAX(0,_xlfn.XLOOKUP(tblOrdenes[[#This Row],[id_operacion]],tblEjecucion[id_operacion],tblEjecucion[costo_plan_total],0)-tblOrdenes[[#This Row],[costo_servicio]]))</f>
        <v/>
      </c>
      <c r="AN147" s="18">
        <f>IF(tblOrdenes[[#This Row],[orden]]="","",tblOrdenes[[#This Row],[costo_servicio]]+tblOrdenes[[#This Row],[costo_materiales]])</f>
        <v/>
      </c>
      <c r="AO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n"/>
      <c r="AQ147" s="4" t="n"/>
      <c r="AR147" s="4" t="n"/>
      <c r="AS147" s="5">
        <f>IF(tblOrdenes[[#This Row],[link_checklist]]="","",HYPERLINK(p_ruta_base_checklists&amp;tblOrdenes[[#This Row],[link_checklist]],"abrir"))</f>
        <v/>
      </c>
      <c r="AT147" s="4" t="n"/>
      <c r="AU147" s="5">
        <f>IF(tblOrdenes[[#This Row],[orden]]="","",tblOrdenes[[#This Row],[orden]]&amp;IF(tblOrdenes[[#This Row],[operacion]]="","0010",tblOrdenes[[#This Row],[operacion]]))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25" t="n"/>
      <c r="K148" s="5" t="n"/>
      <c r="L148" s="18" t="n"/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Row],[fecha_inicio]]="","",tblOrdenes[[#This Row],[anio]]&amp;"-"&amp;TEXT(tblOrdenes[[#This Row],[mes]],"00"))</f>
        <v/>
      </c>
      <c r="S148" s="5">
        <f>IF(tblOrdenes[[#This Row],[fecha_inicio]]="","",INDEX(lista_dias,WEEKDAY(tblOrdenes[[#This Row],[fecha_inicio]],2)))</f>
        <v/>
      </c>
      <c r="T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5">
        <f>IF(tblOrdenes[[#This Row],[tipo_ot]]="","",_xlfn.XLOOKUP(tblOrdenes[[#This Row],[tipo_ot]],tblTiposOT[codigo],tblTiposOT[clasificacion],"sin_clasificar"))</f>
        <v/>
      </c>
      <c r="V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5">
        <f>IF(tblOrdenes[[#This Row],[centro_costo]]="","",_xlfn.XLOOKUP(tblOrdenes[[#This Row],[centro_costo]],tblCECO[codigo],tblCECO[linea],"(sin catálogo)"))</f>
        <v/>
      </c>
      <c r="Y148" s="5">
        <f>IF(tblOrdenes[[#This Row],[centro_costo]]="","",_xlfn.XLOOKUP(tblOrdenes[[#This Row],[centro_costo]],tblCECO[codigo],tblCECO[area],"(sin catálogo)"))</f>
        <v/>
      </c>
      <c r="Z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5">
        <f>IF(tblOrdenes[[#This Row],[centro_costo]]="","",_xlfn.XLOOKUP(tblOrdenes[[#This Row],[centro_costo]],tblCECO[codigo],tblCECO[coordinador],"(sin catálogo)"))</f>
        <v/>
      </c>
      <c r="AB148" s="5">
        <f>IF(tblOrdenes[[#This Row],[puesto_trabajo]]="","",_xlfn.XLOOKUP(tblOrdenes[[#This Row],[puesto_trabajo]],tblPuestos[codigo],tblPuestos[especialidad],"(sin catálogo)"))</f>
        <v/>
      </c>
      <c r="AC148" s="5">
        <f>IF(tblOrdenes[[#This Row],[cod_actividad]]="","",_xlfn.XLOOKUP(tblOrdenes[[#This Row],[cod_actividad]],tblActividades[codigo],tblActividades[descripcion],"(sin catálogo)"))</f>
        <v/>
      </c>
      <c r="AD148" s="23">
        <f>IF(tblOrdenes[[#This Row],[fecha_inicio]]="","",TODAY()-tblOrdenes[[#This Row],[fecha_inicio]])</f>
        <v/>
      </c>
      <c r="AE1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5">
        <f>IF(tblOrdenes[[#This Row],[backlog_habiles]]="","",IF(tblOrdenes[[#This Row],[backlog_habiles]]&lt;0,"FUTURO",IF(tblOrdenes[[#This Row],[backlog_habiles]]&gt;p_dias_backlog_max,"BACKLOG","MES CORRIENTE")))</f>
        <v/>
      </c>
      <c r="AG148" s="5">
        <f>IF(tblOrdenes[[#This Row],[backlog_habiles]]="",FALSE,AND(tblOrdenes[[#This Row],[backlog_habiles]]&gt;p_dias_backlog_min,tblOrdenes[[#This Row],[backlog_habiles]]&lt;=p_dias_backlog_max))</f>
        <v/>
      </c>
      <c r="AH148" s="4" t="n"/>
      <c r="AI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18">
        <f>IF(tblOrdenes[[#This Row],[orden]]="","",_xlfn.XLOOKUP(tblOrdenes[[#This Row],[id_operacion]],tblEjecucion[id_operacion],tblEjecucion[precio],0))</f>
        <v/>
      </c>
      <c r="AM148" s="18">
        <f>IF(tblOrdenes[[#This Row],[orden]]="","",MAX(0,_xlfn.XLOOKUP(tblOrdenes[[#This Row],[id_operacion]],tblEjecucion[id_operacion],tblEjecucion[costo_plan_total],0)-tblOrdenes[[#This Row],[costo_servicio]]))</f>
        <v/>
      </c>
      <c r="AN148" s="18">
        <f>IF(tblOrdenes[[#This Row],[orden]]="","",tblOrdenes[[#This Row],[costo_servicio]]+tblOrdenes[[#This Row],[costo_materiales]])</f>
        <v/>
      </c>
      <c r="AO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n"/>
      <c r="AQ148" s="4" t="n"/>
      <c r="AR148" s="4" t="n"/>
      <c r="AS148" s="5">
        <f>IF(tblOrdenes[[#This Row],[link_checklist]]="","",HYPERLINK(p_ruta_base_checklists&amp;tblOrdenes[[#This Row],[link_checklist]],"abrir"))</f>
        <v/>
      </c>
      <c r="AT148" s="4" t="n"/>
      <c r="AU148" s="5">
        <f>IF(tblOrdenes[[#This Row],[orden]]="","",tblOrdenes[[#This Row],[orden]]&amp;IF(tblOrdenes[[#This Row],[operacion]]="","0010",tblOrdenes[[#This Row],[operacion]]))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25" t="n"/>
      <c r="K149" s="5" t="n"/>
      <c r="L149" s="18" t="n"/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Row],[fecha_inicio]]="","",tblOrdenes[[#This Row],[anio]]&amp;"-"&amp;TEXT(tblOrdenes[[#This Row],[mes]],"00"))</f>
        <v/>
      </c>
      <c r="S149" s="5">
        <f>IF(tblOrdenes[[#This Row],[fecha_inicio]]="","",INDEX(lista_dias,WEEKDAY(tblOrdenes[[#This Row],[fecha_inicio]],2)))</f>
        <v/>
      </c>
      <c r="T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5">
        <f>IF(tblOrdenes[[#This Row],[tipo_ot]]="","",_xlfn.XLOOKUP(tblOrdenes[[#This Row],[tipo_ot]],tblTiposOT[codigo],tblTiposOT[clasificacion],"sin_clasificar"))</f>
        <v/>
      </c>
      <c r="V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5">
        <f>IF(tblOrdenes[[#This Row],[centro_costo]]="","",_xlfn.XLOOKUP(tblOrdenes[[#This Row],[centro_costo]],tblCECO[codigo],tblCECO[linea],"(sin catálogo)"))</f>
        <v/>
      </c>
      <c r="Y149" s="5">
        <f>IF(tblOrdenes[[#This Row],[centro_costo]]="","",_xlfn.XLOOKUP(tblOrdenes[[#This Row],[centro_costo]],tblCECO[codigo],tblCECO[area],"(sin catálogo)"))</f>
        <v/>
      </c>
      <c r="Z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5">
        <f>IF(tblOrdenes[[#This Row],[centro_costo]]="","",_xlfn.XLOOKUP(tblOrdenes[[#This Row],[centro_costo]],tblCECO[codigo],tblCECO[coordinador],"(sin catálogo)"))</f>
        <v/>
      </c>
      <c r="AB149" s="5">
        <f>IF(tblOrdenes[[#This Row],[puesto_trabajo]]="","",_xlfn.XLOOKUP(tblOrdenes[[#This Row],[puesto_trabajo]],tblPuestos[codigo],tblPuestos[especialidad],"(sin catálogo)"))</f>
        <v/>
      </c>
      <c r="AC149" s="5">
        <f>IF(tblOrdenes[[#This Row],[cod_actividad]]="","",_xlfn.XLOOKUP(tblOrdenes[[#This Row],[cod_actividad]],tblActividades[codigo],tblActividades[descripcion],"(sin catálogo)"))</f>
        <v/>
      </c>
      <c r="AD149" s="23">
        <f>IF(tblOrdenes[[#This Row],[fecha_inicio]]="","",TODAY()-tblOrdenes[[#This Row],[fecha_inicio]])</f>
        <v/>
      </c>
      <c r="AE1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5">
        <f>IF(tblOrdenes[[#This Row],[backlog_habiles]]="","",IF(tblOrdenes[[#This Row],[backlog_habiles]]&lt;0,"FUTURO",IF(tblOrdenes[[#This Row],[backlog_habiles]]&gt;p_dias_backlog_max,"BACKLOG","MES CORRIENTE")))</f>
        <v/>
      </c>
      <c r="AG149" s="5">
        <f>IF(tblOrdenes[[#This Row],[backlog_habiles]]="",FALSE,AND(tblOrdenes[[#This Row],[backlog_habiles]]&gt;p_dias_backlog_min,tblOrdenes[[#This Row],[backlog_habiles]]&lt;=p_dias_backlog_max))</f>
        <v/>
      </c>
      <c r="AH149" s="4" t="n"/>
      <c r="AI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18">
        <f>IF(tblOrdenes[[#This Row],[orden]]="","",_xlfn.XLOOKUP(tblOrdenes[[#This Row],[id_operacion]],tblEjecucion[id_operacion],tblEjecucion[precio],0))</f>
        <v/>
      </c>
      <c r="AM149" s="18">
        <f>IF(tblOrdenes[[#This Row],[orden]]="","",MAX(0,_xlfn.XLOOKUP(tblOrdenes[[#This Row],[id_operacion]],tblEjecucion[id_operacion],tblEjecucion[costo_plan_total],0)-tblOrdenes[[#This Row],[costo_servicio]]))</f>
        <v/>
      </c>
      <c r="AN149" s="18">
        <f>IF(tblOrdenes[[#This Row],[orden]]="","",tblOrdenes[[#This Row],[costo_servicio]]+tblOrdenes[[#This Row],[costo_materiales]])</f>
        <v/>
      </c>
      <c r="AO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n"/>
      <c r="AQ149" s="4" t="n"/>
      <c r="AR149" s="4" t="n"/>
      <c r="AS149" s="5">
        <f>IF(tblOrdenes[[#This Row],[link_checklist]]="","",HYPERLINK(p_ruta_base_checklists&amp;tblOrdenes[[#This Row],[link_checklist]],"abrir"))</f>
        <v/>
      </c>
      <c r="AT149" s="4" t="n"/>
      <c r="AU149" s="5">
        <f>IF(tblOrdenes[[#This Row],[orden]]="","",tblOrdenes[[#This Row],[orden]]&amp;IF(tblOrdenes[[#This Row],[operacion]]="","0010",tblOrdenes[[#This Row],[operacion]]))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25" t="n"/>
      <c r="K150" s="5" t="n"/>
      <c r="L150" s="18" t="n"/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Row],[fecha_inicio]]="","",tblOrdenes[[#This Row],[anio]]&amp;"-"&amp;TEXT(tblOrdenes[[#This Row],[mes]],"00"))</f>
        <v/>
      </c>
      <c r="S150" s="5">
        <f>IF(tblOrdenes[[#This Row],[fecha_inicio]]="","",INDEX(lista_dias,WEEKDAY(tblOrdenes[[#This Row],[fecha_inicio]],2)))</f>
        <v/>
      </c>
      <c r="T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5">
        <f>IF(tblOrdenes[[#This Row],[tipo_ot]]="","",_xlfn.XLOOKUP(tblOrdenes[[#This Row],[tipo_ot]],tblTiposOT[codigo],tblTiposOT[clasificacion],"sin_clasificar"))</f>
        <v/>
      </c>
      <c r="V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5">
        <f>IF(tblOrdenes[[#This Row],[centro_costo]]="","",_xlfn.XLOOKUP(tblOrdenes[[#This Row],[centro_costo]],tblCECO[codigo],tblCECO[linea],"(sin catálogo)"))</f>
        <v/>
      </c>
      <c r="Y150" s="5">
        <f>IF(tblOrdenes[[#This Row],[centro_costo]]="","",_xlfn.XLOOKUP(tblOrdenes[[#This Row],[centro_costo]],tblCECO[codigo],tblCECO[area],"(sin catálogo)"))</f>
        <v/>
      </c>
      <c r="Z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5">
        <f>IF(tblOrdenes[[#This Row],[centro_costo]]="","",_xlfn.XLOOKUP(tblOrdenes[[#This Row],[centro_costo]],tblCECO[codigo],tblCECO[coordinador],"(sin catálogo)"))</f>
        <v/>
      </c>
      <c r="AB150" s="5">
        <f>IF(tblOrdenes[[#This Row],[puesto_trabajo]]="","",_xlfn.XLOOKUP(tblOrdenes[[#This Row],[puesto_trabajo]],tblPuestos[codigo],tblPuestos[especialidad],"(sin catálogo)"))</f>
        <v/>
      </c>
      <c r="AC150" s="5">
        <f>IF(tblOrdenes[[#This Row],[cod_actividad]]="","",_xlfn.XLOOKUP(tblOrdenes[[#This Row],[cod_actividad]],tblActividades[codigo],tblActividades[descripcion],"(sin catálogo)"))</f>
        <v/>
      </c>
      <c r="AD150" s="23">
        <f>IF(tblOrdenes[[#This Row],[fecha_inicio]]="","",TODAY()-tblOrdenes[[#This Row],[fecha_inicio]])</f>
        <v/>
      </c>
      <c r="AE1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5">
        <f>IF(tblOrdenes[[#This Row],[backlog_habiles]]="","",IF(tblOrdenes[[#This Row],[backlog_habiles]]&lt;0,"FUTURO",IF(tblOrdenes[[#This Row],[backlog_habiles]]&gt;p_dias_backlog_max,"BACKLOG","MES CORRIENTE")))</f>
        <v/>
      </c>
      <c r="AG150" s="5">
        <f>IF(tblOrdenes[[#This Row],[backlog_habiles]]="",FALSE,AND(tblOrdenes[[#This Row],[backlog_habiles]]&gt;p_dias_backlog_min,tblOrdenes[[#This Row],[backlog_habiles]]&lt;=p_dias_backlog_max))</f>
        <v/>
      </c>
      <c r="AH150" s="4" t="n"/>
      <c r="AI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18">
        <f>IF(tblOrdenes[[#This Row],[orden]]="","",_xlfn.XLOOKUP(tblOrdenes[[#This Row],[id_operacion]],tblEjecucion[id_operacion],tblEjecucion[precio],0))</f>
        <v/>
      </c>
      <c r="AM150" s="18">
        <f>IF(tblOrdenes[[#This Row],[orden]]="","",MAX(0,_xlfn.XLOOKUP(tblOrdenes[[#This Row],[id_operacion]],tblEjecucion[id_operacion],tblEjecucion[costo_plan_total],0)-tblOrdenes[[#This Row],[costo_servicio]]))</f>
        <v/>
      </c>
      <c r="AN150" s="18">
        <f>IF(tblOrdenes[[#This Row],[orden]]="","",tblOrdenes[[#This Row],[costo_servicio]]+tblOrdenes[[#This Row],[costo_materiales]])</f>
        <v/>
      </c>
      <c r="AO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n"/>
      <c r="AQ150" s="4" t="n"/>
      <c r="AR150" s="4" t="n"/>
      <c r="AS150" s="5">
        <f>IF(tblOrdenes[[#This Row],[link_checklist]]="","",HYPERLINK(p_ruta_base_checklists&amp;tblOrdenes[[#This Row],[link_checklist]],"abrir"))</f>
        <v/>
      </c>
      <c r="AT150" s="4" t="n"/>
      <c r="AU150" s="5">
        <f>IF(tblOrdenes[[#This Row],[orden]]="","",tblOrdenes[[#This Row],[orden]]&amp;IF(tblOrdenes[[#This Row],[operacion]]="","0010",tblOrdenes[[#This Row],[operacion]]))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25" t="n"/>
      <c r="K151" s="5" t="n"/>
      <c r="L151" s="18" t="n"/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Row],[fecha_inicio]]="","",tblOrdenes[[#This Row],[anio]]&amp;"-"&amp;TEXT(tblOrdenes[[#This Row],[mes]],"00"))</f>
        <v/>
      </c>
      <c r="S151" s="5">
        <f>IF(tblOrdenes[[#This Row],[fecha_inicio]]="","",INDEX(lista_dias,WEEKDAY(tblOrdenes[[#This Row],[fecha_inicio]],2)))</f>
        <v/>
      </c>
      <c r="T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5">
        <f>IF(tblOrdenes[[#This Row],[tipo_ot]]="","",_xlfn.XLOOKUP(tblOrdenes[[#This Row],[tipo_ot]],tblTiposOT[codigo],tblTiposOT[clasificacion],"sin_clasificar"))</f>
        <v/>
      </c>
      <c r="V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5">
        <f>IF(tblOrdenes[[#This Row],[centro_costo]]="","",_xlfn.XLOOKUP(tblOrdenes[[#This Row],[centro_costo]],tblCECO[codigo],tblCECO[linea],"(sin catálogo)"))</f>
        <v/>
      </c>
      <c r="Y151" s="5">
        <f>IF(tblOrdenes[[#This Row],[centro_costo]]="","",_xlfn.XLOOKUP(tblOrdenes[[#This Row],[centro_costo]],tblCECO[codigo],tblCECO[area],"(sin catálogo)"))</f>
        <v/>
      </c>
      <c r="Z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5">
        <f>IF(tblOrdenes[[#This Row],[centro_costo]]="","",_xlfn.XLOOKUP(tblOrdenes[[#This Row],[centro_costo]],tblCECO[codigo],tblCECO[coordinador],"(sin catálogo)"))</f>
        <v/>
      </c>
      <c r="AB151" s="5">
        <f>IF(tblOrdenes[[#This Row],[puesto_trabajo]]="","",_xlfn.XLOOKUP(tblOrdenes[[#This Row],[puesto_trabajo]],tblPuestos[codigo],tblPuestos[especialidad],"(sin catálogo)"))</f>
        <v/>
      </c>
      <c r="AC151" s="5">
        <f>IF(tblOrdenes[[#This Row],[cod_actividad]]="","",_xlfn.XLOOKUP(tblOrdenes[[#This Row],[cod_actividad]],tblActividades[codigo],tblActividades[descripcion],"(sin catálogo)"))</f>
        <v/>
      </c>
      <c r="AD151" s="23">
        <f>IF(tblOrdenes[[#This Row],[fecha_inicio]]="","",TODAY()-tblOrdenes[[#This Row],[fecha_inicio]])</f>
        <v/>
      </c>
      <c r="AE1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5">
        <f>IF(tblOrdenes[[#This Row],[backlog_habiles]]="","",IF(tblOrdenes[[#This Row],[backlog_habiles]]&lt;0,"FUTURO",IF(tblOrdenes[[#This Row],[backlog_habiles]]&gt;p_dias_backlog_max,"BACKLOG","MES CORRIENTE")))</f>
        <v/>
      </c>
      <c r="AG151" s="5">
        <f>IF(tblOrdenes[[#This Row],[backlog_habiles]]="",FALSE,AND(tblOrdenes[[#This Row],[backlog_habiles]]&gt;p_dias_backlog_min,tblOrdenes[[#This Row],[backlog_habiles]]&lt;=p_dias_backlog_max))</f>
        <v/>
      </c>
      <c r="AH151" s="4" t="n"/>
      <c r="AI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18">
        <f>IF(tblOrdenes[[#This Row],[orden]]="","",_xlfn.XLOOKUP(tblOrdenes[[#This Row],[id_operacion]],tblEjecucion[id_operacion],tblEjecucion[precio],0))</f>
        <v/>
      </c>
      <c r="AM151" s="18">
        <f>IF(tblOrdenes[[#This Row],[orden]]="","",MAX(0,_xlfn.XLOOKUP(tblOrdenes[[#This Row],[id_operacion]],tblEjecucion[id_operacion],tblEjecucion[costo_plan_total],0)-tblOrdenes[[#This Row],[costo_servicio]]))</f>
        <v/>
      </c>
      <c r="AN151" s="18">
        <f>IF(tblOrdenes[[#This Row],[orden]]="","",tblOrdenes[[#This Row],[costo_servicio]]+tblOrdenes[[#This Row],[costo_materiales]])</f>
        <v/>
      </c>
      <c r="AO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n"/>
      <c r="AQ151" s="4" t="n"/>
      <c r="AR151" s="4" t="n"/>
      <c r="AS151" s="5">
        <f>IF(tblOrdenes[[#This Row],[link_checklist]]="","",HYPERLINK(p_ruta_base_checklists&amp;tblOrdenes[[#This Row],[link_checklist]],"abrir"))</f>
        <v/>
      </c>
      <c r="AT151" s="4" t="n"/>
      <c r="AU151" s="5">
        <f>IF(tblOrdenes[[#This Row],[orden]]="","",tblOrdenes[[#This Row],[orden]]&amp;IF(tblOrdenes[[#This Row],[operacion]]="","0010",tblOrdenes[[#This Row],[operacion]]))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25" t="n"/>
      <c r="K152" s="5" t="n"/>
      <c r="L152" s="18" t="n"/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Row],[fecha_inicio]]="","",tblOrdenes[[#This Row],[anio]]&amp;"-"&amp;TEXT(tblOrdenes[[#This Row],[mes]],"00"))</f>
        <v/>
      </c>
      <c r="S152" s="5">
        <f>IF(tblOrdenes[[#This Row],[fecha_inicio]]="","",INDEX(lista_dias,WEEKDAY(tblOrdenes[[#This Row],[fecha_inicio]],2)))</f>
        <v/>
      </c>
      <c r="T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5">
        <f>IF(tblOrdenes[[#This Row],[tipo_ot]]="","",_xlfn.XLOOKUP(tblOrdenes[[#This Row],[tipo_ot]],tblTiposOT[codigo],tblTiposOT[clasificacion],"sin_clasificar"))</f>
        <v/>
      </c>
      <c r="V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5">
        <f>IF(tblOrdenes[[#This Row],[centro_costo]]="","",_xlfn.XLOOKUP(tblOrdenes[[#This Row],[centro_costo]],tblCECO[codigo],tblCECO[linea],"(sin catálogo)"))</f>
        <v/>
      </c>
      <c r="Y152" s="5">
        <f>IF(tblOrdenes[[#This Row],[centro_costo]]="","",_xlfn.XLOOKUP(tblOrdenes[[#This Row],[centro_costo]],tblCECO[codigo],tblCECO[area],"(sin catálogo)"))</f>
        <v/>
      </c>
      <c r="Z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5">
        <f>IF(tblOrdenes[[#This Row],[centro_costo]]="","",_xlfn.XLOOKUP(tblOrdenes[[#This Row],[centro_costo]],tblCECO[codigo],tblCECO[coordinador],"(sin catálogo)"))</f>
        <v/>
      </c>
      <c r="AB152" s="5">
        <f>IF(tblOrdenes[[#This Row],[puesto_trabajo]]="","",_xlfn.XLOOKUP(tblOrdenes[[#This Row],[puesto_trabajo]],tblPuestos[codigo],tblPuestos[especialidad],"(sin catálogo)"))</f>
        <v/>
      </c>
      <c r="AC152" s="5">
        <f>IF(tblOrdenes[[#This Row],[cod_actividad]]="","",_xlfn.XLOOKUP(tblOrdenes[[#This Row],[cod_actividad]],tblActividades[codigo],tblActividades[descripcion],"(sin catálogo)"))</f>
        <v/>
      </c>
      <c r="AD152" s="23">
        <f>IF(tblOrdenes[[#This Row],[fecha_inicio]]="","",TODAY()-tblOrdenes[[#This Row],[fecha_inicio]])</f>
        <v/>
      </c>
      <c r="AE1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5">
        <f>IF(tblOrdenes[[#This Row],[backlog_habiles]]="","",IF(tblOrdenes[[#This Row],[backlog_habiles]]&lt;0,"FUTURO",IF(tblOrdenes[[#This Row],[backlog_habiles]]&gt;p_dias_backlog_max,"BACKLOG","MES CORRIENTE")))</f>
        <v/>
      </c>
      <c r="AG152" s="5">
        <f>IF(tblOrdenes[[#This Row],[backlog_habiles]]="",FALSE,AND(tblOrdenes[[#This Row],[backlog_habiles]]&gt;p_dias_backlog_min,tblOrdenes[[#This Row],[backlog_habiles]]&lt;=p_dias_backlog_max))</f>
        <v/>
      </c>
      <c r="AH152" s="4" t="n"/>
      <c r="AI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18">
        <f>IF(tblOrdenes[[#This Row],[orden]]="","",_xlfn.XLOOKUP(tblOrdenes[[#This Row],[id_operacion]],tblEjecucion[id_operacion],tblEjecucion[precio],0))</f>
        <v/>
      </c>
      <c r="AM152" s="18">
        <f>IF(tblOrdenes[[#This Row],[orden]]="","",MAX(0,_xlfn.XLOOKUP(tblOrdenes[[#This Row],[id_operacion]],tblEjecucion[id_operacion],tblEjecucion[costo_plan_total],0)-tblOrdenes[[#This Row],[costo_servicio]]))</f>
        <v/>
      </c>
      <c r="AN152" s="18">
        <f>IF(tblOrdenes[[#This Row],[orden]]="","",tblOrdenes[[#This Row],[costo_servicio]]+tblOrdenes[[#This Row],[costo_materiales]])</f>
        <v/>
      </c>
      <c r="AO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n"/>
      <c r="AQ152" s="4" t="n"/>
      <c r="AR152" s="4" t="n"/>
      <c r="AS152" s="5">
        <f>IF(tblOrdenes[[#This Row],[link_checklist]]="","",HYPERLINK(p_ruta_base_checklists&amp;tblOrdenes[[#This Row],[link_checklist]],"abrir"))</f>
        <v/>
      </c>
      <c r="AT152" s="4" t="n"/>
      <c r="AU152" s="5">
        <f>IF(tblOrdenes[[#This Row],[orden]]="","",tblOrdenes[[#This Row],[orden]]&amp;IF(tblOrdenes[[#This Row],[operacion]]="","0010",tblOrdenes[[#This Row],[operacion]]))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25" t="n"/>
      <c r="K153" s="5" t="n"/>
      <c r="L153" s="18" t="n"/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Row],[fecha_inicio]]="","",tblOrdenes[[#This Row],[anio]]&amp;"-"&amp;TEXT(tblOrdenes[[#This Row],[mes]],"00"))</f>
        <v/>
      </c>
      <c r="S153" s="5">
        <f>IF(tblOrdenes[[#This Row],[fecha_inicio]]="","",INDEX(lista_dias,WEEKDAY(tblOrdenes[[#This Row],[fecha_inicio]],2)))</f>
        <v/>
      </c>
      <c r="T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5">
        <f>IF(tblOrdenes[[#This Row],[tipo_ot]]="","",_xlfn.XLOOKUP(tblOrdenes[[#This Row],[tipo_ot]],tblTiposOT[codigo],tblTiposOT[clasificacion],"sin_clasificar"))</f>
        <v/>
      </c>
      <c r="V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5">
        <f>IF(tblOrdenes[[#This Row],[centro_costo]]="","",_xlfn.XLOOKUP(tblOrdenes[[#This Row],[centro_costo]],tblCECO[codigo],tblCECO[linea],"(sin catálogo)"))</f>
        <v/>
      </c>
      <c r="Y153" s="5">
        <f>IF(tblOrdenes[[#This Row],[centro_costo]]="","",_xlfn.XLOOKUP(tblOrdenes[[#This Row],[centro_costo]],tblCECO[codigo],tblCECO[area],"(sin catálogo)"))</f>
        <v/>
      </c>
      <c r="Z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5">
        <f>IF(tblOrdenes[[#This Row],[centro_costo]]="","",_xlfn.XLOOKUP(tblOrdenes[[#This Row],[centro_costo]],tblCECO[codigo],tblCECO[coordinador],"(sin catálogo)"))</f>
        <v/>
      </c>
      <c r="AB153" s="5">
        <f>IF(tblOrdenes[[#This Row],[puesto_trabajo]]="","",_xlfn.XLOOKUP(tblOrdenes[[#This Row],[puesto_trabajo]],tblPuestos[codigo],tblPuestos[especialidad],"(sin catálogo)"))</f>
        <v/>
      </c>
      <c r="AC153" s="5">
        <f>IF(tblOrdenes[[#This Row],[cod_actividad]]="","",_xlfn.XLOOKUP(tblOrdenes[[#This Row],[cod_actividad]],tblActividades[codigo],tblActividades[descripcion],"(sin catálogo)"))</f>
        <v/>
      </c>
      <c r="AD153" s="23">
        <f>IF(tblOrdenes[[#This Row],[fecha_inicio]]="","",TODAY()-tblOrdenes[[#This Row],[fecha_inicio]])</f>
        <v/>
      </c>
      <c r="AE1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5">
        <f>IF(tblOrdenes[[#This Row],[backlog_habiles]]="","",IF(tblOrdenes[[#This Row],[backlog_habiles]]&lt;0,"FUTURO",IF(tblOrdenes[[#This Row],[backlog_habiles]]&gt;p_dias_backlog_max,"BACKLOG","MES CORRIENTE")))</f>
        <v/>
      </c>
      <c r="AG153" s="5">
        <f>IF(tblOrdenes[[#This Row],[backlog_habiles]]="",FALSE,AND(tblOrdenes[[#This Row],[backlog_habiles]]&gt;p_dias_backlog_min,tblOrdenes[[#This Row],[backlog_habiles]]&lt;=p_dias_backlog_max))</f>
        <v/>
      </c>
      <c r="AH153" s="4" t="n"/>
      <c r="AI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18">
        <f>IF(tblOrdenes[[#This Row],[orden]]="","",_xlfn.XLOOKUP(tblOrdenes[[#This Row],[id_operacion]],tblEjecucion[id_operacion],tblEjecucion[precio],0))</f>
        <v/>
      </c>
      <c r="AM153" s="18">
        <f>IF(tblOrdenes[[#This Row],[orden]]="","",MAX(0,_xlfn.XLOOKUP(tblOrdenes[[#This Row],[id_operacion]],tblEjecucion[id_operacion],tblEjecucion[costo_plan_total],0)-tblOrdenes[[#This Row],[costo_servicio]]))</f>
        <v/>
      </c>
      <c r="AN153" s="18">
        <f>IF(tblOrdenes[[#This Row],[orden]]="","",tblOrdenes[[#This Row],[costo_servicio]]+tblOrdenes[[#This Row],[costo_materiales]])</f>
        <v/>
      </c>
      <c r="AO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n"/>
      <c r="AQ153" s="4" t="n"/>
      <c r="AR153" s="4" t="n"/>
      <c r="AS153" s="5">
        <f>IF(tblOrdenes[[#This Row],[link_checklist]]="","",HYPERLINK(p_ruta_base_checklists&amp;tblOrdenes[[#This Row],[link_checklist]],"abrir"))</f>
        <v/>
      </c>
      <c r="AT153" s="4" t="n"/>
      <c r="AU153" s="5">
        <f>IF(tblOrdenes[[#This Row],[orden]]="","",tblOrdenes[[#This Row],[orden]]&amp;IF(tblOrdenes[[#This Row],[operacion]]="","0010",tblOrdenes[[#This Row],[operacion]]))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25" t="n"/>
      <c r="K154" s="5" t="n"/>
      <c r="L154" s="18" t="n"/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Row],[fecha_inicio]]="","",tblOrdenes[[#This Row],[anio]]&amp;"-"&amp;TEXT(tblOrdenes[[#This Row],[mes]],"00"))</f>
        <v/>
      </c>
      <c r="S154" s="5">
        <f>IF(tblOrdenes[[#This Row],[fecha_inicio]]="","",INDEX(lista_dias,WEEKDAY(tblOrdenes[[#This Row],[fecha_inicio]],2)))</f>
        <v/>
      </c>
      <c r="T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5">
        <f>IF(tblOrdenes[[#This Row],[tipo_ot]]="","",_xlfn.XLOOKUP(tblOrdenes[[#This Row],[tipo_ot]],tblTiposOT[codigo],tblTiposOT[clasificacion],"sin_clasificar"))</f>
        <v/>
      </c>
      <c r="V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5">
        <f>IF(tblOrdenes[[#This Row],[centro_costo]]="","",_xlfn.XLOOKUP(tblOrdenes[[#This Row],[centro_costo]],tblCECO[codigo],tblCECO[linea],"(sin catálogo)"))</f>
        <v/>
      </c>
      <c r="Y154" s="5">
        <f>IF(tblOrdenes[[#This Row],[centro_costo]]="","",_xlfn.XLOOKUP(tblOrdenes[[#This Row],[centro_costo]],tblCECO[codigo],tblCECO[area],"(sin catálogo)"))</f>
        <v/>
      </c>
      <c r="Z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5">
        <f>IF(tblOrdenes[[#This Row],[centro_costo]]="","",_xlfn.XLOOKUP(tblOrdenes[[#This Row],[centro_costo]],tblCECO[codigo],tblCECO[coordinador],"(sin catálogo)"))</f>
        <v/>
      </c>
      <c r="AB154" s="5">
        <f>IF(tblOrdenes[[#This Row],[puesto_trabajo]]="","",_xlfn.XLOOKUP(tblOrdenes[[#This Row],[puesto_trabajo]],tblPuestos[codigo],tblPuestos[especialidad],"(sin catálogo)"))</f>
        <v/>
      </c>
      <c r="AC154" s="5">
        <f>IF(tblOrdenes[[#This Row],[cod_actividad]]="","",_xlfn.XLOOKUP(tblOrdenes[[#This Row],[cod_actividad]],tblActividades[codigo],tblActividades[descripcion],"(sin catálogo)"))</f>
        <v/>
      </c>
      <c r="AD154" s="23">
        <f>IF(tblOrdenes[[#This Row],[fecha_inicio]]="","",TODAY()-tblOrdenes[[#This Row],[fecha_inicio]])</f>
        <v/>
      </c>
      <c r="AE1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5">
        <f>IF(tblOrdenes[[#This Row],[backlog_habiles]]="","",IF(tblOrdenes[[#This Row],[backlog_habiles]]&lt;0,"FUTURO",IF(tblOrdenes[[#This Row],[backlog_habiles]]&gt;p_dias_backlog_max,"BACKLOG","MES CORRIENTE")))</f>
        <v/>
      </c>
      <c r="AG154" s="5">
        <f>IF(tblOrdenes[[#This Row],[backlog_habiles]]="",FALSE,AND(tblOrdenes[[#This Row],[backlog_habiles]]&gt;p_dias_backlog_min,tblOrdenes[[#This Row],[backlog_habiles]]&lt;=p_dias_backlog_max))</f>
        <v/>
      </c>
      <c r="AH154" s="4" t="n"/>
      <c r="AI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18">
        <f>IF(tblOrdenes[[#This Row],[orden]]="","",_xlfn.XLOOKUP(tblOrdenes[[#This Row],[id_operacion]],tblEjecucion[id_operacion],tblEjecucion[precio],0))</f>
        <v/>
      </c>
      <c r="AM154" s="18">
        <f>IF(tblOrdenes[[#This Row],[orden]]="","",MAX(0,_xlfn.XLOOKUP(tblOrdenes[[#This Row],[id_operacion]],tblEjecucion[id_operacion],tblEjecucion[costo_plan_total],0)-tblOrdenes[[#This Row],[costo_servicio]]))</f>
        <v/>
      </c>
      <c r="AN154" s="18">
        <f>IF(tblOrdenes[[#This Row],[orden]]="","",tblOrdenes[[#This Row],[costo_servicio]]+tblOrdenes[[#This Row],[costo_materiales]])</f>
        <v/>
      </c>
      <c r="AO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n"/>
      <c r="AQ154" s="4" t="n"/>
      <c r="AR154" s="4" t="n"/>
      <c r="AS154" s="5">
        <f>IF(tblOrdenes[[#This Row],[link_checklist]]="","",HYPERLINK(p_ruta_base_checklists&amp;tblOrdenes[[#This Row],[link_checklist]],"abrir"))</f>
        <v/>
      </c>
      <c r="AT154" s="4" t="n"/>
      <c r="AU154" s="5">
        <f>IF(tblOrdenes[[#This Row],[orden]]="","",tblOrdenes[[#This Row],[orden]]&amp;IF(tblOrdenes[[#This Row],[operacion]]="","0010",tblOrdenes[[#This Row],[operacion]]))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25" t="n"/>
      <c r="K155" s="5" t="n"/>
      <c r="L155" s="18" t="n"/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Row],[fecha_inicio]]="","",tblOrdenes[[#This Row],[anio]]&amp;"-"&amp;TEXT(tblOrdenes[[#This Row],[mes]],"00"))</f>
        <v/>
      </c>
      <c r="S155" s="5">
        <f>IF(tblOrdenes[[#This Row],[fecha_inicio]]="","",INDEX(lista_dias,WEEKDAY(tblOrdenes[[#This Row],[fecha_inicio]],2)))</f>
        <v/>
      </c>
      <c r="T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5">
        <f>IF(tblOrdenes[[#This Row],[tipo_ot]]="","",_xlfn.XLOOKUP(tblOrdenes[[#This Row],[tipo_ot]],tblTiposOT[codigo],tblTiposOT[clasificacion],"sin_clasificar"))</f>
        <v/>
      </c>
      <c r="V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5">
        <f>IF(tblOrdenes[[#This Row],[centro_costo]]="","",_xlfn.XLOOKUP(tblOrdenes[[#This Row],[centro_costo]],tblCECO[codigo],tblCECO[linea],"(sin catálogo)"))</f>
        <v/>
      </c>
      <c r="Y155" s="5">
        <f>IF(tblOrdenes[[#This Row],[centro_costo]]="","",_xlfn.XLOOKUP(tblOrdenes[[#This Row],[centro_costo]],tblCECO[codigo],tblCECO[area],"(sin catálogo)"))</f>
        <v/>
      </c>
      <c r="Z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5">
        <f>IF(tblOrdenes[[#This Row],[centro_costo]]="","",_xlfn.XLOOKUP(tblOrdenes[[#This Row],[centro_costo]],tblCECO[codigo],tblCECO[coordinador],"(sin catálogo)"))</f>
        <v/>
      </c>
      <c r="AB155" s="5">
        <f>IF(tblOrdenes[[#This Row],[puesto_trabajo]]="","",_xlfn.XLOOKUP(tblOrdenes[[#This Row],[puesto_trabajo]],tblPuestos[codigo],tblPuestos[especialidad],"(sin catálogo)"))</f>
        <v/>
      </c>
      <c r="AC155" s="5">
        <f>IF(tblOrdenes[[#This Row],[cod_actividad]]="","",_xlfn.XLOOKUP(tblOrdenes[[#This Row],[cod_actividad]],tblActividades[codigo],tblActividades[descripcion],"(sin catálogo)"))</f>
        <v/>
      </c>
      <c r="AD155" s="23">
        <f>IF(tblOrdenes[[#This Row],[fecha_inicio]]="","",TODAY()-tblOrdenes[[#This Row],[fecha_inicio]])</f>
        <v/>
      </c>
      <c r="AE1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5">
        <f>IF(tblOrdenes[[#This Row],[backlog_habiles]]="","",IF(tblOrdenes[[#This Row],[backlog_habiles]]&lt;0,"FUTURO",IF(tblOrdenes[[#This Row],[backlog_habiles]]&gt;p_dias_backlog_max,"BACKLOG","MES CORRIENTE")))</f>
        <v/>
      </c>
      <c r="AG155" s="5">
        <f>IF(tblOrdenes[[#This Row],[backlog_habiles]]="",FALSE,AND(tblOrdenes[[#This Row],[backlog_habiles]]&gt;p_dias_backlog_min,tblOrdenes[[#This Row],[backlog_habiles]]&lt;=p_dias_backlog_max))</f>
        <v/>
      </c>
      <c r="AH155" s="4" t="n"/>
      <c r="AI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18">
        <f>IF(tblOrdenes[[#This Row],[orden]]="","",_xlfn.XLOOKUP(tblOrdenes[[#This Row],[id_operacion]],tblEjecucion[id_operacion],tblEjecucion[precio],0))</f>
        <v/>
      </c>
      <c r="AM155" s="18">
        <f>IF(tblOrdenes[[#This Row],[orden]]="","",MAX(0,_xlfn.XLOOKUP(tblOrdenes[[#This Row],[id_operacion]],tblEjecucion[id_operacion],tblEjecucion[costo_plan_total],0)-tblOrdenes[[#This Row],[costo_servicio]]))</f>
        <v/>
      </c>
      <c r="AN155" s="18">
        <f>IF(tblOrdenes[[#This Row],[orden]]="","",tblOrdenes[[#This Row],[costo_servicio]]+tblOrdenes[[#This Row],[costo_materiales]])</f>
        <v/>
      </c>
      <c r="AO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n"/>
      <c r="AQ155" s="4" t="n"/>
      <c r="AR155" s="4" t="n"/>
      <c r="AS155" s="5">
        <f>IF(tblOrdenes[[#This Row],[link_checklist]]="","",HYPERLINK(p_ruta_base_checklists&amp;tblOrdenes[[#This Row],[link_checklist]],"abrir"))</f>
        <v/>
      </c>
      <c r="AT155" s="4" t="n"/>
      <c r="AU155" s="5">
        <f>IF(tblOrdenes[[#This Row],[orden]]="","",tblOrdenes[[#This Row],[orden]]&amp;IF(tblOrdenes[[#This Row],[operacion]]="","0010",tblOrdenes[[#This Row],[operacion]]))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25" t="n"/>
      <c r="K156" s="5" t="n"/>
      <c r="L156" s="18" t="n"/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Row],[fecha_inicio]]="","",tblOrdenes[[#This Row],[anio]]&amp;"-"&amp;TEXT(tblOrdenes[[#This Row],[mes]],"00"))</f>
        <v/>
      </c>
      <c r="S156" s="5">
        <f>IF(tblOrdenes[[#This Row],[fecha_inicio]]="","",INDEX(lista_dias,WEEKDAY(tblOrdenes[[#This Row],[fecha_inicio]],2)))</f>
        <v/>
      </c>
      <c r="T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5">
        <f>IF(tblOrdenes[[#This Row],[tipo_ot]]="","",_xlfn.XLOOKUP(tblOrdenes[[#This Row],[tipo_ot]],tblTiposOT[codigo],tblTiposOT[clasificacion],"sin_clasificar"))</f>
        <v/>
      </c>
      <c r="V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5">
        <f>IF(tblOrdenes[[#This Row],[centro_costo]]="","",_xlfn.XLOOKUP(tblOrdenes[[#This Row],[centro_costo]],tblCECO[codigo],tblCECO[linea],"(sin catálogo)"))</f>
        <v/>
      </c>
      <c r="Y156" s="5">
        <f>IF(tblOrdenes[[#This Row],[centro_costo]]="","",_xlfn.XLOOKUP(tblOrdenes[[#This Row],[centro_costo]],tblCECO[codigo],tblCECO[area],"(sin catálogo)"))</f>
        <v/>
      </c>
      <c r="Z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5">
        <f>IF(tblOrdenes[[#This Row],[centro_costo]]="","",_xlfn.XLOOKUP(tblOrdenes[[#This Row],[centro_costo]],tblCECO[codigo],tblCECO[coordinador],"(sin catálogo)"))</f>
        <v/>
      </c>
      <c r="AB156" s="5">
        <f>IF(tblOrdenes[[#This Row],[puesto_trabajo]]="","",_xlfn.XLOOKUP(tblOrdenes[[#This Row],[puesto_trabajo]],tblPuestos[codigo],tblPuestos[especialidad],"(sin catálogo)"))</f>
        <v/>
      </c>
      <c r="AC156" s="5">
        <f>IF(tblOrdenes[[#This Row],[cod_actividad]]="","",_xlfn.XLOOKUP(tblOrdenes[[#This Row],[cod_actividad]],tblActividades[codigo],tblActividades[descripcion],"(sin catálogo)"))</f>
        <v/>
      </c>
      <c r="AD156" s="23">
        <f>IF(tblOrdenes[[#This Row],[fecha_inicio]]="","",TODAY()-tblOrdenes[[#This Row],[fecha_inicio]])</f>
        <v/>
      </c>
      <c r="AE1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5">
        <f>IF(tblOrdenes[[#This Row],[backlog_habiles]]="","",IF(tblOrdenes[[#This Row],[backlog_habiles]]&lt;0,"FUTURO",IF(tblOrdenes[[#This Row],[backlog_habiles]]&gt;p_dias_backlog_max,"BACKLOG","MES CORRIENTE")))</f>
        <v/>
      </c>
      <c r="AG156" s="5">
        <f>IF(tblOrdenes[[#This Row],[backlog_habiles]]="",FALSE,AND(tblOrdenes[[#This Row],[backlog_habiles]]&gt;p_dias_backlog_min,tblOrdenes[[#This Row],[backlog_habiles]]&lt;=p_dias_backlog_max))</f>
        <v/>
      </c>
      <c r="AH156" s="4" t="n"/>
      <c r="AI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18">
        <f>IF(tblOrdenes[[#This Row],[orden]]="","",_xlfn.XLOOKUP(tblOrdenes[[#This Row],[id_operacion]],tblEjecucion[id_operacion],tblEjecucion[precio],0))</f>
        <v/>
      </c>
      <c r="AM156" s="18">
        <f>IF(tblOrdenes[[#This Row],[orden]]="","",MAX(0,_xlfn.XLOOKUP(tblOrdenes[[#This Row],[id_operacion]],tblEjecucion[id_operacion],tblEjecucion[costo_plan_total],0)-tblOrdenes[[#This Row],[costo_servicio]]))</f>
        <v/>
      </c>
      <c r="AN156" s="18">
        <f>IF(tblOrdenes[[#This Row],[orden]]="","",tblOrdenes[[#This Row],[costo_servicio]]+tblOrdenes[[#This Row],[costo_materiales]])</f>
        <v/>
      </c>
      <c r="AO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n"/>
      <c r="AQ156" s="4" t="n"/>
      <c r="AR156" s="4" t="n"/>
      <c r="AS156" s="5">
        <f>IF(tblOrdenes[[#This Row],[link_checklist]]="","",HYPERLINK(p_ruta_base_checklists&amp;tblOrdenes[[#This Row],[link_checklist]],"abrir"))</f>
        <v/>
      </c>
      <c r="AT156" s="4" t="n"/>
      <c r="AU156" s="5">
        <f>IF(tblOrdenes[[#This Row],[orden]]="","",tblOrdenes[[#This Row],[orden]]&amp;IF(tblOrdenes[[#This Row],[operacion]]="","0010",tblOrdenes[[#This Row],[operacion]]))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25" t="n"/>
      <c r="K157" s="5" t="n"/>
      <c r="L157" s="18" t="n"/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Row],[fecha_inicio]]="","",tblOrdenes[[#This Row],[anio]]&amp;"-"&amp;TEXT(tblOrdenes[[#This Row],[mes]],"00"))</f>
        <v/>
      </c>
      <c r="S157" s="5">
        <f>IF(tblOrdenes[[#This Row],[fecha_inicio]]="","",INDEX(lista_dias,WEEKDAY(tblOrdenes[[#This Row],[fecha_inicio]],2)))</f>
        <v/>
      </c>
      <c r="T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5">
        <f>IF(tblOrdenes[[#This Row],[tipo_ot]]="","",_xlfn.XLOOKUP(tblOrdenes[[#This Row],[tipo_ot]],tblTiposOT[codigo],tblTiposOT[clasificacion],"sin_clasificar"))</f>
        <v/>
      </c>
      <c r="V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5">
        <f>IF(tblOrdenes[[#This Row],[centro_costo]]="","",_xlfn.XLOOKUP(tblOrdenes[[#This Row],[centro_costo]],tblCECO[codigo],tblCECO[linea],"(sin catálogo)"))</f>
        <v/>
      </c>
      <c r="Y157" s="5">
        <f>IF(tblOrdenes[[#This Row],[centro_costo]]="","",_xlfn.XLOOKUP(tblOrdenes[[#This Row],[centro_costo]],tblCECO[codigo],tblCECO[area],"(sin catálogo)"))</f>
        <v/>
      </c>
      <c r="Z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5">
        <f>IF(tblOrdenes[[#This Row],[centro_costo]]="","",_xlfn.XLOOKUP(tblOrdenes[[#This Row],[centro_costo]],tblCECO[codigo],tblCECO[coordinador],"(sin catálogo)"))</f>
        <v/>
      </c>
      <c r="AB157" s="5">
        <f>IF(tblOrdenes[[#This Row],[puesto_trabajo]]="","",_xlfn.XLOOKUP(tblOrdenes[[#This Row],[puesto_trabajo]],tblPuestos[codigo],tblPuestos[especialidad],"(sin catálogo)"))</f>
        <v/>
      </c>
      <c r="AC157" s="5">
        <f>IF(tblOrdenes[[#This Row],[cod_actividad]]="","",_xlfn.XLOOKUP(tblOrdenes[[#This Row],[cod_actividad]],tblActividades[codigo],tblActividades[descripcion],"(sin catálogo)"))</f>
        <v/>
      </c>
      <c r="AD157" s="23">
        <f>IF(tblOrdenes[[#This Row],[fecha_inicio]]="","",TODAY()-tblOrdenes[[#This Row],[fecha_inicio]])</f>
        <v/>
      </c>
      <c r="AE1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5">
        <f>IF(tblOrdenes[[#This Row],[backlog_habiles]]="","",IF(tblOrdenes[[#This Row],[backlog_habiles]]&lt;0,"FUTURO",IF(tblOrdenes[[#This Row],[backlog_habiles]]&gt;p_dias_backlog_max,"BACKLOG","MES CORRIENTE")))</f>
        <v/>
      </c>
      <c r="AG157" s="5">
        <f>IF(tblOrdenes[[#This Row],[backlog_habiles]]="",FALSE,AND(tblOrdenes[[#This Row],[backlog_habiles]]&gt;p_dias_backlog_min,tblOrdenes[[#This Row],[backlog_habiles]]&lt;=p_dias_backlog_max))</f>
        <v/>
      </c>
      <c r="AH157" s="4" t="n"/>
      <c r="AI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18">
        <f>IF(tblOrdenes[[#This Row],[orden]]="","",_xlfn.XLOOKUP(tblOrdenes[[#This Row],[id_operacion]],tblEjecucion[id_operacion],tblEjecucion[precio],0))</f>
        <v/>
      </c>
      <c r="AM157" s="18">
        <f>IF(tblOrdenes[[#This Row],[orden]]="","",MAX(0,_xlfn.XLOOKUP(tblOrdenes[[#This Row],[id_operacion]],tblEjecucion[id_operacion],tblEjecucion[costo_plan_total],0)-tblOrdenes[[#This Row],[costo_servicio]]))</f>
        <v/>
      </c>
      <c r="AN157" s="18">
        <f>IF(tblOrdenes[[#This Row],[orden]]="","",tblOrdenes[[#This Row],[costo_servicio]]+tblOrdenes[[#This Row],[costo_materiales]])</f>
        <v/>
      </c>
      <c r="AO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n"/>
      <c r="AQ157" s="4" t="n"/>
      <c r="AR157" s="4" t="n"/>
      <c r="AS157" s="5">
        <f>IF(tblOrdenes[[#This Row],[link_checklist]]="","",HYPERLINK(p_ruta_base_checklists&amp;tblOrdenes[[#This Row],[link_checklist]],"abrir"))</f>
        <v/>
      </c>
      <c r="AT157" s="4" t="n"/>
      <c r="AU157" s="5">
        <f>IF(tblOrdenes[[#This Row],[orden]]="","",tblOrdenes[[#This Row],[orden]]&amp;IF(tblOrdenes[[#This Row],[operacion]]="","0010",tblOrdenes[[#This Row],[operacion]]))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25" t="n"/>
      <c r="K158" s="5" t="n"/>
      <c r="L158" s="18" t="n"/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Row],[fecha_inicio]]="","",tblOrdenes[[#This Row],[anio]]&amp;"-"&amp;TEXT(tblOrdenes[[#This Row],[mes]],"00"))</f>
        <v/>
      </c>
      <c r="S158" s="5">
        <f>IF(tblOrdenes[[#This Row],[fecha_inicio]]="","",INDEX(lista_dias,WEEKDAY(tblOrdenes[[#This Row],[fecha_inicio]],2)))</f>
        <v/>
      </c>
      <c r="T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5">
        <f>IF(tblOrdenes[[#This Row],[tipo_ot]]="","",_xlfn.XLOOKUP(tblOrdenes[[#This Row],[tipo_ot]],tblTiposOT[codigo],tblTiposOT[clasificacion],"sin_clasificar"))</f>
        <v/>
      </c>
      <c r="V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5">
        <f>IF(tblOrdenes[[#This Row],[centro_costo]]="","",_xlfn.XLOOKUP(tblOrdenes[[#This Row],[centro_costo]],tblCECO[codigo],tblCECO[linea],"(sin catálogo)"))</f>
        <v/>
      </c>
      <c r="Y158" s="5">
        <f>IF(tblOrdenes[[#This Row],[centro_costo]]="","",_xlfn.XLOOKUP(tblOrdenes[[#This Row],[centro_costo]],tblCECO[codigo],tblCECO[area],"(sin catálogo)"))</f>
        <v/>
      </c>
      <c r="Z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5">
        <f>IF(tblOrdenes[[#This Row],[centro_costo]]="","",_xlfn.XLOOKUP(tblOrdenes[[#This Row],[centro_costo]],tblCECO[codigo],tblCECO[coordinador],"(sin catálogo)"))</f>
        <v/>
      </c>
      <c r="AB158" s="5">
        <f>IF(tblOrdenes[[#This Row],[puesto_trabajo]]="","",_xlfn.XLOOKUP(tblOrdenes[[#This Row],[puesto_trabajo]],tblPuestos[codigo],tblPuestos[especialidad],"(sin catálogo)"))</f>
        <v/>
      </c>
      <c r="AC158" s="5">
        <f>IF(tblOrdenes[[#This Row],[cod_actividad]]="","",_xlfn.XLOOKUP(tblOrdenes[[#This Row],[cod_actividad]],tblActividades[codigo],tblActividades[descripcion],"(sin catálogo)"))</f>
        <v/>
      </c>
      <c r="AD158" s="23">
        <f>IF(tblOrdenes[[#This Row],[fecha_inicio]]="","",TODAY()-tblOrdenes[[#This Row],[fecha_inicio]])</f>
        <v/>
      </c>
      <c r="AE1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5">
        <f>IF(tblOrdenes[[#This Row],[backlog_habiles]]="","",IF(tblOrdenes[[#This Row],[backlog_habiles]]&lt;0,"FUTURO",IF(tblOrdenes[[#This Row],[backlog_habiles]]&gt;p_dias_backlog_max,"BACKLOG","MES CORRIENTE")))</f>
        <v/>
      </c>
      <c r="AG158" s="5">
        <f>IF(tblOrdenes[[#This Row],[backlog_habiles]]="",FALSE,AND(tblOrdenes[[#This Row],[backlog_habiles]]&gt;p_dias_backlog_min,tblOrdenes[[#This Row],[backlog_habiles]]&lt;=p_dias_backlog_max))</f>
        <v/>
      </c>
      <c r="AH158" s="4" t="n"/>
      <c r="AI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18">
        <f>IF(tblOrdenes[[#This Row],[orden]]="","",_xlfn.XLOOKUP(tblOrdenes[[#This Row],[id_operacion]],tblEjecucion[id_operacion],tblEjecucion[precio],0))</f>
        <v/>
      </c>
      <c r="AM158" s="18">
        <f>IF(tblOrdenes[[#This Row],[orden]]="","",MAX(0,_xlfn.XLOOKUP(tblOrdenes[[#This Row],[id_operacion]],tblEjecucion[id_operacion],tblEjecucion[costo_plan_total],0)-tblOrdenes[[#This Row],[costo_servicio]]))</f>
        <v/>
      </c>
      <c r="AN158" s="18">
        <f>IF(tblOrdenes[[#This Row],[orden]]="","",tblOrdenes[[#This Row],[costo_servicio]]+tblOrdenes[[#This Row],[costo_materiales]])</f>
        <v/>
      </c>
      <c r="AO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n"/>
      <c r="AQ158" s="4" t="n"/>
      <c r="AR158" s="4" t="n"/>
      <c r="AS158" s="5">
        <f>IF(tblOrdenes[[#This Row],[link_checklist]]="","",HYPERLINK(p_ruta_base_checklists&amp;tblOrdenes[[#This Row],[link_checklist]],"abrir"))</f>
        <v/>
      </c>
      <c r="AT158" s="4" t="n"/>
      <c r="AU158" s="5">
        <f>IF(tblOrdenes[[#This Row],[orden]]="","",tblOrdenes[[#This Row],[orden]]&amp;IF(tblOrdenes[[#This Row],[operacion]]="","0010",tblOrdenes[[#This Row],[operacion]]))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25" t="n"/>
      <c r="K159" s="5" t="n"/>
      <c r="L159" s="18" t="n"/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Row],[fecha_inicio]]="","",tblOrdenes[[#This Row],[anio]]&amp;"-"&amp;TEXT(tblOrdenes[[#This Row],[mes]],"00"))</f>
        <v/>
      </c>
      <c r="S159" s="5">
        <f>IF(tblOrdenes[[#This Row],[fecha_inicio]]="","",INDEX(lista_dias,WEEKDAY(tblOrdenes[[#This Row],[fecha_inicio]],2)))</f>
        <v/>
      </c>
      <c r="T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5">
        <f>IF(tblOrdenes[[#This Row],[tipo_ot]]="","",_xlfn.XLOOKUP(tblOrdenes[[#This Row],[tipo_ot]],tblTiposOT[codigo],tblTiposOT[clasificacion],"sin_clasificar"))</f>
        <v/>
      </c>
      <c r="V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5">
        <f>IF(tblOrdenes[[#This Row],[centro_costo]]="","",_xlfn.XLOOKUP(tblOrdenes[[#This Row],[centro_costo]],tblCECO[codigo],tblCECO[linea],"(sin catálogo)"))</f>
        <v/>
      </c>
      <c r="Y159" s="5">
        <f>IF(tblOrdenes[[#This Row],[centro_costo]]="","",_xlfn.XLOOKUP(tblOrdenes[[#This Row],[centro_costo]],tblCECO[codigo],tblCECO[area],"(sin catálogo)"))</f>
        <v/>
      </c>
      <c r="Z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5">
        <f>IF(tblOrdenes[[#This Row],[centro_costo]]="","",_xlfn.XLOOKUP(tblOrdenes[[#This Row],[centro_costo]],tblCECO[codigo],tblCECO[coordinador],"(sin catálogo)"))</f>
        <v/>
      </c>
      <c r="AB159" s="5">
        <f>IF(tblOrdenes[[#This Row],[puesto_trabajo]]="","",_xlfn.XLOOKUP(tblOrdenes[[#This Row],[puesto_trabajo]],tblPuestos[codigo],tblPuestos[especialidad],"(sin catálogo)"))</f>
        <v/>
      </c>
      <c r="AC159" s="5">
        <f>IF(tblOrdenes[[#This Row],[cod_actividad]]="","",_xlfn.XLOOKUP(tblOrdenes[[#This Row],[cod_actividad]],tblActividades[codigo],tblActividades[descripcion],"(sin catálogo)"))</f>
        <v/>
      </c>
      <c r="AD159" s="23">
        <f>IF(tblOrdenes[[#This Row],[fecha_inicio]]="","",TODAY()-tblOrdenes[[#This Row],[fecha_inicio]])</f>
        <v/>
      </c>
      <c r="AE1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5">
        <f>IF(tblOrdenes[[#This Row],[backlog_habiles]]="","",IF(tblOrdenes[[#This Row],[backlog_habiles]]&lt;0,"FUTURO",IF(tblOrdenes[[#This Row],[backlog_habiles]]&gt;p_dias_backlog_max,"BACKLOG","MES CORRIENTE")))</f>
        <v/>
      </c>
      <c r="AG159" s="5">
        <f>IF(tblOrdenes[[#This Row],[backlog_habiles]]="",FALSE,AND(tblOrdenes[[#This Row],[backlog_habiles]]&gt;p_dias_backlog_min,tblOrdenes[[#This Row],[backlog_habiles]]&lt;=p_dias_backlog_max))</f>
        <v/>
      </c>
      <c r="AH159" s="4" t="n"/>
      <c r="AI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18">
        <f>IF(tblOrdenes[[#This Row],[orden]]="","",_xlfn.XLOOKUP(tblOrdenes[[#This Row],[id_operacion]],tblEjecucion[id_operacion],tblEjecucion[precio],0))</f>
        <v/>
      </c>
      <c r="AM159" s="18">
        <f>IF(tblOrdenes[[#This Row],[orden]]="","",MAX(0,_xlfn.XLOOKUP(tblOrdenes[[#This Row],[id_operacion]],tblEjecucion[id_operacion],tblEjecucion[costo_plan_total],0)-tblOrdenes[[#This Row],[costo_servicio]]))</f>
        <v/>
      </c>
      <c r="AN159" s="18">
        <f>IF(tblOrdenes[[#This Row],[orden]]="","",tblOrdenes[[#This Row],[costo_servicio]]+tblOrdenes[[#This Row],[costo_materiales]])</f>
        <v/>
      </c>
      <c r="AO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n"/>
      <c r="AQ159" s="4" t="n"/>
      <c r="AR159" s="4" t="n"/>
      <c r="AS159" s="5">
        <f>IF(tblOrdenes[[#This Row],[link_checklist]]="","",HYPERLINK(p_ruta_base_checklists&amp;tblOrdenes[[#This Row],[link_checklist]],"abrir"))</f>
        <v/>
      </c>
      <c r="AT159" s="4" t="n"/>
      <c r="AU159" s="5">
        <f>IF(tblOrdenes[[#This Row],[orden]]="","",tblOrdenes[[#This Row],[orden]]&amp;IF(tblOrdenes[[#This Row],[operacion]]="","0010",tblOrdenes[[#This Row],[operacion]]))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25" t="n"/>
      <c r="K160" s="5" t="n"/>
      <c r="L160" s="18" t="n"/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Row],[fecha_inicio]]="","",tblOrdenes[[#This Row],[anio]]&amp;"-"&amp;TEXT(tblOrdenes[[#This Row],[mes]],"00"))</f>
        <v/>
      </c>
      <c r="S160" s="5">
        <f>IF(tblOrdenes[[#This Row],[fecha_inicio]]="","",INDEX(lista_dias,WEEKDAY(tblOrdenes[[#This Row],[fecha_inicio]],2)))</f>
        <v/>
      </c>
      <c r="T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5">
        <f>IF(tblOrdenes[[#This Row],[tipo_ot]]="","",_xlfn.XLOOKUP(tblOrdenes[[#This Row],[tipo_ot]],tblTiposOT[codigo],tblTiposOT[clasificacion],"sin_clasificar"))</f>
        <v/>
      </c>
      <c r="V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5">
        <f>IF(tblOrdenes[[#This Row],[centro_costo]]="","",_xlfn.XLOOKUP(tblOrdenes[[#This Row],[centro_costo]],tblCECO[codigo],tblCECO[linea],"(sin catálogo)"))</f>
        <v/>
      </c>
      <c r="Y160" s="5">
        <f>IF(tblOrdenes[[#This Row],[centro_costo]]="","",_xlfn.XLOOKUP(tblOrdenes[[#This Row],[centro_costo]],tblCECO[codigo],tblCECO[area],"(sin catálogo)"))</f>
        <v/>
      </c>
      <c r="Z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5">
        <f>IF(tblOrdenes[[#This Row],[centro_costo]]="","",_xlfn.XLOOKUP(tblOrdenes[[#This Row],[centro_costo]],tblCECO[codigo],tblCECO[coordinador],"(sin catálogo)"))</f>
        <v/>
      </c>
      <c r="AB160" s="5">
        <f>IF(tblOrdenes[[#This Row],[puesto_trabajo]]="","",_xlfn.XLOOKUP(tblOrdenes[[#This Row],[puesto_trabajo]],tblPuestos[codigo],tblPuestos[especialidad],"(sin catálogo)"))</f>
        <v/>
      </c>
      <c r="AC160" s="5">
        <f>IF(tblOrdenes[[#This Row],[cod_actividad]]="","",_xlfn.XLOOKUP(tblOrdenes[[#This Row],[cod_actividad]],tblActividades[codigo],tblActividades[descripcion],"(sin catálogo)"))</f>
        <v/>
      </c>
      <c r="AD160" s="23">
        <f>IF(tblOrdenes[[#This Row],[fecha_inicio]]="","",TODAY()-tblOrdenes[[#This Row],[fecha_inicio]])</f>
        <v/>
      </c>
      <c r="AE1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5">
        <f>IF(tblOrdenes[[#This Row],[backlog_habiles]]="","",IF(tblOrdenes[[#This Row],[backlog_habiles]]&lt;0,"FUTURO",IF(tblOrdenes[[#This Row],[backlog_habiles]]&gt;p_dias_backlog_max,"BACKLOG","MES CORRIENTE")))</f>
        <v/>
      </c>
      <c r="AG160" s="5">
        <f>IF(tblOrdenes[[#This Row],[backlog_habiles]]="",FALSE,AND(tblOrdenes[[#This Row],[backlog_habiles]]&gt;p_dias_backlog_min,tblOrdenes[[#This Row],[backlog_habiles]]&lt;=p_dias_backlog_max))</f>
        <v/>
      </c>
      <c r="AH160" s="4" t="n"/>
      <c r="AI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18">
        <f>IF(tblOrdenes[[#This Row],[orden]]="","",_xlfn.XLOOKUP(tblOrdenes[[#This Row],[id_operacion]],tblEjecucion[id_operacion],tblEjecucion[precio],0))</f>
        <v/>
      </c>
      <c r="AM160" s="18">
        <f>IF(tblOrdenes[[#This Row],[orden]]="","",MAX(0,_xlfn.XLOOKUP(tblOrdenes[[#This Row],[id_operacion]],tblEjecucion[id_operacion],tblEjecucion[costo_plan_total],0)-tblOrdenes[[#This Row],[costo_servicio]]))</f>
        <v/>
      </c>
      <c r="AN160" s="18">
        <f>IF(tblOrdenes[[#This Row],[orden]]="","",tblOrdenes[[#This Row],[costo_servicio]]+tblOrdenes[[#This Row],[costo_materiales]])</f>
        <v/>
      </c>
      <c r="AO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n"/>
      <c r="AQ160" s="4" t="n"/>
      <c r="AR160" s="4" t="n"/>
      <c r="AS160" s="5">
        <f>IF(tblOrdenes[[#This Row],[link_checklist]]="","",HYPERLINK(p_ruta_base_checklists&amp;tblOrdenes[[#This Row],[link_checklist]],"abrir"))</f>
        <v/>
      </c>
      <c r="AT160" s="4" t="n"/>
      <c r="AU160" s="5">
        <f>IF(tblOrdenes[[#This Row],[orden]]="","",tblOrdenes[[#This Row],[orden]]&amp;IF(tblOrdenes[[#This Row],[operacion]]="","0010",tblOrdenes[[#This Row],[operacion]]))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25" t="n"/>
      <c r="K161" s="5" t="n"/>
      <c r="L161" s="18" t="n"/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Row],[fecha_inicio]]="","",tblOrdenes[[#This Row],[anio]]&amp;"-"&amp;TEXT(tblOrdenes[[#This Row],[mes]],"00"))</f>
        <v/>
      </c>
      <c r="S161" s="5">
        <f>IF(tblOrdenes[[#This Row],[fecha_inicio]]="","",INDEX(lista_dias,WEEKDAY(tblOrdenes[[#This Row],[fecha_inicio]],2)))</f>
        <v/>
      </c>
      <c r="T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5">
        <f>IF(tblOrdenes[[#This Row],[tipo_ot]]="","",_xlfn.XLOOKUP(tblOrdenes[[#This Row],[tipo_ot]],tblTiposOT[codigo],tblTiposOT[clasificacion],"sin_clasificar"))</f>
        <v/>
      </c>
      <c r="V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5">
        <f>IF(tblOrdenes[[#This Row],[centro_costo]]="","",_xlfn.XLOOKUP(tblOrdenes[[#This Row],[centro_costo]],tblCECO[codigo],tblCECO[linea],"(sin catálogo)"))</f>
        <v/>
      </c>
      <c r="Y161" s="5">
        <f>IF(tblOrdenes[[#This Row],[centro_costo]]="","",_xlfn.XLOOKUP(tblOrdenes[[#This Row],[centro_costo]],tblCECO[codigo],tblCECO[area],"(sin catálogo)"))</f>
        <v/>
      </c>
      <c r="Z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5">
        <f>IF(tblOrdenes[[#This Row],[centro_costo]]="","",_xlfn.XLOOKUP(tblOrdenes[[#This Row],[centro_costo]],tblCECO[codigo],tblCECO[coordinador],"(sin catálogo)"))</f>
        <v/>
      </c>
      <c r="AB161" s="5">
        <f>IF(tblOrdenes[[#This Row],[puesto_trabajo]]="","",_xlfn.XLOOKUP(tblOrdenes[[#This Row],[puesto_trabajo]],tblPuestos[codigo],tblPuestos[especialidad],"(sin catálogo)"))</f>
        <v/>
      </c>
      <c r="AC161" s="5">
        <f>IF(tblOrdenes[[#This Row],[cod_actividad]]="","",_xlfn.XLOOKUP(tblOrdenes[[#This Row],[cod_actividad]],tblActividades[codigo],tblActividades[descripcion],"(sin catálogo)"))</f>
        <v/>
      </c>
      <c r="AD161" s="23">
        <f>IF(tblOrdenes[[#This Row],[fecha_inicio]]="","",TODAY()-tblOrdenes[[#This Row],[fecha_inicio]])</f>
        <v/>
      </c>
      <c r="AE1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5">
        <f>IF(tblOrdenes[[#This Row],[backlog_habiles]]="","",IF(tblOrdenes[[#This Row],[backlog_habiles]]&lt;0,"FUTURO",IF(tblOrdenes[[#This Row],[backlog_habiles]]&gt;p_dias_backlog_max,"BACKLOG","MES CORRIENTE")))</f>
        <v/>
      </c>
      <c r="AG161" s="5">
        <f>IF(tblOrdenes[[#This Row],[backlog_habiles]]="",FALSE,AND(tblOrdenes[[#This Row],[backlog_habiles]]&gt;p_dias_backlog_min,tblOrdenes[[#This Row],[backlog_habiles]]&lt;=p_dias_backlog_max))</f>
        <v/>
      </c>
      <c r="AH161" s="4" t="n"/>
      <c r="AI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18">
        <f>IF(tblOrdenes[[#This Row],[orden]]="","",_xlfn.XLOOKUP(tblOrdenes[[#This Row],[id_operacion]],tblEjecucion[id_operacion],tblEjecucion[precio],0))</f>
        <v/>
      </c>
      <c r="AM161" s="18">
        <f>IF(tblOrdenes[[#This Row],[orden]]="","",MAX(0,_xlfn.XLOOKUP(tblOrdenes[[#This Row],[id_operacion]],tblEjecucion[id_operacion],tblEjecucion[costo_plan_total],0)-tblOrdenes[[#This Row],[costo_servicio]]))</f>
        <v/>
      </c>
      <c r="AN161" s="18">
        <f>IF(tblOrdenes[[#This Row],[orden]]="","",tblOrdenes[[#This Row],[costo_servicio]]+tblOrdenes[[#This Row],[costo_materiales]])</f>
        <v/>
      </c>
      <c r="AO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n"/>
      <c r="AQ161" s="4" t="n"/>
      <c r="AR161" s="4" t="n"/>
      <c r="AS161" s="5">
        <f>IF(tblOrdenes[[#This Row],[link_checklist]]="","",HYPERLINK(p_ruta_base_checklists&amp;tblOrdenes[[#This Row],[link_checklist]],"abrir"))</f>
        <v/>
      </c>
      <c r="AT161" s="4" t="n"/>
      <c r="AU161" s="5">
        <f>IF(tblOrdenes[[#This Row],[orden]]="","",tblOrdenes[[#This Row],[orden]]&amp;IF(tblOrdenes[[#This Row],[operacion]]="","0010",tblOrdenes[[#This Row],[operacion]]))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25" t="n"/>
      <c r="K162" s="5" t="n"/>
      <c r="L162" s="18" t="n"/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Row],[fecha_inicio]]="","",tblOrdenes[[#This Row],[anio]]&amp;"-"&amp;TEXT(tblOrdenes[[#This Row],[mes]],"00"))</f>
        <v/>
      </c>
      <c r="S162" s="5">
        <f>IF(tblOrdenes[[#This Row],[fecha_inicio]]="","",INDEX(lista_dias,WEEKDAY(tblOrdenes[[#This Row],[fecha_inicio]],2)))</f>
        <v/>
      </c>
      <c r="T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5">
        <f>IF(tblOrdenes[[#This Row],[tipo_ot]]="","",_xlfn.XLOOKUP(tblOrdenes[[#This Row],[tipo_ot]],tblTiposOT[codigo],tblTiposOT[clasificacion],"sin_clasificar"))</f>
        <v/>
      </c>
      <c r="V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5">
        <f>IF(tblOrdenes[[#This Row],[centro_costo]]="","",_xlfn.XLOOKUP(tblOrdenes[[#This Row],[centro_costo]],tblCECO[codigo],tblCECO[linea],"(sin catálogo)"))</f>
        <v/>
      </c>
      <c r="Y162" s="5">
        <f>IF(tblOrdenes[[#This Row],[centro_costo]]="","",_xlfn.XLOOKUP(tblOrdenes[[#This Row],[centro_costo]],tblCECO[codigo],tblCECO[area],"(sin catálogo)"))</f>
        <v/>
      </c>
      <c r="Z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5">
        <f>IF(tblOrdenes[[#This Row],[centro_costo]]="","",_xlfn.XLOOKUP(tblOrdenes[[#This Row],[centro_costo]],tblCECO[codigo],tblCECO[coordinador],"(sin catálogo)"))</f>
        <v/>
      </c>
      <c r="AB162" s="5">
        <f>IF(tblOrdenes[[#This Row],[puesto_trabajo]]="","",_xlfn.XLOOKUP(tblOrdenes[[#This Row],[puesto_trabajo]],tblPuestos[codigo],tblPuestos[especialidad],"(sin catálogo)"))</f>
        <v/>
      </c>
      <c r="AC162" s="5">
        <f>IF(tblOrdenes[[#This Row],[cod_actividad]]="","",_xlfn.XLOOKUP(tblOrdenes[[#This Row],[cod_actividad]],tblActividades[codigo],tblActividades[descripcion],"(sin catálogo)"))</f>
        <v/>
      </c>
      <c r="AD162" s="23">
        <f>IF(tblOrdenes[[#This Row],[fecha_inicio]]="","",TODAY()-tblOrdenes[[#This Row],[fecha_inicio]])</f>
        <v/>
      </c>
      <c r="AE1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5">
        <f>IF(tblOrdenes[[#This Row],[backlog_habiles]]="","",IF(tblOrdenes[[#This Row],[backlog_habiles]]&lt;0,"FUTURO",IF(tblOrdenes[[#This Row],[backlog_habiles]]&gt;p_dias_backlog_max,"BACKLOG","MES CORRIENTE")))</f>
        <v/>
      </c>
      <c r="AG162" s="5">
        <f>IF(tblOrdenes[[#This Row],[backlog_habiles]]="",FALSE,AND(tblOrdenes[[#This Row],[backlog_habiles]]&gt;p_dias_backlog_min,tblOrdenes[[#This Row],[backlog_habiles]]&lt;=p_dias_backlog_max))</f>
        <v/>
      </c>
      <c r="AH162" s="4" t="n"/>
      <c r="AI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18">
        <f>IF(tblOrdenes[[#This Row],[orden]]="","",_xlfn.XLOOKUP(tblOrdenes[[#This Row],[id_operacion]],tblEjecucion[id_operacion],tblEjecucion[precio],0))</f>
        <v/>
      </c>
      <c r="AM162" s="18">
        <f>IF(tblOrdenes[[#This Row],[orden]]="","",MAX(0,_xlfn.XLOOKUP(tblOrdenes[[#This Row],[id_operacion]],tblEjecucion[id_operacion],tblEjecucion[costo_plan_total],0)-tblOrdenes[[#This Row],[costo_servicio]]))</f>
        <v/>
      </c>
      <c r="AN162" s="18">
        <f>IF(tblOrdenes[[#This Row],[orden]]="","",tblOrdenes[[#This Row],[costo_servicio]]+tblOrdenes[[#This Row],[costo_materiales]])</f>
        <v/>
      </c>
      <c r="AO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n"/>
      <c r="AQ162" s="4" t="n"/>
      <c r="AR162" s="4" t="n"/>
      <c r="AS162" s="5">
        <f>IF(tblOrdenes[[#This Row],[link_checklist]]="","",HYPERLINK(p_ruta_base_checklists&amp;tblOrdenes[[#This Row],[link_checklist]],"abrir"))</f>
        <v/>
      </c>
      <c r="AT162" s="4" t="n"/>
      <c r="AU162" s="5">
        <f>IF(tblOrdenes[[#This Row],[orden]]="","",tblOrdenes[[#This Row],[orden]]&amp;IF(tblOrdenes[[#This Row],[operacion]]="","0010",tblOrdenes[[#This Row],[operacion]]))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25" t="n"/>
      <c r="K163" s="5" t="n"/>
      <c r="L163" s="18" t="n"/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Row],[fecha_inicio]]="","",tblOrdenes[[#This Row],[anio]]&amp;"-"&amp;TEXT(tblOrdenes[[#This Row],[mes]],"00"))</f>
        <v/>
      </c>
      <c r="S163" s="5">
        <f>IF(tblOrdenes[[#This Row],[fecha_inicio]]="","",INDEX(lista_dias,WEEKDAY(tblOrdenes[[#This Row],[fecha_inicio]],2)))</f>
        <v/>
      </c>
      <c r="T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5">
        <f>IF(tblOrdenes[[#This Row],[tipo_ot]]="","",_xlfn.XLOOKUP(tblOrdenes[[#This Row],[tipo_ot]],tblTiposOT[codigo],tblTiposOT[clasificacion],"sin_clasificar"))</f>
        <v/>
      </c>
      <c r="V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5">
        <f>IF(tblOrdenes[[#This Row],[centro_costo]]="","",_xlfn.XLOOKUP(tblOrdenes[[#This Row],[centro_costo]],tblCECO[codigo],tblCECO[linea],"(sin catálogo)"))</f>
        <v/>
      </c>
      <c r="Y163" s="5">
        <f>IF(tblOrdenes[[#This Row],[centro_costo]]="","",_xlfn.XLOOKUP(tblOrdenes[[#This Row],[centro_costo]],tblCECO[codigo],tblCECO[area],"(sin catálogo)"))</f>
        <v/>
      </c>
      <c r="Z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5">
        <f>IF(tblOrdenes[[#This Row],[centro_costo]]="","",_xlfn.XLOOKUP(tblOrdenes[[#This Row],[centro_costo]],tblCECO[codigo],tblCECO[coordinador],"(sin catálogo)"))</f>
        <v/>
      </c>
      <c r="AB163" s="5">
        <f>IF(tblOrdenes[[#This Row],[puesto_trabajo]]="","",_xlfn.XLOOKUP(tblOrdenes[[#This Row],[puesto_trabajo]],tblPuestos[codigo],tblPuestos[especialidad],"(sin catálogo)"))</f>
        <v/>
      </c>
      <c r="AC163" s="5">
        <f>IF(tblOrdenes[[#This Row],[cod_actividad]]="","",_xlfn.XLOOKUP(tblOrdenes[[#This Row],[cod_actividad]],tblActividades[codigo],tblActividades[descripcion],"(sin catálogo)"))</f>
        <v/>
      </c>
      <c r="AD163" s="23">
        <f>IF(tblOrdenes[[#This Row],[fecha_inicio]]="","",TODAY()-tblOrdenes[[#This Row],[fecha_inicio]])</f>
        <v/>
      </c>
      <c r="AE1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5">
        <f>IF(tblOrdenes[[#This Row],[backlog_habiles]]="","",IF(tblOrdenes[[#This Row],[backlog_habiles]]&lt;0,"FUTURO",IF(tblOrdenes[[#This Row],[backlog_habiles]]&gt;p_dias_backlog_max,"BACKLOG","MES CORRIENTE")))</f>
        <v/>
      </c>
      <c r="AG163" s="5">
        <f>IF(tblOrdenes[[#This Row],[backlog_habiles]]="",FALSE,AND(tblOrdenes[[#This Row],[backlog_habiles]]&gt;p_dias_backlog_min,tblOrdenes[[#This Row],[backlog_habiles]]&lt;=p_dias_backlog_max))</f>
        <v/>
      </c>
      <c r="AH163" s="4" t="n"/>
      <c r="AI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18">
        <f>IF(tblOrdenes[[#This Row],[orden]]="","",_xlfn.XLOOKUP(tblOrdenes[[#This Row],[id_operacion]],tblEjecucion[id_operacion],tblEjecucion[precio],0))</f>
        <v/>
      </c>
      <c r="AM163" s="18">
        <f>IF(tblOrdenes[[#This Row],[orden]]="","",MAX(0,_xlfn.XLOOKUP(tblOrdenes[[#This Row],[id_operacion]],tblEjecucion[id_operacion],tblEjecucion[costo_plan_total],0)-tblOrdenes[[#This Row],[costo_servicio]]))</f>
        <v/>
      </c>
      <c r="AN163" s="18">
        <f>IF(tblOrdenes[[#This Row],[orden]]="","",tblOrdenes[[#This Row],[costo_servicio]]+tblOrdenes[[#This Row],[costo_materiales]])</f>
        <v/>
      </c>
      <c r="AO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n"/>
      <c r="AQ163" s="4" t="n"/>
      <c r="AR163" s="4" t="n"/>
      <c r="AS163" s="5">
        <f>IF(tblOrdenes[[#This Row],[link_checklist]]="","",HYPERLINK(p_ruta_base_checklists&amp;tblOrdenes[[#This Row],[link_checklist]],"abrir"))</f>
        <v/>
      </c>
      <c r="AT163" s="4" t="n"/>
      <c r="AU163" s="5">
        <f>IF(tblOrdenes[[#This Row],[orden]]="","",tblOrdenes[[#This Row],[orden]]&amp;IF(tblOrdenes[[#This Row],[operacion]]="","0010",tblOrdenes[[#This Row],[operacion]]))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25" t="n"/>
      <c r="K164" s="5" t="n"/>
      <c r="L164" s="18" t="n"/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Row],[fecha_inicio]]="","",tblOrdenes[[#This Row],[anio]]&amp;"-"&amp;TEXT(tblOrdenes[[#This Row],[mes]],"00"))</f>
        <v/>
      </c>
      <c r="S164" s="5">
        <f>IF(tblOrdenes[[#This Row],[fecha_inicio]]="","",INDEX(lista_dias,WEEKDAY(tblOrdenes[[#This Row],[fecha_inicio]],2)))</f>
        <v/>
      </c>
      <c r="T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5">
        <f>IF(tblOrdenes[[#This Row],[tipo_ot]]="","",_xlfn.XLOOKUP(tblOrdenes[[#This Row],[tipo_ot]],tblTiposOT[codigo],tblTiposOT[clasificacion],"sin_clasificar"))</f>
        <v/>
      </c>
      <c r="V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5">
        <f>IF(tblOrdenes[[#This Row],[centro_costo]]="","",_xlfn.XLOOKUP(tblOrdenes[[#This Row],[centro_costo]],tblCECO[codigo],tblCECO[linea],"(sin catálogo)"))</f>
        <v/>
      </c>
      <c r="Y164" s="5">
        <f>IF(tblOrdenes[[#This Row],[centro_costo]]="","",_xlfn.XLOOKUP(tblOrdenes[[#This Row],[centro_costo]],tblCECO[codigo],tblCECO[area],"(sin catálogo)"))</f>
        <v/>
      </c>
      <c r="Z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5">
        <f>IF(tblOrdenes[[#This Row],[centro_costo]]="","",_xlfn.XLOOKUP(tblOrdenes[[#This Row],[centro_costo]],tblCECO[codigo],tblCECO[coordinador],"(sin catálogo)"))</f>
        <v/>
      </c>
      <c r="AB164" s="5">
        <f>IF(tblOrdenes[[#This Row],[puesto_trabajo]]="","",_xlfn.XLOOKUP(tblOrdenes[[#This Row],[puesto_trabajo]],tblPuestos[codigo],tblPuestos[especialidad],"(sin catálogo)"))</f>
        <v/>
      </c>
      <c r="AC164" s="5">
        <f>IF(tblOrdenes[[#This Row],[cod_actividad]]="","",_xlfn.XLOOKUP(tblOrdenes[[#This Row],[cod_actividad]],tblActividades[codigo],tblActividades[descripcion],"(sin catálogo)"))</f>
        <v/>
      </c>
      <c r="AD164" s="23">
        <f>IF(tblOrdenes[[#This Row],[fecha_inicio]]="","",TODAY()-tblOrdenes[[#This Row],[fecha_inicio]])</f>
        <v/>
      </c>
      <c r="AE1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5">
        <f>IF(tblOrdenes[[#This Row],[backlog_habiles]]="","",IF(tblOrdenes[[#This Row],[backlog_habiles]]&lt;0,"FUTURO",IF(tblOrdenes[[#This Row],[backlog_habiles]]&gt;p_dias_backlog_max,"BACKLOG","MES CORRIENTE")))</f>
        <v/>
      </c>
      <c r="AG164" s="5">
        <f>IF(tblOrdenes[[#This Row],[backlog_habiles]]="",FALSE,AND(tblOrdenes[[#This Row],[backlog_habiles]]&gt;p_dias_backlog_min,tblOrdenes[[#This Row],[backlog_habiles]]&lt;=p_dias_backlog_max))</f>
        <v/>
      </c>
      <c r="AH164" s="4" t="n"/>
      <c r="AI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18">
        <f>IF(tblOrdenes[[#This Row],[orden]]="","",_xlfn.XLOOKUP(tblOrdenes[[#This Row],[id_operacion]],tblEjecucion[id_operacion],tblEjecucion[precio],0))</f>
        <v/>
      </c>
      <c r="AM164" s="18">
        <f>IF(tblOrdenes[[#This Row],[orden]]="","",MAX(0,_xlfn.XLOOKUP(tblOrdenes[[#This Row],[id_operacion]],tblEjecucion[id_operacion],tblEjecucion[costo_plan_total],0)-tblOrdenes[[#This Row],[costo_servicio]]))</f>
        <v/>
      </c>
      <c r="AN164" s="18">
        <f>IF(tblOrdenes[[#This Row],[orden]]="","",tblOrdenes[[#This Row],[costo_servicio]]+tblOrdenes[[#This Row],[costo_materiales]])</f>
        <v/>
      </c>
      <c r="AO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n"/>
      <c r="AQ164" s="4" t="n"/>
      <c r="AR164" s="4" t="n"/>
      <c r="AS164" s="5">
        <f>IF(tblOrdenes[[#This Row],[link_checklist]]="","",HYPERLINK(p_ruta_base_checklists&amp;tblOrdenes[[#This Row],[link_checklist]],"abrir"))</f>
        <v/>
      </c>
      <c r="AT164" s="4" t="n"/>
      <c r="AU164" s="5">
        <f>IF(tblOrdenes[[#This Row],[orden]]="","",tblOrdenes[[#This Row],[orden]]&amp;IF(tblOrdenes[[#This Row],[operacion]]="","0010",tblOrdenes[[#This Row],[operacion]]))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25" t="n"/>
      <c r="K165" s="5" t="n"/>
      <c r="L165" s="18" t="n"/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Row],[fecha_inicio]]="","",tblOrdenes[[#This Row],[anio]]&amp;"-"&amp;TEXT(tblOrdenes[[#This Row],[mes]],"00"))</f>
        <v/>
      </c>
      <c r="S165" s="5">
        <f>IF(tblOrdenes[[#This Row],[fecha_inicio]]="","",INDEX(lista_dias,WEEKDAY(tblOrdenes[[#This Row],[fecha_inicio]],2)))</f>
        <v/>
      </c>
      <c r="T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5">
        <f>IF(tblOrdenes[[#This Row],[tipo_ot]]="","",_xlfn.XLOOKUP(tblOrdenes[[#This Row],[tipo_ot]],tblTiposOT[codigo],tblTiposOT[clasificacion],"sin_clasificar"))</f>
        <v/>
      </c>
      <c r="V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5">
        <f>IF(tblOrdenes[[#This Row],[centro_costo]]="","",_xlfn.XLOOKUP(tblOrdenes[[#This Row],[centro_costo]],tblCECO[codigo],tblCECO[linea],"(sin catálogo)"))</f>
        <v/>
      </c>
      <c r="Y165" s="5">
        <f>IF(tblOrdenes[[#This Row],[centro_costo]]="","",_xlfn.XLOOKUP(tblOrdenes[[#This Row],[centro_costo]],tblCECO[codigo],tblCECO[area],"(sin catálogo)"))</f>
        <v/>
      </c>
      <c r="Z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5">
        <f>IF(tblOrdenes[[#This Row],[centro_costo]]="","",_xlfn.XLOOKUP(tblOrdenes[[#This Row],[centro_costo]],tblCECO[codigo],tblCECO[coordinador],"(sin catálogo)"))</f>
        <v/>
      </c>
      <c r="AB165" s="5">
        <f>IF(tblOrdenes[[#This Row],[puesto_trabajo]]="","",_xlfn.XLOOKUP(tblOrdenes[[#This Row],[puesto_trabajo]],tblPuestos[codigo],tblPuestos[especialidad],"(sin catálogo)"))</f>
        <v/>
      </c>
      <c r="AC165" s="5">
        <f>IF(tblOrdenes[[#This Row],[cod_actividad]]="","",_xlfn.XLOOKUP(tblOrdenes[[#This Row],[cod_actividad]],tblActividades[codigo],tblActividades[descripcion],"(sin catálogo)"))</f>
        <v/>
      </c>
      <c r="AD165" s="23">
        <f>IF(tblOrdenes[[#This Row],[fecha_inicio]]="","",TODAY()-tblOrdenes[[#This Row],[fecha_inicio]])</f>
        <v/>
      </c>
      <c r="AE1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5">
        <f>IF(tblOrdenes[[#This Row],[backlog_habiles]]="","",IF(tblOrdenes[[#This Row],[backlog_habiles]]&lt;0,"FUTURO",IF(tblOrdenes[[#This Row],[backlog_habiles]]&gt;p_dias_backlog_max,"BACKLOG","MES CORRIENTE")))</f>
        <v/>
      </c>
      <c r="AG165" s="5">
        <f>IF(tblOrdenes[[#This Row],[backlog_habiles]]="",FALSE,AND(tblOrdenes[[#This Row],[backlog_habiles]]&gt;p_dias_backlog_min,tblOrdenes[[#This Row],[backlog_habiles]]&lt;=p_dias_backlog_max))</f>
        <v/>
      </c>
      <c r="AH165" s="4" t="n"/>
      <c r="AI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18">
        <f>IF(tblOrdenes[[#This Row],[orden]]="","",_xlfn.XLOOKUP(tblOrdenes[[#This Row],[id_operacion]],tblEjecucion[id_operacion],tblEjecucion[precio],0))</f>
        <v/>
      </c>
      <c r="AM165" s="18">
        <f>IF(tblOrdenes[[#This Row],[orden]]="","",MAX(0,_xlfn.XLOOKUP(tblOrdenes[[#This Row],[id_operacion]],tblEjecucion[id_operacion],tblEjecucion[costo_plan_total],0)-tblOrdenes[[#This Row],[costo_servicio]]))</f>
        <v/>
      </c>
      <c r="AN165" s="18">
        <f>IF(tblOrdenes[[#This Row],[orden]]="","",tblOrdenes[[#This Row],[costo_servicio]]+tblOrdenes[[#This Row],[costo_materiales]])</f>
        <v/>
      </c>
      <c r="AO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n"/>
      <c r="AQ165" s="4" t="n"/>
      <c r="AR165" s="4" t="n"/>
      <c r="AS165" s="5">
        <f>IF(tblOrdenes[[#This Row],[link_checklist]]="","",HYPERLINK(p_ruta_base_checklists&amp;tblOrdenes[[#This Row],[link_checklist]],"abrir"))</f>
        <v/>
      </c>
      <c r="AT165" s="4" t="n"/>
      <c r="AU165" s="5">
        <f>IF(tblOrdenes[[#This Row],[orden]]="","",tblOrdenes[[#This Row],[orden]]&amp;IF(tblOrdenes[[#This Row],[operacion]]="","0010",tblOrdenes[[#This Row],[operacion]]))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25" t="n"/>
      <c r="K166" s="5" t="n"/>
      <c r="L166" s="18" t="n"/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Row],[fecha_inicio]]="","",tblOrdenes[[#This Row],[anio]]&amp;"-"&amp;TEXT(tblOrdenes[[#This Row],[mes]],"00"))</f>
        <v/>
      </c>
      <c r="S166" s="5">
        <f>IF(tblOrdenes[[#This Row],[fecha_inicio]]="","",INDEX(lista_dias,WEEKDAY(tblOrdenes[[#This Row],[fecha_inicio]],2)))</f>
        <v/>
      </c>
      <c r="T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5">
        <f>IF(tblOrdenes[[#This Row],[tipo_ot]]="","",_xlfn.XLOOKUP(tblOrdenes[[#This Row],[tipo_ot]],tblTiposOT[codigo],tblTiposOT[clasificacion],"sin_clasificar"))</f>
        <v/>
      </c>
      <c r="V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5">
        <f>IF(tblOrdenes[[#This Row],[centro_costo]]="","",_xlfn.XLOOKUP(tblOrdenes[[#This Row],[centro_costo]],tblCECO[codigo],tblCECO[linea],"(sin catálogo)"))</f>
        <v/>
      </c>
      <c r="Y166" s="5">
        <f>IF(tblOrdenes[[#This Row],[centro_costo]]="","",_xlfn.XLOOKUP(tblOrdenes[[#This Row],[centro_costo]],tblCECO[codigo],tblCECO[area],"(sin catálogo)"))</f>
        <v/>
      </c>
      <c r="Z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5">
        <f>IF(tblOrdenes[[#This Row],[centro_costo]]="","",_xlfn.XLOOKUP(tblOrdenes[[#This Row],[centro_costo]],tblCECO[codigo],tblCECO[coordinador],"(sin catálogo)"))</f>
        <v/>
      </c>
      <c r="AB166" s="5">
        <f>IF(tblOrdenes[[#This Row],[puesto_trabajo]]="","",_xlfn.XLOOKUP(tblOrdenes[[#This Row],[puesto_trabajo]],tblPuestos[codigo],tblPuestos[especialidad],"(sin catálogo)"))</f>
        <v/>
      </c>
      <c r="AC166" s="5">
        <f>IF(tblOrdenes[[#This Row],[cod_actividad]]="","",_xlfn.XLOOKUP(tblOrdenes[[#This Row],[cod_actividad]],tblActividades[codigo],tblActividades[descripcion],"(sin catálogo)"))</f>
        <v/>
      </c>
      <c r="AD166" s="23">
        <f>IF(tblOrdenes[[#This Row],[fecha_inicio]]="","",TODAY()-tblOrdenes[[#This Row],[fecha_inicio]])</f>
        <v/>
      </c>
      <c r="AE1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5">
        <f>IF(tblOrdenes[[#This Row],[backlog_habiles]]="","",IF(tblOrdenes[[#This Row],[backlog_habiles]]&lt;0,"FUTURO",IF(tblOrdenes[[#This Row],[backlog_habiles]]&gt;p_dias_backlog_max,"BACKLOG","MES CORRIENTE")))</f>
        <v/>
      </c>
      <c r="AG166" s="5">
        <f>IF(tblOrdenes[[#This Row],[backlog_habiles]]="",FALSE,AND(tblOrdenes[[#This Row],[backlog_habiles]]&gt;p_dias_backlog_min,tblOrdenes[[#This Row],[backlog_habiles]]&lt;=p_dias_backlog_max))</f>
        <v/>
      </c>
      <c r="AH166" s="4" t="n"/>
      <c r="AI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18">
        <f>IF(tblOrdenes[[#This Row],[orden]]="","",_xlfn.XLOOKUP(tblOrdenes[[#This Row],[id_operacion]],tblEjecucion[id_operacion],tblEjecucion[precio],0))</f>
        <v/>
      </c>
      <c r="AM166" s="18">
        <f>IF(tblOrdenes[[#This Row],[orden]]="","",MAX(0,_xlfn.XLOOKUP(tblOrdenes[[#This Row],[id_operacion]],tblEjecucion[id_operacion],tblEjecucion[costo_plan_total],0)-tblOrdenes[[#This Row],[costo_servicio]]))</f>
        <v/>
      </c>
      <c r="AN166" s="18">
        <f>IF(tblOrdenes[[#This Row],[orden]]="","",tblOrdenes[[#This Row],[costo_servicio]]+tblOrdenes[[#This Row],[costo_materiales]])</f>
        <v/>
      </c>
      <c r="AO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n"/>
      <c r="AQ166" s="4" t="n"/>
      <c r="AR166" s="4" t="n"/>
      <c r="AS166" s="5">
        <f>IF(tblOrdenes[[#This Row],[link_checklist]]="","",HYPERLINK(p_ruta_base_checklists&amp;tblOrdenes[[#This Row],[link_checklist]],"abrir"))</f>
        <v/>
      </c>
      <c r="AT166" s="4" t="n"/>
      <c r="AU166" s="5">
        <f>IF(tblOrdenes[[#This Row],[orden]]="","",tblOrdenes[[#This Row],[orden]]&amp;IF(tblOrdenes[[#This Row],[operacion]]="","0010",tblOrdenes[[#This Row],[operacion]]))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25" t="n"/>
      <c r="K167" s="5" t="n"/>
      <c r="L167" s="18" t="n"/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Row],[fecha_inicio]]="","",tblOrdenes[[#This Row],[anio]]&amp;"-"&amp;TEXT(tblOrdenes[[#This Row],[mes]],"00"))</f>
        <v/>
      </c>
      <c r="S167" s="5">
        <f>IF(tblOrdenes[[#This Row],[fecha_inicio]]="","",INDEX(lista_dias,WEEKDAY(tblOrdenes[[#This Row],[fecha_inicio]],2)))</f>
        <v/>
      </c>
      <c r="T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5">
        <f>IF(tblOrdenes[[#This Row],[tipo_ot]]="","",_xlfn.XLOOKUP(tblOrdenes[[#This Row],[tipo_ot]],tblTiposOT[codigo],tblTiposOT[clasificacion],"sin_clasificar"))</f>
        <v/>
      </c>
      <c r="V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5">
        <f>IF(tblOrdenes[[#This Row],[centro_costo]]="","",_xlfn.XLOOKUP(tblOrdenes[[#This Row],[centro_costo]],tblCECO[codigo],tblCECO[linea],"(sin catálogo)"))</f>
        <v/>
      </c>
      <c r="Y167" s="5">
        <f>IF(tblOrdenes[[#This Row],[centro_costo]]="","",_xlfn.XLOOKUP(tblOrdenes[[#This Row],[centro_costo]],tblCECO[codigo],tblCECO[area],"(sin catálogo)"))</f>
        <v/>
      </c>
      <c r="Z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5">
        <f>IF(tblOrdenes[[#This Row],[centro_costo]]="","",_xlfn.XLOOKUP(tblOrdenes[[#This Row],[centro_costo]],tblCECO[codigo],tblCECO[coordinador],"(sin catálogo)"))</f>
        <v/>
      </c>
      <c r="AB167" s="5">
        <f>IF(tblOrdenes[[#This Row],[puesto_trabajo]]="","",_xlfn.XLOOKUP(tblOrdenes[[#This Row],[puesto_trabajo]],tblPuestos[codigo],tblPuestos[especialidad],"(sin catálogo)"))</f>
        <v/>
      </c>
      <c r="AC167" s="5">
        <f>IF(tblOrdenes[[#This Row],[cod_actividad]]="","",_xlfn.XLOOKUP(tblOrdenes[[#This Row],[cod_actividad]],tblActividades[codigo],tblActividades[descripcion],"(sin catálogo)"))</f>
        <v/>
      </c>
      <c r="AD167" s="23">
        <f>IF(tblOrdenes[[#This Row],[fecha_inicio]]="","",TODAY()-tblOrdenes[[#This Row],[fecha_inicio]])</f>
        <v/>
      </c>
      <c r="AE1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5">
        <f>IF(tblOrdenes[[#This Row],[backlog_habiles]]="","",IF(tblOrdenes[[#This Row],[backlog_habiles]]&lt;0,"FUTURO",IF(tblOrdenes[[#This Row],[backlog_habiles]]&gt;p_dias_backlog_max,"BACKLOG","MES CORRIENTE")))</f>
        <v/>
      </c>
      <c r="AG167" s="5">
        <f>IF(tblOrdenes[[#This Row],[backlog_habiles]]="",FALSE,AND(tblOrdenes[[#This Row],[backlog_habiles]]&gt;p_dias_backlog_min,tblOrdenes[[#This Row],[backlog_habiles]]&lt;=p_dias_backlog_max))</f>
        <v/>
      </c>
      <c r="AH167" s="4" t="n"/>
      <c r="AI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18">
        <f>IF(tblOrdenes[[#This Row],[orden]]="","",_xlfn.XLOOKUP(tblOrdenes[[#This Row],[id_operacion]],tblEjecucion[id_operacion],tblEjecucion[precio],0))</f>
        <v/>
      </c>
      <c r="AM167" s="18">
        <f>IF(tblOrdenes[[#This Row],[orden]]="","",MAX(0,_xlfn.XLOOKUP(tblOrdenes[[#This Row],[id_operacion]],tblEjecucion[id_operacion],tblEjecucion[costo_plan_total],0)-tblOrdenes[[#This Row],[costo_servicio]]))</f>
        <v/>
      </c>
      <c r="AN167" s="18">
        <f>IF(tblOrdenes[[#This Row],[orden]]="","",tblOrdenes[[#This Row],[costo_servicio]]+tblOrdenes[[#This Row],[costo_materiales]])</f>
        <v/>
      </c>
      <c r="AO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n"/>
      <c r="AQ167" s="4" t="n"/>
      <c r="AR167" s="4" t="n"/>
      <c r="AS167" s="5">
        <f>IF(tblOrdenes[[#This Row],[link_checklist]]="","",HYPERLINK(p_ruta_base_checklists&amp;tblOrdenes[[#This Row],[link_checklist]],"abrir"))</f>
        <v/>
      </c>
      <c r="AT167" s="4" t="n"/>
      <c r="AU167" s="5">
        <f>IF(tblOrdenes[[#This Row],[orden]]="","",tblOrdenes[[#This Row],[orden]]&amp;IF(tblOrdenes[[#This Row],[operacion]]="","0010",tblOrdenes[[#This Row],[operacion]]))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25" t="n"/>
      <c r="K168" s="5" t="n"/>
      <c r="L168" s="18" t="n"/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Row],[fecha_inicio]]="","",tblOrdenes[[#This Row],[anio]]&amp;"-"&amp;TEXT(tblOrdenes[[#This Row],[mes]],"00"))</f>
        <v/>
      </c>
      <c r="S168" s="5">
        <f>IF(tblOrdenes[[#This Row],[fecha_inicio]]="","",INDEX(lista_dias,WEEKDAY(tblOrdenes[[#This Row],[fecha_inicio]],2)))</f>
        <v/>
      </c>
      <c r="T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5">
        <f>IF(tblOrdenes[[#This Row],[tipo_ot]]="","",_xlfn.XLOOKUP(tblOrdenes[[#This Row],[tipo_ot]],tblTiposOT[codigo],tblTiposOT[clasificacion],"sin_clasificar"))</f>
        <v/>
      </c>
      <c r="V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5">
        <f>IF(tblOrdenes[[#This Row],[centro_costo]]="","",_xlfn.XLOOKUP(tblOrdenes[[#This Row],[centro_costo]],tblCECO[codigo],tblCECO[linea],"(sin catálogo)"))</f>
        <v/>
      </c>
      <c r="Y168" s="5">
        <f>IF(tblOrdenes[[#This Row],[centro_costo]]="","",_xlfn.XLOOKUP(tblOrdenes[[#This Row],[centro_costo]],tblCECO[codigo],tblCECO[area],"(sin catálogo)"))</f>
        <v/>
      </c>
      <c r="Z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5">
        <f>IF(tblOrdenes[[#This Row],[centro_costo]]="","",_xlfn.XLOOKUP(tblOrdenes[[#This Row],[centro_costo]],tblCECO[codigo],tblCECO[coordinador],"(sin catálogo)"))</f>
        <v/>
      </c>
      <c r="AB168" s="5">
        <f>IF(tblOrdenes[[#This Row],[puesto_trabajo]]="","",_xlfn.XLOOKUP(tblOrdenes[[#This Row],[puesto_trabajo]],tblPuestos[codigo],tblPuestos[especialidad],"(sin catálogo)"))</f>
        <v/>
      </c>
      <c r="AC168" s="5">
        <f>IF(tblOrdenes[[#This Row],[cod_actividad]]="","",_xlfn.XLOOKUP(tblOrdenes[[#This Row],[cod_actividad]],tblActividades[codigo],tblActividades[descripcion],"(sin catálogo)"))</f>
        <v/>
      </c>
      <c r="AD168" s="23">
        <f>IF(tblOrdenes[[#This Row],[fecha_inicio]]="","",TODAY()-tblOrdenes[[#This Row],[fecha_inicio]])</f>
        <v/>
      </c>
      <c r="AE1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5">
        <f>IF(tblOrdenes[[#This Row],[backlog_habiles]]="","",IF(tblOrdenes[[#This Row],[backlog_habiles]]&lt;0,"FUTURO",IF(tblOrdenes[[#This Row],[backlog_habiles]]&gt;p_dias_backlog_max,"BACKLOG","MES CORRIENTE")))</f>
        <v/>
      </c>
      <c r="AG168" s="5">
        <f>IF(tblOrdenes[[#This Row],[backlog_habiles]]="",FALSE,AND(tblOrdenes[[#This Row],[backlog_habiles]]&gt;p_dias_backlog_min,tblOrdenes[[#This Row],[backlog_habiles]]&lt;=p_dias_backlog_max))</f>
        <v/>
      </c>
      <c r="AH168" s="4" t="n"/>
      <c r="AI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18">
        <f>IF(tblOrdenes[[#This Row],[orden]]="","",_xlfn.XLOOKUP(tblOrdenes[[#This Row],[id_operacion]],tblEjecucion[id_operacion],tblEjecucion[precio],0))</f>
        <v/>
      </c>
      <c r="AM168" s="18">
        <f>IF(tblOrdenes[[#This Row],[orden]]="","",MAX(0,_xlfn.XLOOKUP(tblOrdenes[[#This Row],[id_operacion]],tblEjecucion[id_operacion],tblEjecucion[costo_plan_total],0)-tblOrdenes[[#This Row],[costo_servicio]]))</f>
        <v/>
      </c>
      <c r="AN168" s="18">
        <f>IF(tblOrdenes[[#This Row],[orden]]="","",tblOrdenes[[#This Row],[costo_servicio]]+tblOrdenes[[#This Row],[costo_materiales]])</f>
        <v/>
      </c>
      <c r="AO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n"/>
      <c r="AQ168" s="4" t="n"/>
      <c r="AR168" s="4" t="n"/>
      <c r="AS168" s="5">
        <f>IF(tblOrdenes[[#This Row],[link_checklist]]="","",HYPERLINK(p_ruta_base_checklists&amp;tblOrdenes[[#This Row],[link_checklist]],"abrir"))</f>
        <v/>
      </c>
      <c r="AT168" s="4" t="n"/>
      <c r="AU168" s="5">
        <f>IF(tblOrdenes[[#This Row],[orden]]="","",tblOrdenes[[#This Row],[orden]]&amp;IF(tblOrdenes[[#This Row],[operacion]]="","0010",tblOrdenes[[#This Row],[operacion]]))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25" t="n"/>
      <c r="K169" s="5" t="n"/>
      <c r="L169" s="18" t="n"/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Row],[fecha_inicio]]="","",tblOrdenes[[#This Row],[anio]]&amp;"-"&amp;TEXT(tblOrdenes[[#This Row],[mes]],"00"))</f>
        <v/>
      </c>
      <c r="S169" s="5">
        <f>IF(tblOrdenes[[#This Row],[fecha_inicio]]="","",INDEX(lista_dias,WEEKDAY(tblOrdenes[[#This Row],[fecha_inicio]],2)))</f>
        <v/>
      </c>
      <c r="T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5">
        <f>IF(tblOrdenes[[#This Row],[tipo_ot]]="","",_xlfn.XLOOKUP(tblOrdenes[[#This Row],[tipo_ot]],tblTiposOT[codigo],tblTiposOT[clasificacion],"sin_clasificar"))</f>
        <v/>
      </c>
      <c r="V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5">
        <f>IF(tblOrdenes[[#This Row],[centro_costo]]="","",_xlfn.XLOOKUP(tblOrdenes[[#This Row],[centro_costo]],tblCECO[codigo],tblCECO[linea],"(sin catálogo)"))</f>
        <v/>
      </c>
      <c r="Y169" s="5">
        <f>IF(tblOrdenes[[#This Row],[centro_costo]]="","",_xlfn.XLOOKUP(tblOrdenes[[#This Row],[centro_costo]],tblCECO[codigo],tblCECO[area],"(sin catálogo)"))</f>
        <v/>
      </c>
      <c r="Z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5">
        <f>IF(tblOrdenes[[#This Row],[centro_costo]]="","",_xlfn.XLOOKUP(tblOrdenes[[#This Row],[centro_costo]],tblCECO[codigo],tblCECO[coordinador],"(sin catálogo)"))</f>
        <v/>
      </c>
      <c r="AB169" s="5">
        <f>IF(tblOrdenes[[#This Row],[puesto_trabajo]]="","",_xlfn.XLOOKUP(tblOrdenes[[#This Row],[puesto_trabajo]],tblPuestos[codigo],tblPuestos[especialidad],"(sin catálogo)"))</f>
        <v/>
      </c>
      <c r="AC169" s="5">
        <f>IF(tblOrdenes[[#This Row],[cod_actividad]]="","",_xlfn.XLOOKUP(tblOrdenes[[#This Row],[cod_actividad]],tblActividades[codigo],tblActividades[descripcion],"(sin catálogo)"))</f>
        <v/>
      </c>
      <c r="AD169" s="23">
        <f>IF(tblOrdenes[[#This Row],[fecha_inicio]]="","",TODAY()-tblOrdenes[[#This Row],[fecha_inicio]])</f>
        <v/>
      </c>
      <c r="AE1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5">
        <f>IF(tblOrdenes[[#This Row],[backlog_habiles]]="","",IF(tblOrdenes[[#This Row],[backlog_habiles]]&lt;0,"FUTURO",IF(tblOrdenes[[#This Row],[backlog_habiles]]&gt;p_dias_backlog_max,"BACKLOG","MES CORRIENTE")))</f>
        <v/>
      </c>
      <c r="AG169" s="5">
        <f>IF(tblOrdenes[[#This Row],[backlog_habiles]]="",FALSE,AND(tblOrdenes[[#This Row],[backlog_habiles]]&gt;p_dias_backlog_min,tblOrdenes[[#This Row],[backlog_habiles]]&lt;=p_dias_backlog_max))</f>
        <v/>
      </c>
      <c r="AH169" s="4" t="n"/>
      <c r="AI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18">
        <f>IF(tblOrdenes[[#This Row],[orden]]="","",_xlfn.XLOOKUP(tblOrdenes[[#This Row],[id_operacion]],tblEjecucion[id_operacion],tblEjecucion[precio],0))</f>
        <v/>
      </c>
      <c r="AM169" s="18">
        <f>IF(tblOrdenes[[#This Row],[orden]]="","",MAX(0,_xlfn.XLOOKUP(tblOrdenes[[#This Row],[id_operacion]],tblEjecucion[id_operacion],tblEjecucion[costo_plan_total],0)-tblOrdenes[[#This Row],[costo_servicio]]))</f>
        <v/>
      </c>
      <c r="AN169" s="18">
        <f>IF(tblOrdenes[[#This Row],[orden]]="","",tblOrdenes[[#This Row],[costo_servicio]]+tblOrdenes[[#This Row],[costo_materiales]])</f>
        <v/>
      </c>
      <c r="AO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n"/>
      <c r="AQ169" s="4" t="n"/>
      <c r="AR169" s="4" t="n"/>
      <c r="AS169" s="5">
        <f>IF(tblOrdenes[[#This Row],[link_checklist]]="","",HYPERLINK(p_ruta_base_checklists&amp;tblOrdenes[[#This Row],[link_checklist]],"abrir"))</f>
        <v/>
      </c>
      <c r="AT169" s="4" t="n"/>
      <c r="AU169" s="5">
        <f>IF(tblOrdenes[[#This Row],[orden]]="","",tblOrdenes[[#This Row],[orden]]&amp;IF(tblOrdenes[[#This Row],[operacion]]="","0010",tblOrdenes[[#This Row],[operacion]]))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25" t="n"/>
      <c r="K170" s="5" t="n"/>
      <c r="L170" s="18" t="n"/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Row],[fecha_inicio]]="","",tblOrdenes[[#This Row],[anio]]&amp;"-"&amp;TEXT(tblOrdenes[[#This Row],[mes]],"00"))</f>
        <v/>
      </c>
      <c r="S170" s="5">
        <f>IF(tblOrdenes[[#This Row],[fecha_inicio]]="","",INDEX(lista_dias,WEEKDAY(tblOrdenes[[#This Row],[fecha_inicio]],2)))</f>
        <v/>
      </c>
      <c r="T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5">
        <f>IF(tblOrdenes[[#This Row],[tipo_ot]]="","",_xlfn.XLOOKUP(tblOrdenes[[#This Row],[tipo_ot]],tblTiposOT[codigo],tblTiposOT[clasificacion],"sin_clasificar"))</f>
        <v/>
      </c>
      <c r="V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5">
        <f>IF(tblOrdenes[[#This Row],[centro_costo]]="","",_xlfn.XLOOKUP(tblOrdenes[[#This Row],[centro_costo]],tblCECO[codigo],tblCECO[linea],"(sin catálogo)"))</f>
        <v/>
      </c>
      <c r="Y170" s="5">
        <f>IF(tblOrdenes[[#This Row],[centro_costo]]="","",_xlfn.XLOOKUP(tblOrdenes[[#This Row],[centro_costo]],tblCECO[codigo],tblCECO[area],"(sin catálogo)"))</f>
        <v/>
      </c>
      <c r="Z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5">
        <f>IF(tblOrdenes[[#This Row],[centro_costo]]="","",_xlfn.XLOOKUP(tblOrdenes[[#This Row],[centro_costo]],tblCECO[codigo],tblCECO[coordinador],"(sin catálogo)"))</f>
        <v/>
      </c>
      <c r="AB170" s="5">
        <f>IF(tblOrdenes[[#This Row],[puesto_trabajo]]="","",_xlfn.XLOOKUP(tblOrdenes[[#This Row],[puesto_trabajo]],tblPuestos[codigo],tblPuestos[especialidad],"(sin catálogo)"))</f>
        <v/>
      </c>
      <c r="AC170" s="5">
        <f>IF(tblOrdenes[[#This Row],[cod_actividad]]="","",_xlfn.XLOOKUP(tblOrdenes[[#This Row],[cod_actividad]],tblActividades[codigo],tblActividades[descripcion],"(sin catálogo)"))</f>
        <v/>
      </c>
      <c r="AD170" s="23">
        <f>IF(tblOrdenes[[#This Row],[fecha_inicio]]="","",TODAY()-tblOrdenes[[#This Row],[fecha_inicio]])</f>
        <v/>
      </c>
      <c r="AE1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5">
        <f>IF(tblOrdenes[[#This Row],[backlog_habiles]]="","",IF(tblOrdenes[[#This Row],[backlog_habiles]]&lt;0,"FUTURO",IF(tblOrdenes[[#This Row],[backlog_habiles]]&gt;p_dias_backlog_max,"BACKLOG","MES CORRIENTE")))</f>
        <v/>
      </c>
      <c r="AG170" s="5">
        <f>IF(tblOrdenes[[#This Row],[backlog_habiles]]="",FALSE,AND(tblOrdenes[[#This Row],[backlog_habiles]]&gt;p_dias_backlog_min,tblOrdenes[[#This Row],[backlog_habiles]]&lt;=p_dias_backlog_max))</f>
        <v/>
      </c>
      <c r="AH170" s="4" t="n"/>
      <c r="AI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18">
        <f>IF(tblOrdenes[[#This Row],[orden]]="","",_xlfn.XLOOKUP(tblOrdenes[[#This Row],[id_operacion]],tblEjecucion[id_operacion],tblEjecucion[precio],0))</f>
        <v/>
      </c>
      <c r="AM170" s="18">
        <f>IF(tblOrdenes[[#This Row],[orden]]="","",MAX(0,_xlfn.XLOOKUP(tblOrdenes[[#This Row],[id_operacion]],tblEjecucion[id_operacion],tblEjecucion[costo_plan_total],0)-tblOrdenes[[#This Row],[costo_servicio]]))</f>
        <v/>
      </c>
      <c r="AN170" s="18">
        <f>IF(tblOrdenes[[#This Row],[orden]]="","",tblOrdenes[[#This Row],[costo_servicio]]+tblOrdenes[[#This Row],[costo_materiales]])</f>
        <v/>
      </c>
      <c r="AO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n"/>
      <c r="AQ170" s="4" t="n"/>
      <c r="AR170" s="4" t="n"/>
      <c r="AS170" s="5">
        <f>IF(tblOrdenes[[#This Row],[link_checklist]]="","",HYPERLINK(p_ruta_base_checklists&amp;tblOrdenes[[#This Row],[link_checklist]],"abrir"))</f>
        <v/>
      </c>
      <c r="AT170" s="4" t="n"/>
      <c r="AU170" s="5">
        <f>IF(tblOrdenes[[#This Row],[orden]]="","",tblOrdenes[[#This Row],[orden]]&amp;IF(tblOrdenes[[#This Row],[operacion]]="","0010",tblOrdenes[[#This Row],[operacion]]))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25" t="n"/>
      <c r="K171" s="5" t="n"/>
      <c r="L171" s="18" t="n"/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Row],[fecha_inicio]]="","",tblOrdenes[[#This Row],[anio]]&amp;"-"&amp;TEXT(tblOrdenes[[#This Row],[mes]],"00"))</f>
        <v/>
      </c>
      <c r="S171" s="5">
        <f>IF(tblOrdenes[[#This Row],[fecha_inicio]]="","",INDEX(lista_dias,WEEKDAY(tblOrdenes[[#This Row],[fecha_inicio]],2)))</f>
        <v/>
      </c>
      <c r="T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5">
        <f>IF(tblOrdenes[[#This Row],[tipo_ot]]="","",_xlfn.XLOOKUP(tblOrdenes[[#This Row],[tipo_ot]],tblTiposOT[codigo],tblTiposOT[clasificacion],"sin_clasificar"))</f>
        <v/>
      </c>
      <c r="V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5">
        <f>IF(tblOrdenes[[#This Row],[centro_costo]]="","",_xlfn.XLOOKUP(tblOrdenes[[#This Row],[centro_costo]],tblCECO[codigo],tblCECO[linea],"(sin catálogo)"))</f>
        <v/>
      </c>
      <c r="Y171" s="5">
        <f>IF(tblOrdenes[[#This Row],[centro_costo]]="","",_xlfn.XLOOKUP(tblOrdenes[[#This Row],[centro_costo]],tblCECO[codigo],tblCECO[area],"(sin catálogo)"))</f>
        <v/>
      </c>
      <c r="Z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5">
        <f>IF(tblOrdenes[[#This Row],[centro_costo]]="","",_xlfn.XLOOKUP(tblOrdenes[[#This Row],[centro_costo]],tblCECO[codigo],tblCECO[coordinador],"(sin catálogo)"))</f>
        <v/>
      </c>
      <c r="AB171" s="5">
        <f>IF(tblOrdenes[[#This Row],[puesto_trabajo]]="","",_xlfn.XLOOKUP(tblOrdenes[[#This Row],[puesto_trabajo]],tblPuestos[codigo],tblPuestos[especialidad],"(sin catálogo)"))</f>
        <v/>
      </c>
      <c r="AC171" s="5">
        <f>IF(tblOrdenes[[#This Row],[cod_actividad]]="","",_xlfn.XLOOKUP(tblOrdenes[[#This Row],[cod_actividad]],tblActividades[codigo],tblActividades[descripcion],"(sin catálogo)"))</f>
        <v/>
      </c>
      <c r="AD171" s="23">
        <f>IF(tblOrdenes[[#This Row],[fecha_inicio]]="","",TODAY()-tblOrdenes[[#This Row],[fecha_inicio]])</f>
        <v/>
      </c>
      <c r="AE1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5">
        <f>IF(tblOrdenes[[#This Row],[backlog_habiles]]="","",IF(tblOrdenes[[#This Row],[backlog_habiles]]&lt;0,"FUTURO",IF(tblOrdenes[[#This Row],[backlog_habiles]]&gt;p_dias_backlog_max,"BACKLOG","MES CORRIENTE")))</f>
        <v/>
      </c>
      <c r="AG171" s="5">
        <f>IF(tblOrdenes[[#This Row],[backlog_habiles]]="",FALSE,AND(tblOrdenes[[#This Row],[backlog_habiles]]&gt;p_dias_backlog_min,tblOrdenes[[#This Row],[backlog_habiles]]&lt;=p_dias_backlog_max))</f>
        <v/>
      </c>
      <c r="AH171" s="4" t="n"/>
      <c r="AI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18">
        <f>IF(tblOrdenes[[#This Row],[orden]]="","",_xlfn.XLOOKUP(tblOrdenes[[#This Row],[id_operacion]],tblEjecucion[id_operacion],tblEjecucion[precio],0))</f>
        <v/>
      </c>
      <c r="AM171" s="18">
        <f>IF(tblOrdenes[[#This Row],[orden]]="","",MAX(0,_xlfn.XLOOKUP(tblOrdenes[[#This Row],[id_operacion]],tblEjecucion[id_operacion],tblEjecucion[costo_plan_total],0)-tblOrdenes[[#This Row],[costo_servicio]]))</f>
        <v/>
      </c>
      <c r="AN171" s="18">
        <f>IF(tblOrdenes[[#This Row],[orden]]="","",tblOrdenes[[#This Row],[costo_servicio]]+tblOrdenes[[#This Row],[costo_materiales]])</f>
        <v/>
      </c>
      <c r="AO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n"/>
      <c r="AQ171" s="4" t="n"/>
      <c r="AR171" s="4" t="n"/>
      <c r="AS171" s="5">
        <f>IF(tblOrdenes[[#This Row],[link_checklist]]="","",HYPERLINK(p_ruta_base_checklists&amp;tblOrdenes[[#This Row],[link_checklist]],"abrir"))</f>
        <v/>
      </c>
      <c r="AT171" s="4" t="n"/>
      <c r="AU171" s="5">
        <f>IF(tblOrdenes[[#This Row],[orden]]="","",tblOrdenes[[#This Row],[orden]]&amp;IF(tblOrdenes[[#This Row],[operacion]]="","0010",tblOrdenes[[#This Row],[operacion]]))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25" t="n"/>
      <c r="K172" s="5" t="n"/>
      <c r="L172" s="18" t="n"/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Row],[fecha_inicio]]="","",tblOrdenes[[#This Row],[anio]]&amp;"-"&amp;TEXT(tblOrdenes[[#This Row],[mes]],"00"))</f>
        <v/>
      </c>
      <c r="S172" s="5">
        <f>IF(tblOrdenes[[#This Row],[fecha_inicio]]="","",INDEX(lista_dias,WEEKDAY(tblOrdenes[[#This Row],[fecha_inicio]],2)))</f>
        <v/>
      </c>
      <c r="T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5">
        <f>IF(tblOrdenes[[#This Row],[tipo_ot]]="","",_xlfn.XLOOKUP(tblOrdenes[[#This Row],[tipo_ot]],tblTiposOT[codigo],tblTiposOT[clasificacion],"sin_clasificar"))</f>
        <v/>
      </c>
      <c r="V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5">
        <f>IF(tblOrdenes[[#This Row],[centro_costo]]="","",_xlfn.XLOOKUP(tblOrdenes[[#This Row],[centro_costo]],tblCECO[codigo],tblCECO[linea],"(sin catálogo)"))</f>
        <v/>
      </c>
      <c r="Y172" s="5">
        <f>IF(tblOrdenes[[#This Row],[centro_costo]]="","",_xlfn.XLOOKUP(tblOrdenes[[#This Row],[centro_costo]],tblCECO[codigo],tblCECO[area],"(sin catálogo)"))</f>
        <v/>
      </c>
      <c r="Z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5">
        <f>IF(tblOrdenes[[#This Row],[centro_costo]]="","",_xlfn.XLOOKUP(tblOrdenes[[#This Row],[centro_costo]],tblCECO[codigo],tblCECO[coordinador],"(sin catálogo)"))</f>
        <v/>
      </c>
      <c r="AB172" s="5">
        <f>IF(tblOrdenes[[#This Row],[puesto_trabajo]]="","",_xlfn.XLOOKUP(tblOrdenes[[#This Row],[puesto_trabajo]],tblPuestos[codigo],tblPuestos[especialidad],"(sin catálogo)"))</f>
        <v/>
      </c>
      <c r="AC172" s="5">
        <f>IF(tblOrdenes[[#This Row],[cod_actividad]]="","",_xlfn.XLOOKUP(tblOrdenes[[#This Row],[cod_actividad]],tblActividades[codigo],tblActividades[descripcion],"(sin catálogo)"))</f>
        <v/>
      </c>
      <c r="AD172" s="23">
        <f>IF(tblOrdenes[[#This Row],[fecha_inicio]]="","",TODAY()-tblOrdenes[[#This Row],[fecha_inicio]])</f>
        <v/>
      </c>
      <c r="AE1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5">
        <f>IF(tblOrdenes[[#This Row],[backlog_habiles]]="","",IF(tblOrdenes[[#This Row],[backlog_habiles]]&lt;0,"FUTURO",IF(tblOrdenes[[#This Row],[backlog_habiles]]&gt;p_dias_backlog_max,"BACKLOG","MES CORRIENTE")))</f>
        <v/>
      </c>
      <c r="AG172" s="5">
        <f>IF(tblOrdenes[[#This Row],[backlog_habiles]]="",FALSE,AND(tblOrdenes[[#This Row],[backlog_habiles]]&gt;p_dias_backlog_min,tblOrdenes[[#This Row],[backlog_habiles]]&lt;=p_dias_backlog_max))</f>
        <v/>
      </c>
      <c r="AH172" s="4" t="n"/>
      <c r="AI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18">
        <f>IF(tblOrdenes[[#This Row],[orden]]="","",_xlfn.XLOOKUP(tblOrdenes[[#This Row],[id_operacion]],tblEjecucion[id_operacion],tblEjecucion[precio],0))</f>
        <v/>
      </c>
      <c r="AM172" s="18">
        <f>IF(tblOrdenes[[#This Row],[orden]]="","",MAX(0,_xlfn.XLOOKUP(tblOrdenes[[#This Row],[id_operacion]],tblEjecucion[id_operacion],tblEjecucion[costo_plan_total],0)-tblOrdenes[[#This Row],[costo_servicio]]))</f>
        <v/>
      </c>
      <c r="AN172" s="18">
        <f>IF(tblOrdenes[[#This Row],[orden]]="","",tblOrdenes[[#This Row],[costo_servicio]]+tblOrdenes[[#This Row],[costo_materiales]])</f>
        <v/>
      </c>
      <c r="AO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n"/>
      <c r="AQ172" s="4" t="n"/>
      <c r="AR172" s="4" t="n"/>
      <c r="AS172" s="5">
        <f>IF(tblOrdenes[[#This Row],[link_checklist]]="","",HYPERLINK(p_ruta_base_checklists&amp;tblOrdenes[[#This Row],[link_checklist]],"abrir"))</f>
        <v/>
      </c>
      <c r="AT172" s="4" t="n"/>
      <c r="AU172" s="5">
        <f>IF(tblOrdenes[[#This Row],[orden]]="","",tblOrdenes[[#This Row],[orden]]&amp;IF(tblOrdenes[[#This Row],[operacion]]="","0010",tblOrdenes[[#This Row],[operacion]]))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25" t="n"/>
      <c r="K173" s="5" t="n"/>
      <c r="L173" s="18" t="n"/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Row],[fecha_inicio]]="","",tblOrdenes[[#This Row],[anio]]&amp;"-"&amp;TEXT(tblOrdenes[[#This Row],[mes]],"00"))</f>
        <v/>
      </c>
      <c r="S173" s="5">
        <f>IF(tblOrdenes[[#This Row],[fecha_inicio]]="","",INDEX(lista_dias,WEEKDAY(tblOrdenes[[#This Row],[fecha_inicio]],2)))</f>
        <v/>
      </c>
      <c r="T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5">
        <f>IF(tblOrdenes[[#This Row],[tipo_ot]]="","",_xlfn.XLOOKUP(tblOrdenes[[#This Row],[tipo_ot]],tblTiposOT[codigo],tblTiposOT[clasificacion],"sin_clasificar"))</f>
        <v/>
      </c>
      <c r="V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5">
        <f>IF(tblOrdenes[[#This Row],[centro_costo]]="","",_xlfn.XLOOKUP(tblOrdenes[[#This Row],[centro_costo]],tblCECO[codigo],tblCECO[linea],"(sin catálogo)"))</f>
        <v/>
      </c>
      <c r="Y173" s="5">
        <f>IF(tblOrdenes[[#This Row],[centro_costo]]="","",_xlfn.XLOOKUP(tblOrdenes[[#This Row],[centro_costo]],tblCECO[codigo],tblCECO[area],"(sin catálogo)"))</f>
        <v/>
      </c>
      <c r="Z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5">
        <f>IF(tblOrdenes[[#This Row],[centro_costo]]="","",_xlfn.XLOOKUP(tblOrdenes[[#This Row],[centro_costo]],tblCECO[codigo],tblCECO[coordinador],"(sin catálogo)"))</f>
        <v/>
      </c>
      <c r="AB173" s="5">
        <f>IF(tblOrdenes[[#This Row],[puesto_trabajo]]="","",_xlfn.XLOOKUP(tblOrdenes[[#This Row],[puesto_trabajo]],tblPuestos[codigo],tblPuestos[especialidad],"(sin catálogo)"))</f>
        <v/>
      </c>
      <c r="AC173" s="5">
        <f>IF(tblOrdenes[[#This Row],[cod_actividad]]="","",_xlfn.XLOOKUP(tblOrdenes[[#This Row],[cod_actividad]],tblActividades[codigo],tblActividades[descripcion],"(sin catálogo)"))</f>
        <v/>
      </c>
      <c r="AD173" s="23">
        <f>IF(tblOrdenes[[#This Row],[fecha_inicio]]="","",TODAY()-tblOrdenes[[#This Row],[fecha_inicio]])</f>
        <v/>
      </c>
      <c r="AE1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5">
        <f>IF(tblOrdenes[[#This Row],[backlog_habiles]]="","",IF(tblOrdenes[[#This Row],[backlog_habiles]]&lt;0,"FUTURO",IF(tblOrdenes[[#This Row],[backlog_habiles]]&gt;p_dias_backlog_max,"BACKLOG","MES CORRIENTE")))</f>
        <v/>
      </c>
      <c r="AG173" s="5">
        <f>IF(tblOrdenes[[#This Row],[backlog_habiles]]="",FALSE,AND(tblOrdenes[[#This Row],[backlog_habiles]]&gt;p_dias_backlog_min,tblOrdenes[[#This Row],[backlog_habiles]]&lt;=p_dias_backlog_max))</f>
        <v/>
      </c>
      <c r="AH173" s="4" t="n"/>
      <c r="AI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18">
        <f>IF(tblOrdenes[[#This Row],[orden]]="","",_xlfn.XLOOKUP(tblOrdenes[[#This Row],[id_operacion]],tblEjecucion[id_operacion],tblEjecucion[precio],0))</f>
        <v/>
      </c>
      <c r="AM173" s="18">
        <f>IF(tblOrdenes[[#This Row],[orden]]="","",MAX(0,_xlfn.XLOOKUP(tblOrdenes[[#This Row],[id_operacion]],tblEjecucion[id_operacion],tblEjecucion[costo_plan_total],0)-tblOrdenes[[#This Row],[costo_servicio]]))</f>
        <v/>
      </c>
      <c r="AN173" s="18">
        <f>IF(tblOrdenes[[#This Row],[orden]]="","",tblOrdenes[[#This Row],[costo_servicio]]+tblOrdenes[[#This Row],[costo_materiales]])</f>
        <v/>
      </c>
      <c r="AO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n"/>
      <c r="AQ173" s="4" t="n"/>
      <c r="AR173" s="4" t="n"/>
      <c r="AS173" s="5">
        <f>IF(tblOrdenes[[#This Row],[link_checklist]]="","",HYPERLINK(p_ruta_base_checklists&amp;tblOrdenes[[#This Row],[link_checklist]],"abrir"))</f>
        <v/>
      </c>
      <c r="AT173" s="4" t="n"/>
      <c r="AU173" s="5">
        <f>IF(tblOrdenes[[#This Row],[orden]]="","",tblOrdenes[[#This Row],[orden]]&amp;IF(tblOrdenes[[#This Row],[operacion]]="","0010",tblOrdenes[[#This Row],[operacion]]))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25" t="n"/>
      <c r="K174" s="5" t="n"/>
      <c r="L174" s="18" t="n"/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Row],[fecha_inicio]]="","",tblOrdenes[[#This Row],[anio]]&amp;"-"&amp;TEXT(tblOrdenes[[#This Row],[mes]],"00"))</f>
        <v/>
      </c>
      <c r="S174" s="5">
        <f>IF(tblOrdenes[[#This Row],[fecha_inicio]]="","",INDEX(lista_dias,WEEKDAY(tblOrdenes[[#This Row],[fecha_inicio]],2)))</f>
        <v/>
      </c>
      <c r="T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5">
        <f>IF(tblOrdenes[[#This Row],[tipo_ot]]="","",_xlfn.XLOOKUP(tblOrdenes[[#This Row],[tipo_ot]],tblTiposOT[codigo],tblTiposOT[clasificacion],"sin_clasificar"))</f>
        <v/>
      </c>
      <c r="V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5">
        <f>IF(tblOrdenes[[#This Row],[centro_costo]]="","",_xlfn.XLOOKUP(tblOrdenes[[#This Row],[centro_costo]],tblCECO[codigo],tblCECO[linea],"(sin catálogo)"))</f>
        <v/>
      </c>
      <c r="Y174" s="5">
        <f>IF(tblOrdenes[[#This Row],[centro_costo]]="","",_xlfn.XLOOKUP(tblOrdenes[[#This Row],[centro_costo]],tblCECO[codigo],tblCECO[area],"(sin catálogo)"))</f>
        <v/>
      </c>
      <c r="Z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5">
        <f>IF(tblOrdenes[[#This Row],[centro_costo]]="","",_xlfn.XLOOKUP(tblOrdenes[[#This Row],[centro_costo]],tblCECO[codigo],tblCECO[coordinador],"(sin catálogo)"))</f>
        <v/>
      </c>
      <c r="AB174" s="5">
        <f>IF(tblOrdenes[[#This Row],[puesto_trabajo]]="","",_xlfn.XLOOKUP(tblOrdenes[[#This Row],[puesto_trabajo]],tblPuestos[codigo],tblPuestos[especialidad],"(sin catálogo)"))</f>
        <v/>
      </c>
      <c r="AC174" s="5">
        <f>IF(tblOrdenes[[#This Row],[cod_actividad]]="","",_xlfn.XLOOKUP(tblOrdenes[[#This Row],[cod_actividad]],tblActividades[codigo],tblActividades[descripcion],"(sin catálogo)"))</f>
        <v/>
      </c>
      <c r="AD174" s="23">
        <f>IF(tblOrdenes[[#This Row],[fecha_inicio]]="","",TODAY()-tblOrdenes[[#This Row],[fecha_inicio]])</f>
        <v/>
      </c>
      <c r="AE1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5">
        <f>IF(tblOrdenes[[#This Row],[backlog_habiles]]="","",IF(tblOrdenes[[#This Row],[backlog_habiles]]&lt;0,"FUTURO",IF(tblOrdenes[[#This Row],[backlog_habiles]]&gt;p_dias_backlog_max,"BACKLOG","MES CORRIENTE")))</f>
        <v/>
      </c>
      <c r="AG174" s="5">
        <f>IF(tblOrdenes[[#This Row],[backlog_habiles]]="",FALSE,AND(tblOrdenes[[#This Row],[backlog_habiles]]&gt;p_dias_backlog_min,tblOrdenes[[#This Row],[backlog_habiles]]&lt;=p_dias_backlog_max))</f>
        <v/>
      </c>
      <c r="AH174" s="4" t="n"/>
      <c r="AI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18">
        <f>IF(tblOrdenes[[#This Row],[orden]]="","",_xlfn.XLOOKUP(tblOrdenes[[#This Row],[id_operacion]],tblEjecucion[id_operacion],tblEjecucion[precio],0))</f>
        <v/>
      </c>
      <c r="AM174" s="18">
        <f>IF(tblOrdenes[[#This Row],[orden]]="","",MAX(0,_xlfn.XLOOKUP(tblOrdenes[[#This Row],[id_operacion]],tblEjecucion[id_operacion],tblEjecucion[costo_plan_total],0)-tblOrdenes[[#This Row],[costo_servicio]]))</f>
        <v/>
      </c>
      <c r="AN174" s="18">
        <f>IF(tblOrdenes[[#This Row],[orden]]="","",tblOrdenes[[#This Row],[costo_servicio]]+tblOrdenes[[#This Row],[costo_materiales]])</f>
        <v/>
      </c>
      <c r="AO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n"/>
      <c r="AQ174" s="4" t="n"/>
      <c r="AR174" s="4" t="n"/>
      <c r="AS174" s="5">
        <f>IF(tblOrdenes[[#This Row],[link_checklist]]="","",HYPERLINK(p_ruta_base_checklists&amp;tblOrdenes[[#This Row],[link_checklist]],"abrir"))</f>
        <v/>
      </c>
      <c r="AT174" s="4" t="n"/>
      <c r="AU174" s="5">
        <f>IF(tblOrdenes[[#This Row],[orden]]="","",tblOrdenes[[#This Row],[orden]]&amp;IF(tblOrdenes[[#This Row],[operacion]]="","0010",tblOrdenes[[#This Row],[operacion]]))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25" t="n"/>
      <c r="K175" s="5" t="n"/>
      <c r="L175" s="18" t="n"/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Row],[fecha_inicio]]="","",tblOrdenes[[#This Row],[anio]]&amp;"-"&amp;TEXT(tblOrdenes[[#This Row],[mes]],"00"))</f>
        <v/>
      </c>
      <c r="S175" s="5">
        <f>IF(tblOrdenes[[#This Row],[fecha_inicio]]="","",INDEX(lista_dias,WEEKDAY(tblOrdenes[[#This Row],[fecha_inicio]],2)))</f>
        <v/>
      </c>
      <c r="T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5">
        <f>IF(tblOrdenes[[#This Row],[tipo_ot]]="","",_xlfn.XLOOKUP(tblOrdenes[[#This Row],[tipo_ot]],tblTiposOT[codigo],tblTiposOT[clasificacion],"sin_clasificar"))</f>
        <v/>
      </c>
      <c r="V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5">
        <f>IF(tblOrdenes[[#This Row],[centro_costo]]="","",_xlfn.XLOOKUP(tblOrdenes[[#This Row],[centro_costo]],tblCECO[codigo],tblCECO[linea],"(sin catálogo)"))</f>
        <v/>
      </c>
      <c r="Y175" s="5">
        <f>IF(tblOrdenes[[#This Row],[centro_costo]]="","",_xlfn.XLOOKUP(tblOrdenes[[#This Row],[centro_costo]],tblCECO[codigo],tblCECO[area],"(sin catálogo)"))</f>
        <v/>
      </c>
      <c r="Z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5">
        <f>IF(tblOrdenes[[#This Row],[centro_costo]]="","",_xlfn.XLOOKUP(tblOrdenes[[#This Row],[centro_costo]],tblCECO[codigo],tblCECO[coordinador],"(sin catálogo)"))</f>
        <v/>
      </c>
      <c r="AB175" s="5">
        <f>IF(tblOrdenes[[#This Row],[puesto_trabajo]]="","",_xlfn.XLOOKUP(tblOrdenes[[#This Row],[puesto_trabajo]],tblPuestos[codigo],tblPuestos[especialidad],"(sin catálogo)"))</f>
        <v/>
      </c>
      <c r="AC175" s="5">
        <f>IF(tblOrdenes[[#This Row],[cod_actividad]]="","",_xlfn.XLOOKUP(tblOrdenes[[#This Row],[cod_actividad]],tblActividades[codigo],tblActividades[descripcion],"(sin catálogo)"))</f>
        <v/>
      </c>
      <c r="AD175" s="23">
        <f>IF(tblOrdenes[[#This Row],[fecha_inicio]]="","",TODAY()-tblOrdenes[[#This Row],[fecha_inicio]])</f>
        <v/>
      </c>
      <c r="AE1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5">
        <f>IF(tblOrdenes[[#This Row],[backlog_habiles]]="","",IF(tblOrdenes[[#This Row],[backlog_habiles]]&lt;0,"FUTURO",IF(tblOrdenes[[#This Row],[backlog_habiles]]&gt;p_dias_backlog_max,"BACKLOG","MES CORRIENTE")))</f>
        <v/>
      </c>
      <c r="AG175" s="5">
        <f>IF(tblOrdenes[[#This Row],[backlog_habiles]]="",FALSE,AND(tblOrdenes[[#This Row],[backlog_habiles]]&gt;p_dias_backlog_min,tblOrdenes[[#This Row],[backlog_habiles]]&lt;=p_dias_backlog_max))</f>
        <v/>
      </c>
      <c r="AH175" s="4" t="n"/>
      <c r="AI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18">
        <f>IF(tblOrdenes[[#This Row],[orden]]="","",_xlfn.XLOOKUP(tblOrdenes[[#This Row],[id_operacion]],tblEjecucion[id_operacion],tblEjecucion[precio],0))</f>
        <v/>
      </c>
      <c r="AM175" s="18">
        <f>IF(tblOrdenes[[#This Row],[orden]]="","",MAX(0,_xlfn.XLOOKUP(tblOrdenes[[#This Row],[id_operacion]],tblEjecucion[id_operacion],tblEjecucion[costo_plan_total],0)-tblOrdenes[[#This Row],[costo_servicio]]))</f>
        <v/>
      </c>
      <c r="AN175" s="18">
        <f>IF(tblOrdenes[[#This Row],[orden]]="","",tblOrdenes[[#This Row],[costo_servicio]]+tblOrdenes[[#This Row],[costo_materiales]])</f>
        <v/>
      </c>
      <c r="AO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n"/>
      <c r="AQ175" s="4" t="n"/>
      <c r="AR175" s="4" t="n"/>
      <c r="AS175" s="5">
        <f>IF(tblOrdenes[[#This Row],[link_checklist]]="","",HYPERLINK(p_ruta_base_checklists&amp;tblOrdenes[[#This Row],[link_checklist]],"abrir"))</f>
        <v/>
      </c>
      <c r="AT175" s="4" t="n"/>
      <c r="AU175" s="5">
        <f>IF(tblOrdenes[[#This Row],[orden]]="","",tblOrdenes[[#This Row],[orden]]&amp;IF(tblOrdenes[[#This Row],[operacion]]="","0010",tblOrdenes[[#This Row],[operacion]]))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25" t="n"/>
      <c r="K176" s="5" t="n"/>
      <c r="L176" s="18" t="n"/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Row],[fecha_inicio]]="","",tblOrdenes[[#This Row],[anio]]&amp;"-"&amp;TEXT(tblOrdenes[[#This Row],[mes]],"00"))</f>
        <v/>
      </c>
      <c r="S176" s="5">
        <f>IF(tblOrdenes[[#This Row],[fecha_inicio]]="","",INDEX(lista_dias,WEEKDAY(tblOrdenes[[#This Row],[fecha_inicio]],2)))</f>
        <v/>
      </c>
      <c r="T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5">
        <f>IF(tblOrdenes[[#This Row],[tipo_ot]]="","",_xlfn.XLOOKUP(tblOrdenes[[#This Row],[tipo_ot]],tblTiposOT[codigo],tblTiposOT[clasificacion],"sin_clasificar"))</f>
        <v/>
      </c>
      <c r="V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5">
        <f>IF(tblOrdenes[[#This Row],[centro_costo]]="","",_xlfn.XLOOKUP(tblOrdenes[[#This Row],[centro_costo]],tblCECO[codigo],tblCECO[linea],"(sin catálogo)"))</f>
        <v/>
      </c>
      <c r="Y176" s="5">
        <f>IF(tblOrdenes[[#This Row],[centro_costo]]="","",_xlfn.XLOOKUP(tblOrdenes[[#This Row],[centro_costo]],tblCECO[codigo],tblCECO[area],"(sin catálogo)"))</f>
        <v/>
      </c>
      <c r="Z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5">
        <f>IF(tblOrdenes[[#This Row],[centro_costo]]="","",_xlfn.XLOOKUP(tblOrdenes[[#This Row],[centro_costo]],tblCECO[codigo],tblCECO[coordinador],"(sin catálogo)"))</f>
        <v/>
      </c>
      <c r="AB176" s="5">
        <f>IF(tblOrdenes[[#This Row],[puesto_trabajo]]="","",_xlfn.XLOOKUP(tblOrdenes[[#This Row],[puesto_trabajo]],tblPuestos[codigo],tblPuestos[especialidad],"(sin catálogo)"))</f>
        <v/>
      </c>
      <c r="AC176" s="5">
        <f>IF(tblOrdenes[[#This Row],[cod_actividad]]="","",_xlfn.XLOOKUP(tblOrdenes[[#This Row],[cod_actividad]],tblActividades[codigo],tblActividades[descripcion],"(sin catálogo)"))</f>
        <v/>
      </c>
      <c r="AD176" s="23">
        <f>IF(tblOrdenes[[#This Row],[fecha_inicio]]="","",TODAY()-tblOrdenes[[#This Row],[fecha_inicio]])</f>
        <v/>
      </c>
      <c r="AE1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5">
        <f>IF(tblOrdenes[[#This Row],[backlog_habiles]]="","",IF(tblOrdenes[[#This Row],[backlog_habiles]]&lt;0,"FUTURO",IF(tblOrdenes[[#This Row],[backlog_habiles]]&gt;p_dias_backlog_max,"BACKLOG","MES CORRIENTE")))</f>
        <v/>
      </c>
      <c r="AG176" s="5">
        <f>IF(tblOrdenes[[#This Row],[backlog_habiles]]="",FALSE,AND(tblOrdenes[[#This Row],[backlog_habiles]]&gt;p_dias_backlog_min,tblOrdenes[[#This Row],[backlog_habiles]]&lt;=p_dias_backlog_max))</f>
        <v/>
      </c>
      <c r="AH176" s="4" t="n"/>
      <c r="AI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18">
        <f>IF(tblOrdenes[[#This Row],[orden]]="","",_xlfn.XLOOKUP(tblOrdenes[[#This Row],[id_operacion]],tblEjecucion[id_operacion],tblEjecucion[precio],0))</f>
        <v/>
      </c>
      <c r="AM176" s="18">
        <f>IF(tblOrdenes[[#This Row],[orden]]="","",MAX(0,_xlfn.XLOOKUP(tblOrdenes[[#This Row],[id_operacion]],tblEjecucion[id_operacion],tblEjecucion[costo_plan_total],0)-tblOrdenes[[#This Row],[costo_servicio]]))</f>
        <v/>
      </c>
      <c r="AN176" s="18">
        <f>IF(tblOrdenes[[#This Row],[orden]]="","",tblOrdenes[[#This Row],[costo_servicio]]+tblOrdenes[[#This Row],[costo_materiales]])</f>
        <v/>
      </c>
      <c r="AO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n"/>
      <c r="AQ176" s="4" t="n"/>
      <c r="AR176" s="4" t="n"/>
      <c r="AS176" s="5">
        <f>IF(tblOrdenes[[#This Row],[link_checklist]]="","",HYPERLINK(p_ruta_base_checklists&amp;tblOrdenes[[#This Row],[link_checklist]],"abrir"))</f>
        <v/>
      </c>
      <c r="AT176" s="4" t="n"/>
      <c r="AU176" s="5">
        <f>IF(tblOrdenes[[#This Row],[orden]]="","",tblOrdenes[[#This Row],[orden]]&amp;IF(tblOrdenes[[#This Row],[operacion]]="","0010",tblOrdenes[[#This Row],[operacion]]))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25" t="n"/>
      <c r="K177" s="5" t="n"/>
      <c r="L177" s="18" t="n"/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Row],[fecha_inicio]]="","",tblOrdenes[[#This Row],[anio]]&amp;"-"&amp;TEXT(tblOrdenes[[#This Row],[mes]],"00"))</f>
        <v/>
      </c>
      <c r="S177" s="5">
        <f>IF(tblOrdenes[[#This Row],[fecha_inicio]]="","",INDEX(lista_dias,WEEKDAY(tblOrdenes[[#This Row],[fecha_inicio]],2)))</f>
        <v/>
      </c>
      <c r="T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5">
        <f>IF(tblOrdenes[[#This Row],[tipo_ot]]="","",_xlfn.XLOOKUP(tblOrdenes[[#This Row],[tipo_ot]],tblTiposOT[codigo],tblTiposOT[clasificacion],"sin_clasificar"))</f>
        <v/>
      </c>
      <c r="V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5">
        <f>IF(tblOrdenes[[#This Row],[centro_costo]]="","",_xlfn.XLOOKUP(tblOrdenes[[#This Row],[centro_costo]],tblCECO[codigo],tblCECO[linea],"(sin catálogo)"))</f>
        <v/>
      </c>
      <c r="Y177" s="5">
        <f>IF(tblOrdenes[[#This Row],[centro_costo]]="","",_xlfn.XLOOKUP(tblOrdenes[[#This Row],[centro_costo]],tblCECO[codigo],tblCECO[area],"(sin catálogo)"))</f>
        <v/>
      </c>
      <c r="Z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5">
        <f>IF(tblOrdenes[[#This Row],[centro_costo]]="","",_xlfn.XLOOKUP(tblOrdenes[[#This Row],[centro_costo]],tblCECO[codigo],tblCECO[coordinador],"(sin catálogo)"))</f>
        <v/>
      </c>
      <c r="AB177" s="5">
        <f>IF(tblOrdenes[[#This Row],[puesto_trabajo]]="","",_xlfn.XLOOKUP(tblOrdenes[[#This Row],[puesto_trabajo]],tblPuestos[codigo],tblPuestos[especialidad],"(sin catálogo)"))</f>
        <v/>
      </c>
      <c r="AC177" s="5">
        <f>IF(tblOrdenes[[#This Row],[cod_actividad]]="","",_xlfn.XLOOKUP(tblOrdenes[[#This Row],[cod_actividad]],tblActividades[codigo],tblActividades[descripcion],"(sin catálogo)"))</f>
        <v/>
      </c>
      <c r="AD177" s="23">
        <f>IF(tblOrdenes[[#This Row],[fecha_inicio]]="","",TODAY()-tblOrdenes[[#This Row],[fecha_inicio]])</f>
        <v/>
      </c>
      <c r="AE1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5">
        <f>IF(tblOrdenes[[#This Row],[backlog_habiles]]="","",IF(tblOrdenes[[#This Row],[backlog_habiles]]&lt;0,"FUTURO",IF(tblOrdenes[[#This Row],[backlog_habiles]]&gt;p_dias_backlog_max,"BACKLOG","MES CORRIENTE")))</f>
        <v/>
      </c>
      <c r="AG177" s="5">
        <f>IF(tblOrdenes[[#This Row],[backlog_habiles]]="",FALSE,AND(tblOrdenes[[#This Row],[backlog_habiles]]&gt;p_dias_backlog_min,tblOrdenes[[#This Row],[backlog_habiles]]&lt;=p_dias_backlog_max))</f>
        <v/>
      </c>
      <c r="AH177" s="4" t="n"/>
      <c r="AI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18">
        <f>IF(tblOrdenes[[#This Row],[orden]]="","",_xlfn.XLOOKUP(tblOrdenes[[#This Row],[id_operacion]],tblEjecucion[id_operacion],tblEjecucion[precio],0))</f>
        <v/>
      </c>
      <c r="AM177" s="18">
        <f>IF(tblOrdenes[[#This Row],[orden]]="","",MAX(0,_xlfn.XLOOKUP(tblOrdenes[[#This Row],[id_operacion]],tblEjecucion[id_operacion],tblEjecucion[costo_plan_total],0)-tblOrdenes[[#This Row],[costo_servicio]]))</f>
        <v/>
      </c>
      <c r="AN177" s="18">
        <f>IF(tblOrdenes[[#This Row],[orden]]="","",tblOrdenes[[#This Row],[costo_servicio]]+tblOrdenes[[#This Row],[costo_materiales]])</f>
        <v/>
      </c>
      <c r="AO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n"/>
      <c r="AQ177" s="4" t="n"/>
      <c r="AR177" s="4" t="n"/>
      <c r="AS177" s="5">
        <f>IF(tblOrdenes[[#This Row],[link_checklist]]="","",HYPERLINK(p_ruta_base_checklists&amp;tblOrdenes[[#This Row],[link_checklist]],"abrir"))</f>
        <v/>
      </c>
      <c r="AT177" s="4" t="n"/>
      <c r="AU177" s="5">
        <f>IF(tblOrdenes[[#This Row],[orden]]="","",tblOrdenes[[#This Row],[orden]]&amp;IF(tblOrdenes[[#This Row],[operacion]]="","0010",tblOrdenes[[#This Row],[operacion]]))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25" t="n"/>
      <c r="K178" s="5" t="n"/>
      <c r="L178" s="18" t="n"/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Row],[fecha_inicio]]="","",tblOrdenes[[#This Row],[anio]]&amp;"-"&amp;TEXT(tblOrdenes[[#This Row],[mes]],"00"))</f>
        <v/>
      </c>
      <c r="S178" s="5">
        <f>IF(tblOrdenes[[#This Row],[fecha_inicio]]="","",INDEX(lista_dias,WEEKDAY(tblOrdenes[[#This Row],[fecha_inicio]],2)))</f>
        <v/>
      </c>
      <c r="T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5">
        <f>IF(tblOrdenes[[#This Row],[tipo_ot]]="","",_xlfn.XLOOKUP(tblOrdenes[[#This Row],[tipo_ot]],tblTiposOT[codigo],tblTiposOT[clasificacion],"sin_clasificar"))</f>
        <v/>
      </c>
      <c r="V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5">
        <f>IF(tblOrdenes[[#This Row],[centro_costo]]="","",_xlfn.XLOOKUP(tblOrdenes[[#This Row],[centro_costo]],tblCECO[codigo],tblCECO[linea],"(sin catálogo)"))</f>
        <v/>
      </c>
      <c r="Y178" s="5">
        <f>IF(tblOrdenes[[#This Row],[centro_costo]]="","",_xlfn.XLOOKUP(tblOrdenes[[#This Row],[centro_costo]],tblCECO[codigo],tblCECO[area],"(sin catálogo)"))</f>
        <v/>
      </c>
      <c r="Z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5">
        <f>IF(tblOrdenes[[#This Row],[centro_costo]]="","",_xlfn.XLOOKUP(tblOrdenes[[#This Row],[centro_costo]],tblCECO[codigo],tblCECO[coordinador],"(sin catálogo)"))</f>
        <v/>
      </c>
      <c r="AB178" s="5">
        <f>IF(tblOrdenes[[#This Row],[puesto_trabajo]]="","",_xlfn.XLOOKUP(tblOrdenes[[#This Row],[puesto_trabajo]],tblPuestos[codigo],tblPuestos[especialidad],"(sin catálogo)"))</f>
        <v/>
      </c>
      <c r="AC178" s="5">
        <f>IF(tblOrdenes[[#This Row],[cod_actividad]]="","",_xlfn.XLOOKUP(tblOrdenes[[#This Row],[cod_actividad]],tblActividades[codigo],tblActividades[descripcion],"(sin catálogo)"))</f>
        <v/>
      </c>
      <c r="AD178" s="23">
        <f>IF(tblOrdenes[[#This Row],[fecha_inicio]]="","",TODAY()-tblOrdenes[[#This Row],[fecha_inicio]])</f>
        <v/>
      </c>
      <c r="AE1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5">
        <f>IF(tblOrdenes[[#This Row],[backlog_habiles]]="","",IF(tblOrdenes[[#This Row],[backlog_habiles]]&lt;0,"FUTURO",IF(tblOrdenes[[#This Row],[backlog_habiles]]&gt;p_dias_backlog_max,"BACKLOG","MES CORRIENTE")))</f>
        <v/>
      </c>
      <c r="AG178" s="5">
        <f>IF(tblOrdenes[[#This Row],[backlog_habiles]]="",FALSE,AND(tblOrdenes[[#This Row],[backlog_habiles]]&gt;p_dias_backlog_min,tblOrdenes[[#This Row],[backlog_habiles]]&lt;=p_dias_backlog_max))</f>
        <v/>
      </c>
      <c r="AH178" s="4" t="n"/>
      <c r="AI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18">
        <f>IF(tblOrdenes[[#This Row],[orden]]="","",_xlfn.XLOOKUP(tblOrdenes[[#This Row],[id_operacion]],tblEjecucion[id_operacion],tblEjecucion[precio],0))</f>
        <v/>
      </c>
      <c r="AM178" s="18">
        <f>IF(tblOrdenes[[#This Row],[orden]]="","",MAX(0,_xlfn.XLOOKUP(tblOrdenes[[#This Row],[id_operacion]],tblEjecucion[id_operacion],tblEjecucion[costo_plan_total],0)-tblOrdenes[[#This Row],[costo_servicio]]))</f>
        <v/>
      </c>
      <c r="AN178" s="18">
        <f>IF(tblOrdenes[[#This Row],[orden]]="","",tblOrdenes[[#This Row],[costo_servicio]]+tblOrdenes[[#This Row],[costo_materiales]])</f>
        <v/>
      </c>
      <c r="AO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n"/>
      <c r="AQ178" s="4" t="n"/>
      <c r="AR178" s="4" t="n"/>
      <c r="AS178" s="5">
        <f>IF(tblOrdenes[[#This Row],[link_checklist]]="","",HYPERLINK(p_ruta_base_checklists&amp;tblOrdenes[[#This Row],[link_checklist]],"abrir"))</f>
        <v/>
      </c>
      <c r="AT178" s="4" t="n"/>
      <c r="AU178" s="5">
        <f>IF(tblOrdenes[[#This Row],[orden]]="","",tblOrdenes[[#This Row],[orden]]&amp;IF(tblOrdenes[[#This Row],[operacion]]="","0010",tblOrdenes[[#This Row],[operacion]]))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25" t="n"/>
      <c r="K179" s="5" t="n"/>
      <c r="L179" s="18" t="n"/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Row],[fecha_inicio]]="","",tblOrdenes[[#This Row],[anio]]&amp;"-"&amp;TEXT(tblOrdenes[[#This Row],[mes]],"00"))</f>
        <v/>
      </c>
      <c r="S179" s="5">
        <f>IF(tblOrdenes[[#This Row],[fecha_inicio]]="","",INDEX(lista_dias,WEEKDAY(tblOrdenes[[#This Row],[fecha_inicio]],2)))</f>
        <v/>
      </c>
      <c r="T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5">
        <f>IF(tblOrdenes[[#This Row],[tipo_ot]]="","",_xlfn.XLOOKUP(tblOrdenes[[#This Row],[tipo_ot]],tblTiposOT[codigo],tblTiposOT[clasificacion],"sin_clasificar"))</f>
        <v/>
      </c>
      <c r="V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5">
        <f>IF(tblOrdenes[[#This Row],[centro_costo]]="","",_xlfn.XLOOKUP(tblOrdenes[[#This Row],[centro_costo]],tblCECO[codigo],tblCECO[linea],"(sin catálogo)"))</f>
        <v/>
      </c>
      <c r="Y179" s="5">
        <f>IF(tblOrdenes[[#This Row],[centro_costo]]="","",_xlfn.XLOOKUP(tblOrdenes[[#This Row],[centro_costo]],tblCECO[codigo],tblCECO[area],"(sin catálogo)"))</f>
        <v/>
      </c>
      <c r="Z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5">
        <f>IF(tblOrdenes[[#This Row],[centro_costo]]="","",_xlfn.XLOOKUP(tblOrdenes[[#This Row],[centro_costo]],tblCECO[codigo],tblCECO[coordinador],"(sin catálogo)"))</f>
        <v/>
      </c>
      <c r="AB179" s="5">
        <f>IF(tblOrdenes[[#This Row],[puesto_trabajo]]="","",_xlfn.XLOOKUP(tblOrdenes[[#This Row],[puesto_trabajo]],tblPuestos[codigo],tblPuestos[especialidad],"(sin catálogo)"))</f>
        <v/>
      </c>
      <c r="AC179" s="5">
        <f>IF(tblOrdenes[[#This Row],[cod_actividad]]="","",_xlfn.XLOOKUP(tblOrdenes[[#This Row],[cod_actividad]],tblActividades[codigo],tblActividades[descripcion],"(sin catálogo)"))</f>
        <v/>
      </c>
      <c r="AD179" s="23">
        <f>IF(tblOrdenes[[#This Row],[fecha_inicio]]="","",TODAY()-tblOrdenes[[#This Row],[fecha_inicio]])</f>
        <v/>
      </c>
      <c r="AE1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5">
        <f>IF(tblOrdenes[[#This Row],[backlog_habiles]]="","",IF(tblOrdenes[[#This Row],[backlog_habiles]]&lt;0,"FUTURO",IF(tblOrdenes[[#This Row],[backlog_habiles]]&gt;p_dias_backlog_max,"BACKLOG","MES CORRIENTE")))</f>
        <v/>
      </c>
      <c r="AG179" s="5">
        <f>IF(tblOrdenes[[#This Row],[backlog_habiles]]="",FALSE,AND(tblOrdenes[[#This Row],[backlog_habiles]]&gt;p_dias_backlog_min,tblOrdenes[[#This Row],[backlog_habiles]]&lt;=p_dias_backlog_max))</f>
        <v/>
      </c>
      <c r="AH179" s="4" t="n"/>
      <c r="AI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18">
        <f>IF(tblOrdenes[[#This Row],[orden]]="","",_xlfn.XLOOKUP(tblOrdenes[[#This Row],[id_operacion]],tblEjecucion[id_operacion],tblEjecucion[precio],0))</f>
        <v/>
      </c>
      <c r="AM179" s="18">
        <f>IF(tblOrdenes[[#This Row],[orden]]="","",MAX(0,_xlfn.XLOOKUP(tblOrdenes[[#This Row],[id_operacion]],tblEjecucion[id_operacion],tblEjecucion[costo_plan_total],0)-tblOrdenes[[#This Row],[costo_servicio]]))</f>
        <v/>
      </c>
      <c r="AN179" s="18">
        <f>IF(tblOrdenes[[#This Row],[orden]]="","",tblOrdenes[[#This Row],[costo_servicio]]+tblOrdenes[[#This Row],[costo_materiales]])</f>
        <v/>
      </c>
      <c r="AO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n"/>
      <c r="AQ179" s="4" t="n"/>
      <c r="AR179" s="4" t="n"/>
      <c r="AS179" s="5">
        <f>IF(tblOrdenes[[#This Row],[link_checklist]]="","",HYPERLINK(p_ruta_base_checklists&amp;tblOrdenes[[#This Row],[link_checklist]],"abrir"))</f>
        <v/>
      </c>
      <c r="AT179" s="4" t="n"/>
      <c r="AU179" s="5">
        <f>IF(tblOrdenes[[#This Row],[orden]]="","",tblOrdenes[[#This Row],[orden]]&amp;IF(tblOrdenes[[#This Row],[operacion]]="","0010",tblOrdenes[[#This Row],[operacion]]))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25" t="n"/>
      <c r="K180" s="5" t="n"/>
      <c r="L180" s="18" t="n"/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Row],[fecha_inicio]]="","",tblOrdenes[[#This Row],[anio]]&amp;"-"&amp;TEXT(tblOrdenes[[#This Row],[mes]],"00"))</f>
        <v/>
      </c>
      <c r="S180" s="5">
        <f>IF(tblOrdenes[[#This Row],[fecha_inicio]]="","",INDEX(lista_dias,WEEKDAY(tblOrdenes[[#This Row],[fecha_inicio]],2)))</f>
        <v/>
      </c>
      <c r="T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5">
        <f>IF(tblOrdenes[[#This Row],[tipo_ot]]="","",_xlfn.XLOOKUP(tblOrdenes[[#This Row],[tipo_ot]],tblTiposOT[codigo],tblTiposOT[clasificacion],"sin_clasificar"))</f>
        <v/>
      </c>
      <c r="V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5">
        <f>IF(tblOrdenes[[#This Row],[centro_costo]]="","",_xlfn.XLOOKUP(tblOrdenes[[#This Row],[centro_costo]],tblCECO[codigo],tblCECO[linea],"(sin catálogo)"))</f>
        <v/>
      </c>
      <c r="Y180" s="5">
        <f>IF(tblOrdenes[[#This Row],[centro_costo]]="","",_xlfn.XLOOKUP(tblOrdenes[[#This Row],[centro_costo]],tblCECO[codigo],tblCECO[area],"(sin catálogo)"))</f>
        <v/>
      </c>
      <c r="Z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5">
        <f>IF(tblOrdenes[[#This Row],[centro_costo]]="","",_xlfn.XLOOKUP(tblOrdenes[[#This Row],[centro_costo]],tblCECO[codigo],tblCECO[coordinador],"(sin catálogo)"))</f>
        <v/>
      </c>
      <c r="AB180" s="5">
        <f>IF(tblOrdenes[[#This Row],[puesto_trabajo]]="","",_xlfn.XLOOKUP(tblOrdenes[[#This Row],[puesto_trabajo]],tblPuestos[codigo],tblPuestos[especialidad],"(sin catálogo)"))</f>
        <v/>
      </c>
      <c r="AC180" s="5">
        <f>IF(tblOrdenes[[#This Row],[cod_actividad]]="","",_xlfn.XLOOKUP(tblOrdenes[[#This Row],[cod_actividad]],tblActividades[codigo],tblActividades[descripcion],"(sin catálogo)"))</f>
        <v/>
      </c>
      <c r="AD180" s="23">
        <f>IF(tblOrdenes[[#This Row],[fecha_inicio]]="","",TODAY()-tblOrdenes[[#This Row],[fecha_inicio]])</f>
        <v/>
      </c>
      <c r="AE1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5">
        <f>IF(tblOrdenes[[#This Row],[backlog_habiles]]="","",IF(tblOrdenes[[#This Row],[backlog_habiles]]&lt;0,"FUTURO",IF(tblOrdenes[[#This Row],[backlog_habiles]]&gt;p_dias_backlog_max,"BACKLOG","MES CORRIENTE")))</f>
        <v/>
      </c>
      <c r="AG180" s="5">
        <f>IF(tblOrdenes[[#This Row],[backlog_habiles]]="",FALSE,AND(tblOrdenes[[#This Row],[backlog_habiles]]&gt;p_dias_backlog_min,tblOrdenes[[#This Row],[backlog_habiles]]&lt;=p_dias_backlog_max))</f>
        <v/>
      </c>
      <c r="AH180" s="4" t="n"/>
      <c r="AI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18">
        <f>IF(tblOrdenes[[#This Row],[orden]]="","",_xlfn.XLOOKUP(tblOrdenes[[#This Row],[id_operacion]],tblEjecucion[id_operacion],tblEjecucion[precio],0))</f>
        <v/>
      </c>
      <c r="AM180" s="18">
        <f>IF(tblOrdenes[[#This Row],[orden]]="","",MAX(0,_xlfn.XLOOKUP(tblOrdenes[[#This Row],[id_operacion]],tblEjecucion[id_operacion],tblEjecucion[costo_plan_total],0)-tblOrdenes[[#This Row],[costo_servicio]]))</f>
        <v/>
      </c>
      <c r="AN180" s="18">
        <f>IF(tblOrdenes[[#This Row],[orden]]="","",tblOrdenes[[#This Row],[costo_servicio]]+tblOrdenes[[#This Row],[costo_materiales]])</f>
        <v/>
      </c>
      <c r="AO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n"/>
      <c r="AQ180" s="4" t="n"/>
      <c r="AR180" s="4" t="n"/>
      <c r="AS180" s="5">
        <f>IF(tblOrdenes[[#This Row],[link_checklist]]="","",HYPERLINK(p_ruta_base_checklists&amp;tblOrdenes[[#This Row],[link_checklist]],"abrir"))</f>
        <v/>
      </c>
      <c r="AT180" s="4" t="n"/>
      <c r="AU180" s="5">
        <f>IF(tblOrdenes[[#This Row],[orden]]="","",tblOrdenes[[#This Row],[orden]]&amp;IF(tblOrdenes[[#This Row],[operacion]]="","0010",tblOrdenes[[#This Row],[operacion]]))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25" t="n"/>
      <c r="K181" s="5" t="n"/>
      <c r="L181" s="18" t="n"/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Row],[fecha_inicio]]="","",tblOrdenes[[#This Row],[anio]]&amp;"-"&amp;TEXT(tblOrdenes[[#This Row],[mes]],"00"))</f>
        <v/>
      </c>
      <c r="S181" s="5">
        <f>IF(tblOrdenes[[#This Row],[fecha_inicio]]="","",INDEX(lista_dias,WEEKDAY(tblOrdenes[[#This Row],[fecha_inicio]],2)))</f>
        <v/>
      </c>
      <c r="T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5">
        <f>IF(tblOrdenes[[#This Row],[tipo_ot]]="","",_xlfn.XLOOKUP(tblOrdenes[[#This Row],[tipo_ot]],tblTiposOT[codigo],tblTiposOT[clasificacion],"sin_clasificar"))</f>
        <v/>
      </c>
      <c r="V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5">
        <f>IF(tblOrdenes[[#This Row],[centro_costo]]="","",_xlfn.XLOOKUP(tblOrdenes[[#This Row],[centro_costo]],tblCECO[codigo],tblCECO[linea],"(sin catálogo)"))</f>
        <v/>
      </c>
      <c r="Y181" s="5">
        <f>IF(tblOrdenes[[#This Row],[centro_costo]]="","",_xlfn.XLOOKUP(tblOrdenes[[#This Row],[centro_costo]],tblCECO[codigo],tblCECO[area],"(sin catálogo)"))</f>
        <v/>
      </c>
      <c r="Z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5">
        <f>IF(tblOrdenes[[#This Row],[centro_costo]]="","",_xlfn.XLOOKUP(tblOrdenes[[#This Row],[centro_costo]],tblCECO[codigo],tblCECO[coordinador],"(sin catálogo)"))</f>
        <v/>
      </c>
      <c r="AB181" s="5">
        <f>IF(tblOrdenes[[#This Row],[puesto_trabajo]]="","",_xlfn.XLOOKUP(tblOrdenes[[#This Row],[puesto_trabajo]],tblPuestos[codigo],tblPuestos[especialidad],"(sin catálogo)"))</f>
        <v/>
      </c>
      <c r="AC181" s="5">
        <f>IF(tblOrdenes[[#This Row],[cod_actividad]]="","",_xlfn.XLOOKUP(tblOrdenes[[#This Row],[cod_actividad]],tblActividades[codigo],tblActividades[descripcion],"(sin catálogo)"))</f>
        <v/>
      </c>
      <c r="AD181" s="23">
        <f>IF(tblOrdenes[[#This Row],[fecha_inicio]]="","",TODAY()-tblOrdenes[[#This Row],[fecha_inicio]])</f>
        <v/>
      </c>
      <c r="AE1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5">
        <f>IF(tblOrdenes[[#This Row],[backlog_habiles]]="","",IF(tblOrdenes[[#This Row],[backlog_habiles]]&lt;0,"FUTURO",IF(tblOrdenes[[#This Row],[backlog_habiles]]&gt;p_dias_backlog_max,"BACKLOG","MES CORRIENTE")))</f>
        <v/>
      </c>
      <c r="AG181" s="5">
        <f>IF(tblOrdenes[[#This Row],[backlog_habiles]]="",FALSE,AND(tblOrdenes[[#This Row],[backlog_habiles]]&gt;p_dias_backlog_min,tblOrdenes[[#This Row],[backlog_habiles]]&lt;=p_dias_backlog_max))</f>
        <v/>
      </c>
      <c r="AH181" s="4" t="n"/>
      <c r="AI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18">
        <f>IF(tblOrdenes[[#This Row],[orden]]="","",_xlfn.XLOOKUP(tblOrdenes[[#This Row],[id_operacion]],tblEjecucion[id_operacion],tblEjecucion[precio],0))</f>
        <v/>
      </c>
      <c r="AM181" s="18">
        <f>IF(tblOrdenes[[#This Row],[orden]]="","",MAX(0,_xlfn.XLOOKUP(tblOrdenes[[#This Row],[id_operacion]],tblEjecucion[id_operacion],tblEjecucion[costo_plan_total],0)-tblOrdenes[[#This Row],[costo_servicio]]))</f>
        <v/>
      </c>
      <c r="AN181" s="18">
        <f>IF(tblOrdenes[[#This Row],[orden]]="","",tblOrdenes[[#This Row],[costo_servicio]]+tblOrdenes[[#This Row],[costo_materiales]])</f>
        <v/>
      </c>
      <c r="AO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n"/>
      <c r="AQ181" s="4" t="n"/>
      <c r="AR181" s="4" t="n"/>
      <c r="AS181" s="5">
        <f>IF(tblOrdenes[[#This Row],[link_checklist]]="","",HYPERLINK(p_ruta_base_checklists&amp;tblOrdenes[[#This Row],[link_checklist]],"abrir"))</f>
        <v/>
      </c>
      <c r="AT181" s="4" t="n"/>
      <c r="AU181" s="5">
        <f>IF(tblOrdenes[[#This Row],[orden]]="","",tblOrdenes[[#This Row],[orden]]&amp;IF(tblOrdenes[[#This Row],[operacion]]="","0010",tblOrdenes[[#This Row],[operacion]]))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25" t="n"/>
      <c r="K182" s="5" t="n"/>
      <c r="L182" s="18" t="n"/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Row],[fecha_inicio]]="","",tblOrdenes[[#This Row],[anio]]&amp;"-"&amp;TEXT(tblOrdenes[[#This Row],[mes]],"00"))</f>
        <v/>
      </c>
      <c r="S182" s="5">
        <f>IF(tblOrdenes[[#This Row],[fecha_inicio]]="","",INDEX(lista_dias,WEEKDAY(tblOrdenes[[#This Row],[fecha_inicio]],2)))</f>
        <v/>
      </c>
      <c r="T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5">
        <f>IF(tblOrdenes[[#This Row],[tipo_ot]]="","",_xlfn.XLOOKUP(tblOrdenes[[#This Row],[tipo_ot]],tblTiposOT[codigo],tblTiposOT[clasificacion],"sin_clasificar"))</f>
        <v/>
      </c>
      <c r="V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5">
        <f>IF(tblOrdenes[[#This Row],[centro_costo]]="","",_xlfn.XLOOKUP(tblOrdenes[[#This Row],[centro_costo]],tblCECO[codigo],tblCECO[linea],"(sin catálogo)"))</f>
        <v/>
      </c>
      <c r="Y182" s="5">
        <f>IF(tblOrdenes[[#This Row],[centro_costo]]="","",_xlfn.XLOOKUP(tblOrdenes[[#This Row],[centro_costo]],tblCECO[codigo],tblCECO[area],"(sin catálogo)"))</f>
        <v/>
      </c>
      <c r="Z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5">
        <f>IF(tblOrdenes[[#This Row],[centro_costo]]="","",_xlfn.XLOOKUP(tblOrdenes[[#This Row],[centro_costo]],tblCECO[codigo],tblCECO[coordinador],"(sin catálogo)"))</f>
        <v/>
      </c>
      <c r="AB182" s="5">
        <f>IF(tblOrdenes[[#This Row],[puesto_trabajo]]="","",_xlfn.XLOOKUP(tblOrdenes[[#This Row],[puesto_trabajo]],tblPuestos[codigo],tblPuestos[especialidad],"(sin catálogo)"))</f>
        <v/>
      </c>
      <c r="AC182" s="5">
        <f>IF(tblOrdenes[[#This Row],[cod_actividad]]="","",_xlfn.XLOOKUP(tblOrdenes[[#This Row],[cod_actividad]],tblActividades[codigo],tblActividades[descripcion],"(sin catálogo)"))</f>
        <v/>
      </c>
      <c r="AD182" s="23">
        <f>IF(tblOrdenes[[#This Row],[fecha_inicio]]="","",TODAY()-tblOrdenes[[#This Row],[fecha_inicio]])</f>
        <v/>
      </c>
      <c r="AE1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5">
        <f>IF(tblOrdenes[[#This Row],[backlog_habiles]]="","",IF(tblOrdenes[[#This Row],[backlog_habiles]]&lt;0,"FUTURO",IF(tblOrdenes[[#This Row],[backlog_habiles]]&gt;p_dias_backlog_max,"BACKLOG","MES CORRIENTE")))</f>
        <v/>
      </c>
      <c r="AG182" s="5">
        <f>IF(tblOrdenes[[#This Row],[backlog_habiles]]="",FALSE,AND(tblOrdenes[[#This Row],[backlog_habiles]]&gt;p_dias_backlog_min,tblOrdenes[[#This Row],[backlog_habiles]]&lt;=p_dias_backlog_max))</f>
        <v/>
      </c>
      <c r="AH182" s="4" t="n"/>
      <c r="AI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18">
        <f>IF(tblOrdenes[[#This Row],[orden]]="","",_xlfn.XLOOKUP(tblOrdenes[[#This Row],[id_operacion]],tblEjecucion[id_operacion],tblEjecucion[precio],0))</f>
        <v/>
      </c>
      <c r="AM182" s="18">
        <f>IF(tblOrdenes[[#This Row],[orden]]="","",MAX(0,_xlfn.XLOOKUP(tblOrdenes[[#This Row],[id_operacion]],tblEjecucion[id_operacion],tblEjecucion[costo_plan_total],0)-tblOrdenes[[#This Row],[costo_servicio]]))</f>
        <v/>
      </c>
      <c r="AN182" s="18">
        <f>IF(tblOrdenes[[#This Row],[orden]]="","",tblOrdenes[[#This Row],[costo_servicio]]+tblOrdenes[[#This Row],[costo_materiales]])</f>
        <v/>
      </c>
      <c r="AO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n"/>
      <c r="AQ182" s="4" t="n"/>
      <c r="AR182" s="4" t="n"/>
      <c r="AS182" s="5">
        <f>IF(tblOrdenes[[#This Row],[link_checklist]]="","",HYPERLINK(p_ruta_base_checklists&amp;tblOrdenes[[#This Row],[link_checklist]],"abrir"))</f>
        <v/>
      </c>
      <c r="AT182" s="4" t="n"/>
      <c r="AU182" s="5">
        <f>IF(tblOrdenes[[#This Row],[orden]]="","",tblOrdenes[[#This Row],[orden]]&amp;IF(tblOrdenes[[#This Row],[operacion]]="","0010",tblOrdenes[[#This Row],[operacion]]))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25" t="n"/>
      <c r="K183" s="5" t="n"/>
      <c r="L183" s="18" t="n"/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Row],[fecha_inicio]]="","",tblOrdenes[[#This Row],[anio]]&amp;"-"&amp;TEXT(tblOrdenes[[#This Row],[mes]],"00"))</f>
        <v/>
      </c>
      <c r="S183" s="5">
        <f>IF(tblOrdenes[[#This Row],[fecha_inicio]]="","",INDEX(lista_dias,WEEKDAY(tblOrdenes[[#This Row],[fecha_inicio]],2)))</f>
        <v/>
      </c>
      <c r="T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5">
        <f>IF(tblOrdenes[[#This Row],[tipo_ot]]="","",_xlfn.XLOOKUP(tblOrdenes[[#This Row],[tipo_ot]],tblTiposOT[codigo],tblTiposOT[clasificacion],"sin_clasificar"))</f>
        <v/>
      </c>
      <c r="V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5">
        <f>IF(tblOrdenes[[#This Row],[centro_costo]]="","",_xlfn.XLOOKUP(tblOrdenes[[#This Row],[centro_costo]],tblCECO[codigo],tblCECO[linea],"(sin catálogo)"))</f>
        <v/>
      </c>
      <c r="Y183" s="5">
        <f>IF(tblOrdenes[[#This Row],[centro_costo]]="","",_xlfn.XLOOKUP(tblOrdenes[[#This Row],[centro_costo]],tblCECO[codigo],tblCECO[area],"(sin catálogo)"))</f>
        <v/>
      </c>
      <c r="Z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5">
        <f>IF(tblOrdenes[[#This Row],[centro_costo]]="","",_xlfn.XLOOKUP(tblOrdenes[[#This Row],[centro_costo]],tblCECO[codigo],tblCECO[coordinador],"(sin catálogo)"))</f>
        <v/>
      </c>
      <c r="AB183" s="5">
        <f>IF(tblOrdenes[[#This Row],[puesto_trabajo]]="","",_xlfn.XLOOKUP(tblOrdenes[[#This Row],[puesto_trabajo]],tblPuestos[codigo],tblPuestos[especialidad],"(sin catálogo)"))</f>
        <v/>
      </c>
      <c r="AC183" s="5">
        <f>IF(tblOrdenes[[#This Row],[cod_actividad]]="","",_xlfn.XLOOKUP(tblOrdenes[[#This Row],[cod_actividad]],tblActividades[codigo],tblActividades[descripcion],"(sin catálogo)"))</f>
        <v/>
      </c>
      <c r="AD183" s="23">
        <f>IF(tblOrdenes[[#This Row],[fecha_inicio]]="","",TODAY()-tblOrdenes[[#This Row],[fecha_inicio]])</f>
        <v/>
      </c>
      <c r="AE1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5">
        <f>IF(tblOrdenes[[#This Row],[backlog_habiles]]="","",IF(tblOrdenes[[#This Row],[backlog_habiles]]&lt;0,"FUTURO",IF(tblOrdenes[[#This Row],[backlog_habiles]]&gt;p_dias_backlog_max,"BACKLOG","MES CORRIENTE")))</f>
        <v/>
      </c>
      <c r="AG183" s="5">
        <f>IF(tblOrdenes[[#This Row],[backlog_habiles]]="",FALSE,AND(tblOrdenes[[#This Row],[backlog_habiles]]&gt;p_dias_backlog_min,tblOrdenes[[#This Row],[backlog_habiles]]&lt;=p_dias_backlog_max))</f>
        <v/>
      </c>
      <c r="AH183" s="4" t="n"/>
      <c r="AI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18">
        <f>IF(tblOrdenes[[#This Row],[orden]]="","",_xlfn.XLOOKUP(tblOrdenes[[#This Row],[id_operacion]],tblEjecucion[id_operacion],tblEjecucion[precio],0))</f>
        <v/>
      </c>
      <c r="AM183" s="18">
        <f>IF(tblOrdenes[[#This Row],[orden]]="","",MAX(0,_xlfn.XLOOKUP(tblOrdenes[[#This Row],[id_operacion]],tblEjecucion[id_operacion],tblEjecucion[costo_plan_total],0)-tblOrdenes[[#This Row],[costo_servicio]]))</f>
        <v/>
      </c>
      <c r="AN183" s="18">
        <f>IF(tblOrdenes[[#This Row],[orden]]="","",tblOrdenes[[#This Row],[costo_servicio]]+tblOrdenes[[#This Row],[costo_materiales]])</f>
        <v/>
      </c>
      <c r="AO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n"/>
      <c r="AQ183" s="4" t="n"/>
      <c r="AR183" s="4" t="n"/>
      <c r="AS183" s="5">
        <f>IF(tblOrdenes[[#This Row],[link_checklist]]="","",HYPERLINK(p_ruta_base_checklists&amp;tblOrdenes[[#This Row],[link_checklist]],"abrir"))</f>
        <v/>
      </c>
      <c r="AT183" s="4" t="n"/>
      <c r="AU183" s="5">
        <f>IF(tblOrdenes[[#This Row],[orden]]="","",tblOrdenes[[#This Row],[orden]]&amp;IF(tblOrdenes[[#This Row],[operacion]]="","0010",tblOrdenes[[#This Row],[operacion]]))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25" t="n"/>
      <c r="K184" s="5" t="n"/>
      <c r="L184" s="18" t="n"/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Row],[fecha_inicio]]="","",tblOrdenes[[#This Row],[anio]]&amp;"-"&amp;TEXT(tblOrdenes[[#This Row],[mes]],"00"))</f>
        <v/>
      </c>
      <c r="S184" s="5">
        <f>IF(tblOrdenes[[#This Row],[fecha_inicio]]="","",INDEX(lista_dias,WEEKDAY(tblOrdenes[[#This Row],[fecha_inicio]],2)))</f>
        <v/>
      </c>
      <c r="T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5">
        <f>IF(tblOrdenes[[#This Row],[tipo_ot]]="","",_xlfn.XLOOKUP(tblOrdenes[[#This Row],[tipo_ot]],tblTiposOT[codigo],tblTiposOT[clasificacion],"sin_clasificar"))</f>
        <v/>
      </c>
      <c r="V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5">
        <f>IF(tblOrdenes[[#This Row],[centro_costo]]="","",_xlfn.XLOOKUP(tblOrdenes[[#This Row],[centro_costo]],tblCECO[codigo],tblCECO[linea],"(sin catálogo)"))</f>
        <v/>
      </c>
      <c r="Y184" s="5">
        <f>IF(tblOrdenes[[#This Row],[centro_costo]]="","",_xlfn.XLOOKUP(tblOrdenes[[#This Row],[centro_costo]],tblCECO[codigo],tblCECO[area],"(sin catálogo)"))</f>
        <v/>
      </c>
      <c r="Z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5">
        <f>IF(tblOrdenes[[#This Row],[centro_costo]]="","",_xlfn.XLOOKUP(tblOrdenes[[#This Row],[centro_costo]],tblCECO[codigo],tblCECO[coordinador],"(sin catálogo)"))</f>
        <v/>
      </c>
      <c r="AB184" s="5">
        <f>IF(tblOrdenes[[#This Row],[puesto_trabajo]]="","",_xlfn.XLOOKUP(tblOrdenes[[#This Row],[puesto_trabajo]],tblPuestos[codigo],tblPuestos[especialidad],"(sin catálogo)"))</f>
        <v/>
      </c>
      <c r="AC184" s="5">
        <f>IF(tblOrdenes[[#This Row],[cod_actividad]]="","",_xlfn.XLOOKUP(tblOrdenes[[#This Row],[cod_actividad]],tblActividades[codigo],tblActividades[descripcion],"(sin catálogo)"))</f>
        <v/>
      </c>
      <c r="AD184" s="23">
        <f>IF(tblOrdenes[[#This Row],[fecha_inicio]]="","",TODAY()-tblOrdenes[[#This Row],[fecha_inicio]])</f>
        <v/>
      </c>
      <c r="AE1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5">
        <f>IF(tblOrdenes[[#This Row],[backlog_habiles]]="","",IF(tblOrdenes[[#This Row],[backlog_habiles]]&lt;0,"FUTURO",IF(tblOrdenes[[#This Row],[backlog_habiles]]&gt;p_dias_backlog_max,"BACKLOG","MES CORRIENTE")))</f>
        <v/>
      </c>
      <c r="AG184" s="5">
        <f>IF(tblOrdenes[[#This Row],[backlog_habiles]]="",FALSE,AND(tblOrdenes[[#This Row],[backlog_habiles]]&gt;p_dias_backlog_min,tblOrdenes[[#This Row],[backlog_habiles]]&lt;=p_dias_backlog_max))</f>
        <v/>
      </c>
      <c r="AH184" s="4" t="n"/>
      <c r="AI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18">
        <f>IF(tblOrdenes[[#This Row],[orden]]="","",_xlfn.XLOOKUP(tblOrdenes[[#This Row],[id_operacion]],tblEjecucion[id_operacion],tblEjecucion[precio],0))</f>
        <v/>
      </c>
      <c r="AM184" s="18">
        <f>IF(tblOrdenes[[#This Row],[orden]]="","",MAX(0,_xlfn.XLOOKUP(tblOrdenes[[#This Row],[id_operacion]],tblEjecucion[id_operacion],tblEjecucion[costo_plan_total],0)-tblOrdenes[[#This Row],[costo_servicio]]))</f>
        <v/>
      </c>
      <c r="AN184" s="18">
        <f>IF(tblOrdenes[[#This Row],[orden]]="","",tblOrdenes[[#This Row],[costo_servicio]]+tblOrdenes[[#This Row],[costo_materiales]])</f>
        <v/>
      </c>
      <c r="AO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n"/>
      <c r="AQ184" s="4" t="n"/>
      <c r="AR184" s="4" t="n"/>
      <c r="AS184" s="5">
        <f>IF(tblOrdenes[[#This Row],[link_checklist]]="","",HYPERLINK(p_ruta_base_checklists&amp;tblOrdenes[[#This Row],[link_checklist]],"abrir"))</f>
        <v/>
      </c>
      <c r="AT184" s="4" t="n"/>
      <c r="AU184" s="5">
        <f>IF(tblOrdenes[[#This Row],[orden]]="","",tblOrdenes[[#This Row],[orden]]&amp;IF(tblOrdenes[[#This Row],[operacion]]="","0010",tblOrdenes[[#This Row],[operacion]]))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25" t="n"/>
      <c r="K185" s="5" t="n"/>
      <c r="L185" s="18" t="n"/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Row],[fecha_inicio]]="","",tblOrdenes[[#This Row],[anio]]&amp;"-"&amp;TEXT(tblOrdenes[[#This Row],[mes]],"00"))</f>
        <v/>
      </c>
      <c r="S185" s="5">
        <f>IF(tblOrdenes[[#This Row],[fecha_inicio]]="","",INDEX(lista_dias,WEEKDAY(tblOrdenes[[#This Row],[fecha_inicio]],2)))</f>
        <v/>
      </c>
      <c r="T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5">
        <f>IF(tblOrdenes[[#This Row],[tipo_ot]]="","",_xlfn.XLOOKUP(tblOrdenes[[#This Row],[tipo_ot]],tblTiposOT[codigo],tblTiposOT[clasificacion],"sin_clasificar"))</f>
        <v/>
      </c>
      <c r="V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5">
        <f>IF(tblOrdenes[[#This Row],[centro_costo]]="","",_xlfn.XLOOKUP(tblOrdenes[[#This Row],[centro_costo]],tblCECO[codigo],tblCECO[linea],"(sin catálogo)"))</f>
        <v/>
      </c>
      <c r="Y185" s="5">
        <f>IF(tblOrdenes[[#This Row],[centro_costo]]="","",_xlfn.XLOOKUP(tblOrdenes[[#This Row],[centro_costo]],tblCECO[codigo],tblCECO[area],"(sin catálogo)"))</f>
        <v/>
      </c>
      <c r="Z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5">
        <f>IF(tblOrdenes[[#This Row],[centro_costo]]="","",_xlfn.XLOOKUP(tblOrdenes[[#This Row],[centro_costo]],tblCECO[codigo],tblCECO[coordinador],"(sin catálogo)"))</f>
        <v/>
      </c>
      <c r="AB185" s="5">
        <f>IF(tblOrdenes[[#This Row],[puesto_trabajo]]="","",_xlfn.XLOOKUP(tblOrdenes[[#This Row],[puesto_trabajo]],tblPuestos[codigo],tblPuestos[especialidad],"(sin catálogo)"))</f>
        <v/>
      </c>
      <c r="AC185" s="5">
        <f>IF(tblOrdenes[[#This Row],[cod_actividad]]="","",_xlfn.XLOOKUP(tblOrdenes[[#This Row],[cod_actividad]],tblActividades[codigo],tblActividades[descripcion],"(sin catálogo)"))</f>
        <v/>
      </c>
      <c r="AD185" s="23">
        <f>IF(tblOrdenes[[#This Row],[fecha_inicio]]="","",TODAY()-tblOrdenes[[#This Row],[fecha_inicio]])</f>
        <v/>
      </c>
      <c r="AE1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5">
        <f>IF(tblOrdenes[[#This Row],[backlog_habiles]]="","",IF(tblOrdenes[[#This Row],[backlog_habiles]]&lt;0,"FUTURO",IF(tblOrdenes[[#This Row],[backlog_habiles]]&gt;p_dias_backlog_max,"BACKLOG","MES CORRIENTE")))</f>
        <v/>
      </c>
      <c r="AG185" s="5">
        <f>IF(tblOrdenes[[#This Row],[backlog_habiles]]="",FALSE,AND(tblOrdenes[[#This Row],[backlog_habiles]]&gt;p_dias_backlog_min,tblOrdenes[[#This Row],[backlog_habiles]]&lt;=p_dias_backlog_max))</f>
        <v/>
      </c>
      <c r="AH185" s="4" t="n"/>
      <c r="AI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18">
        <f>IF(tblOrdenes[[#This Row],[orden]]="","",_xlfn.XLOOKUP(tblOrdenes[[#This Row],[id_operacion]],tblEjecucion[id_operacion],tblEjecucion[precio],0))</f>
        <v/>
      </c>
      <c r="AM185" s="18">
        <f>IF(tblOrdenes[[#This Row],[orden]]="","",MAX(0,_xlfn.XLOOKUP(tblOrdenes[[#This Row],[id_operacion]],tblEjecucion[id_operacion],tblEjecucion[costo_plan_total],0)-tblOrdenes[[#This Row],[costo_servicio]]))</f>
        <v/>
      </c>
      <c r="AN185" s="18">
        <f>IF(tblOrdenes[[#This Row],[orden]]="","",tblOrdenes[[#This Row],[costo_servicio]]+tblOrdenes[[#This Row],[costo_materiales]])</f>
        <v/>
      </c>
      <c r="AO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n"/>
      <c r="AQ185" s="4" t="n"/>
      <c r="AR185" s="4" t="n"/>
      <c r="AS185" s="5">
        <f>IF(tblOrdenes[[#This Row],[link_checklist]]="","",HYPERLINK(p_ruta_base_checklists&amp;tblOrdenes[[#This Row],[link_checklist]],"abrir"))</f>
        <v/>
      </c>
      <c r="AT185" s="4" t="n"/>
      <c r="AU185" s="5">
        <f>IF(tblOrdenes[[#This Row],[orden]]="","",tblOrdenes[[#This Row],[orden]]&amp;IF(tblOrdenes[[#This Row],[operacion]]="","0010",tblOrdenes[[#This Row],[operacion]]))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25" t="n"/>
      <c r="K186" s="5" t="n"/>
      <c r="L186" s="18" t="n"/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Row],[fecha_inicio]]="","",tblOrdenes[[#This Row],[anio]]&amp;"-"&amp;TEXT(tblOrdenes[[#This Row],[mes]],"00"))</f>
        <v/>
      </c>
      <c r="S186" s="5">
        <f>IF(tblOrdenes[[#This Row],[fecha_inicio]]="","",INDEX(lista_dias,WEEKDAY(tblOrdenes[[#This Row],[fecha_inicio]],2)))</f>
        <v/>
      </c>
      <c r="T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5">
        <f>IF(tblOrdenes[[#This Row],[tipo_ot]]="","",_xlfn.XLOOKUP(tblOrdenes[[#This Row],[tipo_ot]],tblTiposOT[codigo],tblTiposOT[clasificacion],"sin_clasificar"))</f>
        <v/>
      </c>
      <c r="V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5">
        <f>IF(tblOrdenes[[#This Row],[centro_costo]]="","",_xlfn.XLOOKUP(tblOrdenes[[#This Row],[centro_costo]],tblCECO[codigo],tblCECO[linea],"(sin catálogo)"))</f>
        <v/>
      </c>
      <c r="Y186" s="5">
        <f>IF(tblOrdenes[[#This Row],[centro_costo]]="","",_xlfn.XLOOKUP(tblOrdenes[[#This Row],[centro_costo]],tblCECO[codigo],tblCECO[area],"(sin catálogo)"))</f>
        <v/>
      </c>
      <c r="Z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5">
        <f>IF(tblOrdenes[[#This Row],[centro_costo]]="","",_xlfn.XLOOKUP(tblOrdenes[[#This Row],[centro_costo]],tblCECO[codigo],tblCECO[coordinador],"(sin catálogo)"))</f>
        <v/>
      </c>
      <c r="AB186" s="5">
        <f>IF(tblOrdenes[[#This Row],[puesto_trabajo]]="","",_xlfn.XLOOKUP(tblOrdenes[[#This Row],[puesto_trabajo]],tblPuestos[codigo],tblPuestos[especialidad],"(sin catálogo)"))</f>
        <v/>
      </c>
      <c r="AC186" s="5">
        <f>IF(tblOrdenes[[#This Row],[cod_actividad]]="","",_xlfn.XLOOKUP(tblOrdenes[[#This Row],[cod_actividad]],tblActividades[codigo],tblActividades[descripcion],"(sin catálogo)"))</f>
        <v/>
      </c>
      <c r="AD186" s="23">
        <f>IF(tblOrdenes[[#This Row],[fecha_inicio]]="","",TODAY()-tblOrdenes[[#This Row],[fecha_inicio]])</f>
        <v/>
      </c>
      <c r="AE1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5">
        <f>IF(tblOrdenes[[#This Row],[backlog_habiles]]="","",IF(tblOrdenes[[#This Row],[backlog_habiles]]&lt;0,"FUTURO",IF(tblOrdenes[[#This Row],[backlog_habiles]]&gt;p_dias_backlog_max,"BACKLOG","MES CORRIENTE")))</f>
        <v/>
      </c>
      <c r="AG186" s="5">
        <f>IF(tblOrdenes[[#This Row],[backlog_habiles]]="",FALSE,AND(tblOrdenes[[#This Row],[backlog_habiles]]&gt;p_dias_backlog_min,tblOrdenes[[#This Row],[backlog_habiles]]&lt;=p_dias_backlog_max))</f>
        <v/>
      </c>
      <c r="AH186" s="4" t="n"/>
      <c r="AI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18">
        <f>IF(tblOrdenes[[#This Row],[orden]]="","",_xlfn.XLOOKUP(tblOrdenes[[#This Row],[id_operacion]],tblEjecucion[id_operacion],tblEjecucion[precio],0))</f>
        <v/>
      </c>
      <c r="AM186" s="18">
        <f>IF(tblOrdenes[[#This Row],[orden]]="","",MAX(0,_xlfn.XLOOKUP(tblOrdenes[[#This Row],[id_operacion]],tblEjecucion[id_operacion],tblEjecucion[costo_plan_total],0)-tblOrdenes[[#This Row],[costo_servicio]]))</f>
        <v/>
      </c>
      <c r="AN186" s="18">
        <f>IF(tblOrdenes[[#This Row],[orden]]="","",tblOrdenes[[#This Row],[costo_servicio]]+tblOrdenes[[#This Row],[costo_materiales]])</f>
        <v/>
      </c>
      <c r="AO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n"/>
      <c r="AQ186" s="4" t="n"/>
      <c r="AR186" s="4" t="n"/>
      <c r="AS186" s="5">
        <f>IF(tblOrdenes[[#This Row],[link_checklist]]="","",HYPERLINK(p_ruta_base_checklists&amp;tblOrdenes[[#This Row],[link_checklist]],"abrir"))</f>
        <v/>
      </c>
      <c r="AT186" s="4" t="n"/>
      <c r="AU186" s="5">
        <f>IF(tblOrdenes[[#This Row],[orden]]="","",tblOrdenes[[#This Row],[orden]]&amp;IF(tblOrdenes[[#This Row],[operacion]]="","0010",tblOrdenes[[#This Row],[operacion]]))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25" t="n"/>
      <c r="K187" s="5" t="n"/>
      <c r="L187" s="18" t="n"/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Row],[fecha_inicio]]="","",tblOrdenes[[#This Row],[anio]]&amp;"-"&amp;TEXT(tblOrdenes[[#This Row],[mes]],"00"))</f>
        <v/>
      </c>
      <c r="S187" s="5">
        <f>IF(tblOrdenes[[#This Row],[fecha_inicio]]="","",INDEX(lista_dias,WEEKDAY(tblOrdenes[[#This Row],[fecha_inicio]],2)))</f>
        <v/>
      </c>
      <c r="T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5">
        <f>IF(tblOrdenes[[#This Row],[tipo_ot]]="","",_xlfn.XLOOKUP(tblOrdenes[[#This Row],[tipo_ot]],tblTiposOT[codigo],tblTiposOT[clasificacion],"sin_clasificar"))</f>
        <v/>
      </c>
      <c r="V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5">
        <f>IF(tblOrdenes[[#This Row],[centro_costo]]="","",_xlfn.XLOOKUP(tblOrdenes[[#This Row],[centro_costo]],tblCECO[codigo],tblCECO[linea],"(sin catálogo)"))</f>
        <v/>
      </c>
      <c r="Y187" s="5">
        <f>IF(tblOrdenes[[#This Row],[centro_costo]]="","",_xlfn.XLOOKUP(tblOrdenes[[#This Row],[centro_costo]],tblCECO[codigo],tblCECO[area],"(sin catálogo)"))</f>
        <v/>
      </c>
      <c r="Z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5">
        <f>IF(tblOrdenes[[#This Row],[centro_costo]]="","",_xlfn.XLOOKUP(tblOrdenes[[#This Row],[centro_costo]],tblCECO[codigo],tblCECO[coordinador],"(sin catálogo)"))</f>
        <v/>
      </c>
      <c r="AB187" s="5">
        <f>IF(tblOrdenes[[#This Row],[puesto_trabajo]]="","",_xlfn.XLOOKUP(tblOrdenes[[#This Row],[puesto_trabajo]],tblPuestos[codigo],tblPuestos[especialidad],"(sin catálogo)"))</f>
        <v/>
      </c>
      <c r="AC187" s="5">
        <f>IF(tblOrdenes[[#This Row],[cod_actividad]]="","",_xlfn.XLOOKUP(tblOrdenes[[#This Row],[cod_actividad]],tblActividades[codigo],tblActividades[descripcion],"(sin catálogo)"))</f>
        <v/>
      </c>
      <c r="AD187" s="23">
        <f>IF(tblOrdenes[[#This Row],[fecha_inicio]]="","",TODAY()-tblOrdenes[[#This Row],[fecha_inicio]])</f>
        <v/>
      </c>
      <c r="AE1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5">
        <f>IF(tblOrdenes[[#This Row],[backlog_habiles]]="","",IF(tblOrdenes[[#This Row],[backlog_habiles]]&lt;0,"FUTURO",IF(tblOrdenes[[#This Row],[backlog_habiles]]&gt;p_dias_backlog_max,"BACKLOG","MES CORRIENTE")))</f>
        <v/>
      </c>
      <c r="AG187" s="5">
        <f>IF(tblOrdenes[[#This Row],[backlog_habiles]]="",FALSE,AND(tblOrdenes[[#This Row],[backlog_habiles]]&gt;p_dias_backlog_min,tblOrdenes[[#This Row],[backlog_habiles]]&lt;=p_dias_backlog_max))</f>
        <v/>
      </c>
      <c r="AH187" s="4" t="n"/>
      <c r="AI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18">
        <f>IF(tblOrdenes[[#This Row],[orden]]="","",_xlfn.XLOOKUP(tblOrdenes[[#This Row],[id_operacion]],tblEjecucion[id_operacion],tblEjecucion[precio],0))</f>
        <v/>
      </c>
      <c r="AM187" s="18">
        <f>IF(tblOrdenes[[#This Row],[orden]]="","",MAX(0,_xlfn.XLOOKUP(tblOrdenes[[#This Row],[id_operacion]],tblEjecucion[id_operacion],tblEjecucion[costo_plan_total],0)-tblOrdenes[[#This Row],[costo_servicio]]))</f>
        <v/>
      </c>
      <c r="AN187" s="18">
        <f>IF(tblOrdenes[[#This Row],[orden]]="","",tblOrdenes[[#This Row],[costo_servicio]]+tblOrdenes[[#This Row],[costo_materiales]])</f>
        <v/>
      </c>
      <c r="AO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n"/>
      <c r="AQ187" s="4" t="n"/>
      <c r="AR187" s="4" t="n"/>
      <c r="AS187" s="5">
        <f>IF(tblOrdenes[[#This Row],[link_checklist]]="","",HYPERLINK(p_ruta_base_checklists&amp;tblOrdenes[[#This Row],[link_checklist]],"abrir"))</f>
        <v/>
      </c>
      <c r="AT187" s="4" t="n"/>
      <c r="AU187" s="5">
        <f>IF(tblOrdenes[[#This Row],[orden]]="","",tblOrdenes[[#This Row],[orden]]&amp;IF(tblOrdenes[[#This Row],[operacion]]="","0010",tblOrdenes[[#This Row],[operacion]]))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25" t="n"/>
      <c r="K188" s="5" t="n"/>
      <c r="L188" s="18" t="n"/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Row],[fecha_inicio]]="","",tblOrdenes[[#This Row],[anio]]&amp;"-"&amp;TEXT(tblOrdenes[[#This Row],[mes]],"00"))</f>
        <v/>
      </c>
      <c r="S188" s="5">
        <f>IF(tblOrdenes[[#This Row],[fecha_inicio]]="","",INDEX(lista_dias,WEEKDAY(tblOrdenes[[#This Row],[fecha_inicio]],2)))</f>
        <v/>
      </c>
      <c r="T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5">
        <f>IF(tblOrdenes[[#This Row],[tipo_ot]]="","",_xlfn.XLOOKUP(tblOrdenes[[#This Row],[tipo_ot]],tblTiposOT[codigo],tblTiposOT[clasificacion],"sin_clasificar"))</f>
        <v/>
      </c>
      <c r="V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5">
        <f>IF(tblOrdenes[[#This Row],[centro_costo]]="","",_xlfn.XLOOKUP(tblOrdenes[[#This Row],[centro_costo]],tblCECO[codigo],tblCECO[linea],"(sin catálogo)"))</f>
        <v/>
      </c>
      <c r="Y188" s="5">
        <f>IF(tblOrdenes[[#This Row],[centro_costo]]="","",_xlfn.XLOOKUP(tblOrdenes[[#This Row],[centro_costo]],tblCECO[codigo],tblCECO[area],"(sin catálogo)"))</f>
        <v/>
      </c>
      <c r="Z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5">
        <f>IF(tblOrdenes[[#This Row],[centro_costo]]="","",_xlfn.XLOOKUP(tblOrdenes[[#This Row],[centro_costo]],tblCECO[codigo],tblCECO[coordinador],"(sin catálogo)"))</f>
        <v/>
      </c>
      <c r="AB188" s="5">
        <f>IF(tblOrdenes[[#This Row],[puesto_trabajo]]="","",_xlfn.XLOOKUP(tblOrdenes[[#This Row],[puesto_trabajo]],tblPuestos[codigo],tblPuestos[especialidad],"(sin catálogo)"))</f>
        <v/>
      </c>
      <c r="AC188" s="5">
        <f>IF(tblOrdenes[[#This Row],[cod_actividad]]="","",_xlfn.XLOOKUP(tblOrdenes[[#This Row],[cod_actividad]],tblActividades[codigo],tblActividades[descripcion],"(sin catálogo)"))</f>
        <v/>
      </c>
      <c r="AD188" s="23">
        <f>IF(tblOrdenes[[#This Row],[fecha_inicio]]="","",TODAY()-tblOrdenes[[#This Row],[fecha_inicio]])</f>
        <v/>
      </c>
      <c r="AE1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5">
        <f>IF(tblOrdenes[[#This Row],[backlog_habiles]]="","",IF(tblOrdenes[[#This Row],[backlog_habiles]]&lt;0,"FUTURO",IF(tblOrdenes[[#This Row],[backlog_habiles]]&gt;p_dias_backlog_max,"BACKLOG","MES CORRIENTE")))</f>
        <v/>
      </c>
      <c r="AG188" s="5">
        <f>IF(tblOrdenes[[#This Row],[backlog_habiles]]="",FALSE,AND(tblOrdenes[[#This Row],[backlog_habiles]]&gt;p_dias_backlog_min,tblOrdenes[[#This Row],[backlog_habiles]]&lt;=p_dias_backlog_max))</f>
        <v/>
      </c>
      <c r="AH188" s="4" t="n"/>
      <c r="AI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18">
        <f>IF(tblOrdenes[[#This Row],[orden]]="","",_xlfn.XLOOKUP(tblOrdenes[[#This Row],[id_operacion]],tblEjecucion[id_operacion],tblEjecucion[precio],0))</f>
        <v/>
      </c>
      <c r="AM188" s="18">
        <f>IF(tblOrdenes[[#This Row],[orden]]="","",MAX(0,_xlfn.XLOOKUP(tblOrdenes[[#This Row],[id_operacion]],tblEjecucion[id_operacion],tblEjecucion[costo_plan_total],0)-tblOrdenes[[#This Row],[costo_servicio]]))</f>
        <v/>
      </c>
      <c r="AN188" s="18">
        <f>IF(tblOrdenes[[#This Row],[orden]]="","",tblOrdenes[[#This Row],[costo_servicio]]+tblOrdenes[[#This Row],[costo_materiales]])</f>
        <v/>
      </c>
      <c r="AO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n"/>
      <c r="AQ188" s="4" t="n"/>
      <c r="AR188" s="4" t="n"/>
      <c r="AS188" s="5">
        <f>IF(tblOrdenes[[#This Row],[link_checklist]]="","",HYPERLINK(p_ruta_base_checklists&amp;tblOrdenes[[#This Row],[link_checklist]],"abrir"))</f>
        <v/>
      </c>
      <c r="AT188" s="4" t="n"/>
      <c r="AU188" s="5">
        <f>IF(tblOrdenes[[#This Row],[orden]]="","",tblOrdenes[[#This Row],[orden]]&amp;IF(tblOrdenes[[#This Row],[operacion]]="","0010",tblOrdenes[[#This Row],[operacion]]))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25" t="n"/>
      <c r="K189" s="5" t="n"/>
      <c r="L189" s="18" t="n"/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Row],[fecha_inicio]]="","",tblOrdenes[[#This Row],[anio]]&amp;"-"&amp;TEXT(tblOrdenes[[#This Row],[mes]],"00"))</f>
        <v/>
      </c>
      <c r="S189" s="5">
        <f>IF(tblOrdenes[[#This Row],[fecha_inicio]]="","",INDEX(lista_dias,WEEKDAY(tblOrdenes[[#This Row],[fecha_inicio]],2)))</f>
        <v/>
      </c>
      <c r="T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5">
        <f>IF(tblOrdenes[[#This Row],[tipo_ot]]="","",_xlfn.XLOOKUP(tblOrdenes[[#This Row],[tipo_ot]],tblTiposOT[codigo],tblTiposOT[clasificacion],"sin_clasificar"))</f>
        <v/>
      </c>
      <c r="V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5">
        <f>IF(tblOrdenes[[#This Row],[centro_costo]]="","",_xlfn.XLOOKUP(tblOrdenes[[#This Row],[centro_costo]],tblCECO[codigo],tblCECO[linea],"(sin catálogo)"))</f>
        <v/>
      </c>
      <c r="Y189" s="5">
        <f>IF(tblOrdenes[[#This Row],[centro_costo]]="","",_xlfn.XLOOKUP(tblOrdenes[[#This Row],[centro_costo]],tblCECO[codigo],tblCECO[area],"(sin catálogo)"))</f>
        <v/>
      </c>
      <c r="Z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5">
        <f>IF(tblOrdenes[[#This Row],[centro_costo]]="","",_xlfn.XLOOKUP(tblOrdenes[[#This Row],[centro_costo]],tblCECO[codigo],tblCECO[coordinador],"(sin catálogo)"))</f>
        <v/>
      </c>
      <c r="AB189" s="5">
        <f>IF(tblOrdenes[[#This Row],[puesto_trabajo]]="","",_xlfn.XLOOKUP(tblOrdenes[[#This Row],[puesto_trabajo]],tblPuestos[codigo],tblPuestos[especialidad],"(sin catálogo)"))</f>
        <v/>
      </c>
      <c r="AC189" s="5">
        <f>IF(tblOrdenes[[#This Row],[cod_actividad]]="","",_xlfn.XLOOKUP(tblOrdenes[[#This Row],[cod_actividad]],tblActividades[codigo],tblActividades[descripcion],"(sin catálogo)"))</f>
        <v/>
      </c>
      <c r="AD189" s="23">
        <f>IF(tblOrdenes[[#This Row],[fecha_inicio]]="","",TODAY()-tblOrdenes[[#This Row],[fecha_inicio]])</f>
        <v/>
      </c>
      <c r="AE1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5">
        <f>IF(tblOrdenes[[#This Row],[backlog_habiles]]="","",IF(tblOrdenes[[#This Row],[backlog_habiles]]&lt;0,"FUTURO",IF(tblOrdenes[[#This Row],[backlog_habiles]]&gt;p_dias_backlog_max,"BACKLOG","MES CORRIENTE")))</f>
        <v/>
      </c>
      <c r="AG189" s="5">
        <f>IF(tblOrdenes[[#This Row],[backlog_habiles]]="",FALSE,AND(tblOrdenes[[#This Row],[backlog_habiles]]&gt;p_dias_backlog_min,tblOrdenes[[#This Row],[backlog_habiles]]&lt;=p_dias_backlog_max))</f>
        <v/>
      </c>
      <c r="AH189" s="4" t="n"/>
      <c r="AI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18">
        <f>IF(tblOrdenes[[#This Row],[orden]]="","",_xlfn.XLOOKUP(tblOrdenes[[#This Row],[id_operacion]],tblEjecucion[id_operacion],tblEjecucion[precio],0))</f>
        <v/>
      </c>
      <c r="AM189" s="18">
        <f>IF(tblOrdenes[[#This Row],[orden]]="","",MAX(0,_xlfn.XLOOKUP(tblOrdenes[[#This Row],[id_operacion]],tblEjecucion[id_operacion],tblEjecucion[costo_plan_total],0)-tblOrdenes[[#This Row],[costo_servicio]]))</f>
        <v/>
      </c>
      <c r="AN189" s="18">
        <f>IF(tblOrdenes[[#This Row],[orden]]="","",tblOrdenes[[#This Row],[costo_servicio]]+tblOrdenes[[#This Row],[costo_materiales]])</f>
        <v/>
      </c>
      <c r="AO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n"/>
      <c r="AQ189" s="4" t="n"/>
      <c r="AR189" s="4" t="n"/>
      <c r="AS189" s="5">
        <f>IF(tblOrdenes[[#This Row],[link_checklist]]="","",HYPERLINK(p_ruta_base_checklists&amp;tblOrdenes[[#This Row],[link_checklist]],"abrir"))</f>
        <v/>
      </c>
      <c r="AT189" s="4" t="n"/>
      <c r="AU189" s="5">
        <f>IF(tblOrdenes[[#This Row],[orden]]="","",tblOrdenes[[#This Row],[orden]]&amp;IF(tblOrdenes[[#This Row],[operacion]]="","0010",tblOrdenes[[#This Row],[operacion]]))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25" t="n"/>
      <c r="K190" s="5" t="n"/>
      <c r="L190" s="18" t="n"/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Row],[fecha_inicio]]="","",tblOrdenes[[#This Row],[anio]]&amp;"-"&amp;TEXT(tblOrdenes[[#This Row],[mes]],"00"))</f>
        <v/>
      </c>
      <c r="S190" s="5">
        <f>IF(tblOrdenes[[#This Row],[fecha_inicio]]="","",INDEX(lista_dias,WEEKDAY(tblOrdenes[[#This Row],[fecha_inicio]],2)))</f>
        <v/>
      </c>
      <c r="T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5">
        <f>IF(tblOrdenes[[#This Row],[tipo_ot]]="","",_xlfn.XLOOKUP(tblOrdenes[[#This Row],[tipo_ot]],tblTiposOT[codigo],tblTiposOT[clasificacion],"sin_clasificar"))</f>
        <v/>
      </c>
      <c r="V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5">
        <f>IF(tblOrdenes[[#This Row],[centro_costo]]="","",_xlfn.XLOOKUP(tblOrdenes[[#This Row],[centro_costo]],tblCECO[codigo],tblCECO[linea],"(sin catálogo)"))</f>
        <v/>
      </c>
      <c r="Y190" s="5">
        <f>IF(tblOrdenes[[#This Row],[centro_costo]]="","",_xlfn.XLOOKUP(tblOrdenes[[#This Row],[centro_costo]],tblCECO[codigo],tblCECO[area],"(sin catálogo)"))</f>
        <v/>
      </c>
      <c r="Z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5">
        <f>IF(tblOrdenes[[#This Row],[centro_costo]]="","",_xlfn.XLOOKUP(tblOrdenes[[#This Row],[centro_costo]],tblCECO[codigo],tblCECO[coordinador],"(sin catálogo)"))</f>
        <v/>
      </c>
      <c r="AB190" s="5">
        <f>IF(tblOrdenes[[#This Row],[puesto_trabajo]]="","",_xlfn.XLOOKUP(tblOrdenes[[#This Row],[puesto_trabajo]],tblPuestos[codigo],tblPuestos[especialidad],"(sin catálogo)"))</f>
        <v/>
      </c>
      <c r="AC190" s="5">
        <f>IF(tblOrdenes[[#This Row],[cod_actividad]]="","",_xlfn.XLOOKUP(tblOrdenes[[#This Row],[cod_actividad]],tblActividades[codigo],tblActividades[descripcion],"(sin catálogo)"))</f>
        <v/>
      </c>
      <c r="AD190" s="23">
        <f>IF(tblOrdenes[[#This Row],[fecha_inicio]]="","",TODAY()-tblOrdenes[[#This Row],[fecha_inicio]])</f>
        <v/>
      </c>
      <c r="AE1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5">
        <f>IF(tblOrdenes[[#This Row],[backlog_habiles]]="","",IF(tblOrdenes[[#This Row],[backlog_habiles]]&lt;0,"FUTURO",IF(tblOrdenes[[#This Row],[backlog_habiles]]&gt;p_dias_backlog_max,"BACKLOG","MES CORRIENTE")))</f>
        <v/>
      </c>
      <c r="AG190" s="5">
        <f>IF(tblOrdenes[[#This Row],[backlog_habiles]]="",FALSE,AND(tblOrdenes[[#This Row],[backlog_habiles]]&gt;p_dias_backlog_min,tblOrdenes[[#This Row],[backlog_habiles]]&lt;=p_dias_backlog_max))</f>
        <v/>
      </c>
      <c r="AH190" s="4" t="n"/>
      <c r="AI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18">
        <f>IF(tblOrdenes[[#This Row],[orden]]="","",_xlfn.XLOOKUP(tblOrdenes[[#This Row],[id_operacion]],tblEjecucion[id_operacion],tblEjecucion[precio],0))</f>
        <v/>
      </c>
      <c r="AM190" s="18">
        <f>IF(tblOrdenes[[#This Row],[orden]]="","",MAX(0,_xlfn.XLOOKUP(tblOrdenes[[#This Row],[id_operacion]],tblEjecucion[id_operacion],tblEjecucion[costo_plan_total],0)-tblOrdenes[[#This Row],[costo_servicio]]))</f>
        <v/>
      </c>
      <c r="AN190" s="18">
        <f>IF(tblOrdenes[[#This Row],[orden]]="","",tblOrdenes[[#This Row],[costo_servicio]]+tblOrdenes[[#This Row],[costo_materiales]])</f>
        <v/>
      </c>
      <c r="AO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n"/>
      <c r="AQ190" s="4" t="n"/>
      <c r="AR190" s="4" t="n"/>
      <c r="AS190" s="5">
        <f>IF(tblOrdenes[[#This Row],[link_checklist]]="","",HYPERLINK(p_ruta_base_checklists&amp;tblOrdenes[[#This Row],[link_checklist]],"abrir"))</f>
        <v/>
      </c>
      <c r="AT190" s="4" t="n"/>
      <c r="AU190" s="5">
        <f>IF(tblOrdenes[[#This Row],[orden]]="","",tblOrdenes[[#This Row],[orden]]&amp;IF(tblOrdenes[[#This Row],[operacion]]="","0010",tblOrdenes[[#This Row],[operacion]]))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25" t="n"/>
      <c r="K191" s="5" t="n"/>
      <c r="L191" s="18" t="n"/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Row],[fecha_inicio]]="","",tblOrdenes[[#This Row],[anio]]&amp;"-"&amp;TEXT(tblOrdenes[[#This Row],[mes]],"00"))</f>
        <v/>
      </c>
      <c r="S191" s="5">
        <f>IF(tblOrdenes[[#This Row],[fecha_inicio]]="","",INDEX(lista_dias,WEEKDAY(tblOrdenes[[#This Row],[fecha_inicio]],2)))</f>
        <v/>
      </c>
      <c r="T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5">
        <f>IF(tblOrdenes[[#This Row],[tipo_ot]]="","",_xlfn.XLOOKUP(tblOrdenes[[#This Row],[tipo_ot]],tblTiposOT[codigo],tblTiposOT[clasificacion],"sin_clasificar"))</f>
        <v/>
      </c>
      <c r="V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5">
        <f>IF(tblOrdenes[[#This Row],[centro_costo]]="","",_xlfn.XLOOKUP(tblOrdenes[[#This Row],[centro_costo]],tblCECO[codigo],tblCECO[linea],"(sin catálogo)"))</f>
        <v/>
      </c>
      <c r="Y191" s="5">
        <f>IF(tblOrdenes[[#This Row],[centro_costo]]="","",_xlfn.XLOOKUP(tblOrdenes[[#This Row],[centro_costo]],tblCECO[codigo],tblCECO[area],"(sin catálogo)"))</f>
        <v/>
      </c>
      <c r="Z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5">
        <f>IF(tblOrdenes[[#This Row],[centro_costo]]="","",_xlfn.XLOOKUP(tblOrdenes[[#This Row],[centro_costo]],tblCECO[codigo],tblCECO[coordinador],"(sin catálogo)"))</f>
        <v/>
      </c>
      <c r="AB191" s="5">
        <f>IF(tblOrdenes[[#This Row],[puesto_trabajo]]="","",_xlfn.XLOOKUP(tblOrdenes[[#This Row],[puesto_trabajo]],tblPuestos[codigo],tblPuestos[especialidad],"(sin catálogo)"))</f>
        <v/>
      </c>
      <c r="AC191" s="5">
        <f>IF(tblOrdenes[[#This Row],[cod_actividad]]="","",_xlfn.XLOOKUP(tblOrdenes[[#This Row],[cod_actividad]],tblActividades[codigo],tblActividades[descripcion],"(sin catálogo)"))</f>
        <v/>
      </c>
      <c r="AD191" s="23">
        <f>IF(tblOrdenes[[#This Row],[fecha_inicio]]="","",TODAY()-tblOrdenes[[#This Row],[fecha_inicio]])</f>
        <v/>
      </c>
      <c r="AE1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5">
        <f>IF(tblOrdenes[[#This Row],[backlog_habiles]]="","",IF(tblOrdenes[[#This Row],[backlog_habiles]]&lt;0,"FUTURO",IF(tblOrdenes[[#This Row],[backlog_habiles]]&gt;p_dias_backlog_max,"BACKLOG","MES CORRIENTE")))</f>
        <v/>
      </c>
      <c r="AG191" s="5">
        <f>IF(tblOrdenes[[#This Row],[backlog_habiles]]="",FALSE,AND(tblOrdenes[[#This Row],[backlog_habiles]]&gt;p_dias_backlog_min,tblOrdenes[[#This Row],[backlog_habiles]]&lt;=p_dias_backlog_max))</f>
        <v/>
      </c>
      <c r="AH191" s="4" t="n"/>
      <c r="AI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18">
        <f>IF(tblOrdenes[[#This Row],[orden]]="","",_xlfn.XLOOKUP(tblOrdenes[[#This Row],[id_operacion]],tblEjecucion[id_operacion],tblEjecucion[precio],0))</f>
        <v/>
      </c>
      <c r="AM191" s="18">
        <f>IF(tblOrdenes[[#This Row],[orden]]="","",MAX(0,_xlfn.XLOOKUP(tblOrdenes[[#This Row],[id_operacion]],tblEjecucion[id_operacion],tblEjecucion[costo_plan_total],0)-tblOrdenes[[#This Row],[costo_servicio]]))</f>
        <v/>
      </c>
      <c r="AN191" s="18">
        <f>IF(tblOrdenes[[#This Row],[orden]]="","",tblOrdenes[[#This Row],[costo_servicio]]+tblOrdenes[[#This Row],[costo_materiales]])</f>
        <v/>
      </c>
      <c r="AO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n"/>
      <c r="AQ191" s="4" t="n"/>
      <c r="AR191" s="4" t="n"/>
      <c r="AS191" s="5">
        <f>IF(tblOrdenes[[#This Row],[link_checklist]]="","",HYPERLINK(p_ruta_base_checklists&amp;tblOrdenes[[#This Row],[link_checklist]],"abrir"))</f>
        <v/>
      </c>
      <c r="AT191" s="4" t="n"/>
      <c r="AU191" s="5">
        <f>IF(tblOrdenes[[#This Row],[orden]]="","",tblOrdenes[[#This Row],[orden]]&amp;IF(tblOrdenes[[#This Row],[operacion]]="","0010",tblOrdenes[[#This Row],[operacion]]))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25" t="n"/>
      <c r="K192" s="5" t="n"/>
      <c r="L192" s="18" t="n"/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Row],[fecha_inicio]]="","",tblOrdenes[[#This Row],[anio]]&amp;"-"&amp;TEXT(tblOrdenes[[#This Row],[mes]],"00"))</f>
        <v/>
      </c>
      <c r="S192" s="5">
        <f>IF(tblOrdenes[[#This Row],[fecha_inicio]]="","",INDEX(lista_dias,WEEKDAY(tblOrdenes[[#This Row],[fecha_inicio]],2)))</f>
        <v/>
      </c>
      <c r="T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5">
        <f>IF(tblOrdenes[[#This Row],[tipo_ot]]="","",_xlfn.XLOOKUP(tblOrdenes[[#This Row],[tipo_ot]],tblTiposOT[codigo],tblTiposOT[clasificacion],"sin_clasificar"))</f>
        <v/>
      </c>
      <c r="V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5">
        <f>IF(tblOrdenes[[#This Row],[centro_costo]]="","",_xlfn.XLOOKUP(tblOrdenes[[#This Row],[centro_costo]],tblCECO[codigo],tblCECO[linea],"(sin catálogo)"))</f>
        <v/>
      </c>
      <c r="Y192" s="5">
        <f>IF(tblOrdenes[[#This Row],[centro_costo]]="","",_xlfn.XLOOKUP(tblOrdenes[[#This Row],[centro_costo]],tblCECO[codigo],tblCECO[area],"(sin catálogo)"))</f>
        <v/>
      </c>
      <c r="Z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5">
        <f>IF(tblOrdenes[[#This Row],[centro_costo]]="","",_xlfn.XLOOKUP(tblOrdenes[[#This Row],[centro_costo]],tblCECO[codigo],tblCECO[coordinador],"(sin catálogo)"))</f>
        <v/>
      </c>
      <c r="AB192" s="5">
        <f>IF(tblOrdenes[[#This Row],[puesto_trabajo]]="","",_xlfn.XLOOKUP(tblOrdenes[[#This Row],[puesto_trabajo]],tblPuestos[codigo],tblPuestos[especialidad],"(sin catálogo)"))</f>
        <v/>
      </c>
      <c r="AC192" s="5">
        <f>IF(tblOrdenes[[#This Row],[cod_actividad]]="","",_xlfn.XLOOKUP(tblOrdenes[[#This Row],[cod_actividad]],tblActividades[codigo],tblActividades[descripcion],"(sin catálogo)"))</f>
        <v/>
      </c>
      <c r="AD192" s="23">
        <f>IF(tblOrdenes[[#This Row],[fecha_inicio]]="","",TODAY()-tblOrdenes[[#This Row],[fecha_inicio]])</f>
        <v/>
      </c>
      <c r="AE1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5">
        <f>IF(tblOrdenes[[#This Row],[backlog_habiles]]="","",IF(tblOrdenes[[#This Row],[backlog_habiles]]&lt;0,"FUTURO",IF(tblOrdenes[[#This Row],[backlog_habiles]]&gt;p_dias_backlog_max,"BACKLOG","MES CORRIENTE")))</f>
        <v/>
      </c>
      <c r="AG192" s="5">
        <f>IF(tblOrdenes[[#This Row],[backlog_habiles]]="",FALSE,AND(tblOrdenes[[#This Row],[backlog_habiles]]&gt;p_dias_backlog_min,tblOrdenes[[#This Row],[backlog_habiles]]&lt;=p_dias_backlog_max))</f>
        <v/>
      </c>
      <c r="AH192" s="4" t="n"/>
      <c r="AI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18">
        <f>IF(tblOrdenes[[#This Row],[orden]]="","",_xlfn.XLOOKUP(tblOrdenes[[#This Row],[id_operacion]],tblEjecucion[id_operacion],tblEjecucion[precio],0))</f>
        <v/>
      </c>
      <c r="AM192" s="18">
        <f>IF(tblOrdenes[[#This Row],[orden]]="","",MAX(0,_xlfn.XLOOKUP(tblOrdenes[[#This Row],[id_operacion]],tblEjecucion[id_operacion],tblEjecucion[costo_plan_total],0)-tblOrdenes[[#This Row],[costo_servicio]]))</f>
        <v/>
      </c>
      <c r="AN192" s="18">
        <f>IF(tblOrdenes[[#This Row],[orden]]="","",tblOrdenes[[#This Row],[costo_servicio]]+tblOrdenes[[#This Row],[costo_materiales]])</f>
        <v/>
      </c>
      <c r="AO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n"/>
      <c r="AQ192" s="4" t="n"/>
      <c r="AR192" s="4" t="n"/>
      <c r="AS192" s="5">
        <f>IF(tblOrdenes[[#This Row],[link_checklist]]="","",HYPERLINK(p_ruta_base_checklists&amp;tblOrdenes[[#This Row],[link_checklist]],"abrir"))</f>
        <v/>
      </c>
      <c r="AT192" s="4" t="n"/>
      <c r="AU192" s="5">
        <f>IF(tblOrdenes[[#This Row],[orden]]="","",tblOrdenes[[#This Row],[orden]]&amp;IF(tblOrdenes[[#This Row],[operacion]]="","0010",tblOrdenes[[#This Row],[operacion]]))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25" t="n"/>
      <c r="K193" s="5" t="n"/>
      <c r="L193" s="18" t="n"/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Row],[fecha_inicio]]="","",tblOrdenes[[#This Row],[anio]]&amp;"-"&amp;TEXT(tblOrdenes[[#This Row],[mes]],"00"))</f>
        <v/>
      </c>
      <c r="S193" s="5">
        <f>IF(tblOrdenes[[#This Row],[fecha_inicio]]="","",INDEX(lista_dias,WEEKDAY(tblOrdenes[[#This Row],[fecha_inicio]],2)))</f>
        <v/>
      </c>
      <c r="T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5">
        <f>IF(tblOrdenes[[#This Row],[tipo_ot]]="","",_xlfn.XLOOKUP(tblOrdenes[[#This Row],[tipo_ot]],tblTiposOT[codigo],tblTiposOT[clasificacion],"sin_clasificar"))</f>
        <v/>
      </c>
      <c r="V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5">
        <f>IF(tblOrdenes[[#This Row],[centro_costo]]="","",_xlfn.XLOOKUP(tblOrdenes[[#This Row],[centro_costo]],tblCECO[codigo],tblCECO[linea],"(sin catálogo)"))</f>
        <v/>
      </c>
      <c r="Y193" s="5">
        <f>IF(tblOrdenes[[#This Row],[centro_costo]]="","",_xlfn.XLOOKUP(tblOrdenes[[#This Row],[centro_costo]],tblCECO[codigo],tblCECO[area],"(sin catálogo)"))</f>
        <v/>
      </c>
      <c r="Z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5">
        <f>IF(tblOrdenes[[#This Row],[centro_costo]]="","",_xlfn.XLOOKUP(tblOrdenes[[#This Row],[centro_costo]],tblCECO[codigo],tblCECO[coordinador],"(sin catálogo)"))</f>
        <v/>
      </c>
      <c r="AB193" s="5">
        <f>IF(tblOrdenes[[#This Row],[puesto_trabajo]]="","",_xlfn.XLOOKUP(tblOrdenes[[#This Row],[puesto_trabajo]],tblPuestos[codigo],tblPuestos[especialidad],"(sin catálogo)"))</f>
        <v/>
      </c>
      <c r="AC193" s="5">
        <f>IF(tblOrdenes[[#This Row],[cod_actividad]]="","",_xlfn.XLOOKUP(tblOrdenes[[#This Row],[cod_actividad]],tblActividades[codigo],tblActividades[descripcion],"(sin catálogo)"))</f>
        <v/>
      </c>
      <c r="AD193" s="23">
        <f>IF(tblOrdenes[[#This Row],[fecha_inicio]]="","",TODAY()-tblOrdenes[[#This Row],[fecha_inicio]])</f>
        <v/>
      </c>
      <c r="AE1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5">
        <f>IF(tblOrdenes[[#This Row],[backlog_habiles]]="","",IF(tblOrdenes[[#This Row],[backlog_habiles]]&lt;0,"FUTURO",IF(tblOrdenes[[#This Row],[backlog_habiles]]&gt;p_dias_backlog_max,"BACKLOG","MES CORRIENTE")))</f>
        <v/>
      </c>
      <c r="AG193" s="5">
        <f>IF(tblOrdenes[[#This Row],[backlog_habiles]]="",FALSE,AND(tblOrdenes[[#This Row],[backlog_habiles]]&gt;p_dias_backlog_min,tblOrdenes[[#This Row],[backlog_habiles]]&lt;=p_dias_backlog_max))</f>
        <v/>
      </c>
      <c r="AH193" s="4" t="n"/>
      <c r="AI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18">
        <f>IF(tblOrdenes[[#This Row],[orden]]="","",_xlfn.XLOOKUP(tblOrdenes[[#This Row],[id_operacion]],tblEjecucion[id_operacion],tblEjecucion[precio],0))</f>
        <v/>
      </c>
      <c r="AM193" s="18">
        <f>IF(tblOrdenes[[#This Row],[orden]]="","",MAX(0,_xlfn.XLOOKUP(tblOrdenes[[#This Row],[id_operacion]],tblEjecucion[id_operacion],tblEjecucion[costo_plan_total],0)-tblOrdenes[[#This Row],[costo_servicio]]))</f>
        <v/>
      </c>
      <c r="AN193" s="18">
        <f>IF(tblOrdenes[[#This Row],[orden]]="","",tblOrdenes[[#This Row],[costo_servicio]]+tblOrdenes[[#This Row],[costo_materiales]])</f>
        <v/>
      </c>
      <c r="AO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n"/>
      <c r="AQ193" s="4" t="n"/>
      <c r="AR193" s="4" t="n"/>
      <c r="AS193" s="5">
        <f>IF(tblOrdenes[[#This Row],[link_checklist]]="","",HYPERLINK(p_ruta_base_checklists&amp;tblOrdenes[[#This Row],[link_checklist]],"abrir"))</f>
        <v/>
      </c>
      <c r="AT193" s="4" t="n"/>
      <c r="AU193" s="5">
        <f>IF(tblOrdenes[[#This Row],[orden]]="","",tblOrdenes[[#This Row],[orden]]&amp;IF(tblOrdenes[[#This Row],[operacion]]="","0010",tblOrdenes[[#This Row],[operacion]]))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25" t="n"/>
      <c r="K194" s="5" t="n"/>
      <c r="L194" s="18" t="n"/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Row],[fecha_inicio]]="","",tblOrdenes[[#This Row],[anio]]&amp;"-"&amp;TEXT(tblOrdenes[[#This Row],[mes]],"00"))</f>
        <v/>
      </c>
      <c r="S194" s="5">
        <f>IF(tblOrdenes[[#This Row],[fecha_inicio]]="","",INDEX(lista_dias,WEEKDAY(tblOrdenes[[#This Row],[fecha_inicio]],2)))</f>
        <v/>
      </c>
      <c r="T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5">
        <f>IF(tblOrdenes[[#This Row],[tipo_ot]]="","",_xlfn.XLOOKUP(tblOrdenes[[#This Row],[tipo_ot]],tblTiposOT[codigo],tblTiposOT[clasificacion],"sin_clasificar"))</f>
        <v/>
      </c>
      <c r="V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5">
        <f>IF(tblOrdenes[[#This Row],[centro_costo]]="","",_xlfn.XLOOKUP(tblOrdenes[[#This Row],[centro_costo]],tblCECO[codigo],tblCECO[linea],"(sin catálogo)"))</f>
        <v/>
      </c>
      <c r="Y194" s="5">
        <f>IF(tblOrdenes[[#This Row],[centro_costo]]="","",_xlfn.XLOOKUP(tblOrdenes[[#This Row],[centro_costo]],tblCECO[codigo],tblCECO[area],"(sin catálogo)"))</f>
        <v/>
      </c>
      <c r="Z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5">
        <f>IF(tblOrdenes[[#This Row],[centro_costo]]="","",_xlfn.XLOOKUP(tblOrdenes[[#This Row],[centro_costo]],tblCECO[codigo],tblCECO[coordinador],"(sin catálogo)"))</f>
        <v/>
      </c>
      <c r="AB194" s="5">
        <f>IF(tblOrdenes[[#This Row],[puesto_trabajo]]="","",_xlfn.XLOOKUP(tblOrdenes[[#This Row],[puesto_trabajo]],tblPuestos[codigo],tblPuestos[especialidad],"(sin catálogo)"))</f>
        <v/>
      </c>
      <c r="AC194" s="5">
        <f>IF(tblOrdenes[[#This Row],[cod_actividad]]="","",_xlfn.XLOOKUP(tblOrdenes[[#This Row],[cod_actividad]],tblActividades[codigo],tblActividades[descripcion],"(sin catálogo)"))</f>
        <v/>
      </c>
      <c r="AD194" s="23">
        <f>IF(tblOrdenes[[#This Row],[fecha_inicio]]="","",TODAY()-tblOrdenes[[#This Row],[fecha_inicio]])</f>
        <v/>
      </c>
      <c r="AE1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5">
        <f>IF(tblOrdenes[[#This Row],[backlog_habiles]]="","",IF(tblOrdenes[[#This Row],[backlog_habiles]]&lt;0,"FUTURO",IF(tblOrdenes[[#This Row],[backlog_habiles]]&gt;p_dias_backlog_max,"BACKLOG","MES CORRIENTE")))</f>
        <v/>
      </c>
      <c r="AG194" s="5">
        <f>IF(tblOrdenes[[#This Row],[backlog_habiles]]="",FALSE,AND(tblOrdenes[[#This Row],[backlog_habiles]]&gt;p_dias_backlog_min,tblOrdenes[[#This Row],[backlog_habiles]]&lt;=p_dias_backlog_max))</f>
        <v/>
      </c>
      <c r="AH194" s="4" t="n"/>
      <c r="AI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18">
        <f>IF(tblOrdenes[[#This Row],[orden]]="","",_xlfn.XLOOKUP(tblOrdenes[[#This Row],[id_operacion]],tblEjecucion[id_operacion],tblEjecucion[precio],0))</f>
        <v/>
      </c>
      <c r="AM194" s="18">
        <f>IF(tblOrdenes[[#This Row],[orden]]="","",MAX(0,_xlfn.XLOOKUP(tblOrdenes[[#This Row],[id_operacion]],tblEjecucion[id_operacion],tblEjecucion[costo_plan_total],0)-tblOrdenes[[#This Row],[costo_servicio]]))</f>
        <v/>
      </c>
      <c r="AN194" s="18">
        <f>IF(tblOrdenes[[#This Row],[orden]]="","",tblOrdenes[[#This Row],[costo_servicio]]+tblOrdenes[[#This Row],[costo_materiales]])</f>
        <v/>
      </c>
      <c r="AO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n"/>
      <c r="AQ194" s="4" t="n"/>
      <c r="AR194" s="4" t="n"/>
      <c r="AS194" s="5">
        <f>IF(tblOrdenes[[#This Row],[link_checklist]]="","",HYPERLINK(p_ruta_base_checklists&amp;tblOrdenes[[#This Row],[link_checklist]],"abrir"))</f>
        <v/>
      </c>
      <c r="AT194" s="4" t="n"/>
      <c r="AU194" s="5">
        <f>IF(tblOrdenes[[#This Row],[orden]]="","",tblOrdenes[[#This Row],[orden]]&amp;IF(tblOrdenes[[#This Row],[operacion]]="","0010",tblOrdenes[[#This Row],[operacion]]))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25" t="n"/>
      <c r="K195" s="5" t="n"/>
      <c r="L195" s="18" t="n"/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Row],[fecha_inicio]]="","",tblOrdenes[[#This Row],[anio]]&amp;"-"&amp;TEXT(tblOrdenes[[#This Row],[mes]],"00"))</f>
        <v/>
      </c>
      <c r="S195" s="5">
        <f>IF(tblOrdenes[[#This Row],[fecha_inicio]]="","",INDEX(lista_dias,WEEKDAY(tblOrdenes[[#This Row],[fecha_inicio]],2)))</f>
        <v/>
      </c>
      <c r="T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5">
        <f>IF(tblOrdenes[[#This Row],[tipo_ot]]="","",_xlfn.XLOOKUP(tblOrdenes[[#This Row],[tipo_ot]],tblTiposOT[codigo],tblTiposOT[clasificacion],"sin_clasificar"))</f>
        <v/>
      </c>
      <c r="V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5">
        <f>IF(tblOrdenes[[#This Row],[centro_costo]]="","",_xlfn.XLOOKUP(tblOrdenes[[#This Row],[centro_costo]],tblCECO[codigo],tblCECO[linea],"(sin catálogo)"))</f>
        <v/>
      </c>
      <c r="Y195" s="5">
        <f>IF(tblOrdenes[[#This Row],[centro_costo]]="","",_xlfn.XLOOKUP(tblOrdenes[[#This Row],[centro_costo]],tblCECO[codigo],tblCECO[area],"(sin catálogo)"))</f>
        <v/>
      </c>
      <c r="Z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5">
        <f>IF(tblOrdenes[[#This Row],[centro_costo]]="","",_xlfn.XLOOKUP(tblOrdenes[[#This Row],[centro_costo]],tblCECO[codigo],tblCECO[coordinador],"(sin catálogo)"))</f>
        <v/>
      </c>
      <c r="AB195" s="5">
        <f>IF(tblOrdenes[[#This Row],[puesto_trabajo]]="","",_xlfn.XLOOKUP(tblOrdenes[[#This Row],[puesto_trabajo]],tblPuestos[codigo],tblPuestos[especialidad],"(sin catálogo)"))</f>
        <v/>
      </c>
      <c r="AC195" s="5">
        <f>IF(tblOrdenes[[#This Row],[cod_actividad]]="","",_xlfn.XLOOKUP(tblOrdenes[[#This Row],[cod_actividad]],tblActividades[codigo],tblActividades[descripcion],"(sin catálogo)"))</f>
        <v/>
      </c>
      <c r="AD195" s="23">
        <f>IF(tblOrdenes[[#This Row],[fecha_inicio]]="","",TODAY()-tblOrdenes[[#This Row],[fecha_inicio]])</f>
        <v/>
      </c>
      <c r="AE1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5">
        <f>IF(tblOrdenes[[#This Row],[backlog_habiles]]="","",IF(tblOrdenes[[#This Row],[backlog_habiles]]&lt;0,"FUTURO",IF(tblOrdenes[[#This Row],[backlog_habiles]]&gt;p_dias_backlog_max,"BACKLOG","MES CORRIENTE")))</f>
        <v/>
      </c>
      <c r="AG195" s="5">
        <f>IF(tblOrdenes[[#This Row],[backlog_habiles]]="",FALSE,AND(tblOrdenes[[#This Row],[backlog_habiles]]&gt;p_dias_backlog_min,tblOrdenes[[#This Row],[backlog_habiles]]&lt;=p_dias_backlog_max))</f>
        <v/>
      </c>
      <c r="AH195" s="4" t="n"/>
      <c r="AI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18">
        <f>IF(tblOrdenes[[#This Row],[orden]]="","",_xlfn.XLOOKUP(tblOrdenes[[#This Row],[id_operacion]],tblEjecucion[id_operacion],tblEjecucion[precio],0))</f>
        <v/>
      </c>
      <c r="AM195" s="18">
        <f>IF(tblOrdenes[[#This Row],[orden]]="","",MAX(0,_xlfn.XLOOKUP(tblOrdenes[[#This Row],[id_operacion]],tblEjecucion[id_operacion],tblEjecucion[costo_plan_total],0)-tblOrdenes[[#This Row],[costo_servicio]]))</f>
        <v/>
      </c>
      <c r="AN195" s="18">
        <f>IF(tblOrdenes[[#This Row],[orden]]="","",tblOrdenes[[#This Row],[costo_servicio]]+tblOrdenes[[#This Row],[costo_materiales]])</f>
        <v/>
      </c>
      <c r="AO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n"/>
      <c r="AQ195" s="4" t="n"/>
      <c r="AR195" s="4" t="n"/>
      <c r="AS195" s="5">
        <f>IF(tblOrdenes[[#This Row],[link_checklist]]="","",HYPERLINK(p_ruta_base_checklists&amp;tblOrdenes[[#This Row],[link_checklist]],"abrir"))</f>
        <v/>
      </c>
      <c r="AT195" s="4" t="n"/>
      <c r="AU195" s="5">
        <f>IF(tblOrdenes[[#This Row],[orden]]="","",tblOrdenes[[#This Row],[orden]]&amp;IF(tblOrdenes[[#This Row],[operacion]]="","0010",tblOrdenes[[#This Row],[operacion]]))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25" t="n"/>
      <c r="K196" s="5" t="n"/>
      <c r="L196" s="18" t="n"/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Row],[fecha_inicio]]="","",tblOrdenes[[#This Row],[anio]]&amp;"-"&amp;TEXT(tblOrdenes[[#This Row],[mes]],"00"))</f>
        <v/>
      </c>
      <c r="S196" s="5">
        <f>IF(tblOrdenes[[#This Row],[fecha_inicio]]="","",INDEX(lista_dias,WEEKDAY(tblOrdenes[[#This Row],[fecha_inicio]],2)))</f>
        <v/>
      </c>
      <c r="T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5">
        <f>IF(tblOrdenes[[#This Row],[tipo_ot]]="","",_xlfn.XLOOKUP(tblOrdenes[[#This Row],[tipo_ot]],tblTiposOT[codigo],tblTiposOT[clasificacion],"sin_clasificar"))</f>
        <v/>
      </c>
      <c r="V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5">
        <f>IF(tblOrdenes[[#This Row],[centro_costo]]="","",_xlfn.XLOOKUP(tblOrdenes[[#This Row],[centro_costo]],tblCECO[codigo],tblCECO[linea],"(sin catálogo)"))</f>
        <v/>
      </c>
      <c r="Y196" s="5">
        <f>IF(tblOrdenes[[#This Row],[centro_costo]]="","",_xlfn.XLOOKUP(tblOrdenes[[#This Row],[centro_costo]],tblCECO[codigo],tblCECO[area],"(sin catálogo)"))</f>
        <v/>
      </c>
      <c r="Z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5">
        <f>IF(tblOrdenes[[#This Row],[centro_costo]]="","",_xlfn.XLOOKUP(tblOrdenes[[#This Row],[centro_costo]],tblCECO[codigo],tblCECO[coordinador],"(sin catálogo)"))</f>
        <v/>
      </c>
      <c r="AB196" s="5">
        <f>IF(tblOrdenes[[#This Row],[puesto_trabajo]]="","",_xlfn.XLOOKUP(tblOrdenes[[#This Row],[puesto_trabajo]],tblPuestos[codigo],tblPuestos[especialidad],"(sin catálogo)"))</f>
        <v/>
      </c>
      <c r="AC196" s="5">
        <f>IF(tblOrdenes[[#This Row],[cod_actividad]]="","",_xlfn.XLOOKUP(tblOrdenes[[#This Row],[cod_actividad]],tblActividades[codigo],tblActividades[descripcion],"(sin catálogo)"))</f>
        <v/>
      </c>
      <c r="AD196" s="23">
        <f>IF(tblOrdenes[[#This Row],[fecha_inicio]]="","",TODAY()-tblOrdenes[[#This Row],[fecha_inicio]])</f>
        <v/>
      </c>
      <c r="AE1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5">
        <f>IF(tblOrdenes[[#This Row],[backlog_habiles]]="","",IF(tblOrdenes[[#This Row],[backlog_habiles]]&lt;0,"FUTURO",IF(tblOrdenes[[#This Row],[backlog_habiles]]&gt;p_dias_backlog_max,"BACKLOG","MES CORRIENTE")))</f>
        <v/>
      </c>
      <c r="AG196" s="5">
        <f>IF(tblOrdenes[[#This Row],[backlog_habiles]]="",FALSE,AND(tblOrdenes[[#This Row],[backlog_habiles]]&gt;p_dias_backlog_min,tblOrdenes[[#This Row],[backlog_habiles]]&lt;=p_dias_backlog_max))</f>
        <v/>
      </c>
      <c r="AH196" s="4" t="n"/>
      <c r="AI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18">
        <f>IF(tblOrdenes[[#This Row],[orden]]="","",_xlfn.XLOOKUP(tblOrdenes[[#This Row],[id_operacion]],tblEjecucion[id_operacion],tblEjecucion[precio],0))</f>
        <v/>
      </c>
      <c r="AM196" s="18">
        <f>IF(tblOrdenes[[#This Row],[orden]]="","",MAX(0,_xlfn.XLOOKUP(tblOrdenes[[#This Row],[id_operacion]],tblEjecucion[id_operacion],tblEjecucion[costo_plan_total],0)-tblOrdenes[[#This Row],[costo_servicio]]))</f>
        <v/>
      </c>
      <c r="AN196" s="18">
        <f>IF(tblOrdenes[[#This Row],[orden]]="","",tblOrdenes[[#This Row],[costo_servicio]]+tblOrdenes[[#This Row],[costo_materiales]])</f>
        <v/>
      </c>
      <c r="AO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n"/>
      <c r="AQ196" s="4" t="n"/>
      <c r="AR196" s="4" t="n"/>
      <c r="AS196" s="5">
        <f>IF(tblOrdenes[[#This Row],[link_checklist]]="","",HYPERLINK(p_ruta_base_checklists&amp;tblOrdenes[[#This Row],[link_checklist]],"abrir"))</f>
        <v/>
      </c>
      <c r="AT196" s="4" t="n"/>
      <c r="AU196" s="5">
        <f>IF(tblOrdenes[[#This Row],[orden]]="","",tblOrdenes[[#This Row],[orden]]&amp;IF(tblOrdenes[[#This Row],[operacion]]="","0010",tblOrdenes[[#This Row],[operacion]]))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25" t="n"/>
      <c r="K197" s="5" t="n"/>
      <c r="L197" s="18" t="n"/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Row],[fecha_inicio]]="","",tblOrdenes[[#This Row],[anio]]&amp;"-"&amp;TEXT(tblOrdenes[[#This Row],[mes]],"00"))</f>
        <v/>
      </c>
      <c r="S197" s="5">
        <f>IF(tblOrdenes[[#This Row],[fecha_inicio]]="","",INDEX(lista_dias,WEEKDAY(tblOrdenes[[#This Row],[fecha_inicio]],2)))</f>
        <v/>
      </c>
      <c r="T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5">
        <f>IF(tblOrdenes[[#This Row],[tipo_ot]]="","",_xlfn.XLOOKUP(tblOrdenes[[#This Row],[tipo_ot]],tblTiposOT[codigo],tblTiposOT[clasificacion],"sin_clasificar"))</f>
        <v/>
      </c>
      <c r="V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5">
        <f>IF(tblOrdenes[[#This Row],[centro_costo]]="","",_xlfn.XLOOKUP(tblOrdenes[[#This Row],[centro_costo]],tblCECO[codigo],tblCECO[linea],"(sin catálogo)"))</f>
        <v/>
      </c>
      <c r="Y197" s="5">
        <f>IF(tblOrdenes[[#This Row],[centro_costo]]="","",_xlfn.XLOOKUP(tblOrdenes[[#This Row],[centro_costo]],tblCECO[codigo],tblCECO[area],"(sin catálogo)"))</f>
        <v/>
      </c>
      <c r="Z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5">
        <f>IF(tblOrdenes[[#This Row],[centro_costo]]="","",_xlfn.XLOOKUP(tblOrdenes[[#This Row],[centro_costo]],tblCECO[codigo],tblCECO[coordinador],"(sin catálogo)"))</f>
        <v/>
      </c>
      <c r="AB197" s="5">
        <f>IF(tblOrdenes[[#This Row],[puesto_trabajo]]="","",_xlfn.XLOOKUP(tblOrdenes[[#This Row],[puesto_trabajo]],tblPuestos[codigo],tblPuestos[especialidad],"(sin catálogo)"))</f>
        <v/>
      </c>
      <c r="AC197" s="5">
        <f>IF(tblOrdenes[[#This Row],[cod_actividad]]="","",_xlfn.XLOOKUP(tblOrdenes[[#This Row],[cod_actividad]],tblActividades[codigo],tblActividades[descripcion],"(sin catálogo)"))</f>
        <v/>
      </c>
      <c r="AD197" s="23">
        <f>IF(tblOrdenes[[#This Row],[fecha_inicio]]="","",TODAY()-tblOrdenes[[#This Row],[fecha_inicio]])</f>
        <v/>
      </c>
      <c r="AE1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5">
        <f>IF(tblOrdenes[[#This Row],[backlog_habiles]]="","",IF(tblOrdenes[[#This Row],[backlog_habiles]]&lt;0,"FUTURO",IF(tblOrdenes[[#This Row],[backlog_habiles]]&gt;p_dias_backlog_max,"BACKLOG","MES CORRIENTE")))</f>
        <v/>
      </c>
      <c r="AG197" s="5">
        <f>IF(tblOrdenes[[#This Row],[backlog_habiles]]="",FALSE,AND(tblOrdenes[[#This Row],[backlog_habiles]]&gt;p_dias_backlog_min,tblOrdenes[[#This Row],[backlog_habiles]]&lt;=p_dias_backlog_max))</f>
        <v/>
      </c>
      <c r="AH197" s="4" t="n"/>
      <c r="AI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18">
        <f>IF(tblOrdenes[[#This Row],[orden]]="","",_xlfn.XLOOKUP(tblOrdenes[[#This Row],[id_operacion]],tblEjecucion[id_operacion],tblEjecucion[precio],0))</f>
        <v/>
      </c>
      <c r="AM197" s="18">
        <f>IF(tblOrdenes[[#This Row],[orden]]="","",MAX(0,_xlfn.XLOOKUP(tblOrdenes[[#This Row],[id_operacion]],tblEjecucion[id_operacion],tblEjecucion[costo_plan_total],0)-tblOrdenes[[#This Row],[costo_servicio]]))</f>
        <v/>
      </c>
      <c r="AN197" s="18">
        <f>IF(tblOrdenes[[#This Row],[orden]]="","",tblOrdenes[[#This Row],[costo_servicio]]+tblOrdenes[[#This Row],[costo_materiales]])</f>
        <v/>
      </c>
      <c r="AO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n"/>
      <c r="AQ197" s="4" t="n"/>
      <c r="AR197" s="4" t="n"/>
      <c r="AS197" s="5">
        <f>IF(tblOrdenes[[#This Row],[link_checklist]]="","",HYPERLINK(p_ruta_base_checklists&amp;tblOrdenes[[#This Row],[link_checklist]],"abrir"))</f>
        <v/>
      </c>
      <c r="AT197" s="4" t="n"/>
      <c r="AU197" s="5">
        <f>IF(tblOrdenes[[#This Row],[orden]]="","",tblOrdenes[[#This Row],[orden]]&amp;IF(tblOrdenes[[#This Row],[operacion]]="","0010",tblOrdenes[[#This Row],[operacion]]))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25" t="n"/>
      <c r="K198" s="5" t="n"/>
      <c r="L198" s="18" t="n"/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Row],[fecha_inicio]]="","",tblOrdenes[[#This Row],[anio]]&amp;"-"&amp;TEXT(tblOrdenes[[#This Row],[mes]],"00"))</f>
        <v/>
      </c>
      <c r="S198" s="5">
        <f>IF(tblOrdenes[[#This Row],[fecha_inicio]]="","",INDEX(lista_dias,WEEKDAY(tblOrdenes[[#This Row],[fecha_inicio]],2)))</f>
        <v/>
      </c>
      <c r="T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5">
        <f>IF(tblOrdenes[[#This Row],[tipo_ot]]="","",_xlfn.XLOOKUP(tblOrdenes[[#This Row],[tipo_ot]],tblTiposOT[codigo],tblTiposOT[clasificacion],"sin_clasificar"))</f>
        <v/>
      </c>
      <c r="V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5">
        <f>IF(tblOrdenes[[#This Row],[centro_costo]]="","",_xlfn.XLOOKUP(tblOrdenes[[#This Row],[centro_costo]],tblCECO[codigo],tblCECO[linea],"(sin catálogo)"))</f>
        <v/>
      </c>
      <c r="Y198" s="5">
        <f>IF(tblOrdenes[[#This Row],[centro_costo]]="","",_xlfn.XLOOKUP(tblOrdenes[[#This Row],[centro_costo]],tblCECO[codigo],tblCECO[area],"(sin catálogo)"))</f>
        <v/>
      </c>
      <c r="Z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5">
        <f>IF(tblOrdenes[[#This Row],[centro_costo]]="","",_xlfn.XLOOKUP(tblOrdenes[[#This Row],[centro_costo]],tblCECO[codigo],tblCECO[coordinador],"(sin catálogo)"))</f>
        <v/>
      </c>
      <c r="AB198" s="5">
        <f>IF(tblOrdenes[[#This Row],[puesto_trabajo]]="","",_xlfn.XLOOKUP(tblOrdenes[[#This Row],[puesto_trabajo]],tblPuestos[codigo],tblPuestos[especialidad],"(sin catálogo)"))</f>
        <v/>
      </c>
      <c r="AC198" s="5">
        <f>IF(tblOrdenes[[#This Row],[cod_actividad]]="","",_xlfn.XLOOKUP(tblOrdenes[[#This Row],[cod_actividad]],tblActividades[codigo],tblActividades[descripcion],"(sin catálogo)"))</f>
        <v/>
      </c>
      <c r="AD198" s="23">
        <f>IF(tblOrdenes[[#This Row],[fecha_inicio]]="","",TODAY()-tblOrdenes[[#This Row],[fecha_inicio]])</f>
        <v/>
      </c>
      <c r="AE1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5">
        <f>IF(tblOrdenes[[#This Row],[backlog_habiles]]="","",IF(tblOrdenes[[#This Row],[backlog_habiles]]&lt;0,"FUTURO",IF(tblOrdenes[[#This Row],[backlog_habiles]]&gt;p_dias_backlog_max,"BACKLOG","MES CORRIENTE")))</f>
        <v/>
      </c>
      <c r="AG198" s="5">
        <f>IF(tblOrdenes[[#This Row],[backlog_habiles]]="",FALSE,AND(tblOrdenes[[#This Row],[backlog_habiles]]&gt;p_dias_backlog_min,tblOrdenes[[#This Row],[backlog_habiles]]&lt;=p_dias_backlog_max))</f>
        <v/>
      </c>
      <c r="AH198" s="4" t="n"/>
      <c r="AI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18">
        <f>IF(tblOrdenes[[#This Row],[orden]]="","",_xlfn.XLOOKUP(tblOrdenes[[#This Row],[id_operacion]],tblEjecucion[id_operacion],tblEjecucion[precio],0))</f>
        <v/>
      </c>
      <c r="AM198" s="18">
        <f>IF(tblOrdenes[[#This Row],[orden]]="","",MAX(0,_xlfn.XLOOKUP(tblOrdenes[[#This Row],[id_operacion]],tblEjecucion[id_operacion],tblEjecucion[costo_plan_total],0)-tblOrdenes[[#This Row],[costo_servicio]]))</f>
        <v/>
      </c>
      <c r="AN198" s="18">
        <f>IF(tblOrdenes[[#This Row],[orden]]="","",tblOrdenes[[#This Row],[costo_servicio]]+tblOrdenes[[#This Row],[costo_materiales]])</f>
        <v/>
      </c>
      <c r="AO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n"/>
      <c r="AQ198" s="4" t="n"/>
      <c r="AR198" s="4" t="n"/>
      <c r="AS198" s="5">
        <f>IF(tblOrdenes[[#This Row],[link_checklist]]="","",HYPERLINK(p_ruta_base_checklists&amp;tblOrdenes[[#This Row],[link_checklist]],"abrir"))</f>
        <v/>
      </c>
      <c r="AT198" s="4" t="n"/>
      <c r="AU198" s="5">
        <f>IF(tblOrdenes[[#This Row],[orden]]="","",tblOrdenes[[#This Row],[orden]]&amp;IF(tblOrdenes[[#This Row],[operacion]]="","0010",tblOrdenes[[#This Row],[operacion]]))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25" t="n"/>
      <c r="K199" s="5" t="n"/>
      <c r="L199" s="18" t="n"/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Row],[fecha_inicio]]="","",tblOrdenes[[#This Row],[anio]]&amp;"-"&amp;TEXT(tblOrdenes[[#This Row],[mes]],"00"))</f>
        <v/>
      </c>
      <c r="S199" s="5">
        <f>IF(tblOrdenes[[#This Row],[fecha_inicio]]="","",INDEX(lista_dias,WEEKDAY(tblOrdenes[[#This Row],[fecha_inicio]],2)))</f>
        <v/>
      </c>
      <c r="T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5">
        <f>IF(tblOrdenes[[#This Row],[tipo_ot]]="","",_xlfn.XLOOKUP(tblOrdenes[[#This Row],[tipo_ot]],tblTiposOT[codigo],tblTiposOT[clasificacion],"sin_clasificar"))</f>
        <v/>
      </c>
      <c r="V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5">
        <f>IF(tblOrdenes[[#This Row],[centro_costo]]="","",_xlfn.XLOOKUP(tblOrdenes[[#This Row],[centro_costo]],tblCECO[codigo],tblCECO[linea],"(sin catálogo)"))</f>
        <v/>
      </c>
      <c r="Y199" s="5">
        <f>IF(tblOrdenes[[#This Row],[centro_costo]]="","",_xlfn.XLOOKUP(tblOrdenes[[#This Row],[centro_costo]],tblCECO[codigo],tblCECO[area],"(sin catálogo)"))</f>
        <v/>
      </c>
      <c r="Z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5">
        <f>IF(tblOrdenes[[#This Row],[centro_costo]]="","",_xlfn.XLOOKUP(tblOrdenes[[#This Row],[centro_costo]],tblCECO[codigo],tblCECO[coordinador],"(sin catálogo)"))</f>
        <v/>
      </c>
      <c r="AB199" s="5">
        <f>IF(tblOrdenes[[#This Row],[puesto_trabajo]]="","",_xlfn.XLOOKUP(tblOrdenes[[#This Row],[puesto_trabajo]],tblPuestos[codigo],tblPuestos[especialidad],"(sin catálogo)"))</f>
        <v/>
      </c>
      <c r="AC199" s="5">
        <f>IF(tblOrdenes[[#This Row],[cod_actividad]]="","",_xlfn.XLOOKUP(tblOrdenes[[#This Row],[cod_actividad]],tblActividades[codigo],tblActividades[descripcion],"(sin catálogo)"))</f>
        <v/>
      </c>
      <c r="AD199" s="23">
        <f>IF(tblOrdenes[[#This Row],[fecha_inicio]]="","",TODAY()-tblOrdenes[[#This Row],[fecha_inicio]])</f>
        <v/>
      </c>
      <c r="AE1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5">
        <f>IF(tblOrdenes[[#This Row],[backlog_habiles]]="","",IF(tblOrdenes[[#This Row],[backlog_habiles]]&lt;0,"FUTURO",IF(tblOrdenes[[#This Row],[backlog_habiles]]&gt;p_dias_backlog_max,"BACKLOG","MES CORRIENTE")))</f>
        <v/>
      </c>
      <c r="AG199" s="5">
        <f>IF(tblOrdenes[[#This Row],[backlog_habiles]]="",FALSE,AND(tblOrdenes[[#This Row],[backlog_habiles]]&gt;p_dias_backlog_min,tblOrdenes[[#This Row],[backlog_habiles]]&lt;=p_dias_backlog_max))</f>
        <v/>
      </c>
      <c r="AH199" s="4" t="n"/>
      <c r="AI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18">
        <f>IF(tblOrdenes[[#This Row],[orden]]="","",_xlfn.XLOOKUP(tblOrdenes[[#This Row],[id_operacion]],tblEjecucion[id_operacion],tblEjecucion[precio],0))</f>
        <v/>
      </c>
      <c r="AM199" s="18">
        <f>IF(tblOrdenes[[#This Row],[orden]]="","",MAX(0,_xlfn.XLOOKUP(tblOrdenes[[#This Row],[id_operacion]],tblEjecucion[id_operacion],tblEjecucion[costo_plan_total],0)-tblOrdenes[[#This Row],[costo_servicio]]))</f>
        <v/>
      </c>
      <c r="AN199" s="18">
        <f>IF(tblOrdenes[[#This Row],[orden]]="","",tblOrdenes[[#This Row],[costo_servicio]]+tblOrdenes[[#This Row],[costo_materiales]])</f>
        <v/>
      </c>
      <c r="AO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n"/>
      <c r="AQ199" s="4" t="n"/>
      <c r="AR199" s="4" t="n"/>
      <c r="AS199" s="5">
        <f>IF(tblOrdenes[[#This Row],[link_checklist]]="","",HYPERLINK(p_ruta_base_checklists&amp;tblOrdenes[[#This Row],[link_checklist]],"abrir"))</f>
        <v/>
      </c>
      <c r="AT199" s="4" t="n"/>
      <c r="AU199" s="5">
        <f>IF(tblOrdenes[[#This Row],[orden]]="","",tblOrdenes[[#This Row],[orden]]&amp;IF(tblOrdenes[[#This Row],[operacion]]="","0010",tblOrdenes[[#This Row],[operacion]]))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25" t="n"/>
      <c r="K200" s="5" t="n"/>
      <c r="L200" s="18" t="n"/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Row],[fecha_inicio]]="","",tblOrdenes[[#This Row],[anio]]&amp;"-"&amp;TEXT(tblOrdenes[[#This Row],[mes]],"00"))</f>
        <v/>
      </c>
      <c r="S200" s="5">
        <f>IF(tblOrdenes[[#This Row],[fecha_inicio]]="","",INDEX(lista_dias,WEEKDAY(tblOrdenes[[#This Row],[fecha_inicio]],2)))</f>
        <v/>
      </c>
      <c r="T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5">
        <f>IF(tblOrdenes[[#This Row],[tipo_ot]]="","",_xlfn.XLOOKUP(tblOrdenes[[#This Row],[tipo_ot]],tblTiposOT[codigo],tblTiposOT[clasificacion],"sin_clasificar"))</f>
        <v/>
      </c>
      <c r="V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5">
        <f>IF(tblOrdenes[[#This Row],[centro_costo]]="","",_xlfn.XLOOKUP(tblOrdenes[[#This Row],[centro_costo]],tblCECO[codigo],tblCECO[linea],"(sin catálogo)"))</f>
        <v/>
      </c>
      <c r="Y200" s="5">
        <f>IF(tblOrdenes[[#This Row],[centro_costo]]="","",_xlfn.XLOOKUP(tblOrdenes[[#This Row],[centro_costo]],tblCECO[codigo],tblCECO[area],"(sin catálogo)"))</f>
        <v/>
      </c>
      <c r="Z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5">
        <f>IF(tblOrdenes[[#This Row],[centro_costo]]="","",_xlfn.XLOOKUP(tblOrdenes[[#This Row],[centro_costo]],tblCECO[codigo],tblCECO[coordinador],"(sin catálogo)"))</f>
        <v/>
      </c>
      <c r="AB200" s="5">
        <f>IF(tblOrdenes[[#This Row],[puesto_trabajo]]="","",_xlfn.XLOOKUP(tblOrdenes[[#This Row],[puesto_trabajo]],tblPuestos[codigo],tblPuestos[especialidad],"(sin catálogo)"))</f>
        <v/>
      </c>
      <c r="AC200" s="5">
        <f>IF(tblOrdenes[[#This Row],[cod_actividad]]="","",_xlfn.XLOOKUP(tblOrdenes[[#This Row],[cod_actividad]],tblActividades[codigo],tblActividades[descripcion],"(sin catálogo)"))</f>
        <v/>
      </c>
      <c r="AD200" s="23">
        <f>IF(tblOrdenes[[#This Row],[fecha_inicio]]="","",TODAY()-tblOrdenes[[#This Row],[fecha_inicio]])</f>
        <v/>
      </c>
      <c r="AE2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5">
        <f>IF(tblOrdenes[[#This Row],[backlog_habiles]]="","",IF(tblOrdenes[[#This Row],[backlog_habiles]]&lt;0,"FUTURO",IF(tblOrdenes[[#This Row],[backlog_habiles]]&gt;p_dias_backlog_max,"BACKLOG","MES CORRIENTE")))</f>
        <v/>
      </c>
      <c r="AG200" s="5">
        <f>IF(tblOrdenes[[#This Row],[backlog_habiles]]="",FALSE,AND(tblOrdenes[[#This Row],[backlog_habiles]]&gt;p_dias_backlog_min,tblOrdenes[[#This Row],[backlog_habiles]]&lt;=p_dias_backlog_max))</f>
        <v/>
      </c>
      <c r="AH200" s="4" t="n"/>
      <c r="AI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18">
        <f>IF(tblOrdenes[[#This Row],[orden]]="","",_xlfn.XLOOKUP(tblOrdenes[[#This Row],[id_operacion]],tblEjecucion[id_operacion],tblEjecucion[precio],0))</f>
        <v/>
      </c>
      <c r="AM200" s="18">
        <f>IF(tblOrdenes[[#This Row],[orden]]="","",MAX(0,_xlfn.XLOOKUP(tblOrdenes[[#This Row],[id_operacion]],tblEjecucion[id_operacion],tblEjecucion[costo_plan_total],0)-tblOrdenes[[#This Row],[costo_servicio]]))</f>
        <v/>
      </c>
      <c r="AN200" s="18">
        <f>IF(tblOrdenes[[#This Row],[orden]]="","",tblOrdenes[[#This Row],[costo_servicio]]+tblOrdenes[[#This Row],[costo_materiales]])</f>
        <v/>
      </c>
      <c r="AO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n"/>
      <c r="AQ200" s="4" t="n"/>
      <c r="AR200" s="4" t="n"/>
      <c r="AS200" s="5">
        <f>IF(tblOrdenes[[#This Row],[link_checklist]]="","",HYPERLINK(p_ruta_base_checklists&amp;tblOrdenes[[#This Row],[link_checklist]],"abrir"))</f>
        <v/>
      </c>
      <c r="AT200" s="4" t="n"/>
      <c r="AU200" s="5">
        <f>IF(tblOrdenes[[#This Row],[orden]]="","",tblOrdenes[[#This Row],[orden]]&amp;IF(tblOrdenes[[#This Row],[operacion]]="","0010",tblOrdenes[[#This Row],[operacion]]))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25" t="n"/>
      <c r="K201" s="5" t="n"/>
      <c r="L201" s="18" t="n"/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Row],[fecha_inicio]]="","",tblOrdenes[[#This Row],[anio]]&amp;"-"&amp;TEXT(tblOrdenes[[#This Row],[mes]],"00"))</f>
        <v/>
      </c>
      <c r="S201" s="5">
        <f>IF(tblOrdenes[[#This Row],[fecha_inicio]]="","",INDEX(lista_dias,WEEKDAY(tblOrdenes[[#This Row],[fecha_inicio]],2)))</f>
        <v/>
      </c>
      <c r="T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5">
        <f>IF(tblOrdenes[[#This Row],[tipo_ot]]="","",_xlfn.XLOOKUP(tblOrdenes[[#This Row],[tipo_ot]],tblTiposOT[codigo],tblTiposOT[clasificacion],"sin_clasificar"))</f>
        <v/>
      </c>
      <c r="V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5">
        <f>IF(tblOrdenes[[#This Row],[centro_costo]]="","",_xlfn.XLOOKUP(tblOrdenes[[#This Row],[centro_costo]],tblCECO[codigo],tblCECO[linea],"(sin catálogo)"))</f>
        <v/>
      </c>
      <c r="Y201" s="5">
        <f>IF(tblOrdenes[[#This Row],[centro_costo]]="","",_xlfn.XLOOKUP(tblOrdenes[[#This Row],[centro_costo]],tblCECO[codigo],tblCECO[area],"(sin catálogo)"))</f>
        <v/>
      </c>
      <c r="Z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5">
        <f>IF(tblOrdenes[[#This Row],[centro_costo]]="","",_xlfn.XLOOKUP(tblOrdenes[[#This Row],[centro_costo]],tblCECO[codigo],tblCECO[coordinador],"(sin catálogo)"))</f>
        <v/>
      </c>
      <c r="AB201" s="5">
        <f>IF(tblOrdenes[[#This Row],[puesto_trabajo]]="","",_xlfn.XLOOKUP(tblOrdenes[[#This Row],[puesto_trabajo]],tblPuestos[codigo],tblPuestos[especialidad],"(sin catálogo)"))</f>
        <v/>
      </c>
      <c r="AC201" s="5">
        <f>IF(tblOrdenes[[#This Row],[cod_actividad]]="","",_xlfn.XLOOKUP(tblOrdenes[[#This Row],[cod_actividad]],tblActividades[codigo],tblActividades[descripcion],"(sin catálogo)"))</f>
        <v/>
      </c>
      <c r="AD201" s="23">
        <f>IF(tblOrdenes[[#This Row],[fecha_inicio]]="","",TODAY()-tblOrdenes[[#This Row],[fecha_inicio]])</f>
        <v/>
      </c>
      <c r="AE2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5">
        <f>IF(tblOrdenes[[#This Row],[backlog_habiles]]="","",IF(tblOrdenes[[#This Row],[backlog_habiles]]&lt;0,"FUTURO",IF(tblOrdenes[[#This Row],[backlog_habiles]]&gt;p_dias_backlog_max,"BACKLOG","MES CORRIENTE")))</f>
        <v/>
      </c>
      <c r="AG201" s="5">
        <f>IF(tblOrdenes[[#This Row],[backlog_habiles]]="",FALSE,AND(tblOrdenes[[#This Row],[backlog_habiles]]&gt;p_dias_backlog_min,tblOrdenes[[#This Row],[backlog_habiles]]&lt;=p_dias_backlog_max))</f>
        <v/>
      </c>
      <c r="AH201" s="4" t="n"/>
      <c r="AI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18">
        <f>IF(tblOrdenes[[#This Row],[orden]]="","",_xlfn.XLOOKUP(tblOrdenes[[#This Row],[id_operacion]],tblEjecucion[id_operacion],tblEjecucion[precio],0))</f>
        <v/>
      </c>
      <c r="AM201" s="18">
        <f>IF(tblOrdenes[[#This Row],[orden]]="","",MAX(0,_xlfn.XLOOKUP(tblOrdenes[[#This Row],[id_operacion]],tblEjecucion[id_operacion],tblEjecucion[costo_plan_total],0)-tblOrdenes[[#This Row],[costo_servicio]]))</f>
        <v/>
      </c>
      <c r="AN201" s="18">
        <f>IF(tblOrdenes[[#This Row],[orden]]="","",tblOrdenes[[#This Row],[costo_servicio]]+tblOrdenes[[#This Row],[costo_materiales]])</f>
        <v/>
      </c>
      <c r="AO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n"/>
      <c r="AQ201" s="4" t="n"/>
      <c r="AR201" s="4" t="n"/>
      <c r="AS201" s="5">
        <f>IF(tblOrdenes[[#This Row],[link_checklist]]="","",HYPERLINK(p_ruta_base_checklists&amp;tblOrdenes[[#This Row],[link_checklist]],"abrir"))</f>
        <v/>
      </c>
      <c r="AT201" s="4" t="n"/>
      <c r="AU201" s="5">
        <f>IF(tblOrdenes[[#This Row],[orden]]="","",tblOrdenes[[#This Row],[orden]]&amp;IF(tblOrdenes[[#This Row],[operacion]]="","0010",tblOrdenes[[#This Row],[operacion]]))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25" t="n"/>
      <c r="K202" s="5" t="n"/>
      <c r="L202" s="18" t="n"/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Row],[fecha_inicio]]="","",tblOrdenes[[#This Row],[anio]]&amp;"-"&amp;TEXT(tblOrdenes[[#This Row],[mes]],"00"))</f>
        <v/>
      </c>
      <c r="S202" s="5">
        <f>IF(tblOrdenes[[#This Row],[fecha_inicio]]="","",INDEX(lista_dias,WEEKDAY(tblOrdenes[[#This Row],[fecha_inicio]],2)))</f>
        <v/>
      </c>
      <c r="T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5">
        <f>IF(tblOrdenes[[#This Row],[tipo_ot]]="","",_xlfn.XLOOKUP(tblOrdenes[[#This Row],[tipo_ot]],tblTiposOT[codigo],tblTiposOT[clasificacion],"sin_clasificar"))</f>
        <v/>
      </c>
      <c r="V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5">
        <f>IF(tblOrdenes[[#This Row],[centro_costo]]="","",_xlfn.XLOOKUP(tblOrdenes[[#This Row],[centro_costo]],tblCECO[codigo],tblCECO[linea],"(sin catálogo)"))</f>
        <v/>
      </c>
      <c r="Y202" s="5">
        <f>IF(tblOrdenes[[#This Row],[centro_costo]]="","",_xlfn.XLOOKUP(tblOrdenes[[#This Row],[centro_costo]],tblCECO[codigo],tblCECO[area],"(sin catálogo)"))</f>
        <v/>
      </c>
      <c r="Z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5">
        <f>IF(tblOrdenes[[#This Row],[centro_costo]]="","",_xlfn.XLOOKUP(tblOrdenes[[#This Row],[centro_costo]],tblCECO[codigo],tblCECO[coordinador],"(sin catálogo)"))</f>
        <v/>
      </c>
      <c r="AB202" s="5">
        <f>IF(tblOrdenes[[#This Row],[puesto_trabajo]]="","",_xlfn.XLOOKUP(tblOrdenes[[#This Row],[puesto_trabajo]],tblPuestos[codigo],tblPuestos[especialidad],"(sin catálogo)"))</f>
        <v/>
      </c>
      <c r="AC202" s="5">
        <f>IF(tblOrdenes[[#This Row],[cod_actividad]]="","",_xlfn.XLOOKUP(tblOrdenes[[#This Row],[cod_actividad]],tblActividades[codigo],tblActividades[descripcion],"(sin catálogo)"))</f>
        <v/>
      </c>
      <c r="AD202" s="23">
        <f>IF(tblOrdenes[[#This Row],[fecha_inicio]]="","",TODAY()-tblOrdenes[[#This Row],[fecha_inicio]])</f>
        <v/>
      </c>
      <c r="AE2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5">
        <f>IF(tblOrdenes[[#This Row],[backlog_habiles]]="","",IF(tblOrdenes[[#This Row],[backlog_habiles]]&lt;0,"FUTURO",IF(tblOrdenes[[#This Row],[backlog_habiles]]&gt;p_dias_backlog_max,"BACKLOG","MES CORRIENTE")))</f>
        <v/>
      </c>
      <c r="AG202" s="5">
        <f>IF(tblOrdenes[[#This Row],[backlog_habiles]]="",FALSE,AND(tblOrdenes[[#This Row],[backlog_habiles]]&gt;p_dias_backlog_min,tblOrdenes[[#This Row],[backlog_habiles]]&lt;=p_dias_backlog_max))</f>
        <v/>
      </c>
      <c r="AH202" s="4" t="n"/>
      <c r="AI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18">
        <f>IF(tblOrdenes[[#This Row],[orden]]="","",_xlfn.XLOOKUP(tblOrdenes[[#This Row],[id_operacion]],tblEjecucion[id_operacion],tblEjecucion[precio],0))</f>
        <v/>
      </c>
      <c r="AM202" s="18">
        <f>IF(tblOrdenes[[#This Row],[orden]]="","",MAX(0,_xlfn.XLOOKUP(tblOrdenes[[#This Row],[id_operacion]],tblEjecucion[id_operacion],tblEjecucion[costo_plan_total],0)-tblOrdenes[[#This Row],[costo_servicio]]))</f>
        <v/>
      </c>
      <c r="AN202" s="18">
        <f>IF(tblOrdenes[[#This Row],[orden]]="","",tblOrdenes[[#This Row],[costo_servicio]]+tblOrdenes[[#This Row],[costo_materiales]])</f>
        <v/>
      </c>
      <c r="AO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n"/>
      <c r="AQ202" s="4" t="n"/>
      <c r="AR202" s="4" t="n"/>
      <c r="AS202" s="5">
        <f>IF(tblOrdenes[[#This Row],[link_checklist]]="","",HYPERLINK(p_ruta_base_checklists&amp;tblOrdenes[[#This Row],[link_checklist]],"abrir"))</f>
        <v/>
      </c>
      <c r="AT202" s="4" t="n"/>
      <c r="AU202" s="5">
        <f>IF(tblOrdenes[[#This Row],[orden]]="","",tblOrdenes[[#This Row],[orden]]&amp;IF(tblOrdenes[[#This Row],[operacion]]="","0010",tblOrdenes[[#This Row],[operacion]]))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25" t="n"/>
      <c r="K203" s="5" t="n"/>
      <c r="L203" s="18" t="n"/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Row],[fecha_inicio]]="","",tblOrdenes[[#This Row],[anio]]&amp;"-"&amp;TEXT(tblOrdenes[[#This Row],[mes]],"00"))</f>
        <v/>
      </c>
      <c r="S203" s="5">
        <f>IF(tblOrdenes[[#This Row],[fecha_inicio]]="","",INDEX(lista_dias,WEEKDAY(tblOrdenes[[#This Row],[fecha_inicio]],2)))</f>
        <v/>
      </c>
      <c r="T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5">
        <f>IF(tblOrdenes[[#This Row],[tipo_ot]]="","",_xlfn.XLOOKUP(tblOrdenes[[#This Row],[tipo_ot]],tblTiposOT[codigo],tblTiposOT[clasificacion],"sin_clasificar"))</f>
        <v/>
      </c>
      <c r="V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5">
        <f>IF(tblOrdenes[[#This Row],[centro_costo]]="","",_xlfn.XLOOKUP(tblOrdenes[[#This Row],[centro_costo]],tblCECO[codigo],tblCECO[linea],"(sin catálogo)"))</f>
        <v/>
      </c>
      <c r="Y203" s="5">
        <f>IF(tblOrdenes[[#This Row],[centro_costo]]="","",_xlfn.XLOOKUP(tblOrdenes[[#This Row],[centro_costo]],tblCECO[codigo],tblCECO[area],"(sin catálogo)"))</f>
        <v/>
      </c>
      <c r="Z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5">
        <f>IF(tblOrdenes[[#This Row],[centro_costo]]="","",_xlfn.XLOOKUP(tblOrdenes[[#This Row],[centro_costo]],tblCECO[codigo],tblCECO[coordinador],"(sin catálogo)"))</f>
        <v/>
      </c>
      <c r="AB203" s="5">
        <f>IF(tblOrdenes[[#This Row],[puesto_trabajo]]="","",_xlfn.XLOOKUP(tblOrdenes[[#This Row],[puesto_trabajo]],tblPuestos[codigo],tblPuestos[especialidad],"(sin catálogo)"))</f>
        <v/>
      </c>
      <c r="AC203" s="5">
        <f>IF(tblOrdenes[[#This Row],[cod_actividad]]="","",_xlfn.XLOOKUP(tblOrdenes[[#This Row],[cod_actividad]],tblActividades[codigo],tblActividades[descripcion],"(sin catálogo)"))</f>
        <v/>
      </c>
      <c r="AD203" s="23">
        <f>IF(tblOrdenes[[#This Row],[fecha_inicio]]="","",TODAY()-tblOrdenes[[#This Row],[fecha_inicio]])</f>
        <v/>
      </c>
      <c r="AE2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5">
        <f>IF(tblOrdenes[[#This Row],[backlog_habiles]]="","",IF(tblOrdenes[[#This Row],[backlog_habiles]]&lt;0,"FUTURO",IF(tblOrdenes[[#This Row],[backlog_habiles]]&gt;p_dias_backlog_max,"BACKLOG","MES CORRIENTE")))</f>
        <v/>
      </c>
      <c r="AG203" s="5">
        <f>IF(tblOrdenes[[#This Row],[backlog_habiles]]="",FALSE,AND(tblOrdenes[[#This Row],[backlog_habiles]]&gt;p_dias_backlog_min,tblOrdenes[[#This Row],[backlog_habiles]]&lt;=p_dias_backlog_max))</f>
        <v/>
      </c>
      <c r="AH203" s="4" t="n"/>
      <c r="AI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18">
        <f>IF(tblOrdenes[[#This Row],[orden]]="","",_xlfn.XLOOKUP(tblOrdenes[[#This Row],[id_operacion]],tblEjecucion[id_operacion],tblEjecucion[precio],0))</f>
        <v/>
      </c>
      <c r="AM203" s="18">
        <f>IF(tblOrdenes[[#This Row],[orden]]="","",MAX(0,_xlfn.XLOOKUP(tblOrdenes[[#This Row],[id_operacion]],tblEjecucion[id_operacion],tblEjecucion[costo_plan_total],0)-tblOrdenes[[#This Row],[costo_servicio]]))</f>
        <v/>
      </c>
      <c r="AN203" s="18">
        <f>IF(tblOrdenes[[#This Row],[orden]]="","",tblOrdenes[[#This Row],[costo_servicio]]+tblOrdenes[[#This Row],[costo_materiales]])</f>
        <v/>
      </c>
      <c r="AO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n"/>
      <c r="AQ203" s="4" t="n"/>
      <c r="AR203" s="4" t="n"/>
      <c r="AS203" s="5">
        <f>IF(tblOrdenes[[#This Row],[link_checklist]]="","",HYPERLINK(p_ruta_base_checklists&amp;tblOrdenes[[#This Row],[link_checklist]],"abrir"))</f>
        <v/>
      </c>
      <c r="AT203" s="4" t="n"/>
      <c r="AU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5" t="n"/>
      <c r="K204" s="5" t="n"/>
      <c r="L204" s="18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Row],[fecha_inicio]]="","",tblOrdenes[[#This Row],[anio]]&amp;"-"&amp;TEXT(tblOrdenes[[#This Row],[mes]],"00"))</f>
        <v/>
      </c>
      <c r="S204" s="5">
        <f>IF(tblOrdenes[[#This Row],[fecha_inicio]]="","",INDEX(lista_dias,WEEKDAY(tblOrdenes[[#This Row],[fecha_inicio]],2)))</f>
        <v/>
      </c>
      <c r="T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5">
        <f>IF(tblOrdenes[[#This Row],[tipo_ot]]="","",_xlfn.XLOOKUP(tblOrdenes[[#This Row],[tipo_ot]],tblTiposOT[codigo],tblTiposOT[clasificacion],"sin_clasificar"))</f>
        <v/>
      </c>
      <c r="V2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5">
        <f>IF(tblOrdenes[[#This Row],[centro_costo]]="","",_xlfn.XLOOKUP(tblOrdenes[[#This Row],[centro_costo]],tblCECO[codigo],tblCECO[linea],"(sin catálogo)"))</f>
        <v/>
      </c>
      <c r="Y204" s="5">
        <f>IF(tblOrdenes[[#This Row],[centro_costo]]="","",_xlfn.XLOOKUP(tblOrdenes[[#This Row],[centro_costo]],tblCECO[codigo],tblCECO[area],"(sin catálogo)"))</f>
        <v/>
      </c>
      <c r="Z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5">
        <f>IF(tblOrdenes[[#This Row],[centro_costo]]="","",_xlfn.XLOOKUP(tblOrdenes[[#This Row],[centro_costo]],tblCECO[codigo],tblCECO[coordinador],"(sin catálogo)"))</f>
        <v/>
      </c>
      <c r="AB204" s="5">
        <f>IF(tblOrdenes[[#This Row],[puesto_trabajo]]="","",_xlfn.XLOOKUP(tblOrdenes[[#This Row],[puesto_trabajo]],tblPuestos[codigo],tblPuestos[especialidad],"(sin catálogo)"))</f>
        <v/>
      </c>
      <c r="AC204" s="5">
        <f>IF(tblOrdenes[[#This Row],[cod_actividad]]="","",_xlfn.XLOOKUP(tblOrdenes[[#This Row],[cod_actividad]],tblActividades[codigo],tblActividades[descripcion],"(sin catálogo)"))</f>
        <v/>
      </c>
      <c r="AD204" s="23">
        <f>IF(tblOrdenes[[#This Row],[fecha_inicio]]="","",TODAY()-tblOrdenes[[#This Row],[fecha_inicio]])</f>
        <v/>
      </c>
      <c r="AE2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5">
        <f>IF(tblOrdenes[[#This Row],[backlog_habiles]]="","",IF(tblOrdenes[[#This Row],[backlog_habiles]]&lt;0,"FUTURO",IF(tblOrdenes[[#This Row],[backlog_habiles]]&gt;p_dias_backlog_max,"BACKLOG","MES CORRIENTE")))</f>
        <v/>
      </c>
      <c r="AG204" s="5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18">
        <f>IF(tblOrdenes[[#This Row],[orden]]="","",_xlfn.XLOOKUP(tblOrdenes[[#This Row],[id_operacion]],tblEjecucion[id_operacion],tblEjecucion[precio],0))</f>
        <v/>
      </c>
      <c r="AM204" s="18">
        <f>IF(tblOrdenes[[#This Row],[orden]]="","",MAX(0,_xlfn.XLOOKUP(tblOrdenes[[#This Row],[id_operacion]],tblEjecucion[id_operacion],tblEjecucion[costo_plan_total],0)-tblOrdenes[[#This Row],[costo_servicio]]))</f>
        <v/>
      </c>
      <c r="AN204" s="18">
        <f>IF(tblOrdenes[[#This Row],[orden]]="","",tblOrdenes[[#This Row],[costo_servicio]]+tblOrdenes[[#This Row],[costo_materiales]])</f>
        <v/>
      </c>
      <c r="AO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5">
        <f>IF(tblOrdenes[[#This Row],[link_checklist]]="","",HYPERLINK(p_ruta_base_checklists&amp;tblOrdenes[[#This Row],[link_checklist]],"abrir"))</f>
        <v/>
      </c>
      <c r="AT204" s="4" t="n"/>
      <c r="AU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5" t="n"/>
      <c r="K205" s="5" t="n"/>
      <c r="L205" s="18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Row],[fecha_inicio]]="","",tblOrdenes[[#This Row],[anio]]&amp;"-"&amp;TEXT(tblOrdenes[[#This Row],[mes]],"00"))</f>
        <v/>
      </c>
      <c r="S205" s="5">
        <f>IF(tblOrdenes[[#This Row],[fecha_inicio]]="","",INDEX(lista_dias,WEEKDAY(tblOrdenes[[#This Row],[fecha_inicio]],2)))</f>
        <v/>
      </c>
      <c r="T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5">
        <f>IF(tblOrdenes[[#This Row],[tipo_ot]]="","",_xlfn.XLOOKUP(tblOrdenes[[#This Row],[tipo_ot]],tblTiposOT[codigo],tblTiposOT[clasificacion],"sin_clasificar"))</f>
        <v/>
      </c>
      <c r="V2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5">
        <f>IF(tblOrdenes[[#This Row],[centro_costo]]="","",_xlfn.XLOOKUP(tblOrdenes[[#This Row],[centro_costo]],tblCECO[codigo],tblCECO[linea],"(sin catálogo)"))</f>
        <v/>
      </c>
      <c r="Y205" s="5">
        <f>IF(tblOrdenes[[#This Row],[centro_costo]]="","",_xlfn.XLOOKUP(tblOrdenes[[#This Row],[centro_costo]],tblCECO[codigo],tblCECO[area],"(sin catálogo)"))</f>
        <v/>
      </c>
      <c r="Z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5">
        <f>IF(tblOrdenes[[#This Row],[centro_costo]]="","",_xlfn.XLOOKUP(tblOrdenes[[#This Row],[centro_costo]],tblCECO[codigo],tblCECO[coordinador],"(sin catálogo)"))</f>
        <v/>
      </c>
      <c r="AB205" s="5">
        <f>IF(tblOrdenes[[#This Row],[puesto_trabajo]]="","",_xlfn.XLOOKUP(tblOrdenes[[#This Row],[puesto_trabajo]],tblPuestos[codigo],tblPuestos[especialidad],"(sin catálogo)"))</f>
        <v/>
      </c>
      <c r="AC205" s="5">
        <f>IF(tblOrdenes[[#This Row],[cod_actividad]]="","",_xlfn.XLOOKUP(tblOrdenes[[#This Row],[cod_actividad]],tblActividades[codigo],tblActividades[descripcion],"(sin catálogo)"))</f>
        <v/>
      </c>
      <c r="AD205" s="23">
        <f>IF(tblOrdenes[[#This Row],[fecha_inicio]]="","",TODAY()-tblOrdenes[[#This Row],[fecha_inicio]])</f>
        <v/>
      </c>
      <c r="AE2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5">
        <f>IF(tblOrdenes[[#This Row],[backlog_habiles]]="","",IF(tblOrdenes[[#This Row],[backlog_habiles]]&lt;0,"FUTURO",IF(tblOrdenes[[#This Row],[backlog_habiles]]&gt;p_dias_backlog_max,"BACKLOG","MES CORRIENTE")))</f>
        <v/>
      </c>
      <c r="AG205" s="5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18">
        <f>IF(tblOrdenes[[#This Row],[orden]]="","",_xlfn.XLOOKUP(tblOrdenes[[#This Row],[id_operacion]],tblEjecucion[id_operacion],tblEjecucion[precio],0))</f>
        <v/>
      </c>
      <c r="AM205" s="18">
        <f>IF(tblOrdenes[[#This Row],[orden]]="","",MAX(0,_xlfn.XLOOKUP(tblOrdenes[[#This Row],[id_operacion]],tblEjecucion[id_operacion],tblEjecucion[costo_plan_total],0)-tblOrdenes[[#This Row],[costo_servicio]]))</f>
        <v/>
      </c>
      <c r="AN205" s="18">
        <f>IF(tblOrdenes[[#This Row],[orden]]="","",tblOrdenes[[#This Row],[costo_servicio]]+tblOrdenes[[#This Row],[costo_materiales]])</f>
        <v/>
      </c>
      <c r="AO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5">
        <f>IF(tblOrdenes[[#This Row],[link_checklist]]="","",HYPERLINK(p_ruta_base_checklists&amp;tblOrdenes[[#This Row],[link_checklist]],"abrir"))</f>
        <v/>
      </c>
      <c r="AT205" s="4" t="n"/>
      <c r="AU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5" t="n"/>
      <c r="K206" s="5" t="n"/>
      <c r="L206" s="18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Row],[fecha_inicio]]="","",tblOrdenes[[#This Row],[anio]]&amp;"-"&amp;TEXT(tblOrdenes[[#This Row],[mes]],"00"))</f>
        <v/>
      </c>
      <c r="S206" s="5">
        <f>IF(tblOrdenes[[#This Row],[fecha_inicio]]="","",INDEX(lista_dias,WEEKDAY(tblOrdenes[[#This Row],[fecha_inicio]],2)))</f>
        <v/>
      </c>
      <c r="T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5">
        <f>IF(tblOrdenes[[#This Row],[tipo_ot]]="","",_xlfn.XLOOKUP(tblOrdenes[[#This Row],[tipo_ot]],tblTiposOT[codigo],tblTiposOT[clasificacion],"sin_clasificar"))</f>
        <v/>
      </c>
      <c r="V2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5">
        <f>IF(tblOrdenes[[#This Row],[centro_costo]]="","",_xlfn.XLOOKUP(tblOrdenes[[#This Row],[centro_costo]],tblCECO[codigo],tblCECO[linea],"(sin catálogo)"))</f>
        <v/>
      </c>
      <c r="Y206" s="5">
        <f>IF(tblOrdenes[[#This Row],[centro_costo]]="","",_xlfn.XLOOKUP(tblOrdenes[[#This Row],[centro_costo]],tblCECO[codigo],tblCECO[area],"(sin catálogo)"))</f>
        <v/>
      </c>
      <c r="Z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5">
        <f>IF(tblOrdenes[[#This Row],[centro_costo]]="","",_xlfn.XLOOKUP(tblOrdenes[[#This Row],[centro_costo]],tblCECO[codigo],tblCECO[coordinador],"(sin catálogo)"))</f>
        <v/>
      </c>
      <c r="AB206" s="5">
        <f>IF(tblOrdenes[[#This Row],[puesto_trabajo]]="","",_xlfn.XLOOKUP(tblOrdenes[[#This Row],[puesto_trabajo]],tblPuestos[codigo],tblPuestos[especialidad],"(sin catálogo)"))</f>
        <v/>
      </c>
      <c r="AC206" s="5">
        <f>IF(tblOrdenes[[#This Row],[cod_actividad]]="","",_xlfn.XLOOKUP(tblOrdenes[[#This Row],[cod_actividad]],tblActividades[codigo],tblActividades[descripcion],"(sin catálogo)"))</f>
        <v/>
      </c>
      <c r="AD206" s="23">
        <f>IF(tblOrdenes[[#This Row],[fecha_inicio]]="","",TODAY()-tblOrdenes[[#This Row],[fecha_inicio]])</f>
        <v/>
      </c>
      <c r="AE2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5">
        <f>IF(tblOrdenes[[#This Row],[backlog_habiles]]="","",IF(tblOrdenes[[#This Row],[backlog_habiles]]&lt;0,"FUTURO",IF(tblOrdenes[[#This Row],[backlog_habiles]]&gt;p_dias_backlog_max,"BACKLOG","MES CORRIENTE")))</f>
        <v/>
      </c>
      <c r="AG206" s="5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18">
        <f>IF(tblOrdenes[[#This Row],[orden]]="","",_xlfn.XLOOKUP(tblOrdenes[[#This Row],[id_operacion]],tblEjecucion[id_operacion],tblEjecucion[precio],0))</f>
        <v/>
      </c>
      <c r="AM206" s="18">
        <f>IF(tblOrdenes[[#This Row],[orden]]="","",MAX(0,_xlfn.XLOOKUP(tblOrdenes[[#This Row],[id_operacion]],tblEjecucion[id_operacion],tblEjecucion[costo_plan_total],0)-tblOrdenes[[#This Row],[costo_servicio]]))</f>
        <v/>
      </c>
      <c r="AN206" s="18">
        <f>IF(tblOrdenes[[#This Row],[orden]]="","",tblOrdenes[[#This Row],[costo_servicio]]+tblOrdenes[[#This Row],[costo_materiales]])</f>
        <v/>
      </c>
      <c r="AO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5">
        <f>IF(tblOrdenes[[#This Row],[link_checklist]]="","",HYPERLINK(p_ruta_base_checklists&amp;tblOrdenes[[#This Row],[link_checklist]],"abrir"))</f>
        <v/>
      </c>
      <c r="AT206" s="4" t="n"/>
      <c r="AU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5" t="n"/>
      <c r="K207" s="5" t="n"/>
      <c r="L207" s="18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Row],[fecha_inicio]]="","",tblOrdenes[[#This Row],[anio]]&amp;"-"&amp;TEXT(tblOrdenes[[#This Row],[mes]],"00"))</f>
        <v/>
      </c>
      <c r="S207" s="5">
        <f>IF(tblOrdenes[[#This Row],[fecha_inicio]]="","",INDEX(lista_dias,WEEKDAY(tblOrdenes[[#This Row],[fecha_inicio]],2)))</f>
        <v/>
      </c>
      <c r="T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5">
        <f>IF(tblOrdenes[[#This Row],[tipo_ot]]="","",_xlfn.XLOOKUP(tblOrdenes[[#This Row],[tipo_ot]],tblTiposOT[codigo],tblTiposOT[clasificacion],"sin_clasificar"))</f>
        <v/>
      </c>
      <c r="V2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5">
        <f>IF(tblOrdenes[[#This Row],[centro_costo]]="","",_xlfn.XLOOKUP(tblOrdenes[[#This Row],[centro_costo]],tblCECO[codigo],tblCECO[linea],"(sin catálogo)"))</f>
        <v/>
      </c>
      <c r="Y207" s="5">
        <f>IF(tblOrdenes[[#This Row],[centro_costo]]="","",_xlfn.XLOOKUP(tblOrdenes[[#This Row],[centro_costo]],tblCECO[codigo],tblCECO[area],"(sin catálogo)"))</f>
        <v/>
      </c>
      <c r="Z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5">
        <f>IF(tblOrdenes[[#This Row],[centro_costo]]="","",_xlfn.XLOOKUP(tblOrdenes[[#This Row],[centro_costo]],tblCECO[codigo],tblCECO[coordinador],"(sin catálogo)"))</f>
        <v/>
      </c>
      <c r="AB207" s="5">
        <f>IF(tblOrdenes[[#This Row],[puesto_trabajo]]="","",_xlfn.XLOOKUP(tblOrdenes[[#This Row],[puesto_trabajo]],tblPuestos[codigo],tblPuestos[especialidad],"(sin catálogo)"))</f>
        <v/>
      </c>
      <c r="AC207" s="5">
        <f>IF(tblOrdenes[[#This Row],[cod_actividad]]="","",_xlfn.XLOOKUP(tblOrdenes[[#This Row],[cod_actividad]],tblActividades[codigo],tblActividades[descripcion],"(sin catálogo)"))</f>
        <v/>
      </c>
      <c r="AD207" s="23">
        <f>IF(tblOrdenes[[#This Row],[fecha_inicio]]="","",TODAY()-tblOrdenes[[#This Row],[fecha_inicio]])</f>
        <v/>
      </c>
      <c r="AE2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5">
        <f>IF(tblOrdenes[[#This Row],[backlog_habiles]]="","",IF(tblOrdenes[[#This Row],[backlog_habiles]]&lt;0,"FUTURO",IF(tblOrdenes[[#This Row],[backlog_habiles]]&gt;p_dias_backlog_max,"BACKLOG","MES CORRIENTE")))</f>
        <v/>
      </c>
      <c r="AG207" s="5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18">
        <f>IF(tblOrdenes[[#This Row],[orden]]="","",_xlfn.XLOOKUP(tblOrdenes[[#This Row],[id_operacion]],tblEjecucion[id_operacion],tblEjecucion[precio],0))</f>
        <v/>
      </c>
      <c r="AM207" s="18">
        <f>IF(tblOrdenes[[#This Row],[orden]]="","",MAX(0,_xlfn.XLOOKUP(tblOrdenes[[#This Row],[id_operacion]],tblEjecucion[id_operacion],tblEjecucion[costo_plan_total],0)-tblOrdenes[[#This Row],[costo_servicio]]))</f>
        <v/>
      </c>
      <c r="AN207" s="18">
        <f>IF(tblOrdenes[[#This Row],[orden]]="","",tblOrdenes[[#This Row],[costo_servicio]]+tblOrdenes[[#This Row],[costo_materiales]])</f>
        <v/>
      </c>
      <c r="AO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5">
        <f>IF(tblOrdenes[[#This Row],[link_checklist]]="","",HYPERLINK(p_ruta_base_checklists&amp;tblOrdenes[[#This Row],[link_checklist]],"abrir"))</f>
        <v/>
      </c>
      <c r="AT207" s="4" t="n"/>
      <c r="AU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5" t="n"/>
      <c r="K208" s="5" t="n"/>
      <c r="L208" s="18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Row],[fecha_inicio]]="","",tblOrdenes[[#This Row],[anio]]&amp;"-"&amp;TEXT(tblOrdenes[[#This Row],[mes]],"00"))</f>
        <v/>
      </c>
      <c r="S208" s="5">
        <f>IF(tblOrdenes[[#This Row],[fecha_inicio]]="","",INDEX(lista_dias,WEEKDAY(tblOrdenes[[#This Row],[fecha_inicio]],2)))</f>
        <v/>
      </c>
      <c r="T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5">
        <f>IF(tblOrdenes[[#This Row],[tipo_ot]]="","",_xlfn.XLOOKUP(tblOrdenes[[#This Row],[tipo_ot]],tblTiposOT[codigo],tblTiposOT[clasificacion],"sin_clasificar"))</f>
        <v/>
      </c>
      <c r="V2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5">
        <f>IF(tblOrdenes[[#This Row],[centro_costo]]="","",_xlfn.XLOOKUP(tblOrdenes[[#This Row],[centro_costo]],tblCECO[codigo],tblCECO[linea],"(sin catálogo)"))</f>
        <v/>
      </c>
      <c r="Y208" s="5">
        <f>IF(tblOrdenes[[#This Row],[centro_costo]]="","",_xlfn.XLOOKUP(tblOrdenes[[#This Row],[centro_costo]],tblCECO[codigo],tblCECO[area],"(sin catálogo)"))</f>
        <v/>
      </c>
      <c r="Z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5">
        <f>IF(tblOrdenes[[#This Row],[centro_costo]]="","",_xlfn.XLOOKUP(tblOrdenes[[#This Row],[centro_costo]],tblCECO[codigo],tblCECO[coordinador],"(sin catálogo)"))</f>
        <v/>
      </c>
      <c r="AB208" s="5">
        <f>IF(tblOrdenes[[#This Row],[puesto_trabajo]]="","",_xlfn.XLOOKUP(tblOrdenes[[#This Row],[puesto_trabajo]],tblPuestos[codigo],tblPuestos[especialidad],"(sin catálogo)"))</f>
        <v/>
      </c>
      <c r="AC208" s="5">
        <f>IF(tblOrdenes[[#This Row],[cod_actividad]]="","",_xlfn.XLOOKUP(tblOrdenes[[#This Row],[cod_actividad]],tblActividades[codigo],tblActividades[descripcion],"(sin catálogo)"))</f>
        <v/>
      </c>
      <c r="AD208" s="23">
        <f>IF(tblOrdenes[[#This Row],[fecha_inicio]]="","",TODAY()-tblOrdenes[[#This Row],[fecha_inicio]])</f>
        <v/>
      </c>
      <c r="AE2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5">
        <f>IF(tblOrdenes[[#This Row],[backlog_habiles]]="","",IF(tblOrdenes[[#This Row],[backlog_habiles]]&lt;0,"FUTURO",IF(tblOrdenes[[#This Row],[backlog_habiles]]&gt;p_dias_backlog_max,"BACKLOG","MES CORRIENTE")))</f>
        <v/>
      </c>
      <c r="AG208" s="5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18">
        <f>IF(tblOrdenes[[#This Row],[orden]]="","",_xlfn.XLOOKUP(tblOrdenes[[#This Row],[id_operacion]],tblEjecucion[id_operacion],tblEjecucion[precio],0))</f>
        <v/>
      </c>
      <c r="AM208" s="18">
        <f>IF(tblOrdenes[[#This Row],[orden]]="","",MAX(0,_xlfn.XLOOKUP(tblOrdenes[[#This Row],[id_operacion]],tblEjecucion[id_operacion],tblEjecucion[costo_plan_total],0)-tblOrdenes[[#This Row],[costo_servicio]]))</f>
        <v/>
      </c>
      <c r="AN208" s="18">
        <f>IF(tblOrdenes[[#This Row],[orden]]="","",tblOrdenes[[#This Row],[costo_servicio]]+tblOrdenes[[#This Row],[costo_materiales]])</f>
        <v/>
      </c>
      <c r="AO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5">
        <f>IF(tblOrdenes[[#This Row],[link_checklist]]="","",HYPERLINK(p_ruta_base_checklists&amp;tblOrdenes[[#This Row],[link_checklist]],"abrir"))</f>
        <v/>
      </c>
      <c r="AT208" s="4" t="n"/>
      <c r="AU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5" t="n"/>
      <c r="K209" s="5" t="n"/>
      <c r="L209" s="18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Row],[fecha_inicio]]="","",tblOrdenes[[#This Row],[anio]]&amp;"-"&amp;TEXT(tblOrdenes[[#This Row],[mes]],"00"))</f>
        <v/>
      </c>
      <c r="S209" s="5">
        <f>IF(tblOrdenes[[#This Row],[fecha_inicio]]="","",INDEX(lista_dias,WEEKDAY(tblOrdenes[[#This Row],[fecha_inicio]],2)))</f>
        <v/>
      </c>
      <c r="T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5">
        <f>IF(tblOrdenes[[#This Row],[tipo_ot]]="","",_xlfn.XLOOKUP(tblOrdenes[[#This Row],[tipo_ot]],tblTiposOT[codigo],tblTiposOT[clasificacion],"sin_clasificar"))</f>
        <v/>
      </c>
      <c r="V2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5">
        <f>IF(tblOrdenes[[#This Row],[centro_costo]]="","",_xlfn.XLOOKUP(tblOrdenes[[#This Row],[centro_costo]],tblCECO[codigo],tblCECO[linea],"(sin catálogo)"))</f>
        <v/>
      </c>
      <c r="Y209" s="5">
        <f>IF(tblOrdenes[[#This Row],[centro_costo]]="","",_xlfn.XLOOKUP(tblOrdenes[[#This Row],[centro_costo]],tblCECO[codigo],tblCECO[area],"(sin catálogo)"))</f>
        <v/>
      </c>
      <c r="Z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5">
        <f>IF(tblOrdenes[[#This Row],[centro_costo]]="","",_xlfn.XLOOKUP(tblOrdenes[[#This Row],[centro_costo]],tblCECO[codigo],tblCECO[coordinador],"(sin catálogo)"))</f>
        <v/>
      </c>
      <c r="AB209" s="5">
        <f>IF(tblOrdenes[[#This Row],[puesto_trabajo]]="","",_xlfn.XLOOKUP(tblOrdenes[[#This Row],[puesto_trabajo]],tblPuestos[codigo],tblPuestos[especialidad],"(sin catálogo)"))</f>
        <v/>
      </c>
      <c r="AC209" s="5">
        <f>IF(tblOrdenes[[#This Row],[cod_actividad]]="","",_xlfn.XLOOKUP(tblOrdenes[[#This Row],[cod_actividad]],tblActividades[codigo],tblActividades[descripcion],"(sin catálogo)"))</f>
        <v/>
      </c>
      <c r="AD209" s="23">
        <f>IF(tblOrdenes[[#This Row],[fecha_inicio]]="","",TODAY()-tblOrdenes[[#This Row],[fecha_inicio]])</f>
        <v/>
      </c>
      <c r="AE2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5">
        <f>IF(tblOrdenes[[#This Row],[backlog_habiles]]="","",IF(tblOrdenes[[#This Row],[backlog_habiles]]&lt;0,"FUTURO",IF(tblOrdenes[[#This Row],[backlog_habiles]]&gt;p_dias_backlog_max,"BACKLOG","MES CORRIENTE")))</f>
        <v/>
      </c>
      <c r="AG209" s="5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18">
        <f>IF(tblOrdenes[[#This Row],[orden]]="","",_xlfn.XLOOKUP(tblOrdenes[[#This Row],[id_operacion]],tblEjecucion[id_operacion],tblEjecucion[precio],0))</f>
        <v/>
      </c>
      <c r="AM209" s="18">
        <f>IF(tblOrdenes[[#This Row],[orden]]="","",MAX(0,_xlfn.XLOOKUP(tblOrdenes[[#This Row],[id_operacion]],tblEjecucion[id_operacion],tblEjecucion[costo_plan_total],0)-tblOrdenes[[#This Row],[costo_servicio]]))</f>
        <v/>
      </c>
      <c r="AN209" s="18">
        <f>IF(tblOrdenes[[#This Row],[orden]]="","",tblOrdenes[[#This Row],[costo_servicio]]+tblOrdenes[[#This Row],[costo_materiales]])</f>
        <v/>
      </c>
      <c r="AO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5">
        <f>IF(tblOrdenes[[#This Row],[link_checklist]]="","",HYPERLINK(p_ruta_base_checklists&amp;tblOrdenes[[#This Row],[link_checklist]],"abrir"))</f>
        <v/>
      </c>
      <c r="AT209" s="4" t="n"/>
      <c r="AU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5" t="n"/>
      <c r="K210" s="5" t="n"/>
      <c r="L210" s="18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Row],[fecha_inicio]]="","",tblOrdenes[[#This Row],[anio]]&amp;"-"&amp;TEXT(tblOrdenes[[#This Row],[mes]],"00"))</f>
        <v/>
      </c>
      <c r="S210" s="5">
        <f>IF(tblOrdenes[[#This Row],[fecha_inicio]]="","",INDEX(lista_dias,WEEKDAY(tblOrdenes[[#This Row],[fecha_inicio]],2)))</f>
        <v/>
      </c>
      <c r="T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5">
        <f>IF(tblOrdenes[[#This Row],[tipo_ot]]="","",_xlfn.XLOOKUP(tblOrdenes[[#This Row],[tipo_ot]],tblTiposOT[codigo],tblTiposOT[clasificacion],"sin_clasificar"))</f>
        <v/>
      </c>
      <c r="V2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5">
        <f>IF(tblOrdenes[[#This Row],[centro_costo]]="","",_xlfn.XLOOKUP(tblOrdenes[[#This Row],[centro_costo]],tblCECO[codigo],tblCECO[linea],"(sin catálogo)"))</f>
        <v/>
      </c>
      <c r="Y210" s="5">
        <f>IF(tblOrdenes[[#This Row],[centro_costo]]="","",_xlfn.XLOOKUP(tblOrdenes[[#This Row],[centro_costo]],tblCECO[codigo],tblCECO[area],"(sin catálogo)"))</f>
        <v/>
      </c>
      <c r="Z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5">
        <f>IF(tblOrdenes[[#This Row],[centro_costo]]="","",_xlfn.XLOOKUP(tblOrdenes[[#This Row],[centro_costo]],tblCECO[codigo],tblCECO[coordinador],"(sin catálogo)"))</f>
        <v/>
      </c>
      <c r="AB210" s="5">
        <f>IF(tblOrdenes[[#This Row],[puesto_trabajo]]="","",_xlfn.XLOOKUP(tblOrdenes[[#This Row],[puesto_trabajo]],tblPuestos[codigo],tblPuestos[especialidad],"(sin catálogo)"))</f>
        <v/>
      </c>
      <c r="AC210" s="5">
        <f>IF(tblOrdenes[[#This Row],[cod_actividad]]="","",_xlfn.XLOOKUP(tblOrdenes[[#This Row],[cod_actividad]],tblActividades[codigo],tblActividades[descripcion],"(sin catálogo)"))</f>
        <v/>
      </c>
      <c r="AD210" s="23">
        <f>IF(tblOrdenes[[#This Row],[fecha_inicio]]="","",TODAY()-tblOrdenes[[#This Row],[fecha_inicio]])</f>
        <v/>
      </c>
      <c r="AE2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5">
        <f>IF(tblOrdenes[[#This Row],[backlog_habiles]]="","",IF(tblOrdenes[[#This Row],[backlog_habiles]]&lt;0,"FUTURO",IF(tblOrdenes[[#This Row],[backlog_habiles]]&gt;p_dias_backlog_max,"BACKLOG","MES CORRIENTE")))</f>
        <v/>
      </c>
      <c r="AG210" s="5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18">
        <f>IF(tblOrdenes[[#This Row],[orden]]="","",_xlfn.XLOOKUP(tblOrdenes[[#This Row],[id_operacion]],tblEjecucion[id_operacion],tblEjecucion[precio],0))</f>
        <v/>
      </c>
      <c r="AM210" s="18">
        <f>IF(tblOrdenes[[#This Row],[orden]]="","",MAX(0,_xlfn.XLOOKUP(tblOrdenes[[#This Row],[id_operacion]],tblEjecucion[id_operacion],tblEjecucion[costo_plan_total],0)-tblOrdenes[[#This Row],[costo_servicio]]))</f>
        <v/>
      </c>
      <c r="AN210" s="18">
        <f>IF(tblOrdenes[[#This Row],[orden]]="","",tblOrdenes[[#This Row],[costo_servicio]]+tblOrdenes[[#This Row],[costo_materiales]])</f>
        <v/>
      </c>
      <c r="AO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5">
        <f>IF(tblOrdenes[[#This Row],[link_checklist]]="","",HYPERLINK(p_ruta_base_checklists&amp;tblOrdenes[[#This Row],[link_checklist]],"abrir"))</f>
        <v/>
      </c>
      <c r="AT210" s="4" t="n"/>
      <c r="AU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5" t="n"/>
      <c r="K211" s="5" t="n"/>
      <c r="L211" s="18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Row],[fecha_inicio]]="","",tblOrdenes[[#This Row],[anio]]&amp;"-"&amp;TEXT(tblOrdenes[[#This Row],[mes]],"00"))</f>
        <v/>
      </c>
      <c r="S211" s="5">
        <f>IF(tblOrdenes[[#This Row],[fecha_inicio]]="","",INDEX(lista_dias,WEEKDAY(tblOrdenes[[#This Row],[fecha_inicio]],2)))</f>
        <v/>
      </c>
      <c r="T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5">
        <f>IF(tblOrdenes[[#This Row],[tipo_ot]]="","",_xlfn.XLOOKUP(tblOrdenes[[#This Row],[tipo_ot]],tblTiposOT[codigo],tblTiposOT[clasificacion],"sin_clasificar"))</f>
        <v/>
      </c>
      <c r="V2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5">
        <f>IF(tblOrdenes[[#This Row],[centro_costo]]="","",_xlfn.XLOOKUP(tblOrdenes[[#This Row],[centro_costo]],tblCECO[codigo],tblCECO[linea],"(sin catálogo)"))</f>
        <v/>
      </c>
      <c r="Y211" s="5">
        <f>IF(tblOrdenes[[#This Row],[centro_costo]]="","",_xlfn.XLOOKUP(tblOrdenes[[#This Row],[centro_costo]],tblCECO[codigo],tblCECO[area],"(sin catálogo)"))</f>
        <v/>
      </c>
      <c r="Z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5">
        <f>IF(tblOrdenes[[#This Row],[centro_costo]]="","",_xlfn.XLOOKUP(tblOrdenes[[#This Row],[centro_costo]],tblCECO[codigo],tblCECO[coordinador],"(sin catálogo)"))</f>
        <v/>
      </c>
      <c r="AB211" s="5">
        <f>IF(tblOrdenes[[#This Row],[puesto_trabajo]]="","",_xlfn.XLOOKUP(tblOrdenes[[#This Row],[puesto_trabajo]],tblPuestos[codigo],tblPuestos[especialidad],"(sin catálogo)"))</f>
        <v/>
      </c>
      <c r="AC211" s="5">
        <f>IF(tblOrdenes[[#This Row],[cod_actividad]]="","",_xlfn.XLOOKUP(tblOrdenes[[#This Row],[cod_actividad]],tblActividades[codigo],tblActividades[descripcion],"(sin catálogo)"))</f>
        <v/>
      </c>
      <c r="AD211" s="23">
        <f>IF(tblOrdenes[[#This Row],[fecha_inicio]]="","",TODAY()-tblOrdenes[[#This Row],[fecha_inicio]])</f>
        <v/>
      </c>
      <c r="AE2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5">
        <f>IF(tblOrdenes[[#This Row],[backlog_habiles]]="","",IF(tblOrdenes[[#This Row],[backlog_habiles]]&lt;0,"FUTURO",IF(tblOrdenes[[#This Row],[backlog_habiles]]&gt;p_dias_backlog_max,"BACKLOG","MES CORRIENTE")))</f>
        <v/>
      </c>
      <c r="AG211" s="5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18">
        <f>IF(tblOrdenes[[#This Row],[orden]]="","",_xlfn.XLOOKUP(tblOrdenes[[#This Row],[id_operacion]],tblEjecucion[id_operacion],tblEjecucion[precio],0))</f>
        <v/>
      </c>
      <c r="AM211" s="18">
        <f>IF(tblOrdenes[[#This Row],[orden]]="","",MAX(0,_xlfn.XLOOKUP(tblOrdenes[[#This Row],[id_operacion]],tblEjecucion[id_operacion],tblEjecucion[costo_plan_total],0)-tblOrdenes[[#This Row],[costo_servicio]]))</f>
        <v/>
      </c>
      <c r="AN211" s="18">
        <f>IF(tblOrdenes[[#This Row],[orden]]="","",tblOrdenes[[#This Row],[costo_servicio]]+tblOrdenes[[#This Row],[costo_materiales]])</f>
        <v/>
      </c>
      <c r="AO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5">
        <f>IF(tblOrdenes[[#This Row],[link_checklist]]="","",HYPERLINK(p_ruta_base_checklists&amp;tblOrdenes[[#This Row],[link_checklist]],"abrir"))</f>
        <v/>
      </c>
      <c r="AT211" s="4" t="n"/>
      <c r="AU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5" t="n"/>
      <c r="K212" s="5" t="n"/>
      <c r="L212" s="18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Row],[fecha_inicio]]="","",tblOrdenes[[#This Row],[anio]]&amp;"-"&amp;TEXT(tblOrdenes[[#This Row],[mes]],"00"))</f>
        <v/>
      </c>
      <c r="S212" s="5">
        <f>IF(tblOrdenes[[#This Row],[fecha_inicio]]="","",INDEX(lista_dias,WEEKDAY(tblOrdenes[[#This Row],[fecha_inicio]],2)))</f>
        <v/>
      </c>
      <c r="T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5">
        <f>IF(tblOrdenes[[#This Row],[tipo_ot]]="","",_xlfn.XLOOKUP(tblOrdenes[[#This Row],[tipo_ot]],tblTiposOT[codigo],tblTiposOT[clasificacion],"sin_clasificar"))</f>
        <v/>
      </c>
      <c r="V2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5">
        <f>IF(tblOrdenes[[#This Row],[centro_costo]]="","",_xlfn.XLOOKUP(tblOrdenes[[#This Row],[centro_costo]],tblCECO[codigo],tblCECO[linea],"(sin catálogo)"))</f>
        <v/>
      </c>
      <c r="Y212" s="5">
        <f>IF(tblOrdenes[[#This Row],[centro_costo]]="","",_xlfn.XLOOKUP(tblOrdenes[[#This Row],[centro_costo]],tblCECO[codigo],tblCECO[area],"(sin catálogo)"))</f>
        <v/>
      </c>
      <c r="Z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5">
        <f>IF(tblOrdenes[[#This Row],[centro_costo]]="","",_xlfn.XLOOKUP(tblOrdenes[[#This Row],[centro_costo]],tblCECO[codigo],tblCECO[coordinador],"(sin catálogo)"))</f>
        <v/>
      </c>
      <c r="AB212" s="5">
        <f>IF(tblOrdenes[[#This Row],[puesto_trabajo]]="","",_xlfn.XLOOKUP(tblOrdenes[[#This Row],[puesto_trabajo]],tblPuestos[codigo],tblPuestos[especialidad],"(sin catálogo)"))</f>
        <v/>
      </c>
      <c r="AC212" s="5">
        <f>IF(tblOrdenes[[#This Row],[cod_actividad]]="","",_xlfn.XLOOKUP(tblOrdenes[[#This Row],[cod_actividad]],tblActividades[codigo],tblActividades[descripcion],"(sin catálogo)"))</f>
        <v/>
      </c>
      <c r="AD212" s="23">
        <f>IF(tblOrdenes[[#This Row],[fecha_inicio]]="","",TODAY()-tblOrdenes[[#This Row],[fecha_inicio]])</f>
        <v/>
      </c>
      <c r="AE2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5">
        <f>IF(tblOrdenes[[#This Row],[backlog_habiles]]="","",IF(tblOrdenes[[#This Row],[backlog_habiles]]&lt;0,"FUTURO",IF(tblOrdenes[[#This Row],[backlog_habiles]]&gt;p_dias_backlog_max,"BACKLOG","MES CORRIENTE")))</f>
        <v/>
      </c>
      <c r="AG212" s="5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18">
        <f>IF(tblOrdenes[[#This Row],[orden]]="","",_xlfn.XLOOKUP(tblOrdenes[[#This Row],[id_operacion]],tblEjecucion[id_operacion],tblEjecucion[precio],0))</f>
        <v/>
      </c>
      <c r="AM212" s="18">
        <f>IF(tblOrdenes[[#This Row],[orden]]="","",MAX(0,_xlfn.XLOOKUP(tblOrdenes[[#This Row],[id_operacion]],tblEjecucion[id_operacion],tblEjecucion[costo_plan_total],0)-tblOrdenes[[#This Row],[costo_servicio]]))</f>
        <v/>
      </c>
      <c r="AN212" s="18">
        <f>IF(tblOrdenes[[#This Row],[orden]]="","",tblOrdenes[[#This Row],[costo_servicio]]+tblOrdenes[[#This Row],[costo_materiales]])</f>
        <v/>
      </c>
      <c r="AO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5">
        <f>IF(tblOrdenes[[#This Row],[link_checklist]]="","",HYPERLINK(p_ruta_base_checklists&amp;tblOrdenes[[#This Row],[link_checklist]],"abrir"))</f>
        <v/>
      </c>
      <c r="AT212" s="4" t="n"/>
      <c r="AU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5" t="n"/>
      <c r="K213" s="5" t="n"/>
      <c r="L213" s="18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Row],[fecha_inicio]]="","",tblOrdenes[[#This Row],[anio]]&amp;"-"&amp;TEXT(tblOrdenes[[#This Row],[mes]],"00"))</f>
        <v/>
      </c>
      <c r="S213" s="5">
        <f>IF(tblOrdenes[[#This Row],[fecha_inicio]]="","",INDEX(lista_dias,WEEKDAY(tblOrdenes[[#This Row],[fecha_inicio]],2)))</f>
        <v/>
      </c>
      <c r="T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5">
        <f>IF(tblOrdenes[[#This Row],[tipo_ot]]="","",_xlfn.XLOOKUP(tblOrdenes[[#This Row],[tipo_ot]],tblTiposOT[codigo],tblTiposOT[clasificacion],"sin_clasificar"))</f>
        <v/>
      </c>
      <c r="V2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5">
        <f>IF(tblOrdenes[[#This Row],[centro_costo]]="","",_xlfn.XLOOKUP(tblOrdenes[[#This Row],[centro_costo]],tblCECO[codigo],tblCECO[linea],"(sin catálogo)"))</f>
        <v/>
      </c>
      <c r="Y213" s="5">
        <f>IF(tblOrdenes[[#This Row],[centro_costo]]="","",_xlfn.XLOOKUP(tblOrdenes[[#This Row],[centro_costo]],tblCECO[codigo],tblCECO[area],"(sin catálogo)"))</f>
        <v/>
      </c>
      <c r="Z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5">
        <f>IF(tblOrdenes[[#This Row],[centro_costo]]="","",_xlfn.XLOOKUP(tblOrdenes[[#This Row],[centro_costo]],tblCECO[codigo],tblCECO[coordinador],"(sin catálogo)"))</f>
        <v/>
      </c>
      <c r="AB213" s="5">
        <f>IF(tblOrdenes[[#This Row],[puesto_trabajo]]="","",_xlfn.XLOOKUP(tblOrdenes[[#This Row],[puesto_trabajo]],tblPuestos[codigo],tblPuestos[especialidad],"(sin catálogo)"))</f>
        <v/>
      </c>
      <c r="AC213" s="5">
        <f>IF(tblOrdenes[[#This Row],[cod_actividad]]="","",_xlfn.XLOOKUP(tblOrdenes[[#This Row],[cod_actividad]],tblActividades[codigo],tblActividades[descripcion],"(sin catálogo)"))</f>
        <v/>
      </c>
      <c r="AD213" s="23">
        <f>IF(tblOrdenes[[#This Row],[fecha_inicio]]="","",TODAY()-tblOrdenes[[#This Row],[fecha_inicio]])</f>
        <v/>
      </c>
      <c r="AE2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5">
        <f>IF(tblOrdenes[[#This Row],[backlog_habiles]]="","",IF(tblOrdenes[[#This Row],[backlog_habiles]]&lt;0,"FUTURO",IF(tblOrdenes[[#This Row],[backlog_habiles]]&gt;p_dias_backlog_max,"BACKLOG","MES CORRIENTE")))</f>
        <v/>
      </c>
      <c r="AG213" s="5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18">
        <f>IF(tblOrdenes[[#This Row],[orden]]="","",_xlfn.XLOOKUP(tblOrdenes[[#This Row],[id_operacion]],tblEjecucion[id_operacion],tblEjecucion[precio],0))</f>
        <v/>
      </c>
      <c r="AM213" s="18">
        <f>IF(tblOrdenes[[#This Row],[orden]]="","",MAX(0,_xlfn.XLOOKUP(tblOrdenes[[#This Row],[id_operacion]],tblEjecucion[id_operacion],tblEjecucion[costo_plan_total],0)-tblOrdenes[[#This Row],[costo_servicio]]))</f>
        <v/>
      </c>
      <c r="AN213" s="18">
        <f>IF(tblOrdenes[[#This Row],[orden]]="","",tblOrdenes[[#This Row],[costo_servicio]]+tblOrdenes[[#This Row],[costo_materiales]])</f>
        <v/>
      </c>
      <c r="AO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5">
        <f>IF(tblOrdenes[[#This Row],[link_checklist]]="","",HYPERLINK(p_ruta_base_checklists&amp;tblOrdenes[[#This Row],[link_checklist]],"abrir"))</f>
        <v/>
      </c>
      <c r="AT213" s="4" t="n"/>
      <c r="AU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5" t="n"/>
      <c r="K214" s="5" t="n"/>
      <c r="L214" s="18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Row],[fecha_inicio]]="","",tblOrdenes[[#This Row],[anio]]&amp;"-"&amp;TEXT(tblOrdenes[[#This Row],[mes]],"00"))</f>
        <v/>
      </c>
      <c r="S214" s="5">
        <f>IF(tblOrdenes[[#This Row],[fecha_inicio]]="","",INDEX(lista_dias,WEEKDAY(tblOrdenes[[#This Row],[fecha_inicio]],2)))</f>
        <v/>
      </c>
      <c r="T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5">
        <f>IF(tblOrdenes[[#This Row],[tipo_ot]]="","",_xlfn.XLOOKUP(tblOrdenes[[#This Row],[tipo_ot]],tblTiposOT[codigo],tblTiposOT[clasificacion],"sin_clasificar"))</f>
        <v/>
      </c>
      <c r="V2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5">
        <f>IF(tblOrdenes[[#This Row],[centro_costo]]="","",_xlfn.XLOOKUP(tblOrdenes[[#This Row],[centro_costo]],tblCECO[codigo],tblCECO[linea],"(sin catálogo)"))</f>
        <v/>
      </c>
      <c r="Y214" s="5">
        <f>IF(tblOrdenes[[#This Row],[centro_costo]]="","",_xlfn.XLOOKUP(tblOrdenes[[#This Row],[centro_costo]],tblCECO[codigo],tblCECO[area],"(sin catálogo)"))</f>
        <v/>
      </c>
      <c r="Z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5">
        <f>IF(tblOrdenes[[#This Row],[centro_costo]]="","",_xlfn.XLOOKUP(tblOrdenes[[#This Row],[centro_costo]],tblCECO[codigo],tblCECO[coordinador],"(sin catálogo)"))</f>
        <v/>
      </c>
      <c r="AB214" s="5">
        <f>IF(tblOrdenes[[#This Row],[puesto_trabajo]]="","",_xlfn.XLOOKUP(tblOrdenes[[#This Row],[puesto_trabajo]],tblPuestos[codigo],tblPuestos[especialidad],"(sin catálogo)"))</f>
        <v/>
      </c>
      <c r="AC214" s="5">
        <f>IF(tblOrdenes[[#This Row],[cod_actividad]]="","",_xlfn.XLOOKUP(tblOrdenes[[#This Row],[cod_actividad]],tblActividades[codigo],tblActividades[descripcion],"(sin catálogo)"))</f>
        <v/>
      </c>
      <c r="AD214" s="23">
        <f>IF(tblOrdenes[[#This Row],[fecha_inicio]]="","",TODAY()-tblOrdenes[[#This Row],[fecha_inicio]])</f>
        <v/>
      </c>
      <c r="AE2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5">
        <f>IF(tblOrdenes[[#This Row],[backlog_habiles]]="","",IF(tblOrdenes[[#This Row],[backlog_habiles]]&lt;0,"FUTURO",IF(tblOrdenes[[#This Row],[backlog_habiles]]&gt;p_dias_backlog_max,"BACKLOG","MES CORRIENTE")))</f>
        <v/>
      </c>
      <c r="AG214" s="5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18">
        <f>IF(tblOrdenes[[#This Row],[orden]]="","",_xlfn.XLOOKUP(tblOrdenes[[#This Row],[id_operacion]],tblEjecucion[id_operacion],tblEjecucion[precio],0))</f>
        <v/>
      </c>
      <c r="AM214" s="18">
        <f>IF(tblOrdenes[[#This Row],[orden]]="","",MAX(0,_xlfn.XLOOKUP(tblOrdenes[[#This Row],[id_operacion]],tblEjecucion[id_operacion],tblEjecucion[costo_plan_total],0)-tblOrdenes[[#This Row],[costo_servicio]]))</f>
        <v/>
      </c>
      <c r="AN214" s="18">
        <f>IF(tblOrdenes[[#This Row],[orden]]="","",tblOrdenes[[#This Row],[costo_servicio]]+tblOrdenes[[#This Row],[costo_materiales]])</f>
        <v/>
      </c>
      <c r="AO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5">
        <f>IF(tblOrdenes[[#This Row],[link_checklist]]="","",HYPERLINK(p_ruta_base_checklists&amp;tblOrdenes[[#This Row],[link_checklist]],"abrir"))</f>
        <v/>
      </c>
      <c r="AT214" s="4" t="n"/>
      <c r="AU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5" t="n"/>
      <c r="K215" s="5" t="n"/>
      <c r="L215" s="18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Row],[fecha_inicio]]="","",tblOrdenes[[#This Row],[anio]]&amp;"-"&amp;TEXT(tblOrdenes[[#This Row],[mes]],"00"))</f>
        <v/>
      </c>
      <c r="S215" s="5">
        <f>IF(tblOrdenes[[#This Row],[fecha_inicio]]="","",INDEX(lista_dias,WEEKDAY(tblOrdenes[[#This Row],[fecha_inicio]],2)))</f>
        <v/>
      </c>
      <c r="T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5">
        <f>IF(tblOrdenes[[#This Row],[tipo_ot]]="","",_xlfn.XLOOKUP(tblOrdenes[[#This Row],[tipo_ot]],tblTiposOT[codigo],tblTiposOT[clasificacion],"sin_clasificar"))</f>
        <v/>
      </c>
      <c r="V2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5">
        <f>IF(tblOrdenes[[#This Row],[centro_costo]]="","",_xlfn.XLOOKUP(tblOrdenes[[#This Row],[centro_costo]],tblCECO[codigo],tblCECO[linea],"(sin catálogo)"))</f>
        <v/>
      </c>
      <c r="Y215" s="5">
        <f>IF(tblOrdenes[[#This Row],[centro_costo]]="","",_xlfn.XLOOKUP(tblOrdenes[[#This Row],[centro_costo]],tblCECO[codigo],tblCECO[area],"(sin catálogo)"))</f>
        <v/>
      </c>
      <c r="Z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5">
        <f>IF(tblOrdenes[[#This Row],[centro_costo]]="","",_xlfn.XLOOKUP(tblOrdenes[[#This Row],[centro_costo]],tblCECO[codigo],tblCECO[coordinador],"(sin catálogo)"))</f>
        <v/>
      </c>
      <c r="AB215" s="5">
        <f>IF(tblOrdenes[[#This Row],[puesto_trabajo]]="","",_xlfn.XLOOKUP(tblOrdenes[[#This Row],[puesto_trabajo]],tblPuestos[codigo],tblPuestos[especialidad],"(sin catálogo)"))</f>
        <v/>
      </c>
      <c r="AC215" s="5">
        <f>IF(tblOrdenes[[#This Row],[cod_actividad]]="","",_xlfn.XLOOKUP(tblOrdenes[[#This Row],[cod_actividad]],tblActividades[codigo],tblActividades[descripcion],"(sin catálogo)"))</f>
        <v/>
      </c>
      <c r="AD215" s="23">
        <f>IF(tblOrdenes[[#This Row],[fecha_inicio]]="","",TODAY()-tblOrdenes[[#This Row],[fecha_inicio]])</f>
        <v/>
      </c>
      <c r="AE2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5">
        <f>IF(tblOrdenes[[#This Row],[backlog_habiles]]="","",IF(tblOrdenes[[#This Row],[backlog_habiles]]&lt;0,"FUTURO",IF(tblOrdenes[[#This Row],[backlog_habiles]]&gt;p_dias_backlog_max,"BACKLOG","MES CORRIENTE")))</f>
        <v/>
      </c>
      <c r="AG215" s="5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18">
        <f>IF(tblOrdenes[[#This Row],[orden]]="","",_xlfn.XLOOKUP(tblOrdenes[[#This Row],[id_operacion]],tblEjecucion[id_operacion],tblEjecucion[precio],0))</f>
        <v/>
      </c>
      <c r="AM215" s="18">
        <f>IF(tblOrdenes[[#This Row],[orden]]="","",MAX(0,_xlfn.XLOOKUP(tblOrdenes[[#This Row],[id_operacion]],tblEjecucion[id_operacion],tblEjecucion[costo_plan_total],0)-tblOrdenes[[#This Row],[costo_servicio]]))</f>
        <v/>
      </c>
      <c r="AN215" s="18">
        <f>IF(tblOrdenes[[#This Row],[orden]]="","",tblOrdenes[[#This Row],[costo_servicio]]+tblOrdenes[[#This Row],[costo_materiales]])</f>
        <v/>
      </c>
      <c r="AO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5">
        <f>IF(tblOrdenes[[#This Row],[link_checklist]]="","",HYPERLINK(p_ruta_base_checklists&amp;tblOrdenes[[#This Row],[link_checklist]],"abrir"))</f>
        <v/>
      </c>
      <c r="AT215" s="4" t="n"/>
      <c r="AU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5" t="n"/>
      <c r="K216" s="5" t="n"/>
      <c r="L216" s="18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Row],[fecha_inicio]]="","",tblOrdenes[[#This Row],[anio]]&amp;"-"&amp;TEXT(tblOrdenes[[#This Row],[mes]],"00"))</f>
        <v/>
      </c>
      <c r="S216" s="5">
        <f>IF(tblOrdenes[[#This Row],[fecha_inicio]]="","",INDEX(lista_dias,WEEKDAY(tblOrdenes[[#This Row],[fecha_inicio]],2)))</f>
        <v/>
      </c>
      <c r="T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5">
        <f>IF(tblOrdenes[[#This Row],[tipo_ot]]="","",_xlfn.XLOOKUP(tblOrdenes[[#This Row],[tipo_ot]],tblTiposOT[codigo],tblTiposOT[clasificacion],"sin_clasificar"))</f>
        <v/>
      </c>
      <c r="V2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5">
        <f>IF(tblOrdenes[[#This Row],[centro_costo]]="","",_xlfn.XLOOKUP(tblOrdenes[[#This Row],[centro_costo]],tblCECO[codigo],tblCECO[linea],"(sin catálogo)"))</f>
        <v/>
      </c>
      <c r="Y216" s="5">
        <f>IF(tblOrdenes[[#This Row],[centro_costo]]="","",_xlfn.XLOOKUP(tblOrdenes[[#This Row],[centro_costo]],tblCECO[codigo],tblCECO[area],"(sin catálogo)"))</f>
        <v/>
      </c>
      <c r="Z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5">
        <f>IF(tblOrdenes[[#This Row],[centro_costo]]="","",_xlfn.XLOOKUP(tblOrdenes[[#This Row],[centro_costo]],tblCECO[codigo],tblCECO[coordinador],"(sin catálogo)"))</f>
        <v/>
      </c>
      <c r="AB216" s="5">
        <f>IF(tblOrdenes[[#This Row],[puesto_trabajo]]="","",_xlfn.XLOOKUP(tblOrdenes[[#This Row],[puesto_trabajo]],tblPuestos[codigo],tblPuestos[especialidad],"(sin catálogo)"))</f>
        <v/>
      </c>
      <c r="AC216" s="5">
        <f>IF(tblOrdenes[[#This Row],[cod_actividad]]="","",_xlfn.XLOOKUP(tblOrdenes[[#This Row],[cod_actividad]],tblActividades[codigo],tblActividades[descripcion],"(sin catálogo)"))</f>
        <v/>
      </c>
      <c r="AD216" s="23">
        <f>IF(tblOrdenes[[#This Row],[fecha_inicio]]="","",TODAY()-tblOrdenes[[#This Row],[fecha_inicio]])</f>
        <v/>
      </c>
      <c r="AE2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5">
        <f>IF(tblOrdenes[[#This Row],[backlog_habiles]]="","",IF(tblOrdenes[[#This Row],[backlog_habiles]]&lt;0,"FUTURO",IF(tblOrdenes[[#This Row],[backlog_habiles]]&gt;p_dias_backlog_max,"BACKLOG","MES CORRIENTE")))</f>
        <v/>
      </c>
      <c r="AG216" s="5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18">
        <f>IF(tblOrdenes[[#This Row],[orden]]="","",_xlfn.XLOOKUP(tblOrdenes[[#This Row],[id_operacion]],tblEjecucion[id_operacion],tblEjecucion[precio],0))</f>
        <v/>
      </c>
      <c r="AM216" s="18">
        <f>IF(tblOrdenes[[#This Row],[orden]]="","",MAX(0,_xlfn.XLOOKUP(tblOrdenes[[#This Row],[id_operacion]],tblEjecucion[id_operacion],tblEjecucion[costo_plan_total],0)-tblOrdenes[[#This Row],[costo_servicio]]))</f>
        <v/>
      </c>
      <c r="AN216" s="18">
        <f>IF(tblOrdenes[[#This Row],[orden]]="","",tblOrdenes[[#This Row],[costo_servicio]]+tblOrdenes[[#This Row],[costo_materiales]])</f>
        <v/>
      </c>
      <c r="AO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5">
        <f>IF(tblOrdenes[[#This Row],[link_checklist]]="","",HYPERLINK(p_ruta_base_checklists&amp;tblOrdenes[[#This Row],[link_checklist]],"abrir"))</f>
        <v/>
      </c>
      <c r="AT216" s="4" t="n"/>
      <c r="AU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5" t="n"/>
      <c r="K217" s="5" t="n"/>
      <c r="L217" s="18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Row],[fecha_inicio]]="","",tblOrdenes[[#This Row],[anio]]&amp;"-"&amp;TEXT(tblOrdenes[[#This Row],[mes]],"00"))</f>
        <v/>
      </c>
      <c r="S217" s="5">
        <f>IF(tblOrdenes[[#This Row],[fecha_inicio]]="","",INDEX(lista_dias,WEEKDAY(tblOrdenes[[#This Row],[fecha_inicio]],2)))</f>
        <v/>
      </c>
      <c r="T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5">
        <f>IF(tblOrdenes[[#This Row],[tipo_ot]]="","",_xlfn.XLOOKUP(tblOrdenes[[#This Row],[tipo_ot]],tblTiposOT[codigo],tblTiposOT[clasificacion],"sin_clasificar"))</f>
        <v/>
      </c>
      <c r="V2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5">
        <f>IF(tblOrdenes[[#This Row],[centro_costo]]="","",_xlfn.XLOOKUP(tblOrdenes[[#This Row],[centro_costo]],tblCECO[codigo],tblCECO[linea],"(sin catálogo)"))</f>
        <v/>
      </c>
      <c r="Y217" s="5">
        <f>IF(tblOrdenes[[#This Row],[centro_costo]]="","",_xlfn.XLOOKUP(tblOrdenes[[#This Row],[centro_costo]],tblCECO[codigo],tblCECO[area],"(sin catálogo)"))</f>
        <v/>
      </c>
      <c r="Z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5">
        <f>IF(tblOrdenes[[#This Row],[centro_costo]]="","",_xlfn.XLOOKUP(tblOrdenes[[#This Row],[centro_costo]],tblCECO[codigo],tblCECO[coordinador],"(sin catálogo)"))</f>
        <v/>
      </c>
      <c r="AB217" s="5">
        <f>IF(tblOrdenes[[#This Row],[puesto_trabajo]]="","",_xlfn.XLOOKUP(tblOrdenes[[#This Row],[puesto_trabajo]],tblPuestos[codigo],tblPuestos[especialidad],"(sin catálogo)"))</f>
        <v/>
      </c>
      <c r="AC217" s="5">
        <f>IF(tblOrdenes[[#This Row],[cod_actividad]]="","",_xlfn.XLOOKUP(tblOrdenes[[#This Row],[cod_actividad]],tblActividades[codigo],tblActividades[descripcion],"(sin catálogo)"))</f>
        <v/>
      </c>
      <c r="AD217" s="23">
        <f>IF(tblOrdenes[[#This Row],[fecha_inicio]]="","",TODAY()-tblOrdenes[[#This Row],[fecha_inicio]])</f>
        <v/>
      </c>
      <c r="AE2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5">
        <f>IF(tblOrdenes[[#This Row],[backlog_habiles]]="","",IF(tblOrdenes[[#This Row],[backlog_habiles]]&lt;0,"FUTURO",IF(tblOrdenes[[#This Row],[backlog_habiles]]&gt;p_dias_backlog_max,"BACKLOG","MES CORRIENTE")))</f>
        <v/>
      </c>
      <c r="AG217" s="5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18">
        <f>IF(tblOrdenes[[#This Row],[orden]]="","",_xlfn.XLOOKUP(tblOrdenes[[#This Row],[id_operacion]],tblEjecucion[id_operacion],tblEjecucion[precio],0))</f>
        <v/>
      </c>
      <c r="AM217" s="18">
        <f>IF(tblOrdenes[[#This Row],[orden]]="","",MAX(0,_xlfn.XLOOKUP(tblOrdenes[[#This Row],[id_operacion]],tblEjecucion[id_operacion],tblEjecucion[costo_plan_total],0)-tblOrdenes[[#This Row],[costo_servicio]]))</f>
        <v/>
      </c>
      <c r="AN217" s="18">
        <f>IF(tblOrdenes[[#This Row],[orden]]="","",tblOrdenes[[#This Row],[costo_servicio]]+tblOrdenes[[#This Row],[costo_materiales]])</f>
        <v/>
      </c>
      <c r="AO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5">
        <f>IF(tblOrdenes[[#This Row],[link_checklist]]="","",HYPERLINK(p_ruta_base_checklists&amp;tblOrdenes[[#This Row],[link_checklist]],"abrir"))</f>
        <v/>
      </c>
      <c r="AT217" s="4" t="n"/>
      <c r="AU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5" t="n"/>
      <c r="K218" s="5" t="n"/>
      <c r="L218" s="18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Row],[fecha_inicio]]="","",tblOrdenes[[#This Row],[anio]]&amp;"-"&amp;TEXT(tblOrdenes[[#This Row],[mes]],"00"))</f>
        <v/>
      </c>
      <c r="S218" s="5">
        <f>IF(tblOrdenes[[#This Row],[fecha_inicio]]="","",INDEX(lista_dias,WEEKDAY(tblOrdenes[[#This Row],[fecha_inicio]],2)))</f>
        <v/>
      </c>
      <c r="T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5">
        <f>IF(tblOrdenes[[#This Row],[tipo_ot]]="","",_xlfn.XLOOKUP(tblOrdenes[[#This Row],[tipo_ot]],tblTiposOT[codigo],tblTiposOT[clasificacion],"sin_clasificar"))</f>
        <v/>
      </c>
      <c r="V2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5">
        <f>IF(tblOrdenes[[#This Row],[centro_costo]]="","",_xlfn.XLOOKUP(tblOrdenes[[#This Row],[centro_costo]],tblCECO[codigo],tblCECO[linea],"(sin catálogo)"))</f>
        <v/>
      </c>
      <c r="Y218" s="5">
        <f>IF(tblOrdenes[[#This Row],[centro_costo]]="","",_xlfn.XLOOKUP(tblOrdenes[[#This Row],[centro_costo]],tblCECO[codigo],tblCECO[area],"(sin catálogo)"))</f>
        <v/>
      </c>
      <c r="Z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5">
        <f>IF(tblOrdenes[[#This Row],[centro_costo]]="","",_xlfn.XLOOKUP(tblOrdenes[[#This Row],[centro_costo]],tblCECO[codigo],tblCECO[coordinador],"(sin catálogo)"))</f>
        <v/>
      </c>
      <c r="AB218" s="5">
        <f>IF(tblOrdenes[[#This Row],[puesto_trabajo]]="","",_xlfn.XLOOKUP(tblOrdenes[[#This Row],[puesto_trabajo]],tblPuestos[codigo],tblPuestos[especialidad],"(sin catálogo)"))</f>
        <v/>
      </c>
      <c r="AC218" s="5">
        <f>IF(tblOrdenes[[#This Row],[cod_actividad]]="","",_xlfn.XLOOKUP(tblOrdenes[[#This Row],[cod_actividad]],tblActividades[codigo],tblActividades[descripcion],"(sin catálogo)"))</f>
        <v/>
      </c>
      <c r="AD218" s="23">
        <f>IF(tblOrdenes[[#This Row],[fecha_inicio]]="","",TODAY()-tblOrdenes[[#This Row],[fecha_inicio]])</f>
        <v/>
      </c>
      <c r="AE2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5">
        <f>IF(tblOrdenes[[#This Row],[backlog_habiles]]="","",IF(tblOrdenes[[#This Row],[backlog_habiles]]&lt;0,"FUTURO",IF(tblOrdenes[[#This Row],[backlog_habiles]]&gt;p_dias_backlog_max,"BACKLOG","MES CORRIENTE")))</f>
        <v/>
      </c>
      <c r="AG218" s="5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18">
        <f>IF(tblOrdenes[[#This Row],[orden]]="","",_xlfn.XLOOKUP(tblOrdenes[[#This Row],[id_operacion]],tblEjecucion[id_operacion],tblEjecucion[precio],0))</f>
        <v/>
      </c>
      <c r="AM218" s="18">
        <f>IF(tblOrdenes[[#This Row],[orden]]="","",MAX(0,_xlfn.XLOOKUP(tblOrdenes[[#This Row],[id_operacion]],tblEjecucion[id_operacion],tblEjecucion[costo_plan_total],0)-tblOrdenes[[#This Row],[costo_servicio]]))</f>
        <v/>
      </c>
      <c r="AN218" s="18">
        <f>IF(tblOrdenes[[#This Row],[orden]]="","",tblOrdenes[[#This Row],[costo_servicio]]+tblOrdenes[[#This Row],[costo_materiales]])</f>
        <v/>
      </c>
      <c r="AO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5">
        <f>IF(tblOrdenes[[#This Row],[link_checklist]]="","",HYPERLINK(p_ruta_base_checklists&amp;tblOrdenes[[#This Row],[link_checklist]],"abrir"))</f>
        <v/>
      </c>
      <c r="AT218" s="4" t="n"/>
      <c r="AU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5" t="n"/>
      <c r="K219" s="5" t="n"/>
      <c r="L219" s="18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Row],[fecha_inicio]]="","",tblOrdenes[[#This Row],[anio]]&amp;"-"&amp;TEXT(tblOrdenes[[#This Row],[mes]],"00"))</f>
        <v/>
      </c>
      <c r="S219" s="5">
        <f>IF(tblOrdenes[[#This Row],[fecha_inicio]]="","",INDEX(lista_dias,WEEKDAY(tblOrdenes[[#This Row],[fecha_inicio]],2)))</f>
        <v/>
      </c>
      <c r="T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5">
        <f>IF(tblOrdenes[[#This Row],[tipo_ot]]="","",_xlfn.XLOOKUP(tblOrdenes[[#This Row],[tipo_ot]],tblTiposOT[codigo],tblTiposOT[clasificacion],"sin_clasificar"))</f>
        <v/>
      </c>
      <c r="V2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5">
        <f>IF(tblOrdenes[[#This Row],[centro_costo]]="","",_xlfn.XLOOKUP(tblOrdenes[[#This Row],[centro_costo]],tblCECO[codigo],tblCECO[linea],"(sin catálogo)"))</f>
        <v/>
      </c>
      <c r="Y219" s="5">
        <f>IF(tblOrdenes[[#This Row],[centro_costo]]="","",_xlfn.XLOOKUP(tblOrdenes[[#This Row],[centro_costo]],tblCECO[codigo],tblCECO[area],"(sin catálogo)"))</f>
        <v/>
      </c>
      <c r="Z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5">
        <f>IF(tblOrdenes[[#This Row],[centro_costo]]="","",_xlfn.XLOOKUP(tblOrdenes[[#This Row],[centro_costo]],tblCECO[codigo],tblCECO[coordinador],"(sin catálogo)"))</f>
        <v/>
      </c>
      <c r="AB219" s="5">
        <f>IF(tblOrdenes[[#This Row],[puesto_trabajo]]="","",_xlfn.XLOOKUP(tblOrdenes[[#This Row],[puesto_trabajo]],tblPuestos[codigo],tblPuestos[especialidad],"(sin catálogo)"))</f>
        <v/>
      </c>
      <c r="AC219" s="5">
        <f>IF(tblOrdenes[[#This Row],[cod_actividad]]="","",_xlfn.XLOOKUP(tblOrdenes[[#This Row],[cod_actividad]],tblActividades[codigo],tblActividades[descripcion],"(sin catálogo)"))</f>
        <v/>
      </c>
      <c r="AD219" s="23">
        <f>IF(tblOrdenes[[#This Row],[fecha_inicio]]="","",TODAY()-tblOrdenes[[#This Row],[fecha_inicio]])</f>
        <v/>
      </c>
      <c r="AE2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5">
        <f>IF(tblOrdenes[[#This Row],[backlog_habiles]]="","",IF(tblOrdenes[[#This Row],[backlog_habiles]]&lt;0,"FUTURO",IF(tblOrdenes[[#This Row],[backlog_habiles]]&gt;p_dias_backlog_max,"BACKLOG","MES CORRIENTE")))</f>
        <v/>
      </c>
      <c r="AG219" s="5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18">
        <f>IF(tblOrdenes[[#This Row],[orden]]="","",_xlfn.XLOOKUP(tblOrdenes[[#This Row],[id_operacion]],tblEjecucion[id_operacion],tblEjecucion[precio],0))</f>
        <v/>
      </c>
      <c r="AM219" s="18">
        <f>IF(tblOrdenes[[#This Row],[orden]]="","",MAX(0,_xlfn.XLOOKUP(tblOrdenes[[#This Row],[id_operacion]],tblEjecucion[id_operacion],tblEjecucion[costo_plan_total],0)-tblOrdenes[[#This Row],[costo_servicio]]))</f>
        <v/>
      </c>
      <c r="AN219" s="18">
        <f>IF(tblOrdenes[[#This Row],[orden]]="","",tblOrdenes[[#This Row],[costo_servicio]]+tblOrdenes[[#This Row],[costo_materiales]])</f>
        <v/>
      </c>
      <c r="AO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5">
        <f>IF(tblOrdenes[[#This Row],[link_checklist]]="","",HYPERLINK(p_ruta_base_checklists&amp;tblOrdenes[[#This Row],[link_checklist]],"abrir"))</f>
        <v/>
      </c>
      <c r="AT219" s="4" t="n"/>
      <c r="AU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5" t="n"/>
      <c r="K220" s="5" t="n"/>
      <c r="L220" s="18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Row],[fecha_inicio]]="","",tblOrdenes[[#This Row],[anio]]&amp;"-"&amp;TEXT(tblOrdenes[[#This Row],[mes]],"00"))</f>
        <v/>
      </c>
      <c r="S220" s="5">
        <f>IF(tblOrdenes[[#This Row],[fecha_inicio]]="","",INDEX(lista_dias,WEEKDAY(tblOrdenes[[#This Row],[fecha_inicio]],2)))</f>
        <v/>
      </c>
      <c r="T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5">
        <f>IF(tblOrdenes[[#This Row],[tipo_ot]]="","",_xlfn.XLOOKUP(tblOrdenes[[#This Row],[tipo_ot]],tblTiposOT[codigo],tblTiposOT[clasificacion],"sin_clasificar"))</f>
        <v/>
      </c>
      <c r="V2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5">
        <f>IF(tblOrdenes[[#This Row],[centro_costo]]="","",_xlfn.XLOOKUP(tblOrdenes[[#This Row],[centro_costo]],tblCECO[codigo],tblCECO[linea],"(sin catálogo)"))</f>
        <v/>
      </c>
      <c r="Y220" s="5">
        <f>IF(tblOrdenes[[#This Row],[centro_costo]]="","",_xlfn.XLOOKUP(tblOrdenes[[#This Row],[centro_costo]],tblCECO[codigo],tblCECO[area],"(sin catálogo)"))</f>
        <v/>
      </c>
      <c r="Z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5">
        <f>IF(tblOrdenes[[#This Row],[centro_costo]]="","",_xlfn.XLOOKUP(tblOrdenes[[#This Row],[centro_costo]],tblCECO[codigo],tblCECO[coordinador],"(sin catálogo)"))</f>
        <v/>
      </c>
      <c r="AB220" s="5">
        <f>IF(tblOrdenes[[#This Row],[puesto_trabajo]]="","",_xlfn.XLOOKUP(tblOrdenes[[#This Row],[puesto_trabajo]],tblPuestos[codigo],tblPuestos[especialidad],"(sin catálogo)"))</f>
        <v/>
      </c>
      <c r="AC220" s="5">
        <f>IF(tblOrdenes[[#This Row],[cod_actividad]]="","",_xlfn.XLOOKUP(tblOrdenes[[#This Row],[cod_actividad]],tblActividades[codigo],tblActividades[descripcion],"(sin catálogo)"))</f>
        <v/>
      </c>
      <c r="AD220" s="23">
        <f>IF(tblOrdenes[[#This Row],[fecha_inicio]]="","",TODAY()-tblOrdenes[[#This Row],[fecha_inicio]])</f>
        <v/>
      </c>
      <c r="AE2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5">
        <f>IF(tblOrdenes[[#This Row],[backlog_habiles]]="","",IF(tblOrdenes[[#This Row],[backlog_habiles]]&lt;0,"FUTURO",IF(tblOrdenes[[#This Row],[backlog_habiles]]&gt;p_dias_backlog_max,"BACKLOG","MES CORRIENTE")))</f>
        <v/>
      </c>
      <c r="AG220" s="5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18">
        <f>IF(tblOrdenes[[#This Row],[orden]]="","",_xlfn.XLOOKUP(tblOrdenes[[#This Row],[id_operacion]],tblEjecucion[id_operacion],tblEjecucion[precio],0))</f>
        <v/>
      </c>
      <c r="AM220" s="18">
        <f>IF(tblOrdenes[[#This Row],[orden]]="","",MAX(0,_xlfn.XLOOKUP(tblOrdenes[[#This Row],[id_operacion]],tblEjecucion[id_operacion],tblEjecucion[costo_plan_total],0)-tblOrdenes[[#This Row],[costo_servicio]]))</f>
        <v/>
      </c>
      <c r="AN220" s="18">
        <f>IF(tblOrdenes[[#This Row],[orden]]="","",tblOrdenes[[#This Row],[costo_servicio]]+tblOrdenes[[#This Row],[costo_materiales]])</f>
        <v/>
      </c>
      <c r="AO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5">
        <f>IF(tblOrdenes[[#This Row],[link_checklist]]="","",HYPERLINK(p_ruta_base_checklists&amp;tblOrdenes[[#This Row],[link_checklist]],"abrir"))</f>
        <v/>
      </c>
      <c r="AT220" s="4" t="n"/>
      <c r="AU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5" t="n"/>
      <c r="K221" s="5" t="n"/>
      <c r="L221" s="18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Row],[fecha_inicio]]="","",tblOrdenes[[#This Row],[anio]]&amp;"-"&amp;TEXT(tblOrdenes[[#This Row],[mes]],"00"))</f>
        <v/>
      </c>
      <c r="S221" s="5">
        <f>IF(tblOrdenes[[#This Row],[fecha_inicio]]="","",INDEX(lista_dias,WEEKDAY(tblOrdenes[[#This Row],[fecha_inicio]],2)))</f>
        <v/>
      </c>
      <c r="T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5">
        <f>IF(tblOrdenes[[#This Row],[tipo_ot]]="","",_xlfn.XLOOKUP(tblOrdenes[[#This Row],[tipo_ot]],tblTiposOT[codigo],tblTiposOT[clasificacion],"sin_clasificar"))</f>
        <v/>
      </c>
      <c r="V2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5">
        <f>IF(tblOrdenes[[#This Row],[centro_costo]]="","",_xlfn.XLOOKUP(tblOrdenes[[#This Row],[centro_costo]],tblCECO[codigo],tblCECO[linea],"(sin catálogo)"))</f>
        <v/>
      </c>
      <c r="Y221" s="5">
        <f>IF(tblOrdenes[[#This Row],[centro_costo]]="","",_xlfn.XLOOKUP(tblOrdenes[[#This Row],[centro_costo]],tblCECO[codigo],tblCECO[area],"(sin catálogo)"))</f>
        <v/>
      </c>
      <c r="Z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5">
        <f>IF(tblOrdenes[[#This Row],[centro_costo]]="","",_xlfn.XLOOKUP(tblOrdenes[[#This Row],[centro_costo]],tblCECO[codigo],tblCECO[coordinador],"(sin catálogo)"))</f>
        <v/>
      </c>
      <c r="AB221" s="5">
        <f>IF(tblOrdenes[[#This Row],[puesto_trabajo]]="","",_xlfn.XLOOKUP(tblOrdenes[[#This Row],[puesto_trabajo]],tblPuestos[codigo],tblPuestos[especialidad],"(sin catálogo)"))</f>
        <v/>
      </c>
      <c r="AC221" s="5">
        <f>IF(tblOrdenes[[#This Row],[cod_actividad]]="","",_xlfn.XLOOKUP(tblOrdenes[[#This Row],[cod_actividad]],tblActividades[codigo],tblActividades[descripcion],"(sin catálogo)"))</f>
        <v/>
      </c>
      <c r="AD221" s="23">
        <f>IF(tblOrdenes[[#This Row],[fecha_inicio]]="","",TODAY()-tblOrdenes[[#This Row],[fecha_inicio]])</f>
        <v/>
      </c>
      <c r="AE2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5">
        <f>IF(tblOrdenes[[#This Row],[backlog_habiles]]="","",IF(tblOrdenes[[#This Row],[backlog_habiles]]&lt;0,"FUTURO",IF(tblOrdenes[[#This Row],[backlog_habiles]]&gt;p_dias_backlog_max,"BACKLOG","MES CORRIENTE")))</f>
        <v/>
      </c>
      <c r="AG221" s="5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18">
        <f>IF(tblOrdenes[[#This Row],[orden]]="","",_xlfn.XLOOKUP(tblOrdenes[[#This Row],[id_operacion]],tblEjecucion[id_operacion],tblEjecucion[precio],0))</f>
        <v/>
      </c>
      <c r="AM221" s="18">
        <f>IF(tblOrdenes[[#This Row],[orden]]="","",MAX(0,_xlfn.XLOOKUP(tblOrdenes[[#This Row],[id_operacion]],tblEjecucion[id_operacion],tblEjecucion[costo_plan_total],0)-tblOrdenes[[#This Row],[costo_servicio]]))</f>
        <v/>
      </c>
      <c r="AN221" s="18">
        <f>IF(tblOrdenes[[#This Row],[orden]]="","",tblOrdenes[[#This Row],[costo_servicio]]+tblOrdenes[[#This Row],[costo_materiales]])</f>
        <v/>
      </c>
      <c r="AO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5">
        <f>IF(tblOrdenes[[#This Row],[link_checklist]]="","",HYPERLINK(p_ruta_base_checklists&amp;tblOrdenes[[#This Row],[link_checklist]],"abrir"))</f>
        <v/>
      </c>
      <c r="AT221" s="4" t="n"/>
      <c r="AU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5" t="n"/>
      <c r="K222" s="5" t="n"/>
      <c r="L222" s="18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Row],[fecha_inicio]]="","",tblOrdenes[[#This Row],[anio]]&amp;"-"&amp;TEXT(tblOrdenes[[#This Row],[mes]],"00"))</f>
        <v/>
      </c>
      <c r="S222" s="5">
        <f>IF(tblOrdenes[[#This Row],[fecha_inicio]]="","",INDEX(lista_dias,WEEKDAY(tblOrdenes[[#This Row],[fecha_inicio]],2)))</f>
        <v/>
      </c>
      <c r="T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5">
        <f>IF(tblOrdenes[[#This Row],[tipo_ot]]="","",_xlfn.XLOOKUP(tblOrdenes[[#This Row],[tipo_ot]],tblTiposOT[codigo],tblTiposOT[clasificacion],"sin_clasificar"))</f>
        <v/>
      </c>
      <c r="V2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5">
        <f>IF(tblOrdenes[[#This Row],[centro_costo]]="","",_xlfn.XLOOKUP(tblOrdenes[[#This Row],[centro_costo]],tblCECO[codigo],tblCECO[linea],"(sin catálogo)"))</f>
        <v/>
      </c>
      <c r="Y222" s="5">
        <f>IF(tblOrdenes[[#This Row],[centro_costo]]="","",_xlfn.XLOOKUP(tblOrdenes[[#This Row],[centro_costo]],tblCECO[codigo],tblCECO[area],"(sin catálogo)"))</f>
        <v/>
      </c>
      <c r="Z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5">
        <f>IF(tblOrdenes[[#This Row],[centro_costo]]="","",_xlfn.XLOOKUP(tblOrdenes[[#This Row],[centro_costo]],tblCECO[codigo],tblCECO[coordinador],"(sin catálogo)"))</f>
        <v/>
      </c>
      <c r="AB222" s="5">
        <f>IF(tblOrdenes[[#This Row],[puesto_trabajo]]="","",_xlfn.XLOOKUP(tblOrdenes[[#This Row],[puesto_trabajo]],tblPuestos[codigo],tblPuestos[especialidad],"(sin catálogo)"))</f>
        <v/>
      </c>
      <c r="AC222" s="5">
        <f>IF(tblOrdenes[[#This Row],[cod_actividad]]="","",_xlfn.XLOOKUP(tblOrdenes[[#This Row],[cod_actividad]],tblActividades[codigo],tblActividades[descripcion],"(sin catálogo)"))</f>
        <v/>
      </c>
      <c r="AD222" s="23">
        <f>IF(tblOrdenes[[#This Row],[fecha_inicio]]="","",TODAY()-tblOrdenes[[#This Row],[fecha_inicio]])</f>
        <v/>
      </c>
      <c r="AE2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5">
        <f>IF(tblOrdenes[[#This Row],[backlog_habiles]]="","",IF(tblOrdenes[[#This Row],[backlog_habiles]]&lt;0,"FUTURO",IF(tblOrdenes[[#This Row],[backlog_habiles]]&gt;p_dias_backlog_max,"BACKLOG","MES CORRIENTE")))</f>
        <v/>
      </c>
      <c r="AG222" s="5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18">
        <f>IF(tblOrdenes[[#This Row],[orden]]="","",_xlfn.XLOOKUP(tblOrdenes[[#This Row],[id_operacion]],tblEjecucion[id_operacion],tblEjecucion[precio],0))</f>
        <v/>
      </c>
      <c r="AM222" s="18">
        <f>IF(tblOrdenes[[#This Row],[orden]]="","",MAX(0,_xlfn.XLOOKUP(tblOrdenes[[#This Row],[id_operacion]],tblEjecucion[id_operacion],tblEjecucion[costo_plan_total],0)-tblOrdenes[[#This Row],[costo_servicio]]))</f>
        <v/>
      </c>
      <c r="AN222" s="18">
        <f>IF(tblOrdenes[[#This Row],[orden]]="","",tblOrdenes[[#This Row],[costo_servicio]]+tblOrdenes[[#This Row],[costo_materiales]])</f>
        <v/>
      </c>
      <c r="AO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5">
        <f>IF(tblOrdenes[[#This Row],[link_checklist]]="","",HYPERLINK(p_ruta_base_checklists&amp;tblOrdenes[[#This Row],[link_checklist]],"abrir"))</f>
        <v/>
      </c>
      <c r="AT222" s="4" t="n"/>
      <c r="AU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5" t="n"/>
      <c r="K223" s="5" t="n"/>
      <c r="L223" s="18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Row],[fecha_inicio]]="","",tblOrdenes[[#This Row],[anio]]&amp;"-"&amp;TEXT(tblOrdenes[[#This Row],[mes]],"00"))</f>
        <v/>
      </c>
      <c r="S223" s="5">
        <f>IF(tblOrdenes[[#This Row],[fecha_inicio]]="","",INDEX(lista_dias,WEEKDAY(tblOrdenes[[#This Row],[fecha_inicio]],2)))</f>
        <v/>
      </c>
      <c r="T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5">
        <f>IF(tblOrdenes[[#This Row],[tipo_ot]]="","",_xlfn.XLOOKUP(tblOrdenes[[#This Row],[tipo_ot]],tblTiposOT[codigo],tblTiposOT[clasificacion],"sin_clasificar"))</f>
        <v/>
      </c>
      <c r="V2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5">
        <f>IF(tblOrdenes[[#This Row],[centro_costo]]="","",_xlfn.XLOOKUP(tblOrdenes[[#This Row],[centro_costo]],tblCECO[codigo],tblCECO[linea],"(sin catálogo)"))</f>
        <v/>
      </c>
      <c r="Y223" s="5">
        <f>IF(tblOrdenes[[#This Row],[centro_costo]]="","",_xlfn.XLOOKUP(tblOrdenes[[#This Row],[centro_costo]],tblCECO[codigo],tblCECO[area],"(sin catálogo)"))</f>
        <v/>
      </c>
      <c r="Z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5">
        <f>IF(tblOrdenes[[#This Row],[centro_costo]]="","",_xlfn.XLOOKUP(tblOrdenes[[#This Row],[centro_costo]],tblCECO[codigo],tblCECO[coordinador],"(sin catálogo)"))</f>
        <v/>
      </c>
      <c r="AB223" s="5">
        <f>IF(tblOrdenes[[#This Row],[puesto_trabajo]]="","",_xlfn.XLOOKUP(tblOrdenes[[#This Row],[puesto_trabajo]],tblPuestos[codigo],tblPuestos[especialidad],"(sin catálogo)"))</f>
        <v/>
      </c>
      <c r="AC223" s="5">
        <f>IF(tblOrdenes[[#This Row],[cod_actividad]]="","",_xlfn.XLOOKUP(tblOrdenes[[#This Row],[cod_actividad]],tblActividades[codigo],tblActividades[descripcion],"(sin catálogo)"))</f>
        <v/>
      </c>
      <c r="AD223" s="23">
        <f>IF(tblOrdenes[[#This Row],[fecha_inicio]]="","",TODAY()-tblOrdenes[[#This Row],[fecha_inicio]])</f>
        <v/>
      </c>
      <c r="AE2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5">
        <f>IF(tblOrdenes[[#This Row],[backlog_habiles]]="","",IF(tblOrdenes[[#This Row],[backlog_habiles]]&lt;0,"FUTURO",IF(tblOrdenes[[#This Row],[backlog_habiles]]&gt;p_dias_backlog_max,"BACKLOG","MES CORRIENTE")))</f>
        <v/>
      </c>
      <c r="AG223" s="5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18">
        <f>IF(tblOrdenes[[#This Row],[orden]]="","",_xlfn.XLOOKUP(tblOrdenes[[#This Row],[id_operacion]],tblEjecucion[id_operacion],tblEjecucion[precio],0))</f>
        <v/>
      </c>
      <c r="AM223" s="18">
        <f>IF(tblOrdenes[[#This Row],[orden]]="","",MAX(0,_xlfn.XLOOKUP(tblOrdenes[[#This Row],[id_operacion]],tblEjecucion[id_operacion],tblEjecucion[costo_plan_total],0)-tblOrdenes[[#This Row],[costo_servicio]]))</f>
        <v/>
      </c>
      <c r="AN223" s="18">
        <f>IF(tblOrdenes[[#This Row],[orden]]="","",tblOrdenes[[#This Row],[costo_servicio]]+tblOrdenes[[#This Row],[costo_materiales]])</f>
        <v/>
      </c>
      <c r="AO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5">
        <f>IF(tblOrdenes[[#This Row],[link_checklist]]="","",HYPERLINK(p_ruta_base_checklists&amp;tblOrdenes[[#This Row],[link_checklist]],"abrir"))</f>
        <v/>
      </c>
      <c r="AT223" s="4" t="n"/>
      <c r="AU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5" t="n"/>
      <c r="K224" s="5" t="n"/>
      <c r="L224" s="18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Row],[fecha_inicio]]="","",tblOrdenes[[#This Row],[anio]]&amp;"-"&amp;TEXT(tblOrdenes[[#This Row],[mes]],"00"))</f>
        <v/>
      </c>
      <c r="S224" s="5">
        <f>IF(tblOrdenes[[#This Row],[fecha_inicio]]="","",INDEX(lista_dias,WEEKDAY(tblOrdenes[[#This Row],[fecha_inicio]],2)))</f>
        <v/>
      </c>
      <c r="T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5">
        <f>IF(tblOrdenes[[#This Row],[tipo_ot]]="","",_xlfn.XLOOKUP(tblOrdenes[[#This Row],[tipo_ot]],tblTiposOT[codigo],tblTiposOT[clasificacion],"sin_clasificar"))</f>
        <v/>
      </c>
      <c r="V2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5">
        <f>IF(tblOrdenes[[#This Row],[centro_costo]]="","",_xlfn.XLOOKUP(tblOrdenes[[#This Row],[centro_costo]],tblCECO[codigo],tblCECO[linea],"(sin catálogo)"))</f>
        <v/>
      </c>
      <c r="Y224" s="5">
        <f>IF(tblOrdenes[[#This Row],[centro_costo]]="","",_xlfn.XLOOKUP(tblOrdenes[[#This Row],[centro_costo]],tblCECO[codigo],tblCECO[area],"(sin catálogo)"))</f>
        <v/>
      </c>
      <c r="Z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5">
        <f>IF(tblOrdenes[[#This Row],[centro_costo]]="","",_xlfn.XLOOKUP(tblOrdenes[[#This Row],[centro_costo]],tblCECO[codigo],tblCECO[coordinador],"(sin catálogo)"))</f>
        <v/>
      </c>
      <c r="AB224" s="5">
        <f>IF(tblOrdenes[[#This Row],[puesto_trabajo]]="","",_xlfn.XLOOKUP(tblOrdenes[[#This Row],[puesto_trabajo]],tblPuestos[codigo],tblPuestos[especialidad],"(sin catálogo)"))</f>
        <v/>
      </c>
      <c r="AC224" s="5">
        <f>IF(tblOrdenes[[#This Row],[cod_actividad]]="","",_xlfn.XLOOKUP(tblOrdenes[[#This Row],[cod_actividad]],tblActividades[codigo],tblActividades[descripcion],"(sin catálogo)"))</f>
        <v/>
      </c>
      <c r="AD224" s="23">
        <f>IF(tblOrdenes[[#This Row],[fecha_inicio]]="","",TODAY()-tblOrdenes[[#This Row],[fecha_inicio]])</f>
        <v/>
      </c>
      <c r="AE2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5">
        <f>IF(tblOrdenes[[#This Row],[backlog_habiles]]="","",IF(tblOrdenes[[#This Row],[backlog_habiles]]&lt;0,"FUTURO",IF(tblOrdenes[[#This Row],[backlog_habiles]]&gt;p_dias_backlog_max,"BACKLOG","MES CORRIENTE")))</f>
        <v/>
      </c>
      <c r="AG224" s="5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18">
        <f>IF(tblOrdenes[[#This Row],[orden]]="","",_xlfn.XLOOKUP(tblOrdenes[[#This Row],[id_operacion]],tblEjecucion[id_operacion],tblEjecucion[precio],0))</f>
        <v/>
      </c>
      <c r="AM224" s="18">
        <f>IF(tblOrdenes[[#This Row],[orden]]="","",MAX(0,_xlfn.XLOOKUP(tblOrdenes[[#This Row],[id_operacion]],tblEjecucion[id_operacion],tblEjecucion[costo_plan_total],0)-tblOrdenes[[#This Row],[costo_servicio]]))</f>
        <v/>
      </c>
      <c r="AN224" s="18">
        <f>IF(tblOrdenes[[#This Row],[orden]]="","",tblOrdenes[[#This Row],[costo_servicio]]+tblOrdenes[[#This Row],[costo_materiales]])</f>
        <v/>
      </c>
      <c r="AO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5">
        <f>IF(tblOrdenes[[#This Row],[link_checklist]]="","",HYPERLINK(p_ruta_base_checklists&amp;tblOrdenes[[#This Row],[link_checklist]],"abrir"))</f>
        <v/>
      </c>
      <c r="AT224" s="4" t="n"/>
      <c r="AU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5" t="n"/>
      <c r="K225" s="5" t="n"/>
      <c r="L225" s="18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Row],[fecha_inicio]]="","",tblOrdenes[[#This Row],[anio]]&amp;"-"&amp;TEXT(tblOrdenes[[#This Row],[mes]],"00"))</f>
        <v/>
      </c>
      <c r="S225" s="5">
        <f>IF(tblOrdenes[[#This Row],[fecha_inicio]]="","",INDEX(lista_dias,WEEKDAY(tblOrdenes[[#This Row],[fecha_inicio]],2)))</f>
        <v/>
      </c>
      <c r="T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5">
        <f>IF(tblOrdenes[[#This Row],[tipo_ot]]="","",_xlfn.XLOOKUP(tblOrdenes[[#This Row],[tipo_ot]],tblTiposOT[codigo],tblTiposOT[clasificacion],"sin_clasificar"))</f>
        <v/>
      </c>
      <c r="V2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5">
        <f>IF(tblOrdenes[[#This Row],[centro_costo]]="","",_xlfn.XLOOKUP(tblOrdenes[[#This Row],[centro_costo]],tblCECO[codigo],tblCECO[linea],"(sin catálogo)"))</f>
        <v/>
      </c>
      <c r="Y225" s="5">
        <f>IF(tblOrdenes[[#This Row],[centro_costo]]="","",_xlfn.XLOOKUP(tblOrdenes[[#This Row],[centro_costo]],tblCECO[codigo],tblCECO[area],"(sin catálogo)"))</f>
        <v/>
      </c>
      <c r="Z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5">
        <f>IF(tblOrdenes[[#This Row],[centro_costo]]="","",_xlfn.XLOOKUP(tblOrdenes[[#This Row],[centro_costo]],tblCECO[codigo],tblCECO[coordinador],"(sin catálogo)"))</f>
        <v/>
      </c>
      <c r="AB225" s="5">
        <f>IF(tblOrdenes[[#This Row],[puesto_trabajo]]="","",_xlfn.XLOOKUP(tblOrdenes[[#This Row],[puesto_trabajo]],tblPuestos[codigo],tblPuestos[especialidad],"(sin catálogo)"))</f>
        <v/>
      </c>
      <c r="AC225" s="5">
        <f>IF(tblOrdenes[[#This Row],[cod_actividad]]="","",_xlfn.XLOOKUP(tblOrdenes[[#This Row],[cod_actividad]],tblActividades[codigo],tblActividades[descripcion],"(sin catálogo)"))</f>
        <v/>
      </c>
      <c r="AD225" s="23">
        <f>IF(tblOrdenes[[#This Row],[fecha_inicio]]="","",TODAY()-tblOrdenes[[#This Row],[fecha_inicio]])</f>
        <v/>
      </c>
      <c r="AE2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5">
        <f>IF(tblOrdenes[[#This Row],[backlog_habiles]]="","",IF(tblOrdenes[[#This Row],[backlog_habiles]]&lt;0,"FUTURO",IF(tblOrdenes[[#This Row],[backlog_habiles]]&gt;p_dias_backlog_max,"BACKLOG","MES CORRIENTE")))</f>
        <v/>
      </c>
      <c r="AG225" s="5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18">
        <f>IF(tblOrdenes[[#This Row],[orden]]="","",_xlfn.XLOOKUP(tblOrdenes[[#This Row],[id_operacion]],tblEjecucion[id_operacion],tblEjecucion[precio],0))</f>
        <v/>
      </c>
      <c r="AM225" s="18">
        <f>IF(tblOrdenes[[#This Row],[orden]]="","",MAX(0,_xlfn.XLOOKUP(tblOrdenes[[#This Row],[id_operacion]],tblEjecucion[id_operacion],tblEjecucion[costo_plan_total],0)-tblOrdenes[[#This Row],[costo_servicio]]))</f>
        <v/>
      </c>
      <c r="AN225" s="18">
        <f>IF(tblOrdenes[[#This Row],[orden]]="","",tblOrdenes[[#This Row],[costo_servicio]]+tblOrdenes[[#This Row],[costo_materiales]])</f>
        <v/>
      </c>
      <c r="AO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5">
        <f>IF(tblOrdenes[[#This Row],[link_checklist]]="","",HYPERLINK(p_ruta_base_checklists&amp;tblOrdenes[[#This Row],[link_checklist]],"abrir"))</f>
        <v/>
      </c>
      <c r="AT225" s="4" t="n"/>
      <c r="AU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5" t="n"/>
      <c r="K226" s="5" t="n"/>
      <c r="L226" s="18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Row],[fecha_inicio]]="","",tblOrdenes[[#This Row],[anio]]&amp;"-"&amp;TEXT(tblOrdenes[[#This Row],[mes]],"00"))</f>
        <v/>
      </c>
      <c r="S226" s="5">
        <f>IF(tblOrdenes[[#This Row],[fecha_inicio]]="","",INDEX(lista_dias,WEEKDAY(tblOrdenes[[#This Row],[fecha_inicio]],2)))</f>
        <v/>
      </c>
      <c r="T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5">
        <f>IF(tblOrdenes[[#This Row],[tipo_ot]]="","",_xlfn.XLOOKUP(tblOrdenes[[#This Row],[tipo_ot]],tblTiposOT[codigo],tblTiposOT[clasificacion],"sin_clasificar"))</f>
        <v/>
      </c>
      <c r="V2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5">
        <f>IF(tblOrdenes[[#This Row],[centro_costo]]="","",_xlfn.XLOOKUP(tblOrdenes[[#This Row],[centro_costo]],tblCECO[codigo],tblCECO[linea],"(sin catálogo)"))</f>
        <v/>
      </c>
      <c r="Y226" s="5">
        <f>IF(tblOrdenes[[#This Row],[centro_costo]]="","",_xlfn.XLOOKUP(tblOrdenes[[#This Row],[centro_costo]],tblCECO[codigo],tblCECO[area],"(sin catálogo)"))</f>
        <v/>
      </c>
      <c r="Z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5">
        <f>IF(tblOrdenes[[#This Row],[centro_costo]]="","",_xlfn.XLOOKUP(tblOrdenes[[#This Row],[centro_costo]],tblCECO[codigo],tblCECO[coordinador],"(sin catálogo)"))</f>
        <v/>
      </c>
      <c r="AB226" s="5">
        <f>IF(tblOrdenes[[#This Row],[puesto_trabajo]]="","",_xlfn.XLOOKUP(tblOrdenes[[#This Row],[puesto_trabajo]],tblPuestos[codigo],tblPuestos[especialidad],"(sin catálogo)"))</f>
        <v/>
      </c>
      <c r="AC226" s="5">
        <f>IF(tblOrdenes[[#This Row],[cod_actividad]]="","",_xlfn.XLOOKUP(tblOrdenes[[#This Row],[cod_actividad]],tblActividades[codigo],tblActividades[descripcion],"(sin catálogo)"))</f>
        <v/>
      </c>
      <c r="AD226" s="23">
        <f>IF(tblOrdenes[[#This Row],[fecha_inicio]]="","",TODAY()-tblOrdenes[[#This Row],[fecha_inicio]])</f>
        <v/>
      </c>
      <c r="AE2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5">
        <f>IF(tblOrdenes[[#This Row],[backlog_habiles]]="","",IF(tblOrdenes[[#This Row],[backlog_habiles]]&lt;0,"FUTURO",IF(tblOrdenes[[#This Row],[backlog_habiles]]&gt;p_dias_backlog_max,"BACKLOG","MES CORRIENTE")))</f>
        <v/>
      </c>
      <c r="AG226" s="5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18">
        <f>IF(tblOrdenes[[#This Row],[orden]]="","",_xlfn.XLOOKUP(tblOrdenes[[#This Row],[id_operacion]],tblEjecucion[id_operacion],tblEjecucion[precio],0))</f>
        <v/>
      </c>
      <c r="AM226" s="18">
        <f>IF(tblOrdenes[[#This Row],[orden]]="","",MAX(0,_xlfn.XLOOKUP(tblOrdenes[[#This Row],[id_operacion]],tblEjecucion[id_operacion],tblEjecucion[costo_plan_total],0)-tblOrdenes[[#This Row],[costo_servicio]]))</f>
        <v/>
      </c>
      <c r="AN226" s="18">
        <f>IF(tblOrdenes[[#This Row],[orden]]="","",tblOrdenes[[#This Row],[costo_servicio]]+tblOrdenes[[#This Row],[costo_materiales]])</f>
        <v/>
      </c>
      <c r="AO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5">
        <f>IF(tblOrdenes[[#This Row],[link_checklist]]="","",HYPERLINK(p_ruta_base_checklists&amp;tblOrdenes[[#This Row],[link_checklist]],"abrir"))</f>
        <v/>
      </c>
      <c r="AT226" s="4" t="n"/>
      <c r="AU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5" t="n"/>
      <c r="K227" s="5" t="n"/>
      <c r="L227" s="18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Row],[fecha_inicio]]="","",tblOrdenes[[#This Row],[anio]]&amp;"-"&amp;TEXT(tblOrdenes[[#This Row],[mes]],"00"))</f>
        <v/>
      </c>
      <c r="S227" s="5">
        <f>IF(tblOrdenes[[#This Row],[fecha_inicio]]="","",INDEX(lista_dias,WEEKDAY(tblOrdenes[[#This Row],[fecha_inicio]],2)))</f>
        <v/>
      </c>
      <c r="T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5">
        <f>IF(tblOrdenes[[#This Row],[tipo_ot]]="","",_xlfn.XLOOKUP(tblOrdenes[[#This Row],[tipo_ot]],tblTiposOT[codigo],tblTiposOT[clasificacion],"sin_clasificar"))</f>
        <v/>
      </c>
      <c r="V2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5">
        <f>IF(tblOrdenes[[#This Row],[centro_costo]]="","",_xlfn.XLOOKUP(tblOrdenes[[#This Row],[centro_costo]],tblCECO[codigo],tblCECO[linea],"(sin catálogo)"))</f>
        <v/>
      </c>
      <c r="Y227" s="5">
        <f>IF(tblOrdenes[[#This Row],[centro_costo]]="","",_xlfn.XLOOKUP(tblOrdenes[[#This Row],[centro_costo]],tblCECO[codigo],tblCECO[area],"(sin catálogo)"))</f>
        <v/>
      </c>
      <c r="Z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5">
        <f>IF(tblOrdenes[[#This Row],[centro_costo]]="","",_xlfn.XLOOKUP(tblOrdenes[[#This Row],[centro_costo]],tblCECO[codigo],tblCECO[coordinador],"(sin catálogo)"))</f>
        <v/>
      </c>
      <c r="AB227" s="5">
        <f>IF(tblOrdenes[[#This Row],[puesto_trabajo]]="","",_xlfn.XLOOKUP(tblOrdenes[[#This Row],[puesto_trabajo]],tblPuestos[codigo],tblPuestos[especialidad],"(sin catálogo)"))</f>
        <v/>
      </c>
      <c r="AC227" s="5">
        <f>IF(tblOrdenes[[#This Row],[cod_actividad]]="","",_xlfn.XLOOKUP(tblOrdenes[[#This Row],[cod_actividad]],tblActividades[codigo],tblActividades[descripcion],"(sin catálogo)"))</f>
        <v/>
      </c>
      <c r="AD227" s="23">
        <f>IF(tblOrdenes[[#This Row],[fecha_inicio]]="","",TODAY()-tblOrdenes[[#This Row],[fecha_inicio]])</f>
        <v/>
      </c>
      <c r="AE2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5">
        <f>IF(tblOrdenes[[#This Row],[backlog_habiles]]="","",IF(tblOrdenes[[#This Row],[backlog_habiles]]&lt;0,"FUTURO",IF(tblOrdenes[[#This Row],[backlog_habiles]]&gt;p_dias_backlog_max,"BACKLOG","MES CORRIENTE")))</f>
        <v/>
      </c>
      <c r="AG227" s="5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18">
        <f>IF(tblOrdenes[[#This Row],[orden]]="","",_xlfn.XLOOKUP(tblOrdenes[[#This Row],[id_operacion]],tblEjecucion[id_operacion],tblEjecucion[precio],0))</f>
        <v/>
      </c>
      <c r="AM227" s="18">
        <f>IF(tblOrdenes[[#This Row],[orden]]="","",MAX(0,_xlfn.XLOOKUP(tblOrdenes[[#This Row],[id_operacion]],tblEjecucion[id_operacion],tblEjecucion[costo_plan_total],0)-tblOrdenes[[#This Row],[costo_servicio]]))</f>
        <v/>
      </c>
      <c r="AN227" s="18">
        <f>IF(tblOrdenes[[#This Row],[orden]]="","",tblOrdenes[[#This Row],[costo_servicio]]+tblOrdenes[[#This Row],[costo_materiales]])</f>
        <v/>
      </c>
      <c r="AO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5">
        <f>IF(tblOrdenes[[#This Row],[link_checklist]]="","",HYPERLINK(p_ruta_base_checklists&amp;tblOrdenes[[#This Row],[link_checklist]],"abrir"))</f>
        <v/>
      </c>
      <c r="AT227" s="4" t="n"/>
      <c r="AU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5" t="n"/>
      <c r="K228" s="5" t="n"/>
      <c r="L228" s="18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Row],[fecha_inicio]]="","",tblOrdenes[[#This Row],[anio]]&amp;"-"&amp;TEXT(tblOrdenes[[#This Row],[mes]],"00"))</f>
        <v/>
      </c>
      <c r="S228" s="5">
        <f>IF(tblOrdenes[[#This Row],[fecha_inicio]]="","",INDEX(lista_dias,WEEKDAY(tblOrdenes[[#This Row],[fecha_inicio]],2)))</f>
        <v/>
      </c>
      <c r="T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5">
        <f>IF(tblOrdenes[[#This Row],[tipo_ot]]="","",_xlfn.XLOOKUP(tblOrdenes[[#This Row],[tipo_ot]],tblTiposOT[codigo],tblTiposOT[clasificacion],"sin_clasificar"))</f>
        <v/>
      </c>
      <c r="V2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5">
        <f>IF(tblOrdenes[[#This Row],[centro_costo]]="","",_xlfn.XLOOKUP(tblOrdenes[[#This Row],[centro_costo]],tblCECO[codigo],tblCECO[linea],"(sin catálogo)"))</f>
        <v/>
      </c>
      <c r="Y228" s="5">
        <f>IF(tblOrdenes[[#This Row],[centro_costo]]="","",_xlfn.XLOOKUP(tblOrdenes[[#This Row],[centro_costo]],tblCECO[codigo],tblCECO[area],"(sin catálogo)"))</f>
        <v/>
      </c>
      <c r="Z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5">
        <f>IF(tblOrdenes[[#This Row],[centro_costo]]="","",_xlfn.XLOOKUP(tblOrdenes[[#This Row],[centro_costo]],tblCECO[codigo],tblCECO[coordinador],"(sin catálogo)"))</f>
        <v/>
      </c>
      <c r="AB228" s="5">
        <f>IF(tblOrdenes[[#This Row],[puesto_trabajo]]="","",_xlfn.XLOOKUP(tblOrdenes[[#This Row],[puesto_trabajo]],tblPuestos[codigo],tblPuestos[especialidad],"(sin catálogo)"))</f>
        <v/>
      </c>
      <c r="AC228" s="5">
        <f>IF(tblOrdenes[[#This Row],[cod_actividad]]="","",_xlfn.XLOOKUP(tblOrdenes[[#This Row],[cod_actividad]],tblActividades[codigo],tblActividades[descripcion],"(sin catálogo)"))</f>
        <v/>
      </c>
      <c r="AD228" s="23">
        <f>IF(tblOrdenes[[#This Row],[fecha_inicio]]="","",TODAY()-tblOrdenes[[#This Row],[fecha_inicio]])</f>
        <v/>
      </c>
      <c r="AE2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5">
        <f>IF(tblOrdenes[[#This Row],[backlog_habiles]]="","",IF(tblOrdenes[[#This Row],[backlog_habiles]]&lt;0,"FUTURO",IF(tblOrdenes[[#This Row],[backlog_habiles]]&gt;p_dias_backlog_max,"BACKLOG","MES CORRIENTE")))</f>
        <v/>
      </c>
      <c r="AG228" s="5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18">
        <f>IF(tblOrdenes[[#This Row],[orden]]="","",_xlfn.XLOOKUP(tblOrdenes[[#This Row],[id_operacion]],tblEjecucion[id_operacion],tblEjecucion[precio],0))</f>
        <v/>
      </c>
      <c r="AM228" s="18">
        <f>IF(tblOrdenes[[#This Row],[orden]]="","",MAX(0,_xlfn.XLOOKUP(tblOrdenes[[#This Row],[id_operacion]],tblEjecucion[id_operacion],tblEjecucion[costo_plan_total],0)-tblOrdenes[[#This Row],[costo_servicio]]))</f>
        <v/>
      </c>
      <c r="AN228" s="18">
        <f>IF(tblOrdenes[[#This Row],[orden]]="","",tblOrdenes[[#This Row],[costo_servicio]]+tblOrdenes[[#This Row],[costo_materiales]])</f>
        <v/>
      </c>
      <c r="AO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5">
        <f>IF(tblOrdenes[[#This Row],[link_checklist]]="","",HYPERLINK(p_ruta_base_checklists&amp;tblOrdenes[[#This Row],[link_checklist]],"abrir"))</f>
        <v/>
      </c>
      <c r="AT228" s="4" t="n"/>
      <c r="AU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5" t="n"/>
      <c r="K229" s="5" t="n"/>
      <c r="L229" s="18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Row],[fecha_inicio]]="","",tblOrdenes[[#This Row],[anio]]&amp;"-"&amp;TEXT(tblOrdenes[[#This Row],[mes]],"00"))</f>
        <v/>
      </c>
      <c r="S229" s="5">
        <f>IF(tblOrdenes[[#This Row],[fecha_inicio]]="","",INDEX(lista_dias,WEEKDAY(tblOrdenes[[#This Row],[fecha_inicio]],2)))</f>
        <v/>
      </c>
      <c r="T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5">
        <f>IF(tblOrdenes[[#This Row],[tipo_ot]]="","",_xlfn.XLOOKUP(tblOrdenes[[#This Row],[tipo_ot]],tblTiposOT[codigo],tblTiposOT[clasificacion],"sin_clasificar"))</f>
        <v/>
      </c>
      <c r="V2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5">
        <f>IF(tblOrdenes[[#This Row],[centro_costo]]="","",_xlfn.XLOOKUP(tblOrdenes[[#This Row],[centro_costo]],tblCECO[codigo],tblCECO[linea],"(sin catálogo)"))</f>
        <v/>
      </c>
      <c r="Y229" s="5">
        <f>IF(tblOrdenes[[#This Row],[centro_costo]]="","",_xlfn.XLOOKUP(tblOrdenes[[#This Row],[centro_costo]],tblCECO[codigo],tblCECO[area],"(sin catálogo)"))</f>
        <v/>
      </c>
      <c r="Z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5">
        <f>IF(tblOrdenes[[#This Row],[centro_costo]]="","",_xlfn.XLOOKUP(tblOrdenes[[#This Row],[centro_costo]],tblCECO[codigo],tblCECO[coordinador],"(sin catálogo)"))</f>
        <v/>
      </c>
      <c r="AB229" s="5">
        <f>IF(tblOrdenes[[#This Row],[puesto_trabajo]]="","",_xlfn.XLOOKUP(tblOrdenes[[#This Row],[puesto_trabajo]],tblPuestos[codigo],tblPuestos[especialidad],"(sin catálogo)"))</f>
        <v/>
      </c>
      <c r="AC229" s="5">
        <f>IF(tblOrdenes[[#This Row],[cod_actividad]]="","",_xlfn.XLOOKUP(tblOrdenes[[#This Row],[cod_actividad]],tblActividades[codigo],tblActividades[descripcion],"(sin catálogo)"))</f>
        <v/>
      </c>
      <c r="AD229" s="23">
        <f>IF(tblOrdenes[[#This Row],[fecha_inicio]]="","",TODAY()-tblOrdenes[[#This Row],[fecha_inicio]])</f>
        <v/>
      </c>
      <c r="AE2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5">
        <f>IF(tblOrdenes[[#This Row],[backlog_habiles]]="","",IF(tblOrdenes[[#This Row],[backlog_habiles]]&lt;0,"FUTURO",IF(tblOrdenes[[#This Row],[backlog_habiles]]&gt;p_dias_backlog_max,"BACKLOG","MES CORRIENTE")))</f>
        <v/>
      </c>
      <c r="AG229" s="5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18">
        <f>IF(tblOrdenes[[#This Row],[orden]]="","",_xlfn.XLOOKUP(tblOrdenes[[#This Row],[id_operacion]],tblEjecucion[id_operacion],tblEjecucion[precio],0))</f>
        <v/>
      </c>
      <c r="AM229" s="18">
        <f>IF(tblOrdenes[[#This Row],[orden]]="","",MAX(0,_xlfn.XLOOKUP(tblOrdenes[[#This Row],[id_operacion]],tblEjecucion[id_operacion],tblEjecucion[costo_plan_total],0)-tblOrdenes[[#This Row],[costo_servicio]]))</f>
        <v/>
      </c>
      <c r="AN229" s="18">
        <f>IF(tblOrdenes[[#This Row],[orden]]="","",tblOrdenes[[#This Row],[costo_servicio]]+tblOrdenes[[#This Row],[costo_materiales]])</f>
        <v/>
      </c>
      <c r="AO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5">
        <f>IF(tblOrdenes[[#This Row],[link_checklist]]="","",HYPERLINK(p_ruta_base_checklists&amp;tblOrdenes[[#This Row],[link_checklist]],"abrir"))</f>
        <v/>
      </c>
      <c r="AT229" s="4" t="n"/>
      <c r="AU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5" t="n"/>
      <c r="K230" s="5" t="n"/>
      <c r="L230" s="18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Row],[fecha_inicio]]="","",tblOrdenes[[#This Row],[anio]]&amp;"-"&amp;TEXT(tblOrdenes[[#This Row],[mes]],"00"))</f>
        <v/>
      </c>
      <c r="S230" s="5">
        <f>IF(tblOrdenes[[#This Row],[fecha_inicio]]="","",INDEX(lista_dias,WEEKDAY(tblOrdenes[[#This Row],[fecha_inicio]],2)))</f>
        <v/>
      </c>
      <c r="T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5">
        <f>IF(tblOrdenes[[#This Row],[tipo_ot]]="","",_xlfn.XLOOKUP(tblOrdenes[[#This Row],[tipo_ot]],tblTiposOT[codigo],tblTiposOT[clasificacion],"sin_clasificar"))</f>
        <v/>
      </c>
      <c r="V2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5">
        <f>IF(tblOrdenes[[#This Row],[centro_costo]]="","",_xlfn.XLOOKUP(tblOrdenes[[#This Row],[centro_costo]],tblCECO[codigo],tblCECO[linea],"(sin catálogo)"))</f>
        <v/>
      </c>
      <c r="Y230" s="5">
        <f>IF(tblOrdenes[[#This Row],[centro_costo]]="","",_xlfn.XLOOKUP(tblOrdenes[[#This Row],[centro_costo]],tblCECO[codigo],tblCECO[area],"(sin catálogo)"))</f>
        <v/>
      </c>
      <c r="Z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5">
        <f>IF(tblOrdenes[[#This Row],[centro_costo]]="","",_xlfn.XLOOKUP(tblOrdenes[[#This Row],[centro_costo]],tblCECO[codigo],tblCECO[coordinador],"(sin catálogo)"))</f>
        <v/>
      </c>
      <c r="AB230" s="5">
        <f>IF(tblOrdenes[[#This Row],[puesto_trabajo]]="","",_xlfn.XLOOKUP(tblOrdenes[[#This Row],[puesto_trabajo]],tblPuestos[codigo],tblPuestos[especialidad],"(sin catálogo)"))</f>
        <v/>
      </c>
      <c r="AC230" s="5">
        <f>IF(tblOrdenes[[#This Row],[cod_actividad]]="","",_xlfn.XLOOKUP(tblOrdenes[[#This Row],[cod_actividad]],tblActividades[codigo],tblActividades[descripcion],"(sin catálogo)"))</f>
        <v/>
      </c>
      <c r="AD230" s="23">
        <f>IF(tblOrdenes[[#This Row],[fecha_inicio]]="","",TODAY()-tblOrdenes[[#This Row],[fecha_inicio]])</f>
        <v/>
      </c>
      <c r="AE2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5">
        <f>IF(tblOrdenes[[#This Row],[backlog_habiles]]="","",IF(tblOrdenes[[#This Row],[backlog_habiles]]&lt;0,"FUTURO",IF(tblOrdenes[[#This Row],[backlog_habiles]]&gt;p_dias_backlog_max,"BACKLOG","MES CORRIENTE")))</f>
        <v/>
      </c>
      <c r="AG230" s="5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18">
        <f>IF(tblOrdenes[[#This Row],[orden]]="","",_xlfn.XLOOKUP(tblOrdenes[[#This Row],[id_operacion]],tblEjecucion[id_operacion],tblEjecucion[precio],0))</f>
        <v/>
      </c>
      <c r="AM230" s="18">
        <f>IF(tblOrdenes[[#This Row],[orden]]="","",MAX(0,_xlfn.XLOOKUP(tblOrdenes[[#This Row],[id_operacion]],tblEjecucion[id_operacion],tblEjecucion[costo_plan_total],0)-tblOrdenes[[#This Row],[costo_servicio]]))</f>
        <v/>
      </c>
      <c r="AN230" s="18">
        <f>IF(tblOrdenes[[#This Row],[orden]]="","",tblOrdenes[[#This Row],[costo_servicio]]+tblOrdenes[[#This Row],[costo_materiales]])</f>
        <v/>
      </c>
      <c r="AO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5">
        <f>IF(tblOrdenes[[#This Row],[link_checklist]]="","",HYPERLINK(p_ruta_base_checklists&amp;tblOrdenes[[#This Row],[link_checklist]],"abrir"))</f>
        <v/>
      </c>
      <c r="AT230" s="4" t="n"/>
      <c r="AU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5" t="n"/>
      <c r="K231" s="5" t="n"/>
      <c r="L231" s="18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Row],[fecha_inicio]]="","",tblOrdenes[[#This Row],[anio]]&amp;"-"&amp;TEXT(tblOrdenes[[#This Row],[mes]],"00"))</f>
        <v/>
      </c>
      <c r="S231" s="5">
        <f>IF(tblOrdenes[[#This Row],[fecha_inicio]]="","",INDEX(lista_dias,WEEKDAY(tblOrdenes[[#This Row],[fecha_inicio]],2)))</f>
        <v/>
      </c>
      <c r="T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5">
        <f>IF(tblOrdenes[[#This Row],[tipo_ot]]="","",_xlfn.XLOOKUP(tblOrdenes[[#This Row],[tipo_ot]],tblTiposOT[codigo],tblTiposOT[clasificacion],"sin_clasificar"))</f>
        <v/>
      </c>
      <c r="V2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5">
        <f>IF(tblOrdenes[[#This Row],[centro_costo]]="","",_xlfn.XLOOKUP(tblOrdenes[[#This Row],[centro_costo]],tblCECO[codigo],tblCECO[linea],"(sin catálogo)"))</f>
        <v/>
      </c>
      <c r="Y231" s="5">
        <f>IF(tblOrdenes[[#This Row],[centro_costo]]="","",_xlfn.XLOOKUP(tblOrdenes[[#This Row],[centro_costo]],tblCECO[codigo],tblCECO[area],"(sin catálogo)"))</f>
        <v/>
      </c>
      <c r="Z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5">
        <f>IF(tblOrdenes[[#This Row],[centro_costo]]="","",_xlfn.XLOOKUP(tblOrdenes[[#This Row],[centro_costo]],tblCECO[codigo],tblCECO[coordinador],"(sin catálogo)"))</f>
        <v/>
      </c>
      <c r="AB231" s="5">
        <f>IF(tblOrdenes[[#This Row],[puesto_trabajo]]="","",_xlfn.XLOOKUP(tblOrdenes[[#This Row],[puesto_trabajo]],tblPuestos[codigo],tblPuestos[especialidad],"(sin catálogo)"))</f>
        <v/>
      </c>
      <c r="AC231" s="5">
        <f>IF(tblOrdenes[[#This Row],[cod_actividad]]="","",_xlfn.XLOOKUP(tblOrdenes[[#This Row],[cod_actividad]],tblActividades[codigo],tblActividades[descripcion],"(sin catálogo)"))</f>
        <v/>
      </c>
      <c r="AD231" s="23">
        <f>IF(tblOrdenes[[#This Row],[fecha_inicio]]="","",TODAY()-tblOrdenes[[#This Row],[fecha_inicio]])</f>
        <v/>
      </c>
      <c r="AE2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5">
        <f>IF(tblOrdenes[[#This Row],[backlog_habiles]]="","",IF(tblOrdenes[[#This Row],[backlog_habiles]]&lt;0,"FUTURO",IF(tblOrdenes[[#This Row],[backlog_habiles]]&gt;p_dias_backlog_max,"BACKLOG","MES CORRIENTE")))</f>
        <v/>
      </c>
      <c r="AG231" s="5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18">
        <f>IF(tblOrdenes[[#This Row],[orden]]="","",_xlfn.XLOOKUP(tblOrdenes[[#This Row],[id_operacion]],tblEjecucion[id_operacion],tblEjecucion[precio],0))</f>
        <v/>
      </c>
      <c r="AM231" s="18">
        <f>IF(tblOrdenes[[#This Row],[orden]]="","",MAX(0,_xlfn.XLOOKUP(tblOrdenes[[#This Row],[id_operacion]],tblEjecucion[id_operacion],tblEjecucion[costo_plan_total],0)-tblOrdenes[[#This Row],[costo_servicio]]))</f>
        <v/>
      </c>
      <c r="AN231" s="18">
        <f>IF(tblOrdenes[[#This Row],[orden]]="","",tblOrdenes[[#This Row],[costo_servicio]]+tblOrdenes[[#This Row],[costo_materiales]])</f>
        <v/>
      </c>
      <c r="AO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5">
        <f>IF(tblOrdenes[[#This Row],[link_checklist]]="","",HYPERLINK(p_ruta_base_checklists&amp;tblOrdenes[[#This Row],[link_checklist]],"abrir"))</f>
        <v/>
      </c>
      <c r="AT231" s="4" t="n"/>
      <c r="AU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5" t="n"/>
      <c r="K232" s="5" t="n"/>
      <c r="L232" s="18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Row],[fecha_inicio]]="","",tblOrdenes[[#This Row],[anio]]&amp;"-"&amp;TEXT(tblOrdenes[[#This Row],[mes]],"00"))</f>
        <v/>
      </c>
      <c r="S232" s="5">
        <f>IF(tblOrdenes[[#This Row],[fecha_inicio]]="","",INDEX(lista_dias,WEEKDAY(tblOrdenes[[#This Row],[fecha_inicio]],2)))</f>
        <v/>
      </c>
      <c r="T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5">
        <f>IF(tblOrdenes[[#This Row],[tipo_ot]]="","",_xlfn.XLOOKUP(tblOrdenes[[#This Row],[tipo_ot]],tblTiposOT[codigo],tblTiposOT[clasificacion],"sin_clasificar"))</f>
        <v/>
      </c>
      <c r="V2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5">
        <f>IF(tblOrdenes[[#This Row],[centro_costo]]="","",_xlfn.XLOOKUP(tblOrdenes[[#This Row],[centro_costo]],tblCECO[codigo],tblCECO[linea],"(sin catálogo)"))</f>
        <v/>
      </c>
      <c r="Y232" s="5">
        <f>IF(tblOrdenes[[#This Row],[centro_costo]]="","",_xlfn.XLOOKUP(tblOrdenes[[#This Row],[centro_costo]],tblCECO[codigo],tblCECO[area],"(sin catálogo)"))</f>
        <v/>
      </c>
      <c r="Z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5">
        <f>IF(tblOrdenes[[#This Row],[centro_costo]]="","",_xlfn.XLOOKUP(tblOrdenes[[#This Row],[centro_costo]],tblCECO[codigo],tblCECO[coordinador],"(sin catálogo)"))</f>
        <v/>
      </c>
      <c r="AB232" s="5">
        <f>IF(tblOrdenes[[#This Row],[puesto_trabajo]]="","",_xlfn.XLOOKUP(tblOrdenes[[#This Row],[puesto_trabajo]],tblPuestos[codigo],tblPuestos[especialidad],"(sin catálogo)"))</f>
        <v/>
      </c>
      <c r="AC232" s="5">
        <f>IF(tblOrdenes[[#This Row],[cod_actividad]]="","",_xlfn.XLOOKUP(tblOrdenes[[#This Row],[cod_actividad]],tblActividades[codigo],tblActividades[descripcion],"(sin catálogo)"))</f>
        <v/>
      </c>
      <c r="AD232" s="23">
        <f>IF(tblOrdenes[[#This Row],[fecha_inicio]]="","",TODAY()-tblOrdenes[[#This Row],[fecha_inicio]])</f>
        <v/>
      </c>
      <c r="AE2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5">
        <f>IF(tblOrdenes[[#This Row],[backlog_habiles]]="","",IF(tblOrdenes[[#This Row],[backlog_habiles]]&lt;0,"FUTURO",IF(tblOrdenes[[#This Row],[backlog_habiles]]&gt;p_dias_backlog_max,"BACKLOG","MES CORRIENTE")))</f>
        <v/>
      </c>
      <c r="AG232" s="5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18">
        <f>IF(tblOrdenes[[#This Row],[orden]]="","",_xlfn.XLOOKUP(tblOrdenes[[#This Row],[id_operacion]],tblEjecucion[id_operacion],tblEjecucion[precio],0))</f>
        <v/>
      </c>
      <c r="AM232" s="18">
        <f>IF(tblOrdenes[[#This Row],[orden]]="","",MAX(0,_xlfn.XLOOKUP(tblOrdenes[[#This Row],[id_operacion]],tblEjecucion[id_operacion],tblEjecucion[costo_plan_total],0)-tblOrdenes[[#This Row],[costo_servicio]]))</f>
        <v/>
      </c>
      <c r="AN232" s="18">
        <f>IF(tblOrdenes[[#This Row],[orden]]="","",tblOrdenes[[#This Row],[costo_servicio]]+tblOrdenes[[#This Row],[costo_materiales]])</f>
        <v/>
      </c>
      <c r="AO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5">
        <f>IF(tblOrdenes[[#This Row],[link_checklist]]="","",HYPERLINK(p_ruta_base_checklists&amp;tblOrdenes[[#This Row],[link_checklist]],"abrir"))</f>
        <v/>
      </c>
      <c r="AT232" s="4" t="n"/>
      <c r="AU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5" t="n"/>
      <c r="K233" s="5" t="n"/>
      <c r="L233" s="18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Row],[fecha_inicio]]="","",tblOrdenes[[#This Row],[anio]]&amp;"-"&amp;TEXT(tblOrdenes[[#This Row],[mes]],"00"))</f>
        <v/>
      </c>
      <c r="S233" s="5">
        <f>IF(tblOrdenes[[#This Row],[fecha_inicio]]="","",INDEX(lista_dias,WEEKDAY(tblOrdenes[[#This Row],[fecha_inicio]],2)))</f>
        <v/>
      </c>
      <c r="T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5">
        <f>IF(tblOrdenes[[#This Row],[tipo_ot]]="","",_xlfn.XLOOKUP(tblOrdenes[[#This Row],[tipo_ot]],tblTiposOT[codigo],tblTiposOT[clasificacion],"sin_clasificar"))</f>
        <v/>
      </c>
      <c r="V2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5">
        <f>IF(tblOrdenes[[#This Row],[centro_costo]]="","",_xlfn.XLOOKUP(tblOrdenes[[#This Row],[centro_costo]],tblCECO[codigo],tblCECO[linea],"(sin catálogo)"))</f>
        <v/>
      </c>
      <c r="Y233" s="5">
        <f>IF(tblOrdenes[[#This Row],[centro_costo]]="","",_xlfn.XLOOKUP(tblOrdenes[[#This Row],[centro_costo]],tblCECO[codigo],tblCECO[area],"(sin catálogo)"))</f>
        <v/>
      </c>
      <c r="Z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5">
        <f>IF(tblOrdenes[[#This Row],[centro_costo]]="","",_xlfn.XLOOKUP(tblOrdenes[[#This Row],[centro_costo]],tblCECO[codigo],tblCECO[coordinador],"(sin catálogo)"))</f>
        <v/>
      </c>
      <c r="AB233" s="5">
        <f>IF(tblOrdenes[[#This Row],[puesto_trabajo]]="","",_xlfn.XLOOKUP(tblOrdenes[[#This Row],[puesto_trabajo]],tblPuestos[codigo],tblPuestos[especialidad],"(sin catálogo)"))</f>
        <v/>
      </c>
      <c r="AC233" s="5">
        <f>IF(tblOrdenes[[#This Row],[cod_actividad]]="","",_xlfn.XLOOKUP(tblOrdenes[[#This Row],[cod_actividad]],tblActividades[codigo],tblActividades[descripcion],"(sin catálogo)"))</f>
        <v/>
      </c>
      <c r="AD233" s="23">
        <f>IF(tblOrdenes[[#This Row],[fecha_inicio]]="","",TODAY()-tblOrdenes[[#This Row],[fecha_inicio]])</f>
        <v/>
      </c>
      <c r="AE2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5">
        <f>IF(tblOrdenes[[#This Row],[backlog_habiles]]="","",IF(tblOrdenes[[#This Row],[backlog_habiles]]&lt;0,"FUTURO",IF(tblOrdenes[[#This Row],[backlog_habiles]]&gt;p_dias_backlog_max,"BACKLOG","MES CORRIENTE")))</f>
        <v/>
      </c>
      <c r="AG233" s="5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18">
        <f>IF(tblOrdenes[[#This Row],[orden]]="","",_xlfn.XLOOKUP(tblOrdenes[[#This Row],[id_operacion]],tblEjecucion[id_operacion],tblEjecucion[precio],0))</f>
        <v/>
      </c>
      <c r="AM233" s="18">
        <f>IF(tblOrdenes[[#This Row],[orden]]="","",MAX(0,_xlfn.XLOOKUP(tblOrdenes[[#This Row],[id_operacion]],tblEjecucion[id_operacion],tblEjecucion[costo_plan_total],0)-tblOrdenes[[#This Row],[costo_servicio]]))</f>
        <v/>
      </c>
      <c r="AN233" s="18">
        <f>IF(tblOrdenes[[#This Row],[orden]]="","",tblOrdenes[[#This Row],[costo_servicio]]+tblOrdenes[[#This Row],[costo_materiales]])</f>
        <v/>
      </c>
      <c r="AO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5">
        <f>IF(tblOrdenes[[#This Row],[link_checklist]]="","",HYPERLINK(p_ruta_base_checklists&amp;tblOrdenes[[#This Row],[link_checklist]],"abrir"))</f>
        <v/>
      </c>
      <c r="AT233" s="4" t="n"/>
      <c r="AU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5" t="n"/>
      <c r="K234" s="5" t="n"/>
      <c r="L234" s="18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Row],[fecha_inicio]]="","",tblOrdenes[[#This Row],[anio]]&amp;"-"&amp;TEXT(tblOrdenes[[#This Row],[mes]],"00"))</f>
        <v/>
      </c>
      <c r="S234" s="5">
        <f>IF(tblOrdenes[[#This Row],[fecha_inicio]]="","",INDEX(lista_dias,WEEKDAY(tblOrdenes[[#This Row],[fecha_inicio]],2)))</f>
        <v/>
      </c>
      <c r="T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5">
        <f>IF(tblOrdenes[[#This Row],[tipo_ot]]="","",_xlfn.XLOOKUP(tblOrdenes[[#This Row],[tipo_ot]],tblTiposOT[codigo],tblTiposOT[clasificacion],"sin_clasificar"))</f>
        <v/>
      </c>
      <c r="V2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5">
        <f>IF(tblOrdenes[[#This Row],[centro_costo]]="","",_xlfn.XLOOKUP(tblOrdenes[[#This Row],[centro_costo]],tblCECO[codigo],tblCECO[linea],"(sin catálogo)"))</f>
        <v/>
      </c>
      <c r="Y234" s="5">
        <f>IF(tblOrdenes[[#This Row],[centro_costo]]="","",_xlfn.XLOOKUP(tblOrdenes[[#This Row],[centro_costo]],tblCECO[codigo],tblCECO[area],"(sin catálogo)"))</f>
        <v/>
      </c>
      <c r="Z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5">
        <f>IF(tblOrdenes[[#This Row],[centro_costo]]="","",_xlfn.XLOOKUP(tblOrdenes[[#This Row],[centro_costo]],tblCECO[codigo],tblCECO[coordinador],"(sin catálogo)"))</f>
        <v/>
      </c>
      <c r="AB234" s="5">
        <f>IF(tblOrdenes[[#This Row],[puesto_trabajo]]="","",_xlfn.XLOOKUP(tblOrdenes[[#This Row],[puesto_trabajo]],tblPuestos[codigo],tblPuestos[especialidad],"(sin catálogo)"))</f>
        <v/>
      </c>
      <c r="AC234" s="5">
        <f>IF(tblOrdenes[[#This Row],[cod_actividad]]="","",_xlfn.XLOOKUP(tblOrdenes[[#This Row],[cod_actividad]],tblActividades[codigo],tblActividades[descripcion],"(sin catálogo)"))</f>
        <v/>
      </c>
      <c r="AD234" s="23">
        <f>IF(tblOrdenes[[#This Row],[fecha_inicio]]="","",TODAY()-tblOrdenes[[#This Row],[fecha_inicio]])</f>
        <v/>
      </c>
      <c r="AE2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5">
        <f>IF(tblOrdenes[[#This Row],[backlog_habiles]]="","",IF(tblOrdenes[[#This Row],[backlog_habiles]]&lt;0,"FUTURO",IF(tblOrdenes[[#This Row],[backlog_habiles]]&gt;p_dias_backlog_max,"BACKLOG","MES CORRIENTE")))</f>
        <v/>
      </c>
      <c r="AG234" s="5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18">
        <f>IF(tblOrdenes[[#This Row],[orden]]="","",_xlfn.XLOOKUP(tblOrdenes[[#This Row],[id_operacion]],tblEjecucion[id_operacion],tblEjecucion[precio],0))</f>
        <v/>
      </c>
      <c r="AM234" s="18">
        <f>IF(tblOrdenes[[#This Row],[orden]]="","",MAX(0,_xlfn.XLOOKUP(tblOrdenes[[#This Row],[id_operacion]],tblEjecucion[id_operacion],tblEjecucion[costo_plan_total],0)-tblOrdenes[[#This Row],[costo_servicio]]))</f>
        <v/>
      </c>
      <c r="AN234" s="18">
        <f>IF(tblOrdenes[[#This Row],[orden]]="","",tblOrdenes[[#This Row],[costo_servicio]]+tblOrdenes[[#This Row],[costo_materiales]])</f>
        <v/>
      </c>
      <c r="AO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5">
        <f>IF(tblOrdenes[[#This Row],[link_checklist]]="","",HYPERLINK(p_ruta_base_checklists&amp;tblOrdenes[[#This Row],[link_checklist]],"abrir"))</f>
        <v/>
      </c>
      <c r="AT234" s="4" t="n"/>
      <c r="AU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5" t="n"/>
      <c r="K235" s="5" t="n"/>
      <c r="L235" s="18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Row],[fecha_inicio]]="","",tblOrdenes[[#This Row],[anio]]&amp;"-"&amp;TEXT(tblOrdenes[[#This Row],[mes]],"00"))</f>
        <v/>
      </c>
      <c r="S235" s="5">
        <f>IF(tblOrdenes[[#This Row],[fecha_inicio]]="","",INDEX(lista_dias,WEEKDAY(tblOrdenes[[#This Row],[fecha_inicio]],2)))</f>
        <v/>
      </c>
      <c r="T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5">
        <f>IF(tblOrdenes[[#This Row],[tipo_ot]]="","",_xlfn.XLOOKUP(tblOrdenes[[#This Row],[tipo_ot]],tblTiposOT[codigo],tblTiposOT[clasificacion],"sin_clasificar"))</f>
        <v/>
      </c>
      <c r="V2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5">
        <f>IF(tblOrdenes[[#This Row],[centro_costo]]="","",_xlfn.XLOOKUP(tblOrdenes[[#This Row],[centro_costo]],tblCECO[codigo],tblCECO[linea],"(sin catálogo)"))</f>
        <v/>
      </c>
      <c r="Y235" s="5">
        <f>IF(tblOrdenes[[#This Row],[centro_costo]]="","",_xlfn.XLOOKUP(tblOrdenes[[#This Row],[centro_costo]],tblCECO[codigo],tblCECO[area],"(sin catálogo)"))</f>
        <v/>
      </c>
      <c r="Z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5">
        <f>IF(tblOrdenes[[#This Row],[centro_costo]]="","",_xlfn.XLOOKUP(tblOrdenes[[#This Row],[centro_costo]],tblCECO[codigo],tblCECO[coordinador],"(sin catálogo)"))</f>
        <v/>
      </c>
      <c r="AB235" s="5">
        <f>IF(tblOrdenes[[#This Row],[puesto_trabajo]]="","",_xlfn.XLOOKUP(tblOrdenes[[#This Row],[puesto_trabajo]],tblPuestos[codigo],tblPuestos[especialidad],"(sin catálogo)"))</f>
        <v/>
      </c>
      <c r="AC235" s="5">
        <f>IF(tblOrdenes[[#This Row],[cod_actividad]]="","",_xlfn.XLOOKUP(tblOrdenes[[#This Row],[cod_actividad]],tblActividades[codigo],tblActividades[descripcion],"(sin catálogo)"))</f>
        <v/>
      </c>
      <c r="AD235" s="23">
        <f>IF(tblOrdenes[[#This Row],[fecha_inicio]]="","",TODAY()-tblOrdenes[[#This Row],[fecha_inicio]])</f>
        <v/>
      </c>
      <c r="AE2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5">
        <f>IF(tblOrdenes[[#This Row],[backlog_habiles]]="","",IF(tblOrdenes[[#This Row],[backlog_habiles]]&lt;0,"FUTURO",IF(tblOrdenes[[#This Row],[backlog_habiles]]&gt;p_dias_backlog_max,"BACKLOG","MES CORRIENTE")))</f>
        <v/>
      </c>
      <c r="AG235" s="5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18">
        <f>IF(tblOrdenes[[#This Row],[orden]]="","",_xlfn.XLOOKUP(tblOrdenes[[#This Row],[id_operacion]],tblEjecucion[id_operacion],tblEjecucion[precio],0))</f>
        <v/>
      </c>
      <c r="AM235" s="18">
        <f>IF(tblOrdenes[[#This Row],[orden]]="","",MAX(0,_xlfn.XLOOKUP(tblOrdenes[[#This Row],[id_operacion]],tblEjecucion[id_operacion],tblEjecucion[costo_plan_total],0)-tblOrdenes[[#This Row],[costo_servicio]]))</f>
        <v/>
      </c>
      <c r="AN235" s="18">
        <f>IF(tblOrdenes[[#This Row],[orden]]="","",tblOrdenes[[#This Row],[costo_servicio]]+tblOrdenes[[#This Row],[costo_materiales]])</f>
        <v/>
      </c>
      <c r="AO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5">
        <f>IF(tblOrdenes[[#This Row],[link_checklist]]="","",HYPERLINK(p_ruta_base_checklists&amp;tblOrdenes[[#This Row],[link_checklist]],"abrir"))</f>
        <v/>
      </c>
      <c r="AT235" s="4" t="n"/>
      <c r="AU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5" t="n"/>
      <c r="K236" s="5" t="n"/>
      <c r="L236" s="18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Row],[fecha_inicio]]="","",tblOrdenes[[#This Row],[anio]]&amp;"-"&amp;TEXT(tblOrdenes[[#This Row],[mes]],"00"))</f>
        <v/>
      </c>
      <c r="S236" s="5">
        <f>IF(tblOrdenes[[#This Row],[fecha_inicio]]="","",INDEX(lista_dias,WEEKDAY(tblOrdenes[[#This Row],[fecha_inicio]],2)))</f>
        <v/>
      </c>
      <c r="T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5">
        <f>IF(tblOrdenes[[#This Row],[tipo_ot]]="","",_xlfn.XLOOKUP(tblOrdenes[[#This Row],[tipo_ot]],tblTiposOT[codigo],tblTiposOT[clasificacion],"sin_clasificar"))</f>
        <v/>
      </c>
      <c r="V2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5">
        <f>IF(tblOrdenes[[#This Row],[centro_costo]]="","",_xlfn.XLOOKUP(tblOrdenes[[#This Row],[centro_costo]],tblCECO[codigo],tblCECO[linea],"(sin catálogo)"))</f>
        <v/>
      </c>
      <c r="Y236" s="5">
        <f>IF(tblOrdenes[[#This Row],[centro_costo]]="","",_xlfn.XLOOKUP(tblOrdenes[[#This Row],[centro_costo]],tblCECO[codigo],tblCECO[area],"(sin catálogo)"))</f>
        <v/>
      </c>
      <c r="Z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5">
        <f>IF(tblOrdenes[[#This Row],[centro_costo]]="","",_xlfn.XLOOKUP(tblOrdenes[[#This Row],[centro_costo]],tblCECO[codigo],tblCECO[coordinador],"(sin catálogo)"))</f>
        <v/>
      </c>
      <c r="AB236" s="5">
        <f>IF(tblOrdenes[[#This Row],[puesto_trabajo]]="","",_xlfn.XLOOKUP(tblOrdenes[[#This Row],[puesto_trabajo]],tblPuestos[codigo],tblPuestos[especialidad],"(sin catálogo)"))</f>
        <v/>
      </c>
      <c r="AC236" s="5">
        <f>IF(tblOrdenes[[#This Row],[cod_actividad]]="","",_xlfn.XLOOKUP(tblOrdenes[[#This Row],[cod_actividad]],tblActividades[codigo],tblActividades[descripcion],"(sin catálogo)"))</f>
        <v/>
      </c>
      <c r="AD236" s="23">
        <f>IF(tblOrdenes[[#This Row],[fecha_inicio]]="","",TODAY()-tblOrdenes[[#This Row],[fecha_inicio]])</f>
        <v/>
      </c>
      <c r="AE2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5">
        <f>IF(tblOrdenes[[#This Row],[backlog_habiles]]="","",IF(tblOrdenes[[#This Row],[backlog_habiles]]&lt;0,"FUTURO",IF(tblOrdenes[[#This Row],[backlog_habiles]]&gt;p_dias_backlog_max,"BACKLOG","MES CORRIENTE")))</f>
        <v/>
      </c>
      <c r="AG236" s="5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18">
        <f>IF(tblOrdenes[[#This Row],[orden]]="","",_xlfn.XLOOKUP(tblOrdenes[[#This Row],[id_operacion]],tblEjecucion[id_operacion],tblEjecucion[precio],0))</f>
        <v/>
      </c>
      <c r="AM236" s="18">
        <f>IF(tblOrdenes[[#This Row],[orden]]="","",MAX(0,_xlfn.XLOOKUP(tblOrdenes[[#This Row],[id_operacion]],tblEjecucion[id_operacion],tblEjecucion[costo_plan_total],0)-tblOrdenes[[#This Row],[costo_servicio]]))</f>
        <v/>
      </c>
      <c r="AN236" s="18">
        <f>IF(tblOrdenes[[#This Row],[orden]]="","",tblOrdenes[[#This Row],[costo_servicio]]+tblOrdenes[[#This Row],[costo_materiales]])</f>
        <v/>
      </c>
      <c r="AO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5">
        <f>IF(tblOrdenes[[#This Row],[link_checklist]]="","",HYPERLINK(p_ruta_base_checklists&amp;tblOrdenes[[#This Row],[link_checklist]],"abrir"))</f>
        <v/>
      </c>
      <c r="AT236" s="4" t="n"/>
      <c r="AU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5" t="n"/>
      <c r="K237" s="5" t="n"/>
      <c r="L237" s="18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Row],[fecha_inicio]]="","",tblOrdenes[[#This Row],[anio]]&amp;"-"&amp;TEXT(tblOrdenes[[#This Row],[mes]],"00"))</f>
        <v/>
      </c>
      <c r="S237" s="5">
        <f>IF(tblOrdenes[[#This Row],[fecha_inicio]]="","",INDEX(lista_dias,WEEKDAY(tblOrdenes[[#This Row],[fecha_inicio]],2)))</f>
        <v/>
      </c>
      <c r="T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5">
        <f>IF(tblOrdenes[[#This Row],[tipo_ot]]="","",_xlfn.XLOOKUP(tblOrdenes[[#This Row],[tipo_ot]],tblTiposOT[codigo],tblTiposOT[clasificacion],"sin_clasificar"))</f>
        <v/>
      </c>
      <c r="V2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5">
        <f>IF(tblOrdenes[[#This Row],[centro_costo]]="","",_xlfn.XLOOKUP(tblOrdenes[[#This Row],[centro_costo]],tblCECO[codigo],tblCECO[linea],"(sin catálogo)"))</f>
        <v/>
      </c>
      <c r="Y237" s="5">
        <f>IF(tblOrdenes[[#This Row],[centro_costo]]="","",_xlfn.XLOOKUP(tblOrdenes[[#This Row],[centro_costo]],tblCECO[codigo],tblCECO[area],"(sin catálogo)"))</f>
        <v/>
      </c>
      <c r="Z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5">
        <f>IF(tblOrdenes[[#This Row],[centro_costo]]="","",_xlfn.XLOOKUP(tblOrdenes[[#This Row],[centro_costo]],tblCECO[codigo],tblCECO[coordinador],"(sin catálogo)"))</f>
        <v/>
      </c>
      <c r="AB237" s="5">
        <f>IF(tblOrdenes[[#This Row],[puesto_trabajo]]="","",_xlfn.XLOOKUP(tblOrdenes[[#This Row],[puesto_trabajo]],tblPuestos[codigo],tblPuestos[especialidad],"(sin catálogo)"))</f>
        <v/>
      </c>
      <c r="AC237" s="5">
        <f>IF(tblOrdenes[[#This Row],[cod_actividad]]="","",_xlfn.XLOOKUP(tblOrdenes[[#This Row],[cod_actividad]],tblActividades[codigo],tblActividades[descripcion],"(sin catálogo)"))</f>
        <v/>
      </c>
      <c r="AD237" s="23">
        <f>IF(tblOrdenes[[#This Row],[fecha_inicio]]="","",TODAY()-tblOrdenes[[#This Row],[fecha_inicio]])</f>
        <v/>
      </c>
      <c r="AE2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5">
        <f>IF(tblOrdenes[[#This Row],[backlog_habiles]]="","",IF(tblOrdenes[[#This Row],[backlog_habiles]]&lt;0,"FUTURO",IF(tblOrdenes[[#This Row],[backlog_habiles]]&gt;p_dias_backlog_max,"BACKLOG","MES CORRIENTE")))</f>
        <v/>
      </c>
      <c r="AG237" s="5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18">
        <f>IF(tblOrdenes[[#This Row],[orden]]="","",_xlfn.XLOOKUP(tblOrdenes[[#This Row],[id_operacion]],tblEjecucion[id_operacion],tblEjecucion[precio],0))</f>
        <v/>
      </c>
      <c r="AM237" s="18">
        <f>IF(tblOrdenes[[#This Row],[orden]]="","",MAX(0,_xlfn.XLOOKUP(tblOrdenes[[#This Row],[id_operacion]],tblEjecucion[id_operacion],tblEjecucion[costo_plan_total],0)-tblOrdenes[[#This Row],[costo_servicio]]))</f>
        <v/>
      </c>
      <c r="AN237" s="18">
        <f>IF(tblOrdenes[[#This Row],[orden]]="","",tblOrdenes[[#This Row],[costo_servicio]]+tblOrdenes[[#This Row],[costo_materiales]])</f>
        <v/>
      </c>
      <c r="AO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5">
        <f>IF(tblOrdenes[[#This Row],[link_checklist]]="","",HYPERLINK(p_ruta_base_checklists&amp;tblOrdenes[[#This Row],[link_checklist]],"abrir"))</f>
        <v/>
      </c>
      <c r="AT237" s="4" t="n"/>
      <c r="AU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5" t="n"/>
      <c r="K238" s="5" t="n"/>
      <c r="L238" s="18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Row],[fecha_inicio]]="","",tblOrdenes[[#This Row],[anio]]&amp;"-"&amp;TEXT(tblOrdenes[[#This Row],[mes]],"00"))</f>
        <v/>
      </c>
      <c r="S238" s="5">
        <f>IF(tblOrdenes[[#This Row],[fecha_inicio]]="","",INDEX(lista_dias,WEEKDAY(tblOrdenes[[#This Row],[fecha_inicio]],2)))</f>
        <v/>
      </c>
      <c r="T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5">
        <f>IF(tblOrdenes[[#This Row],[tipo_ot]]="","",_xlfn.XLOOKUP(tblOrdenes[[#This Row],[tipo_ot]],tblTiposOT[codigo],tblTiposOT[clasificacion],"sin_clasificar"))</f>
        <v/>
      </c>
      <c r="V2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5">
        <f>IF(tblOrdenes[[#This Row],[centro_costo]]="","",_xlfn.XLOOKUP(tblOrdenes[[#This Row],[centro_costo]],tblCECO[codigo],tblCECO[linea],"(sin catálogo)"))</f>
        <v/>
      </c>
      <c r="Y238" s="5">
        <f>IF(tblOrdenes[[#This Row],[centro_costo]]="","",_xlfn.XLOOKUP(tblOrdenes[[#This Row],[centro_costo]],tblCECO[codigo],tblCECO[area],"(sin catálogo)"))</f>
        <v/>
      </c>
      <c r="Z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5">
        <f>IF(tblOrdenes[[#This Row],[centro_costo]]="","",_xlfn.XLOOKUP(tblOrdenes[[#This Row],[centro_costo]],tblCECO[codigo],tblCECO[coordinador],"(sin catálogo)"))</f>
        <v/>
      </c>
      <c r="AB238" s="5">
        <f>IF(tblOrdenes[[#This Row],[puesto_trabajo]]="","",_xlfn.XLOOKUP(tblOrdenes[[#This Row],[puesto_trabajo]],tblPuestos[codigo],tblPuestos[especialidad],"(sin catálogo)"))</f>
        <v/>
      </c>
      <c r="AC238" s="5">
        <f>IF(tblOrdenes[[#This Row],[cod_actividad]]="","",_xlfn.XLOOKUP(tblOrdenes[[#This Row],[cod_actividad]],tblActividades[codigo],tblActividades[descripcion],"(sin catálogo)"))</f>
        <v/>
      </c>
      <c r="AD238" s="23">
        <f>IF(tblOrdenes[[#This Row],[fecha_inicio]]="","",TODAY()-tblOrdenes[[#This Row],[fecha_inicio]])</f>
        <v/>
      </c>
      <c r="AE2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5">
        <f>IF(tblOrdenes[[#This Row],[backlog_habiles]]="","",IF(tblOrdenes[[#This Row],[backlog_habiles]]&lt;0,"FUTURO",IF(tblOrdenes[[#This Row],[backlog_habiles]]&gt;p_dias_backlog_max,"BACKLOG","MES CORRIENTE")))</f>
        <v/>
      </c>
      <c r="AG238" s="5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18">
        <f>IF(tblOrdenes[[#This Row],[orden]]="","",_xlfn.XLOOKUP(tblOrdenes[[#This Row],[id_operacion]],tblEjecucion[id_operacion],tblEjecucion[precio],0))</f>
        <v/>
      </c>
      <c r="AM238" s="18">
        <f>IF(tblOrdenes[[#This Row],[orden]]="","",MAX(0,_xlfn.XLOOKUP(tblOrdenes[[#This Row],[id_operacion]],tblEjecucion[id_operacion],tblEjecucion[costo_plan_total],0)-tblOrdenes[[#This Row],[costo_servicio]]))</f>
        <v/>
      </c>
      <c r="AN238" s="18">
        <f>IF(tblOrdenes[[#This Row],[orden]]="","",tblOrdenes[[#This Row],[costo_servicio]]+tblOrdenes[[#This Row],[costo_materiales]])</f>
        <v/>
      </c>
      <c r="AO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5">
        <f>IF(tblOrdenes[[#This Row],[link_checklist]]="","",HYPERLINK(p_ruta_base_checklists&amp;tblOrdenes[[#This Row],[link_checklist]],"abrir"))</f>
        <v/>
      </c>
      <c r="AT238" s="4" t="n"/>
      <c r="AU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5" t="n"/>
      <c r="K239" s="5" t="n"/>
      <c r="L239" s="18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Row],[fecha_inicio]]="","",tblOrdenes[[#This Row],[anio]]&amp;"-"&amp;TEXT(tblOrdenes[[#This Row],[mes]],"00"))</f>
        <v/>
      </c>
      <c r="S239" s="5">
        <f>IF(tblOrdenes[[#This Row],[fecha_inicio]]="","",INDEX(lista_dias,WEEKDAY(tblOrdenes[[#This Row],[fecha_inicio]],2)))</f>
        <v/>
      </c>
      <c r="T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5">
        <f>IF(tblOrdenes[[#This Row],[tipo_ot]]="","",_xlfn.XLOOKUP(tblOrdenes[[#This Row],[tipo_ot]],tblTiposOT[codigo],tblTiposOT[clasificacion],"sin_clasificar"))</f>
        <v/>
      </c>
      <c r="V2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5">
        <f>IF(tblOrdenes[[#This Row],[centro_costo]]="","",_xlfn.XLOOKUP(tblOrdenes[[#This Row],[centro_costo]],tblCECO[codigo],tblCECO[linea],"(sin catálogo)"))</f>
        <v/>
      </c>
      <c r="Y239" s="5">
        <f>IF(tblOrdenes[[#This Row],[centro_costo]]="","",_xlfn.XLOOKUP(tblOrdenes[[#This Row],[centro_costo]],tblCECO[codigo],tblCECO[area],"(sin catálogo)"))</f>
        <v/>
      </c>
      <c r="Z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5">
        <f>IF(tblOrdenes[[#This Row],[centro_costo]]="","",_xlfn.XLOOKUP(tblOrdenes[[#This Row],[centro_costo]],tblCECO[codigo],tblCECO[coordinador],"(sin catálogo)"))</f>
        <v/>
      </c>
      <c r="AB239" s="5">
        <f>IF(tblOrdenes[[#This Row],[puesto_trabajo]]="","",_xlfn.XLOOKUP(tblOrdenes[[#This Row],[puesto_trabajo]],tblPuestos[codigo],tblPuestos[especialidad],"(sin catálogo)"))</f>
        <v/>
      </c>
      <c r="AC239" s="5">
        <f>IF(tblOrdenes[[#This Row],[cod_actividad]]="","",_xlfn.XLOOKUP(tblOrdenes[[#This Row],[cod_actividad]],tblActividades[codigo],tblActividades[descripcion],"(sin catálogo)"))</f>
        <v/>
      </c>
      <c r="AD239" s="23">
        <f>IF(tblOrdenes[[#This Row],[fecha_inicio]]="","",TODAY()-tblOrdenes[[#This Row],[fecha_inicio]])</f>
        <v/>
      </c>
      <c r="AE2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5">
        <f>IF(tblOrdenes[[#This Row],[backlog_habiles]]="","",IF(tblOrdenes[[#This Row],[backlog_habiles]]&lt;0,"FUTURO",IF(tblOrdenes[[#This Row],[backlog_habiles]]&gt;p_dias_backlog_max,"BACKLOG","MES CORRIENTE")))</f>
        <v/>
      </c>
      <c r="AG239" s="5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18">
        <f>IF(tblOrdenes[[#This Row],[orden]]="","",_xlfn.XLOOKUP(tblOrdenes[[#This Row],[id_operacion]],tblEjecucion[id_operacion],tblEjecucion[precio],0))</f>
        <v/>
      </c>
      <c r="AM239" s="18">
        <f>IF(tblOrdenes[[#This Row],[orden]]="","",MAX(0,_xlfn.XLOOKUP(tblOrdenes[[#This Row],[id_operacion]],tblEjecucion[id_operacion],tblEjecucion[costo_plan_total],0)-tblOrdenes[[#This Row],[costo_servicio]]))</f>
        <v/>
      </c>
      <c r="AN239" s="18">
        <f>IF(tblOrdenes[[#This Row],[orden]]="","",tblOrdenes[[#This Row],[costo_servicio]]+tblOrdenes[[#This Row],[costo_materiales]])</f>
        <v/>
      </c>
      <c r="AO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5">
        <f>IF(tblOrdenes[[#This Row],[link_checklist]]="","",HYPERLINK(p_ruta_base_checklists&amp;tblOrdenes[[#This Row],[link_checklist]],"abrir"))</f>
        <v/>
      </c>
      <c r="AT239" s="4" t="n"/>
      <c r="AU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5" t="n"/>
      <c r="K240" s="5" t="n"/>
      <c r="L240" s="18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Row],[fecha_inicio]]="","",tblOrdenes[[#This Row],[anio]]&amp;"-"&amp;TEXT(tblOrdenes[[#This Row],[mes]],"00"))</f>
        <v/>
      </c>
      <c r="S240" s="5">
        <f>IF(tblOrdenes[[#This Row],[fecha_inicio]]="","",INDEX(lista_dias,WEEKDAY(tblOrdenes[[#This Row],[fecha_inicio]],2)))</f>
        <v/>
      </c>
      <c r="T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5">
        <f>IF(tblOrdenes[[#This Row],[tipo_ot]]="","",_xlfn.XLOOKUP(tblOrdenes[[#This Row],[tipo_ot]],tblTiposOT[codigo],tblTiposOT[clasificacion],"sin_clasificar"))</f>
        <v/>
      </c>
      <c r="V2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5">
        <f>IF(tblOrdenes[[#This Row],[centro_costo]]="","",_xlfn.XLOOKUP(tblOrdenes[[#This Row],[centro_costo]],tblCECO[codigo],tblCECO[linea],"(sin catálogo)"))</f>
        <v/>
      </c>
      <c r="Y240" s="5">
        <f>IF(tblOrdenes[[#This Row],[centro_costo]]="","",_xlfn.XLOOKUP(tblOrdenes[[#This Row],[centro_costo]],tblCECO[codigo],tblCECO[area],"(sin catálogo)"))</f>
        <v/>
      </c>
      <c r="Z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5">
        <f>IF(tblOrdenes[[#This Row],[centro_costo]]="","",_xlfn.XLOOKUP(tblOrdenes[[#This Row],[centro_costo]],tblCECO[codigo],tblCECO[coordinador],"(sin catálogo)"))</f>
        <v/>
      </c>
      <c r="AB240" s="5">
        <f>IF(tblOrdenes[[#This Row],[puesto_trabajo]]="","",_xlfn.XLOOKUP(tblOrdenes[[#This Row],[puesto_trabajo]],tblPuestos[codigo],tblPuestos[especialidad],"(sin catálogo)"))</f>
        <v/>
      </c>
      <c r="AC240" s="5">
        <f>IF(tblOrdenes[[#This Row],[cod_actividad]]="","",_xlfn.XLOOKUP(tblOrdenes[[#This Row],[cod_actividad]],tblActividades[codigo],tblActividades[descripcion],"(sin catálogo)"))</f>
        <v/>
      </c>
      <c r="AD240" s="23">
        <f>IF(tblOrdenes[[#This Row],[fecha_inicio]]="","",TODAY()-tblOrdenes[[#This Row],[fecha_inicio]])</f>
        <v/>
      </c>
      <c r="AE2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5">
        <f>IF(tblOrdenes[[#This Row],[backlog_habiles]]="","",IF(tblOrdenes[[#This Row],[backlog_habiles]]&lt;0,"FUTURO",IF(tblOrdenes[[#This Row],[backlog_habiles]]&gt;p_dias_backlog_max,"BACKLOG","MES CORRIENTE")))</f>
        <v/>
      </c>
      <c r="AG240" s="5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18">
        <f>IF(tblOrdenes[[#This Row],[orden]]="","",_xlfn.XLOOKUP(tblOrdenes[[#This Row],[id_operacion]],tblEjecucion[id_operacion],tblEjecucion[precio],0))</f>
        <v/>
      </c>
      <c r="AM240" s="18">
        <f>IF(tblOrdenes[[#This Row],[orden]]="","",MAX(0,_xlfn.XLOOKUP(tblOrdenes[[#This Row],[id_operacion]],tblEjecucion[id_operacion],tblEjecucion[costo_plan_total],0)-tblOrdenes[[#This Row],[costo_servicio]]))</f>
        <v/>
      </c>
      <c r="AN240" s="18">
        <f>IF(tblOrdenes[[#This Row],[orden]]="","",tblOrdenes[[#This Row],[costo_servicio]]+tblOrdenes[[#This Row],[costo_materiales]])</f>
        <v/>
      </c>
      <c r="AO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5">
        <f>IF(tblOrdenes[[#This Row],[link_checklist]]="","",HYPERLINK(p_ruta_base_checklists&amp;tblOrdenes[[#This Row],[link_checklist]],"abrir"))</f>
        <v/>
      </c>
      <c r="AT240" s="4" t="n"/>
      <c r="AU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5" t="n"/>
      <c r="K241" s="5" t="n"/>
      <c r="L241" s="18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Row],[fecha_inicio]]="","",tblOrdenes[[#This Row],[anio]]&amp;"-"&amp;TEXT(tblOrdenes[[#This Row],[mes]],"00"))</f>
        <v/>
      </c>
      <c r="S241" s="5">
        <f>IF(tblOrdenes[[#This Row],[fecha_inicio]]="","",INDEX(lista_dias,WEEKDAY(tblOrdenes[[#This Row],[fecha_inicio]],2)))</f>
        <v/>
      </c>
      <c r="T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5">
        <f>IF(tblOrdenes[[#This Row],[tipo_ot]]="","",_xlfn.XLOOKUP(tblOrdenes[[#This Row],[tipo_ot]],tblTiposOT[codigo],tblTiposOT[clasificacion],"sin_clasificar"))</f>
        <v/>
      </c>
      <c r="V2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5">
        <f>IF(tblOrdenes[[#This Row],[centro_costo]]="","",_xlfn.XLOOKUP(tblOrdenes[[#This Row],[centro_costo]],tblCECO[codigo],tblCECO[linea],"(sin catálogo)"))</f>
        <v/>
      </c>
      <c r="Y241" s="5">
        <f>IF(tblOrdenes[[#This Row],[centro_costo]]="","",_xlfn.XLOOKUP(tblOrdenes[[#This Row],[centro_costo]],tblCECO[codigo],tblCECO[area],"(sin catálogo)"))</f>
        <v/>
      </c>
      <c r="Z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5">
        <f>IF(tblOrdenes[[#This Row],[centro_costo]]="","",_xlfn.XLOOKUP(tblOrdenes[[#This Row],[centro_costo]],tblCECO[codigo],tblCECO[coordinador],"(sin catálogo)"))</f>
        <v/>
      </c>
      <c r="AB241" s="5">
        <f>IF(tblOrdenes[[#This Row],[puesto_trabajo]]="","",_xlfn.XLOOKUP(tblOrdenes[[#This Row],[puesto_trabajo]],tblPuestos[codigo],tblPuestos[especialidad],"(sin catálogo)"))</f>
        <v/>
      </c>
      <c r="AC241" s="5">
        <f>IF(tblOrdenes[[#This Row],[cod_actividad]]="","",_xlfn.XLOOKUP(tblOrdenes[[#This Row],[cod_actividad]],tblActividades[codigo],tblActividades[descripcion],"(sin catálogo)"))</f>
        <v/>
      </c>
      <c r="AD241" s="23">
        <f>IF(tblOrdenes[[#This Row],[fecha_inicio]]="","",TODAY()-tblOrdenes[[#This Row],[fecha_inicio]])</f>
        <v/>
      </c>
      <c r="AE2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5">
        <f>IF(tblOrdenes[[#This Row],[backlog_habiles]]="","",IF(tblOrdenes[[#This Row],[backlog_habiles]]&lt;0,"FUTURO",IF(tblOrdenes[[#This Row],[backlog_habiles]]&gt;p_dias_backlog_max,"BACKLOG","MES CORRIENTE")))</f>
        <v/>
      </c>
      <c r="AG241" s="5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18">
        <f>IF(tblOrdenes[[#This Row],[orden]]="","",_xlfn.XLOOKUP(tblOrdenes[[#This Row],[id_operacion]],tblEjecucion[id_operacion],tblEjecucion[precio],0))</f>
        <v/>
      </c>
      <c r="AM241" s="18">
        <f>IF(tblOrdenes[[#This Row],[orden]]="","",MAX(0,_xlfn.XLOOKUP(tblOrdenes[[#This Row],[id_operacion]],tblEjecucion[id_operacion],tblEjecucion[costo_plan_total],0)-tblOrdenes[[#This Row],[costo_servicio]]))</f>
        <v/>
      </c>
      <c r="AN241" s="18">
        <f>IF(tblOrdenes[[#This Row],[orden]]="","",tblOrdenes[[#This Row],[costo_servicio]]+tblOrdenes[[#This Row],[costo_materiales]])</f>
        <v/>
      </c>
      <c r="AO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5">
        <f>IF(tblOrdenes[[#This Row],[link_checklist]]="","",HYPERLINK(p_ruta_base_checklists&amp;tblOrdenes[[#This Row],[link_checklist]],"abrir"))</f>
        <v/>
      </c>
      <c r="AT241" s="4" t="n"/>
      <c r="AU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5" t="n"/>
      <c r="K242" s="5" t="n"/>
      <c r="L242" s="18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Row],[fecha_inicio]]="","",tblOrdenes[[#This Row],[anio]]&amp;"-"&amp;TEXT(tblOrdenes[[#This Row],[mes]],"00"))</f>
        <v/>
      </c>
      <c r="S242" s="5">
        <f>IF(tblOrdenes[[#This Row],[fecha_inicio]]="","",INDEX(lista_dias,WEEKDAY(tblOrdenes[[#This Row],[fecha_inicio]],2)))</f>
        <v/>
      </c>
      <c r="T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5">
        <f>IF(tblOrdenes[[#This Row],[tipo_ot]]="","",_xlfn.XLOOKUP(tblOrdenes[[#This Row],[tipo_ot]],tblTiposOT[codigo],tblTiposOT[clasificacion],"sin_clasificar"))</f>
        <v/>
      </c>
      <c r="V2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5">
        <f>IF(tblOrdenes[[#This Row],[centro_costo]]="","",_xlfn.XLOOKUP(tblOrdenes[[#This Row],[centro_costo]],tblCECO[codigo],tblCECO[linea],"(sin catálogo)"))</f>
        <v/>
      </c>
      <c r="Y242" s="5">
        <f>IF(tblOrdenes[[#This Row],[centro_costo]]="","",_xlfn.XLOOKUP(tblOrdenes[[#This Row],[centro_costo]],tblCECO[codigo],tblCECO[area],"(sin catálogo)"))</f>
        <v/>
      </c>
      <c r="Z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5">
        <f>IF(tblOrdenes[[#This Row],[centro_costo]]="","",_xlfn.XLOOKUP(tblOrdenes[[#This Row],[centro_costo]],tblCECO[codigo],tblCECO[coordinador],"(sin catálogo)"))</f>
        <v/>
      </c>
      <c r="AB242" s="5">
        <f>IF(tblOrdenes[[#This Row],[puesto_trabajo]]="","",_xlfn.XLOOKUP(tblOrdenes[[#This Row],[puesto_trabajo]],tblPuestos[codigo],tblPuestos[especialidad],"(sin catálogo)"))</f>
        <v/>
      </c>
      <c r="AC242" s="5">
        <f>IF(tblOrdenes[[#This Row],[cod_actividad]]="","",_xlfn.XLOOKUP(tblOrdenes[[#This Row],[cod_actividad]],tblActividades[codigo],tblActividades[descripcion],"(sin catálogo)"))</f>
        <v/>
      </c>
      <c r="AD242" s="23">
        <f>IF(tblOrdenes[[#This Row],[fecha_inicio]]="","",TODAY()-tblOrdenes[[#This Row],[fecha_inicio]])</f>
        <v/>
      </c>
      <c r="AE2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5">
        <f>IF(tblOrdenes[[#This Row],[backlog_habiles]]="","",IF(tblOrdenes[[#This Row],[backlog_habiles]]&lt;0,"FUTURO",IF(tblOrdenes[[#This Row],[backlog_habiles]]&gt;p_dias_backlog_max,"BACKLOG","MES CORRIENTE")))</f>
        <v/>
      </c>
      <c r="AG242" s="5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18">
        <f>IF(tblOrdenes[[#This Row],[orden]]="","",_xlfn.XLOOKUP(tblOrdenes[[#This Row],[id_operacion]],tblEjecucion[id_operacion],tblEjecucion[precio],0))</f>
        <v/>
      </c>
      <c r="AM242" s="18">
        <f>IF(tblOrdenes[[#This Row],[orden]]="","",MAX(0,_xlfn.XLOOKUP(tblOrdenes[[#This Row],[id_operacion]],tblEjecucion[id_operacion],tblEjecucion[costo_plan_total],0)-tblOrdenes[[#This Row],[costo_servicio]]))</f>
        <v/>
      </c>
      <c r="AN242" s="18">
        <f>IF(tblOrdenes[[#This Row],[orden]]="","",tblOrdenes[[#This Row],[costo_servicio]]+tblOrdenes[[#This Row],[costo_materiales]])</f>
        <v/>
      </c>
      <c r="AO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5">
        <f>IF(tblOrdenes[[#This Row],[link_checklist]]="","",HYPERLINK(p_ruta_base_checklists&amp;tblOrdenes[[#This Row],[link_checklist]],"abrir"))</f>
        <v/>
      </c>
      <c r="AT242" s="4" t="n"/>
      <c r="AU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5" t="n"/>
      <c r="K243" s="5" t="n"/>
      <c r="L243" s="18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Row],[fecha_inicio]]="","",tblOrdenes[[#This Row],[anio]]&amp;"-"&amp;TEXT(tblOrdenes[[#This Row],[mes]],"00"))</f>
        <v/>
      </c>
      <c r="S243" s="5">
        <f>IF(tblOrdenes[[#This Row],[fecha_inicio]]="","",INDEX(lista_dias,WEEKDAY(tblOrdenes[[#This Row],[fecha_inicio]],2)))</f>
        <v/>
      </c>
      <c r="T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5">
        <f>IF(tblOrdenes[[#This Row],[tipo_ot]]="","",_xlfn.XLOOKUP(tblOrdenes[[#This Row],[tipo_ot]],tblTiposOT[codigo],tblTiposOT[clasificacion],"sin_clasificar"))</f>
        <v/>
      </c>
      <c r="V2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5">
        <f>IF(tblOrdenes[[#This Row],[centro_costo]]="","",_xlfn.XLOOKUP(tblOrdenes[[#This Row],[centro_costo]],tblCECO[codigo],tblCECO[linea],"(sin catálogo)"))</f>
        <v/>
      </c>
      <c r="Y243" s="5">
        <f>IF(tblOrdenes[[#This Row],[centro_costo]]="","",_xlfn.XLOOKUP(tblOrdenes[[#This Row],[centro_costo]],tblCECO[codigo],tblCECO[area],"(sin catálogo)"))</f>
        <v/>
      </c>
      <c r="Z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5">
        <f>IF(tblOrdenes[[#This Row],[centro_costo]]="","",_xlfn.XLOOKUP(tblOrdenes[[#This Row],[centro_costo]],tblCECO[codigo],tblCECO[coordinador],"(sin catálogo)"))</f>
        <v/>
      </c>
      <c r="AB243" s="5">
        <f>IF(tblOrdenes[[#This Row],[puesto_trabajo]]="","",_xlfn.XLOOKUP(tblOrdenes[[#This Row],[puesto_trabajo]],tblPuestos[codigo],tblPuestos[especialidad],"(sin catálogo)"))</f>
        <v/>
      </c>
      <c r="AC243" s="5">
        <f>IF(tblOrdenes[[#This Row],[cod_actividad]]="","",_xlfn.XLOOKUP(tblOrdenes[[#This Row],[cod_actividad]],tblActividades[codigo],tblActividades[descripcion],"(sin catálogo)"))</f>
        <v/>
      </c>
      <c r="AD243" s="23">
        <f>IF(tblOrdenes[[#This Row],[fecha_inicio]]="","",TODAY()-tblOrdenes[[#This Row],[fecha_inicio]])</f>
        <v/>
      </c>
      <c r="AE2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5">
        <f>IF(tblOrdenes[[#This Row],[backlog_habiles]]="","",IF(tblOrdenes[[#This Row],[backlog_habiles]]&lt;0,"FUTURO",IF(tblOrdenes[[#This Row],[backlog_habiles]]&gt;p_dias_backlog_max,"BACKLOG","MES CORRIENTE")))</f>
        <v/>
      </c>
      <c r="AG243" s="5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18">
        <f>IF(tblOrdenes[[#This Row],[orden]]="","",_xlfn.XLOOKUP(tblOrdenes[[#This Row],[id_operacion]],tblEjecucion[id_operacion],tblEjecucion[precio],0))</f>
        <v/>
      </c>
      <c r="AM243" s="18">
        <f>IF(tblOrdenes[[#This Row],[orden]]="","",MAX(0,_xlfn.XLOOKUP(tblOrdenes[[#This Row],[id_operacion]],tblEjecucion[id_operacion],tblEjecucion[costo_plan_total],0)-tblOrdenes[[#This Row],[costo_servicio]]))</f>
        <v/>
      </c>
      <c r="AN243" s="18">
        <f>IF(tblOrdenes[[#This Row],[orden]]="","",tblOrdenes[[#This Row],[costo_servicio]]+tblOrdenes[[#This Row],[costo_materiales]])</f>
        <v/>
      </c>
      <c r="AO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5">
        <f>IF(tblOrdenes[[#This Row],[link_checklist]]="","",HYPERLINK(p_ruta_base_checklists&amp;tblOrdenes[[#This Row],[link_checklist]],"abrir"))</f>
        <v/>
      </c>
      <c r="AT243" s="4" t="n"/>
      <c r="AU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5" t="n"/>
      <c r="K244" s="5" t="n"/>
      <c r="L244" s="18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Row],[fecha_inicio]]="","",tblOrdenes[[#This Row],[anio]]&amp;"-"&amp;TEXT(tblOrdenes[[#This Row],[mes]],"00"))</f>
        <v/>
      </c>
      <c r="S244" s="5">
        <f>IF(tblOrdenes[[#This Row],[fecha_inicio]]="","",INDEX(lista_dias,WEEKDAY(tblOrdenes[[#This Row],[fecha_inicio]],2)))</f>
        <v/>
      </c>
      <c r="T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5">
        <f>IF(tblOrdenes[[#This Row],[tipo_ot]]="","",_xlfn.XLOOKUP(tblOrdenes[[#This Row],[tipo_ot]],tblTiposOT[codigo],tblTiposOT[clasificacion],"sin_clasificar"))</f>
        <v/>
      </c>
      <c r="V2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5">
        <f>IF(tblOrdenes[[#This Row],[centro_costo]]="","",_xlfn.XLOOKUP(tblOrdenes[[#This Row],[centro_costo]],tblCECO[codigo],tblCECO[linea],"(sin catálogo)"))</f>
        <v/>
      </c>
      <c r="Y244" s="5">
        <f>IF(tblOrdenes[[#This Row],[centro_costo]]="","",_xlfn.XLOOKUP(tblOrdenes[[#This Row],[centro_costo]],tblCECO[codigo],tblCECO[area],"(sin catálogo)"))</f>
        <v/>
      </c>
      <c r="Z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5">
        <f>IF(tblOrdenes[[#This Row],[centro_costo]]="","",_xlfn.XLOOKUP(tblOrdenes[[#This Row],[centro_costo]],tblCECO[codigo],tblCECO[coordinador],"(sin catálogo)"))</f>
        <v/>
      </c>
      <c r="AB244" s="5">
        <f>IF(tblOrdenes[[#This Row],[puesto_trabajo]]="","",_xlfn.XLOOKUP(tblOrdenes[[#This Row],[puesto_trabajo]],tblPuestos[codigo],tblPuestos[especialidad],"(sin catálogo)"))</f>
        <v/>
      </c>
      <c r="AC244" s="5">
        <f>IF(tblOrdenes[[#This Row],[cod_actividad]]="","",_xlfn.XLOOKUP(tblOrdenes[[#This Row],[cod_actividad]],tblActividades[codigo],tblActividades[descripcion],"(sin catálogo)"))</f>
        <v/>
      </c>
      <c r="AD244" s="23">
        <f>IF(tblOrdenes[[#This Row],[fecha_inicio]]="","",TODAY()-tblOrdenes[[#This Row],[fecha_inicio]])</f>
        <v/>
      </c>
      <c r="AE2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5">
        <f>IF(tblOrdenes[[#This Row],[backlog_habiles]]="","",IF(tblOrdenes[[#This Row],[backlog_habiles]]&lt;0,"FUTURO",IF(tblOrdenes[[#This Row],[backlog_habiles]]&gt;p_dias_backlog_max,"BACKLOG","MES CORRIENTE")))</f>
        <v/>
      </c>
      <c r="AG244" s="5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18">
        <f>IF(tblOrdenes[[#This Row],[orden]]="","",_xlfn.XLOOKUP(tblOrdenes[[#This Row],[id_operacion]],tblEjecucion[id_operacion],tblEjecucion[precio],0))</f>
        <v/>
      </c>
      <c r="AM244" s="18">
        <f>IF(tblOrdenes[[#This Row],[orden]]="","",MAX(0,_xlfn.XLOOKUP(tblOrdenes[[#This Row],[id_operacion]],tblEjecucion[id_operacion],tblEjecucion[costo_plan_total],0)-tblOrdenes[[#This Row],[costo_servicio]]))</f>
        <v/>
      </c>
      <c r="AN244" s="18">
        <f>IF(tblOrdenes[[#This Row],[orden]]="","",tblOrdenes[[#This Row],[costo_servicio]]+tblOrdenes[[#This Row],[costo_materiales]])</f>
        <v/>
      </c>
      <c r="AO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5">
        <f>IF(tblOrdenes[[#This Row],[link_checklist]]="","",HYPERLINK(p_ruta_base_checklists&amp;tblOrdenes[[#This Row],[link_checklist]],"abrir"))</f>
        <v/>
      </c>
      <c r="AT244" s="4" t="n"/>
      <c r="AU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5" t="n"/>
      <c r="K245" s="5" t="n"/>
      <c r="L245" s="18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Row],[fecha_inicio]]="","",tblOrdenes[[#This Row],[anio]]&amp;"-"&amp;TEXT(tblOrdenes[[#This Row],[mes]],"00"))</f>
        <v/>
      </c>
      <c r="S245" s="5">
        <f>IF(tblOrdenes[[#This Row],[fecha_inicio]]="","",INDEX(lista_dias,WEEKDAY(tblOrdenes[[#This Row],[fecha_inicio]],2)))</f>
        <v/>
      </c>
      <c r="T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5">
        <f>IF(tblOrdenes[[#This Row],[tipo_ot]]="","",_xlfn.XLOOKUP(tblOrdenes[[#This Row],[tipo_ot]],tblTiposOT[codigo],tblTiposOT[clasificacion],"sin_clasificar"))</f>
        <v/>
      </c>
      <c r="V2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5">
        <f>IF(tblOrdenes[[#This Row],[centro_costo]]="","",_xlfn.XLOOKUP(tblOrdenes[[#This Row],[centro_costo]],tblCECO[codigo],tblCECO[linea],"(sin catálogo)"))</f>
        <v/>
      </c>
      <c r="Y245" s="5">
        <f>IF(tblOrdenes[[#This Row],[centro_costo]]="","",_xlfn.XLOOKUP(tblOrdenes[[#This Row],[centro_costo]],tblCECO[codigo],tblCECO[area],"(sin catálogo)"))</f>
        <v/>
      </c>
      <c r="Z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5">
        <f>IF(tblOrdenes[[#This Row],[centro_costo]]="","",_xlfn.XLOOKUP(tblOrdenes[[#This Row],[centro_costo]],tblCECO[codigo],tblCECO[coordinador],"(sin catálogo)"))</f>
        <v/>
      </c>
      <c r="AB245" s="5">
        <f>IF(tblOrdenes[[#This Row],[puesto_trabajo]]="","",_xlfn.XLOOKUP(tblOrdenes[[#This Row],[puesto_trabajo]],tblPuestos[codigo],tblPuestos[especialidad],"(sin catálogo)"))</f>
        <v/>
      </c>
      <c r="AC245" s="5">
        <f>IF(tblOrdenes[[#This Row],[cod_actividad]]="","",_xlfn.XLOOKUP(tblOrdenes[[#This Row],[cod_actividad]],tblActividades[codigo],tblActividades[descripcion],"(sin catálogo)"))</f>
        <v/>
      </c>
      <c r="AD245" s="23">
        <f>IF(tblOrdenes[[#This Row],[fecha_inicio]]="","",TODAY()-tblOrdenes[[#This Row],[fecha_inicio]])</f>
        <v/>
      </c>
      <c r="AE2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5">
        <f>IF(tblOrdenes[[#This Row],[backlog_habiles]]="","",IF(tblOrdenes[[#This Row],[backlog_habiles]]&lt;0,"FUTURO",IF(tblOrdenes[[#This Row],[backlog_habiles]]&gt;p_dias_backlog_max,"BACKLOG","MES CORRIENTE")))</f>
        <v/>
      </c>
      <c r="AG245" s="5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18">
        <f>IF(tblOrdenes[[#This Row],[orden]]="","",_xlfn.XLOOKUP(tblOrdenes[[#This Row],[id_operacion]],tblEjecucion[id_operacion],tblEjecucion[precio],0))</f>
        <v/>
      </c>
      <c r="AM245" s="18">
        <f>IF(tblOrdenes[[#This Row],[orden]]="","",MAX(0,_xlfn.XLOOKUP(tblOrdenes[[#This Row],[id_operacion]],tblEjecucion[id_operacion],tblEjecucion[costo_plan_total],0)-tblOrdenes[[#This Row],[costo_servicio]]))</f>
        <v/>
      </c>
      <c r="AN245" s="18">
        <f>IF(tblOrdenes[[#This Row],[orden]]="","",tblOrdenes[[#This Row],[costo_servicio]]+tblOrdenes[[#This Row],[costo_materiales]])</f>
        <v/>
      </c>
      <c r="AO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5">
        <f>IF(tblOrdenes[[#This Row],[link_checklist]]="","",HYPERLINK(p_ruta_base_checklists&amp;tblOrdenes[[#This Row],[link_checklist]],"abrir"))</f>
        <v/>
      </c>
      <c r="AT245" s="4" t="n"/>
      <c r="AU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5" t="n"/>
      <c r="K246" s="5" t="n"/>
      <c r="L246" s="18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Row],[fecha_inicio]]="","",tblOrdenes[[#This Row],[anio]]&amp;"-"&amp;TEXT(tblOrdenes[[#This Row],[mes]],"00"))</f>
        <v/>
      </c>
      <c r="S246" s="5">
        <f>IF(tblOrdenes[[#This Row],[fecha_inicio]]="","",INDEX(lista_dias,WEEKDAY(tblOrdenes[[#This Row],[fecha_inicio]],2)))</f>
        <v/>
      </c>
      <c r="T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5">
        <f>IF(tblOrdenes[[#This Row],[tipo_ot]]="","",_xlfn.XLOOKUP(tblOrdenes[[#This Row],[tipo_ot]],tblTiposOT[codigo],tblTiposOT[clasificacion],"sin_clasificar"))</f>
        <v/>
      </c>
      <c r="V2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5">
        <f>IF(tblOrdenes[[#This Row],[centro_costo]]="","",_xlfn.XLOOKUP(tblOrdenes[[#This Row],[centro_costo]],tblCECO[codigo],tblCECO[linea],"(sin catálogo)"))</f>
        <v/>
      </c>
      <c r="Y246" s="5">
        <f>IF(tblOrdenes[[#This Row],[centro_costo]]="","",_xlfn.XLOOKUP(tblOrdenes[[#This Row],[centro_costo]],tblCECO[codigo],tblCECO[area],"(sin catálogo)"))</f>
        <v/>
      </c>
      <c r="Z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5">
        <f>IF(tblOrdenes[[#This Row],[centro_costo]]="","",_xlfn.XLOOKUP(tblOrdenes[[#This Row],[centro_costo]],tblCECO[codigo],tblCECO[coordinador],"(sin catálogo)"))</f>
        <v/>
      </c>
      <c r="AB246" s="5">
        <f>IF(tblOrdenes[[#This Row],[puesto_trabajo]]="","",_xlfn.XLOOKUP(tblOrdenes[[#This Row],[puesto_trabajo]],tblPuestos[codigo],tblPuestos[especialidad],"(sin catálogo)"))</f>
        <v/>
      </c>
      <c r="AC246" s="5">
        <f>IF(tblOrdenes[[#This Row],[cod_actividad]]="","",_xlfn.XLOOKUP(tblOrdenes[[#This Row],[cod_actividad]],tblActividades[codigo],tblActividades[descripcion],"(sin catálogo)"))</f>
        <v/>
      </c>
      <c r="AD246" s="23">
        <f>IF(tblOrdenes[[#This Row],[fecha_inicio]]="","",TODAY()-tblOrdenes[[#This Row],[fecha_inicio]])</f>
        <v/>
      </c>
      <c r="AE2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5">
        <f>IF(tblOrdenes[[#This Row],[backlog_habiles]]="","",IF(tblOrdenes[[#This Row],[backlog_habiles]]&lt;0,"FUTURO",IF(tblOrdenes[[#This Row],[backlog_habiles]]&gt;p_dias_backlog_max,"BACKLOG","MES CORRIENTE")))</f>
        <v/>
      </c>
      <c r="AG246" s="5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18">
        <f>IF(tblOrdenes[[#This Row],[orden]]="","",_xlfn.XLOOKUP(tblOrdenes[[#This Row],[id_operacion]],tblEjecucion[id_operacion],tblEjecucion[precio],0))</f>
        <v/>
      </c>
      <c r="AM246" s="18">
        <f>IF(tblOrdenes[[#This Row],[orden]]="","",MAX(0,_xlfn.XLOOKUP(tblOrdenes[[#This Row],[id_operacion]],tblEjecucion[id_operacion],tblEjecucion[costo_plan_total],0)-tblOrdenes[[#This Row],[costo_servicio]]))</f>
        <v/>
      </c>
      <c r="AN246" s="18">
        <f>IF(tblOrdenes[[#This Row],[orden]]="","",tblOrdenes[[#This Row],[costo_servicio]]+tblOrdenes[[#This Row],[costo_materiales]])</f>
        <v/>
      </c>
      <c r="AO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5">
        <f>IF(tblOrdenes[[#This Row],[link_checklist]]="","",HYPERLINK(p_ruta_base_checklists&amp;tblOrdenes[[#This Row],[link_checklist]],"abrir"))</f>
        <v/>
      </c>
      <c r="AT246" s="4" t="n"/>
      <c r="AU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5" t="n"/>
      <c r="K247" s="5" t="n"/>
      <c r="L247" s="18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Row],[fecha_inicio]]="","",tblOrdenes[[#This Row],[anio]]&amp;"-"&amp;TEXT(tblOrdenes[[#This Row],[mes]],"00"))</f>
        <v/>
      </c>
      <c r="S247" s="5">
        <f>IF(tblOrdenes[[#This Row],[fecha_inicio]]="","",INDEX(lista_dias,WEEKDAY(tblOrdenes[[#This Row],[fecha_inicio]],2)))</f>
        <v/>
      </c>
      <c r="T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5">
        <f>IF(tblOrdenes[[#This Row],[tipo_ot]]="","",_xlfn.XLOOKUP(tblOrdenes[[#This Row],[tipo_ot]],tblTiposOT[codigo],tblTiposOT[clasificacion],"sin_clasificar"))</f>
        <v/>
      </c>
      <c r="V2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5">
        <f>IF(tblOrdenes[[#This Row],[centro_costo]]="","",_xlfn.XLOOKUP(tblOrdenes[[#This Row],[centro_costo]],tblCECO[codigo],tblCECO[linea],"(sin catálogo)"))</f>
        <v/>
      </c>
      <c r="Y247" s="5">
        <f>IF(tblOrdenes[[#This Row],[centro_costo]]="","",_xlfn.XLOOKUP(tblOrdenes[[#This Row],[centro_costo]],tblCECO[codigo],tblCECO[area],"(sin catálogo)"))</f>
        <v/>
      </c>
      <c r="Z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5">
        <f>IF(tblOrdenes[[#This Row],[centro_costo]]="","",_xlfn.XLOOKUP(tblOrdenes[[#This Row],[centro_costo]],tblCECO[codigo],tblCECO[coordinador],"(sin catálogo)"))</f>
        <v/>
      </c>
      <c r="AB247" s="5">
        <f>IF(tblOrdenes[[#This Row],[puesto_trabajo]]="","",_xlfn.XLOOKUP(tblOrdenes[[#This Row],[puesto_trabajo]],tblPuestos[codigo],tblPuestos[especialidad],"(sin catálogo)"))</f>
        <v/>
      </c>
      <c r="AC247" s="5">
        <f>IF(tblOrdenes[[#This Row],[cod_actividad]]="","",_xlfn.XLOOKUP(tblOrdenes[[#This Row],[cod_actividad]],tblActividades[codigo],tblActividades[descripcion],"(sin catálogo)"))</f>
        <v/>
      </c>
      <c r="AD247" s="23">
        <f>IF(tblOrdenes[[#This Row],[fecha_inicio]]="","",TODAY()-tblOrdenes[[#This Row],[fecha_inicio]])</f>
        <v/>
      </c>
      <c r="AE2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5">
        <f>IF(tblOrdenes[[#This Row],[backlog_habiles]]="","",IF(tblOrdenes[[#This Row],[backlog_habiles]]&lt;0,"FUTURO",IF(tblOrdenes[[#This Row],[backlog_habiles]]&gt;p_dias_backlog_max,"BACKLOG","MES CORRIENTE")))</f>
        <v/>
      </c>
      <c r="AG247" s="5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18">
        <f>IF(tblOrdenes[[#This Row],[orden]]="","",_xlfn.XLOOKUP(tblOrdenes[[#This Row],[id_operacion]],tblEjecucion[id_operacion],tblEjecucion[precio],0))</f>
        <v/>
      </c>
      <c r="AM247" s="18">
        <f>IF(tblOrdenes[[#This Row],[orden]]="","",MAX(0,_xlfn.XLOOKUP(tblOrdenes[[#This Row],[id_operacion]],tblEjecucion[id_operacion],tblEjecucion[costo_plan_total],0)-tblOrdenes[[#This Row],[costo_servicio]]))</f>
        <v/>
      </c>
      <c r="AN247" s="18">
        <f>IF(tblOrdenes[[#This Row],[orden]]="","",tblOrdenes[[#This Row],[costo_servicio]]+tblOrdenes[[#This Row],[costo_materiales]])</f>
        <v/>
      </c>
      <c r="AO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5">
        <f>IF(tblOrdenes[[#This Row],[link_checklist]]="","",HYPERLINK(p_ruta_base_checklists&amp;tblOrdenes[[#This Row],[link_checklist]],"abrir"))</f>
        <v/>
      </c>
      <c r="AT247" s="4" t="n"/>
      <c r="AU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5" t="n"/>
      <c r="K248" s="5" t="n"/>
      <c r="L248" s="18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Row],[fecha_inicio]]="","",tblOrdenes[[#This Row],[anio]]&amp;"-"&amp;TEXT(tblOrdenes[[#This Row],[mes]],"00"))</f>
        <v/>
      </c>
      <c r="S248" s="5">
        <f>IF(tblOrdenes[[#This Row],[fecha_inicio]]="","",INDEX(lista_dias,WEEKDAY(tblOrdenes[[#This Row],[fecha_inicio]],2)))</f>
        <v/>
      </c>
      <c r="T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5">
        <f>IF(tblOrdenes[[#This Row],[tipo_ot]]="","",_xlfn.XLOOKUP(tblOrdenes[[#This Row],[tipo_ot]],tblTiposOT[codigo],tblTiposOT[clasificacion],"sin_clasificar"))</f>
        <v/>
      </c>
      <c r="V2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5">
        <f>IF(tblOrdenes[[#This Row],[centro_costo]]="","",_xlfn.XLOOKUP(tblOrdenes[[#This Row],[centro_costo]],tblCECO[codigo],tblCECO[linea],"(sin catálogo)"))</f>
        <v/>
      </c>
      <c r="Y248" s="5">
        <f>IF(tblOrdenes[[#This Row],[centro_costo]]="","",_xlfn.XLOOKUP(tblOrdenes[[#This Row],[centro_costo]],tblCECO[codigo],tblCECO[area],"(sin catálogo)"))</f>
        <v/>
      </c>
      <c r="Z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5">
        <f>IF(tblOrdenes[[#This Row],[centro_costo]]="","",_xlfn.XLOOKUP(tblOrdenes[[#This Row],[centro_costo]],tblCECO[codigo],tblCECO[coordinador],"(sin catálogo)"))</f>
        <v/>
      </c>
      <c r="AB248" s="5">
        <f>IF(tblOrdenes[[#This Row],[puesto_trabajo]]="","",_xlfn.XLOOKUP(tblOrdenes[[#This Row],[puesto_trabajo]],tblPuestos[codigo],tblPuestos[especialidad],"(sin catálogo)"))</f>
        <v/>
      </c>
      <c r="AC248" s="5">
        <f>IF(tblOrdenes[[#This Row],[cod_actividad]]="","",_xlfn.XLOOKUP(tblOrdenes[[#This Row],[cod_actividad]],tblActividades[codigo],tblActividades[descripcion],"(sin catálogo)"))</f>
        <v/>
      </c>
      <c r="AD248" s="23">
        <f>IF(tblOrdenes[[#This Row],[fecha_inicio]]="","",TODAY()-tblOrdenes[[#This Row],[fecha_inicio]])</f>
        <v/>
      </c>
      <c r="AE2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5">
        <f>IF(tblOrdenes[[#This Row],[backlog_habiles]]="","",IF(tblOrdenes[[#This Row],[backlog_habiles]]&lt;0,"FUTURO",IF(tblOrdenes[[#This Row],[backlog_habiles]]&gt;p_dias_backlog_max,"BACKLOG","MES CORRIENTE")))</f>
        <v/>
      </c>
      <c r="AG248" s="5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18">
        <f>IF(tblOrdenes[[#This Row],[orden]]="","",_xlfn.XLOOKUP(tblOrdenes[[#This Row],[id_operacion]],tblEjecucion[id_operacion],tblEjecucion[precio],0))</f>
        <v/>
      </c>
      <c r="AM248" s="18">
        <f>IF(tblOrdenes[[#This Row],[orden]]="","",MAX(0,_xlfn.XLOOKUP(tblOrdenes[[#This Row],[id_operacion]],tblEjecucion[id_operacion],tblEjecucion[costo_plan_total],0)-tblOrdenes[[#This Row],[costo_servicio]]))</f>
        <v/>
      </c>
      <c r="AN248" s="18">
        <f>IF(tblOrdenes[[#This Row],[orden]]="","",tblOrdenes[[#This Row],[costo_servicio]]+tblOrdenes[[#This Row],[costo_materiales]])</f>
        <v/>
      </c>
      <c r="AO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5">
        <f>IF(tblOrdenes[[#This Row],[link_checklist]]="","",HYPERLINK(p_ruta_base_checklists&amp;tblOrdenes[[#This Row],[link_checklist]],"abrir"))</f>
        <v/>
      </c>
      <c r="AT248" s="4" t="n"/>
      <c r="AU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5" t="n"/>
      <c r="K249" s="5" t="n"/>
      <c r="L249" s="18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Row],[fecha_inicio]]="","",tblOrdenes[[#This Row],[anio]]&amp;"-"&amp;TEXT(tblOrdenes[[#This Row],[mes]],"00"))</f>
        <v/>
      </c>
      <c r="S249" s="5">
        <f>IF(tblOrdenes[[#This Row],[fecha_inicio]]="","",INDEX(lista_dias,WEEKDAY(tblOrdenes[[#This Row],[fecha_inicio]],2)))</f>
        <v/>
      </c>
      <c r="T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5">
        <f>IF(tblOrdenes[[#This Row],[tipo_ot]]="","",_xlfn.XLOOKUP(tblOrdenes[[#This Row],[tipo_ot]],tblTiposOT[codigo],tblTiposOT[clasificacion],"sin_clasificar"))</f>
        <v/>
      </c>
      <c r="V2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5">
        <f>IF(tblOrdenes[[#This Row],[centro_costo]]="","",_xlfn.XLOOKUP(tblOrdenes[[#This Row],[centro_costo]],tblCECO[codigo],tblCECO[linea],"(sin catálogo)"))</f>
        <v/>
      </c>
      <c r="Y249" s="5">
        <f>IF(tblOrdenes[[#This Row],[centro_costo]]="","",_xlfn.XLOOKUP(tblOrdenes[[#This Row],[centro_costo]],tblCECO[codigo],tblCECO[area],"(sin catálogo)"))</f>
        <v/>
      </c>
      <c r="Z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5">
        <f>IF(tblOrdenes[[#This Row],[centro_costo]]="","",_xlfn.XLOOKUP(tblOrdenes[[#This Row],[centro_costo]],tblCECO[codigo],tblCECO[coordinador],"(sin catálogo)"))</f>
        <v/>
      </c>
      <c r="AB249" s="5">
        <f>IF(tblOrdenes[[#This Row],[puesto_trabajo]]="","",_xlfn.XLOOKUP(tblOrdenes[[#This Row],[puesto_trabajo]],tblPuestos[codigo],tblPuestos[especialidad],"(sin catálogo)"))</f>
        <v/>
      </c>
      <c r="AC249" s="5">
        <f>IF(tblOrdenes[[#This Row],[cod_actividad]]="","",_xlfn.XLOOKUP(tblOrdenes[[#This Row],[cod_actividad]],tblActividades[codigo],tblActividades[descripcion],"(sin catálogo)"))</f>
        <v/>
      </c>
      <c r="AD249" s="23">
        <f>IF(tblOrdenes[[#This Row],[fecha_inicio]]="","",TODAY()-tblOrdenes[[#This Row],[fecha_inicio]])</f>
        <v/>
      </c>
      <c r="AE2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5">
        <f>IF(tblOrdenes[[#This Row],[backlog_habiles]]="","",IF(tblOrdenes[[#This Row],[backlog_habiles]]&lt;0,"FUTURO",IF(tblOrdenes[[#This Row],[backlog_habiles]]&gt;p_dias_backlog_max,"BACKLOG","MES CORRIENTE")))</f>
        <v/>
      </c>
      <c r="AG249" s="5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18">
        <f>IF(tblOrdenes[[#This Row],[orden]]="","",_xlfn.XLOOKUP(tblOrdenes[[#This Row],[id_operacion]],tblEjecucion[id_operacion],tblEjecucion[precio],0))</f>
        <v/>
      </c>
      <c r="AM249" s="18">
        <f>IF(tblOrdenes[[#This Row],[orden]]="","",MAX(0,_xlfn.XLOOKUP(tblOrdenes[[#This Row],[id_operacion]],tblEjecucion[id_operacion],tblEjecucion[costo_plan_total],0)-tblOrdenes[[#This Row],[costo_servicio]]))</f>
        <v/>
      </c>
      <c r="AN249" s="18">
        <f>IF(tblOrdenes[[#This Row],[orden]]="","",tblOrdenes[[#This Row],[costo_servicio]]+tblOrdenes[[#This Row],[costo_materiales]])</f>
        <v/>
      </c>
      <c r="AO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5">
        <f>IF(tblOrdenes[[#This Row],[link_checklist]]="","",HYPERLINK(p_ruta_base_checklists&amp;tblOrdenes[[#This Row],[link_checklist]],"abrir"))</f>
        <v/>
      </c>
      <c r="AT249" s="4" t="n"/>
      <c r="AU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5" t="n"/>
      <c r="K250" s="5" t="n"/>
      <c r="L250" s="18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Row],[fecha_inicio]]="","",tblOrdenes[[#This Row],[anio]]&amp;"-"&amp;TEXT(tblOrdenes[[#This Row],[mes]],"00"))</f>
        <v/>
      </c>
      <c r="S250" s="5">
        <f>IF(tblOrdenes[[#This Row],[fecha_inicio]]="","",INDEX(lista_dias,WEEKDAY(tblOrdenes[[#This Row],[fecha_inicio]],2)))</f>
        <v/>
      </c>
      <c r="T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5">
        <f>IF(tblOrdenes[[#This Row],[tipo_ot]]="","",_xlfn.XLOOKUP(tblOrdenes[[#This Row],[tipo_ot]],tblTiposOT[codigo],tblTiposOT[clasificacion],"sin_clasificar"))</f>
        <v/>
      </c>
      <c r="V2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5">
        <f>IF(tblOrdenes[[#This Row],[centro_costo]]="","",_xlfn.XLOOKUP(tblOrdenes[[#This Row],[centro_costo]],tblCECO[codigo],tblCECO[linea],"(sin catálogo)"))</f>
        <v/>
      </c>
      <c r="Y250" s="5">
        <f>IF(tblOrdenes[[#This Row],[centro_costo]]="","",_xlfn.XLOOKUP(tblOrdenes[[#This Row],[centro_costo]],tblCECO[codigo],tblCECO[area],"(sin catálogo)"))</f>
        <v/>
      </c>
      <c r="Z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5">
        <f>IF(tblOrdenes[[#This Row],[centro_costo]]="","",_xlfn.XLOOKUP(tblOrdenes[[#This Row],[centro_costo]],tblCECO[codigo],tblCECO[coordinador],"(sin catálogo)"))</f>
        <v/>
      </c>
      <c r="AB250" s="5">
        <f>IF(tblOrdenes[[#This Row],[puesto_trabajo]]="","",_xlfn.XLOOKUP(tblOrdenes[[#This Row],[puesto_trabajo]],tblPuestos[codigo],tblPuestos[especialidad],"(sin catálogo)"))</f>
        <v/>
      </c>
      <c r="AC250" s="5">
        <f>IF(tblOrdenes[[#This Row],[cod_actividad]]="","",_xlfn.XLOOKUP(tblOrdenes[[#This Row],[cod_actividad]],tblActividades[codigo],tblActividades[descripcion],"(sin catálogo)"))</f>
        <v/>
      </c>
      <c r="AD250" s="23">
        <f>IF(tblOrdenes[[#This Row],[fecha_inicio]]="","",TODAY()-tblOrdenes[[#This Row],[fecha_inicio]])</f>
        <v/>
      </c>
      <c r="AE2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5">
        <f>IF(tblOrdenes[[#This Row],[backlog_habiles]]="","",IF(tblOrdenes[[#This Row],[backlog_habiles]]&lt;0,"FUTURO",IF(tblOrdenes[[#This Row],[backlog_habiles]]&gt;p_dias_backlog_max,"BACKLOG","MES CORRIENTE")))</f>
        <v/>
      </c>
      <c r="AG250" s="5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18">
        <f>IF(tblOrdenes[[#This Row],[orden]]="","",_xlfn.XLOOKUP(tblOrdenes[[#This Row],[id_operacion]],tblEjecucion[id_operacion],tblEjecucion[precio],0))</f>
        <v/>
      </c>
      <c r="AM250" s="18">
        <f>IF(tblOrdenes[[#This Row],[orden]]="","",MAX(0,_xlfn.XLOOKUP(tblOrdenes[[#This Row],[id_operacion]],tblEjecucion[id_operacion],tblEjecucion[costo_plan_total],0)-tblOrdenes[[#This Row],[costo_servicio]]))</f>
        <v/>
      </c>
      <c r="AN250" s="18">
        <f>IF(tblOrdenes[[#This Row],[orden]]="","",tblOrdenes[[#This Row],[costo_servicio]]+tblOrdenes[[#This Row],[costo_materiales]])</f>
        <v/>
      </c>
      <c r="AO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5">
        <f>IF(tblOrdenes[[#This Row],[link_checklist]]="","",HYPERLINK(p_ruta_base_checklists&amp;tblOrdenes[[#This Row],[link_checklist]],"abrir"))</f>
        <v/>
      </c>
      <c r="AT250" s="4" t="n"/>
      <c r="AU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5" t="n"/>
      <c r="K251" s="5" t="n"/>
      <c r="L251" s="18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Row],[fecha_inicio]]="","",tblOrdenes[[#This Row],[anio]]&amp;"-"&amp;TEXT(tblOrdenes[[#This Row],[mes]],"00"))</f>
        <v/>
      </c>
      <c r="S251" s="5">
        <f>IF(tblOrdenes[[#This Row],[fecha_inicio]]="","",INDEX(lista_dias,WEEKDAY(tblOrdenes[[#This Row],[fecha_inicio]],2)))</f>
        <v/>
      </c>
      <c r="T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5">
        <f>IF(tblOrdenes[[#This Row],[tipo_ot]]="","",_xlfn.XLOOKUP(tblOrdenes[[#This Row],[tipo_ot]],tblTiposOT[codigo],tblTiposOT[clasificacion],"sin_clasificar"))</f>
        <v/>
      </c>
      <c r="V2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5">
        <f>IF(tblOrdenes[[#This Row],[centro_costo]]="","",_xlfn.XLOOKUP(tblOrdenes[[#This Row],[centro_costo]],tblCECO[codigo],tblCECO[linea],"(sin catálogo)"))</f>
        <v/>
      </c>
      <c r="Y251" s="5">
        <f>IF(tblOrdenes[[#This Row],[centro_costo]]="","",_xlfn.XLOOKUP(tblOrdenes[[#This Row],[centro_costo]],tblCECO[codigo],tblCECO[area],"(sin catálogo)"))</f>
        <v/>
      </c>
      <c r="Z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5">
        <f>IF(tblOrdenes[[#This Row],[centro_costo]]="","",_xlfn.XLOOKUP(tblOrdenes[[#This Row],[centro_costo]],tblCECO[codigo],tblCECO[coordinador],"(sin catálogo)"))</f>
        <v/>
      </c>
      <c r="AB251" s="5">
        <f>IF(tblOrdenes[[#This Row],[puesto_trabajo]]="","",_xlfn.XLOOKUP(tblOrdenes[[#This Row],[puesto_trabajo]],tblPuestos[codigo],tblPuestos[especialidad],"(sin catálogo)"))</f>
        <v/>
      </c>
      <c r="AC251" s="5">
        <f>IF(tblOrdenes[[#This Row],[cod_actividad]]="","",_xlfn.XLOOKUP(tblOrdenes[[#This Row],[cod_actividad]],tblActividades[codigo],tblActividades[descripcion],"(sin catálogo)"))</f>
        <v/>
      </c>
      <c r="AD251" s="23">
        <f>IF(tblOrdenes[[#This Row],[fecha_inicio]]="","",TODAY()-tblOrdenes[[#This Row],[fecha_inicio]])</f>
        <v/>
      </c>
      <c r="AE2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5">
        <f>IF(tblOrdenes[[#This Row],[backlog_habiles]]="","",IF(tblOrdenes[[#This Row],[backlog_habiles]]&lt;0,"FUTURO",IF(tblOrdenes[[#This Row],[backlog_habiles]]&gt;p_dias_backlog_max,"BACKLOG","MES CORRIENTE")))</f>
        <v/>
      </c>
      <c r="AG251" s="5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18">
        <f>IF(tblOrdenes[[#This Row],[orden]]="","",_xlfn.XLOOKUP(tblOrdenes[[#This Row],[id_operacion]],tblEjecucion[id_operacion],tblEjecucion[precio],0))</f>
        <v/>
      </c>
      <c r="AM251" s="18">
        <f>IF(tblOrdenes[[#This Row],[orden]]="","",MAX(0,_xlfn.XLOOKUP(tblOrdenes[[#This Row],[id_operacion]],tblEjecucion[id_operacion],tblEjecucion[costo_plan_total],0)-tblOrdenes[[#This Row],[costo_servicio]]))</f>
        <v/>
      </c>
      <c r="AN251" s="18">
        <f>IF(tblOrdenes[[#This Row],[orden]]="","",tblOrdenes[[#This Row],[costo_servicio]]+tblOrdenes[[#This Row],[costo_materiales]])</f>
        <v/>
      </c>
      <c r="AO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5">
        <f>IF(tblOrdenes[[#This Row],[link_checklist]]="","",HYPERLINK(p_ruta_base_checklists&amp;tblOrdenes[[#This Row],[link_checklist]],"abrir"))</f>
        <v/>
      </c>
      <c r="AT251" s="4" t="n"/>
      <c r="AU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5" t="n"/>
      <c r="K252" s="5" t="n"/>
      <c r="L252" s="18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Row],[fecha_inicio]]="","",tblOrdenes[[#This Row],[anio]]&amp;"-"&amp;TEXT(tblOrdenes[[#This Row],[mes]],"00"))</f>
        <v/>
      </c>
      <c r="S252" s="5">
        <f>IF(tblOrdenes[[#This Row],[fecha_inicio]]="","",INDEX(lista_dias,WEEKDAY(tblOrdenes[[#This Row],[fecha_inicio]],2)))</f>
        <v/>
      </c>
      <c r="T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5">
        <f>IF(tblOrdenes[[#This Row],[tipo_ot]]="","",_xlfn.XLOOKUP(tblOrdenes[[#This Row],[tipo_ot]],tblTiposOT[codigo],tblTiposOT[clasificacion],"sin_clasificar"))</f>
        <v/>
      </c>
      <c r="V2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5">
        <f>IF(tblOrdenes[[#This Row],[centro_costo]]="","",_xlfn.XLOOKUP(tblOrdenes[[#This Row],[centro_costo]],tblCECO[codigo],tblCECO[linea],"(sin catálogo)"))</f>
        <v/>
      </c>
      <c r="Y252" s="5">
        <f>IF(tblOrdenes[[#This Row],[centro_costo]]="","",_xlfn.XLOOKUP(tblOrdenes[[#This Row],[centro_costo]],tblCECO[codigo],tblCECO[area],"(sin catálogo)"))</f>
        <v/>
      </c>
      <c r="Z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5">
        <f>IF(tblOrdenes[[#This Row],[centro_costo]]="","",_xlfn.XLOOKUP(tblOrdenes[[#This Row],[centro_costo]],tblCECO[codigo],tblCECO[coordinador],"(sin catálogo)"))</f>
        <v/>
      </c>
      <c r="AB252" s="5">
        <f>IF(tblOrdenes[[#This Row],[puesto_trabajo]]="","",_xlfn.XLOOKUP(tblOrdenes[[#This Row],[puesto_trabajo]],tblPuestos[codigo],tblPuestos[especialidad],"(sin catálogo)"))</f>
        <v/>
      </c>
      <c r="AC252" s="5">
        <f>IF(tblOrdenes[[#This Row],[cod_actividad]]="","",_xlfn.XLOOKUP(tblOrdenes[[#This Row],[cod_actividad]],tblActividades[codigo],tblActividades[descripcion],"(sin catálogo)"))</f>
        <v/>
      </c>
      <c r="AD252" s="23">
        <f>IF(tblOrdenes[[#This Row],[fecha_inicio]]="","",TODAY()-tblOrdenes[[#This Row],[fecha_inicio]])</f>
        <v/>
      </c>
      <c r="AE2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5">
        <f>IF(tblOrdenes[[#This Row],[backlog_habiles]]="","",IF(tblOrdenes[[#This Row],[backlog_habiles]]&lt;0,"FUTURO",IF(tblOrdenes[[#This Row],[backlog_habiles]]&gt;p_dias_backlog_max,"BACKLOG","MES CORRIENTE")))</f>
        <v/>
      </c>
      <c r="AG252" s="5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18">
        <f>IF(tblOrdenes[[#This Row],[orden]]="","",_xlfn.XLOOKUP(tblOrdenes[[#This Row],[id_operacion]],tblEjecucion[id_operacion],tblEjecucion[precio],0))</f>
        <v/>
      </c>
      <c r="AM252" s="18">
        <f>IF(tblOrdenes[[#This Row],[orden]]="","",MAX(0,_xlfn.XLOOKUP(tblOrdenes[[#This Row],[id_operacion]],tblEjecucion[id_operacion],tblEjecucion[costo_plan_total],0)-tblOrdenes[[#This Row],[costo_servicio]]))</f>
        <v/>
      </c>
      <c r="AN252" s="18">
        <f>IF(tblOrdenes[[#This Row],[orden]]="","",tblOrdenes[[#This Row],[costo_servicio]]+tblOrdenes[[#This Row],[costo_materiales]])</f>
        <v/>
      </c>
      <c r="AO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5">
        <f>IF(tblOrdenes[[#This Row],[link_checklist]]="","",HYPERLINK(p_ruta_base_checklists&amp;tblOrdenes[[#This Row],[link_checklist]],"abrir"))</f>
        <v/>
      </c>
      <c r="AT252" s="4" t="n"/>
      <c r="AU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5" t="n"/>
      <c r="K253" s="5" t="n"/>
      <c r="L253" s="18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Row],[fecha_inicio]]="","",tblOrdenes[[#This Row],[anio]]&amp;"-"&amp;TEXT(tblOrdenes[[#This Row],[mes]],"00"))</f>
        <v/>
      </c>
      <c r="S253" s="5">
        <f>IF(tblOrdenes[[#This Row],[fecha_inicio]]="","",INDEX(lista_dias,WEEKDAY(tblOrdenes[[#This Row],[fecha_inicio]],2)))</f>
        <v/>
      </c>
      <c r="T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5">
        <f>IF(tblOrdenes[[#This Row],[tipo_ot]]="","",_xlfn.XLOOKUP(tblOrdenes[[#This Row],[tipo_ot]],tblTiposOT[codigo],tblTiposOT[clasificacion],"sin_clasificar"))</f>
        <v/>
      </c>
      <c r="V2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5">
        <f>IF(tblOrdenes[[#This Row],[centro_costo]]="","",_xlfn.XLOOKUP(tblOrdenes[[#This Row],[centro_costo]],tblCECO[codigo],tblCECO[linea],"(sin catálogo)"))</f>
        <v/>
      </c>
      <c r="Y253" s="5">
        <f>IF(tblOrdenes[[#This Row],[centro_costo]]="","",_xlfn.XLOOKUP(tblOrdenes[[#This Row],[centro_costo]],tblCECO[codigo],tblCECO[area],"(sin catálogo)"))</f>
        <v/>
      </c>
      <c r="Z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5">
        <f>IF(tblOrdenes[[#This Row],[centro_costo]]="","",_xlfn.XLOOKUP(tblOrdenes[[#This Row],[centro_costo]],tblCECO[codigo],tblCECO[coordinador],"(sin catálogo)"))</f>
        <v/>
      </c>
      <c r="AB253" s="5">
        <f>IF(tblOrdenes[[#This Row],[puesto_trabajo]]="","",_xlfn.XLOOKUP(tblOrdenes[[#This Row],[puesto_trabajo]],tblPuestos[codigo],tblPuestos[especialidad],"(sin catálogo)"))</f>
        <v/>
      </c>
      <c r="AC253" s="5">
        <f>IF(tblOrdenes[[#This Row],[cod_actividad]]="","",_xlfn.XLOOKUP(tblOrdenes[[#This Row],[cod_actividad]],tblActividades[codigo],tblActividades[descripcion],"(sin catálogo)"))</f>
        <v/>
      </c>
      <c r="AD253" s="23">
        <f>IF(tblOrdenes[[#This Row],[fecha_inicio]]="","",TODAY()-tblOrdenes[[#This Row],[fecha_inicio]])</f>
        <v/>
      </c>
      <c r="AE2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5">
        <f>IF(tblOrdenes[[#This Row],[backlog_habiles]]="","",IF(tblOrdenes[[#This Row],[backlog_habiles]]&lt;0,"FUTURO",IF(tblOrdenes[[#This Row],[backlog_habiles]]&gt;p_dias_backlog_max,"BACKLOG","MES CORRIENTE")))</f>
        <v/>
      </c>
      <c r="AG253" s="5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18">
        <f>IF(tblOrdenes[[#This Row],[orden]]="","",_xlfn.XLOOKUP(tblOrdenes[[#This Row],[id_operacion]],tblEjecucion[id_operacion],tblEjecucion[precio],0))</f>
        <v/>
      </c>
      <c r="AM253" s="18">
        <f>IF(tblOrdenes[[#This Row],[orden]]="","",MAX(0,_xlfn.XLOOKUP(tblOrdenes[[#This Row],[id_operacion]],tblEjecucion[id_operacion],tblEjecucion[costo_plan_total],0)-tblOrdenes[[#This Row],[costo_servicio]]))</f>
        <v/>
      </c>
      <c r="AN253" s="18">
        <f>IF(tblOrdenes[[#This Row],[orden]]="","",tblOrdenes[[#This Row],[costo_servicio]]+tblOrdenes[[#This Row],[costo_materiales]])</f>
        <v/>
      </c>
      <c r="AO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5">
        <f>IF(tblOrdenes[[#This Row],[link_checklist]]="","",HYPERLINK(p_ruta_base_checklists&amp;tblOrdenes[[#This Row],[link_checklist]],"abrir"))</f>
        <v/>
      </c>
      <c r="AT253" s="4" t="n"/>
      <c r="AU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5" t="n"/>
      <c r="K254" s="5" t="n"/>
      <c r="L254" s="18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Row],[fecha_inicio]]="","",tblOrdenes[[#This Row],[anio]]&amp;"-"&amp;TEXT(tblOrdenes[[#This Row],[mes]],"00"))</f>
        <v/>
      </c>
      <c r="S254" s="5">
        <f>IF(tblOrdenes[[#This Row],[fecha_inicio]]="","",INDEX(lista_dias,WEEKDAY(tblOrdenes[[#This Row],[fecha_inicio]],2)))</f>
        <v/>
      </c>
      <c r="T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5">
        <f>IF(tblOrdenes[[#This Row],[tipo_ot]]="","",_xlfn.XLOOKUP(tblOrdenes[[#This Row],[tipo_ot]],tblTiposOT[codigo],tblTiposOT[clasificacion],"sin_clasificar"))</f>
        <v/>
      </c>
      <c r="V2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5">
        <f>IF(tblOrdenes[[#This Row],[centro_costo]]="","",_xlfn.XLOOKUP(tblOrdenes[[#This Row],[centro_costo]],tblCECO[codigo],tblCECO[linea],"(sin catálogo)"))</f>
        <v/>
      </c>
      <c r="Y254" s="5">
        <f>IF(tblOrdenes[[#This Row],[centro_costo]]="","",_xlfn.XLOOKUP(tblOrdenes[[#This Row],[centro_costo]],tblCECO[codigo],tblCECO[area],"(sin catálogo)"))</f>
        <v/>
      </c>
      <c r="Z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5">
        <f>IF(tblOrdenes[[#This Row],[centro_costo]]="","",_xlfn.XLOOKUP(tblOrdenes[[#This Row],[centro_costo]],tblCECO[codigo],tblCECO[coordinador],"(sin catálogo)"))</f>
        <v/>
      </c>
      <c r="AB254" s="5">
        <f>IF(tblOrdenes[[#This Row],[puesto_trabajo]]="","",_xlfn.XLOOKUP(tblOrdenes[[#This Row],[puesto_trabajo]],tblPuestos[codigo],tblPuestos[especialidad],"(sin catálogo)"))</f>
        <v/>
      </c>
      <c r="AC254" s="5">
        <f>IF(tblOrdenes[[#This Row],[cod_actividad]]="","",_xlfn.XLOOKUP(tblOrdenes[[#This Row],[cod_actividad]],tblActividades[codigo],tblActividades[descripcion],"(sin catálogo)"))</f>
        <v/>
      </c>
      <c r="AD254" s="23">
        <f>IF(tblOrdenes[[#This Row],[fecha_inicio]]="","",TODAY()-tblOrdenes[[#This Row],[fecha_inicio]])</f>
        <v/>
      </c>
      <c r="AE2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5">
        <f>IF(tblOrdenes[[#This Row],[backlog_habiles]]="","",IF(tblOrdenes[[#This Row],[backlog_habiles]]&lt;0,"FUTURO",IF(tblOrdenes[[#This Row],[backlog_habiles]]&gt;p_dias_backlog_max,"BACKLOG","MES CORRIENTE")))</f>
        <v/>
      </c>
      <c r="AG254" s="5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18">
        <f>IF(tblOrdenes[[#This Row],[orden]]="","",_xlfn.XLOOKUP(tblOrdenes[[#This Row],[id_operacion]],tblEjecucion[id_operacion],tblEjecucion[precio],0))</f>
        <v/>
      </c>
      <c r="AM254" s="18">
        <f>IF(tblOrdenes[[#This Row],[orden]]="","",MAX(0,_xlfn.XLOOKUP(tblOrdenes[[#This Row],[id_operacion]],tblEjecucion[id_operacion],tblEjecucion[costo_plan_total],0)-tblOrdenes[[#This Row],[costo_servicio]]))</f>
        <v/>
      </c>
      <c r="AN254" s="18">
        <f>IF(tblOrdenes[[#This Row],[orden]]="","",tblOrdenes[[#This Row],[costo_servicio]]+tblOrdenes[[#This Row],[costo_materiales]])</f>
        <v/>
      </c>
      <c r="AO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5">
        <f>IF(tblOrdenes[[#This Row],[link_checklist]]="","",HYPERLINK(p_ruta_base_checklists&amp;tblOrdenes[[#This Row],[link_checklist]],"abrir"))</f>
        <v/>
      </c>
      <c r="AT254" s="4" t="n"/>
      <c r="AU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5" t="n"/>
      <c r="K255" s="5" t="n"/>
      <c r="L255" s="18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Row],[fecha_inicio]]="","",tblOrdenes[[#This Row],[anio]]&amp;"-"&amp;TEXT(tblOrdenes[[#This Row],[mes]],"00"))</f>
        <v/>
      </c>
      <c r="S255" s="5">
        <f>IF(tblOrdenes[[#This Row],[fecha_inicio]]="","",INDEX(lista_dias,WEEKDAY(tblOrdenes[[#This Row],[fecha_inicio]],2)))</f>
        <v/>
      </c>
      <c r="T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5">
        <f>IF(tblOrdenes[[#This Row],[tipo_ot]]="","",_xlfn.XLOOKUP(tblOrdenes[[#This Row],[tipo_ot]],tblTiposOT[codigo],tblTiposOT[clasificacion],"sin_clasificar"))</f>
        <v/>
      </c>
      <c r="V2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5">
        <f>IF(tblOrdenes[[#This Row],[centro_costo]]="","",_xlfn.XLOOKUP(tblOrdenes[[#This Row],[centro_costo]],tblCECO[codigo],tblCECO[linea],"(sin catálogo)"))</f>
        <v/>
      </c>
      <c r="Y255" s="5">
        <f>IF(tblOrdenes[[#This Row],[centro_costo]]="","",_xlfn.XLOOKUP(tblOrdenes[[#This Row],[centro_costo]],tblCECO[codigo],tblCECO[area],"(sin catálogo)"))</f>
        <v/>
      </c>
      <c r="Z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5">
        <f>IF(tblOrdenes[[#This Row],[centro_costo]]="","",_xlfn.XLOOKUP(tblOrdenes[[#This Row],[centro_costo]],tblCECO[codigo],tblCECO[coordinador],"(sin catálogo)"))</f>
        <v/>
      </c>
      <c r="AB255" s="5">
        <f>IF(tblOrdenes[[#This Row],[puesto_trabajo]]="","",_xlfn.XLOOKUP(tblOrdenes[[#This Row],[puesto_trabajo]],tblPuestos[codigo],tblPuestos[especialidad],"(sin catálogo)"))</f>
        <v/>
      </c>
      <c r="AC255" s="5">
        <f>IF(tblOrdenes[[#This Row],[cod_actividad]]="","",_xlfn.XLOOKUP(tblOrdenes[[#This Row],[cod_actividad]],tblActividades[codigo],tblActividades[descripcion],"(sin catálogo)"))</f>
        <v/>
      </c>
      <c r="AD255" s="23">
        <f>IF(tblOrdenes[[#This Row],[fecha_inicio]]="","",TODAY()-tblOrdenes[[#This Row],[fecha_inicio]])</f>
        <v/>
      </c>
      <c r="AE2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5">
        <f>IF(tblOrdenes[[#This Row],[backlog_habiles]]="","",IF(tblOrdenes[[#This Row],[backlog_habiles]]&lt;0,"FUTURO",IF(tblOrdenes[[#This Row],[backlog_habiles]]&gt;p_dias_backlog_max,"BACKLOG","MES CORRIENTE")))</f>
        <v/>
      </c>
      <c r="AG255" s="5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18">
        <f>IF(tblOrdenes[[#This Row],[orden]]="","",_xlfn.XLOOKUP(tblOrdenes[[#This Row],[id_operacion]],tblEjecucion[id_operacion],tblEjecucion[precio],0))</f>
        <v/>
      </c>
      <c r="AM255" s="18">
        <f>IF(tblOrdenes[[#This Row],[orden]]="","",MAX(0,_xlfn.XLOOKUP(tblOrdenes[[#This Row],[id_operacion]],tblEjecucion[id_operacion],tblEjecucion[costo_plan_total],0)-tblOrdenes[[#This Row],[costo_servicio]]))</f>
        <v/>
      </c>
      <c r="AN255" s="18">
        <f>IF(tblOrdenes[[#This Row],[orden]]="","",tblOrdenes[[#This Row],[costo_servicio]]+tblOrdenes[[#This Row],[costo_materiales]])</f>
        <v/>
      </c>
      <c r="AO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5">
        <f>IF(tblOrdenes[[#This Row],[link_checklist]]="","",HYPERLINK(p_ruta_base_checklists&amp;tblOrdenes[[#This Row],[link_checklist]],"abrir"))</f>
        <v/>
      </c>
      <c r="AT255" s="4" t="n"/>
      <c r="AU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5" t="n"/>
      <c r="K256" s="5" t="n"/>
      <c r="L256" s="18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Row],[fecha_inicio]]="","",tblOrdenes[[#This Row],[anio]]&amp;"-"&amp;TEXT(tblOrdenes[[#This Row],[mes]],"00"))</f>
        <v/>
      </c>
      <c r="S256" s="5">
        <f>IF(tblOrdenes[[#This Row],[fecha_inicio]]="","",INDEX(lista_dias,WEEKDAY(tblOrdenes[[#This Row],[fecha_inicio]],2)))</f>
        <v/>
      </c>
      <c r="T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5">
        <f>IF(tblOrdenes[[#This Row],[tipo_ot]]="","",_xlfn.XLOOKUP(tblOrdenes[[#This Row],[tipo_ot]],tblTiposOT[codigo],tblTiposOT[clasificacion],"sin_clasificar"))</f>
        <v/>
      </c>
      <c r="V2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5">
        <f>IF(tblOrdenes[[#This Row],[centro_costo]]="","",_xlfn.XLOOKUP(tblOrdenes[[#This Row],[centro_costo]],tblCECO[codigo],tblCECO[linea],"(sin catálogo)"))</f>
        <v/>
      </c>
      <c r="Y256" s="5">
        <f>IF(tblOrdenes[[#This Row],[centro_costo]]="","",_xlfn.XLOOKUP(tblOrdenes[[#This Row],[centro_costo]],tblCECO[codigo],tblCECO[area],"(sin catálogo)"))</f>
        <v/>
      </c>
      <c r="Z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5">
        <f>IF(tblOrdenes[[#This Row],[centro_costo]]="","",_xlfn.XLOOKUP(tblOrdenes[[#This Row],[centro_costo]],tblCECO[codigo],tblCECO[coordinador],"(sin catálogo)"))</f>
        <v/>
      </c>
      <c r="AB256" s="5">
        <f>IF(tblOrdenes[[#This Row],[puesto_trabajo]]="","",_xlfn.XLOOKUP(tblOrdenes[[#This Row],[puesto_trabajo]],tblPuestos[codigo],tblPuestos[especialidad],"(sin catálogo)"))</f>
        <v/>
      </c>
      <c r="AC256" s="5">
        <f>IF(tblOrdenes[[#This Row],[cod_actividad]]="","",_xlfn.XLOOKUP(tblOrdenes[[#This Row],[cod_actividad]],tblActividades[codigo],tblActividades[descripcion],"(sin catálogo)"))</f>
        <v/>
      </c>
      <c r="AD256" s="23">
        <f>IF(tblOrdenes[[#This Row],[fecha_inicio]]="","",TODAY()-tblOrdenes[[#This Row],[fecha_inicio]])</f>
        <v/>
      </c>
      <c r="AE2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5">
        <f>IF(tblOrdenes[[#This Row],[backlog_habiles]]="","",IF(tblOrdenes[[#This Row],[backlog_habiles]]&lt;0,"FUTURO",IF(tblOrdenes[[#This Row],[backlog_habiles]]&gt;p_dias_backlog_max,"BACKLOG","MES CORRIENTE")))</f>
        <v/>
      </c>
      <c r="AG256" s="5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18">
        <f>IF(tblOrdenes[[#This Row],[orden]]="","",_xlfn.XLOOKUP(tblOrdenes[[#This Row],[id_operacion]],tblEjecucion[id_operacion],tblEjecucion[precio],0))</f>
        <v/>
      </c>
      <c r="AM256" s="18">
        <f>IF(tblOrdenes[[#This Row],[orden]]="","",MAX(0,_xlfn.XLOOKUP(tblOrdenes[[#This Row],[id_operacion]],tblEjecucion[id_operacion],tblEjecucion[costo_plan_total],0)-tblOrdenes[[#This Row],[costo_servicio]]))</f>
        <v/>
      </c>
      <c r="AN256" s="18">
        <f>IF(tblOrdenes[[#This Row],[orden]]="","",tblOrdenes[[#This Row],[costo_servicio]]+tblOrdenes[[#This Row],[costo_materiales]])</f>
        <v/>
      </c>
      <c r="AO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5">
        <f>IF(tblOrdenes[[#This Row],[link_checklist]]="","",HYPERLINK(p_ruta_base_checklists&amp;tblOrdenes[[#This Row],[link_checklist]],"abrir"))</f>
        <v/>
      </c>
      <c r="AT256" s="4" t="n"/>
      <c r="AU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5" t="n"/>
      <c r="K257" s="5" t="n"/>
      <c r="L257" s="18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Row],[fecha_inicio]]="","",tblOrdenes[[#This Row],[anio]]&amp;"-"&amp;TEXT(tblOrdenes[[#This Row],[mes]],"00"))</f>
        <v/>
      </c>
      <c r="S257" s="5">
        <f>IF(tblOrdenes[[#This Row],[fecha_inicio]]="","",INDEX(lista_dias,WEEKDAY(tblOrdenes[[#This Row],[fecha_inicio]],2)))</f>
        <v/>
      </c>
      <c r="T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5">
        <f>IF(tblOrdenes[[#This Row],[tipo_ot]]="","",_xlfn.XLOOKUP(tblOrdenes[[#This Row],[tipo_ot]],tblTiposOT[codigo],tblTiposOT[clasificacion],"sin_clasificar"))</f>
        <v/>
      </c>
      <c r="V2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5">
        <f>IF(tblOrdenes[[#This Row],[centro_costo]]="","",_xlfn.XLOOKUP(tblOrdenes[[#This Row],[centro_costo]],tblCECO[codigo],tblCECO[linea],"(sin catálogo)"))</f>
        <v/>
      </c>
      <c r="Y257" s="5">
        <f>IF(tblOrdenes[[#This Row],[centro_costo]]="","",_xlfn.XLOOKUP(tblOrdenes[[#This Row],[centro_costo]],tblCECO[codigo],tblCECO[area],"(sin catálogo)"))</f>
        <v/>
      </c>
      <c r="Z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5">
        <f>IF(tblOrdenes[[#This Row],[centro_costo]]="","",_xlfn.XLOOKUP(tblOrdenes[[#This Row],[centro_costo]],tblCECO[codigo],tblCECO[coordinador],"(sin catálogo)"))</f>
        <v/>
      </c>
      <c r="AB257" s="5">
        <f>IF(tblOrdenes[[#This Row],[puesto_trabajo]]="","",_xlfn.XLOOKUP(tblOrdenes[[#This Row],[puesto_trabajo]],tblPuestos[codigo],tblPuestos[especialidad],"(sin catálogo)"))</f>
        <v/>
      </c>
      <c r="AC257" s="5">
        <f>IF(tblOrdenes[[#This Row],[cod_actividad]]="","",_xlfn.XLOOKUP(tblOrdenes[[#This Row],[cod_actividad]],tblActividades[codigo],tblActividades[descripcion],"(sin catálogo)"))</f>
        <v/>
      </c>
      <c r="AD257" s="23">
        <f>IF(tblOrdenes[[#This Row],[fecha_inicio]]="","",TODAY()-tblOrdenes[[#This Row],[fecha_inicio]])</f>
        <v/>
      </c>
      <c r="AE2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5">
        <f>IF(tblOrdenes[[#This Row],[backlog_habiles]]="","",IF(tblOrdenes[[#This Row],[backlog_habiles]]&lt;0,"FUTURO",IF(tblOrdenes[[#This Row],[backlog_habiles]]&gt;p_dias_backlog_max,"BACKLOG","MES CORRIENTE")))</f>
        <v/>
      </c>
      <c r="AG257" s="5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18">
        <f>IF(tblOrdenes[[#This Row],[orden]]="","",_xlfn.XLOOKUP(tblOrdenes[[#This Row],[id_operacion]],tblEjecucion[id_operacion],tblEjecucion[precio],0))</f>
        <v/>
      </c>
      <c r="AM257" s="18">
        <f>IF(tblOrdenes[[#This Row],[orden]]="","",MAX(0,_xlfn.XLOOKUP(tblOrdenes[[#This Row],[id_operacion]],tblEjecucion[id_operacion],tblEjecucion[costo_plan_total],0)-tblOrdenes[[#This Row],[costo_servicio]]))</f>
        <v/>
      </c>
      <c r="AN257" s="18">
        <f>IF(tblOrdenes[[#This Row],[orden]]="","",tblOrdenes[[#This Row],[costo_servicio]]+tblOrdenes[[#This Row],[costo_materiales]])</f>
        <v/>
      </c>
      <c r="AO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5">
        <f>IF(tblOrdenes[[#This Row],[link_checklist]]="","",HYPERLINK(p_ruta_base_checklists&amp;tblOrdenes[[#This Row],[link_checklist]],"abrir"))</f>
        <v/>
      </c>
      <c r="AT257" s="4" t="n"/>
      <c r="AU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5" t="n"/>
      <c r="K258" s="5" t="n"/>
      <c r="L258" s="18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Row],[fecha_inicio]]="","",tblOrdenes[[#This Row],[anio]]&amp;"-"&amp;TEXT(tblOrdenes[[#This Row],[mes]],"00"))</f>
        <v/>
      </c>
      <c r="S258" s="5">
        <f>IF(tblOrdenes[[#This Row],[fecha_inicio]]="","",INDEX(lista_dias,WEEKDAY(tblOrdenes[[#This Row],[fecha_inicio]],2)))</f>
        <v/>
      </c>
      <c r="T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5">
        <f>IF(tblOrdenes[[#This Row],[tipo_ot]]="","",_xlfn.XLOOKUP(tblOrdenes[[#This Row],[tipo_ot]],tblTiposOT[codigo],tblTiposOT[clasificacion],"sin_clasificar"))</f>
        <v/>
      </c>
      <c r="V2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5">
        <f>IF(tblOrdenes[[#This Row],[centro_costo]]="","",_xlfn.XLOOKUP(tblOrdenes[[#This Row],[centro_costo]],tblCECO[codigo],tblCECO[linea],"(sin catálogo)"))</f>
        <v/>
      </c>
      <c r="Y258" s="5">
        <f>IF(tblOrdenes[[#This Row],[centro_costo]]="","",_xlfn.XLOOKUP(tblOrdenes[[#This Row],[centro_costo]],tblCECO[codigo],tblCECO[area],"(sin catálogo)"))</f>
        <v/>
      </c>
      <c r="Z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5">
        <f>IF(tblOrdenes[[#This Row],[centro_costo]]="","",_xlfn.XLOOKUP(tblOrdenes[[#This Row],[centro_costo]],tblCECO[codigo],tblCECO[coordinador],"(sin catálogo)"))</f>
        <v/>
      </c>
      <c r="AB258" s="5">
        <f>IF(tblOrdenes[[#This Row],[puesto_trabajo]]="","",_xlfn.XLOOKUP(tblOrdenes[[#This Row],[puesto_trabajo]],tblPuestos[codigo],tblPuestos[especialidad],"(sin catálogo)"))</f>
        <v/>
      </c>
      <c r="AC258" s="5">
        <f>IF(tblOrdenes[[#This Row],[cod_actividad]]="","",_xlfn.XLOOKUP(tblOrdenes[[#This Row],[cod_actividad]],tblActividades[codigo],tblActividades[descripcion],"(sin catálogo)"))</f>
        <v/>
      </c>
      <c r="AD258" s="23">
        <f>IF(tblOrdenes[[#This Row],[fecha_inicio]]="","",TODAY()-tblOrdenes[[#This Row],[fecha_inicio]])</f>
        <v/>
      </c>
      <c r="AE2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5">
        <f>IF(tblOrdenes[[#This Row],[backlog_habiles]]="","",IF(tblOrdenes[[#This Row],[backlog_habiles]]&lt;0,"FUTURO",IF(tblOrdenes[[#This Row],[backlog_habiles]]&gt;p_dias_backlog_max,"BACKLOG","MES CORRIENTE")))</f>
        <v/>
      </c>
      <c r="AG258" s="5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18">
        <f>IF(tblOrdenes[[#This Row],[orden]]="","",_xlfn.XLOOKUP(tblOrdenes[[#This Row],[id_operacion]],tblEjecucion[id_operacion],tblEjecucion[precio],0))</f>
        <v/>
      </c>
      <c r="AM258" s="18">
        <f>IF(tblOrdenes[[#This Row],[orden]]="","",MAX(0,_xlfn.XLOOKUP(tblOrdenes[[#This Row],[id_operacion]],tblEjecucion[id_operacion],tblEjecucion[costo_plan_total],0)-tblOrdenes[[#This Row],[costo_servicio]]))</f>
        <v/>
      </c>
      <c r="AN258" s="18">
        <f>IF(tblOrdenes[[#This Row],[orden]]="","",tblOrdenes[[#This Row],[costo_servicio]]+tblOrdenes[[#This Row],[costo_materiales]])</f>
        <v/>
      </c>
      <c r="AO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5">
        <f>IF(tblOrdenes[[#This Row],[link_checklist]]="","",HYPERLINK(p_ruta_base_checklists&amp;tblOrdenes[[#This Row],[link_checklist]],"abrir"))</f>
        <v/>
      </c>
      <c r="AT258" s="4" t="n"/>
      <c r="AU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5" t="n"/>
      <c r="K259" s="5" t="n"/>
      <c r="L259" s="18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Row],[fecha_inicio]]="","",tblOrdenes[[#This Row],[anio]]&amp;"-"&amp;TEXT(tblOrdenes[[#This Row],[mes]],"00"))</f>
        <v/>
      </c>
      <c r="S259" s="5">
        <f>IF(tblOrdenes[[#This Row],[fecha_inicio]]="","",INDEX(lista_dias,WEEKDAY(tblOrdenes[[#This Row],[fecha_inicio]],2)))</f>
        <v/>
      </c>
      <c r="T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5">
        <f>IF(tblOrdenes[[#This Row],[tipo_ot]]="","",_xlfn.XLOOKUP(tblOrdenes[[#This Row],[tipo_ot]],tblTiposOT[codigo],tblTiposOT[clasificacion],"sin_clasificar"))</f>
        <v/>
      </c>
      <c r="V2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5">
        <f>IF(tblOrdenes[[#This Row],[centro_costo]]="","",_xlfn.XLOOKUP(tblOrdenes[[#This Row],[centro_costo]],tblCECO[codigo],tblCECO[linea],"(sin catálogo)"))</f>
        <v/>
      </c>
      <c r="Y259" s="5">
        <f>IF(tblOrdenes[[#This Row],[centro_costo]]="","",_xlfn.XLOOKUP(tblOrdenes[[#This Row],[centro_costo]],tblCECO[codigo],tblCECO[area],"(sin catálogo)"))</f>
        <v/>
      </c>
      <c r="Z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5">
        <f>IF(tblOrdenes[[#This Row],[centro_costo]]="","",_xlfn.XLOOKUP(tblOrdenes[[#This Row],[centro_costo]],tblCECO[codigo],tblCECO[coordinador],"(sin catálogo)"))</f>
        <v/>
      </c>
      <c r="AB259" s="5">
        <f>IF(tblOrdenes[[#This Row],[puesto_trabajo]]="","",_xlfn.XLOOKUP(tblOrdenes[[#This Row],[puesto_trabajo]],tblPuestos[codigo],tblPuestos[especialidad],"(sin catálogo)"))</f>
        <v/>
      </c>
      <c r="AC259" s="5">
        <f>IF(tblOrdenes[[#This Row],[cod_actividad]]="","",_xlfn.XLOOKUP(tblOrdenes[[#This Row],[cod_actividad]],tblActividades[codigo],tblActividades[descripcion],"(sin catálogo)"))</f>
        <v/>
      </c>
      <c r="AD259" s="23">
        <f>IF(tblOrdenes[[#This Row],[fecha_inicio]]="","",TODAY()-tblOrdenes[[#This Row],[fecha_inicio]])</f>
        <v/>
      </c>
      <c r="AE2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5">
        <f>IF(tblOrdenes[[#This Row],[backlog_habiles]]="","",IF(tblOrdenes[[#This Row],[backlog_habiles]]&lt;0,"FUTURO",IF(tblOrdenes[[#This Row],[backlog_habiles]]&gt;p_dias_backlog_max,"BACKLOG","MES CORRIENTE")))</f>
        <v/>
      </c>
      <c r="AG259" s="5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18">
        <f>IF(tblOrdenes[[#This Row],[orden]]="","",_xlfn.XLOOKUP(tblOrdenes[[#This Row],[id_operacion]],tblEjecucion[id_operacion],tblEjecucion[precio],0))</f>
        <v/>
      </c>
      <c r="AM259" s="18">
        <f>IF(tblOrdenes[[#This Row],[orden]]="","",MAX(0,_xlfn.XLOOKUP(tblOrdenes[[#This Row],[id_operacion]],tblEjecucion[id_operacion],tblEjecucion[costo_plan_total],0)-tblOrdenes[[#This Row],[costo_servicio]]))</f>
        <v/>
      </c>
      <c r="AN259" s="18">
        <f>IF(tblOrdenes[[#This Row],[orden]]="","",tblOrdenes[[#This Row],[costo_servicio]]+tblOrdenes[[#This Row],[costo_materiales]])</f>
        <v/>
      </c>
      <c r="AO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5">
        <f>IF(tblOrdenes[[#This Row],[link_checklist]]="","",HYPERLINK(p_ruta_base_checklists&amp;tblOrdenes[[#This Row],[link_checklist]],"abrir"))</f>
        <v/>
      </c>
      <c r="AT259" s="4" t="n"/>
      <c r="AU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5" t="n"/>
      <c r="K260" s="5" t="n"/>
      <c r="L260" s="18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Row],[fecha_inicio]]="","",tblOrdenes[[#This Row],[anio]]&amp;"-"&amp;TEXT(tblOrdenes[[#This Row],[mes]],"00"))</f>
        <v/>
      </c>
      <c r="S260" s="5">
        <f>IF(tblOrdenes[[#This Row],[fecha_inicio]]="","",INDEX(lista_dias,WEEKDAY(tblOrdenes[[#This Row],[fecha_inicio]],2)))</f>
        <v/>
      </c>
      <c r="T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5">
        <f>IF(tblOrdenes[[#This Row],[tipo_ot]]="","",_xlfn.XLOOKUP(tblOrdenes[[#This Row],[tipo_ot]],tblTiposOT[codigo],tblTiposOT[clasificacion],"sin_clasificar"))</f>
        <v/>
      </c>
      <c r="V2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5">
        <f>IF(tblOrdenes[[#This Row],[centro_costo]]="","",_xlfn.XLOOKUP(tblOrdenes[[#This Row],[centro_costo]],tblCECO[codigo],tblCECO[linea],"(sin catálogo)"))</f>
        <v/>
      </c>
      <c r="Y260" s="5">
        <f>IF(tblOrdenes[[#This Row],[centro_costo]]="","",_xlfn.XLOOKUP(tblOrdenes[[#This Row],[centro_costo]],tblCECO[codigo],tblCECO[area],"(sin catálogo)"))</f>
        <v/>
      </c>
      <c r="Z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5">
        <f>IF(tblOrdenes[[#This Row],[centro_costo]]="","",_xlfn.XLOOKUP(tblOrdenes[[#This Row],[centro_costo]],tblCECO[codigo],tblCECO[coordinador],"(sin catálogo)"))</f>
        <v/>
      </c>
      <c r="AB260" s="5">
        <f>IF(tblOrdenes[[#This Row],[puesto_trabajo]]="","",_xlfn.XLOOKUP(tblOrdenes[[#This Row],[puesto_trabajo]],tblPuestos[codigo],tblPuestos[especialidad],"(sin catálogo)"))</f>
        <v/>
      </c>
      <c r="AC260" s="5">
        <f>IF(tblOrdenes[[#This Row],[cod_actividad]]="","",_xlfn.XLOOKUP(tblOrdenes[[#This Row],[cod_actividad]],tblActividades[codigo],tblActividades[descripcion],"(sin catálogo)"))</f>
        <v/>
      </c>
      <c r="AD260" s="23">
        <f>IF(tblOrdenes[[#This Row],[fecha_inicio]]="","",TODAY()-tblOrdenes[[#This Row],[fecha_inicio]])</f>
        <v/>
      </c>
      <c r="AE2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5">
        <f>IF(tblOrdenes[[#This Row],[backlog_habiles]]="","",IF(tblOrdenes[[#This Row],[backlog_habiles]]&lt;0,"FUTURO",IF(tblOrdenes[[#This Row],[backlog_habiles]]&gt;p_dias_backlog_max,"BACKLOG","MES CORRIENTE")))</f>
        <v/>
      </c>
      <c r="AG260" s="5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18">
        <f>IF(tblOrdenes[[#This Row],[orden]]="","",_xlfn.XLOOKUP(tblOrdenes[[#This Row],[id_operacion]],tblEjecucion[id_operacion],tblEjecucion[precio],0))</f>
        <v/>
      </c>
      <c r="AM260" s="18">
        <f>IF(tblOrdenes[[#This Row],[orden]]="","",MAX(0,_xlfn.XLOOKUP(tblOrdenes[[#This Row],[id_operacion]],tblEjecucion[id_operacion],tblEjecucion[costo_plan_total],0)-tblOrdenes[[#This Row],[costo_servicio]]))</f>
        <v/>
      </c>
      <c r="AN260" s="18">
        <f>IF(tblOrdenes[[#This Row],[orden]]="","",tblOrdenes[[#This Row],[costo_servicio]]+tblOrdenes[[#This Row],[costo_materiales]])</f>
        <v/>
      </c>
      <c r="AO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5">
        <f>IF(tblOrdenes[[#This Row],[link_checklist]]="","",HYPERLINK(p_ruta_base_checklists&amp;tblOrdenes[[#This Row],[link_checklist]],"abrir"))</f>
        <v/>
      </c>
      <c r="AT260" s="4" t="n"/>
      <c r="AU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5" t="n"/>
      <c r="K261" s="5" t="n"/>
      <c r="L261" s="18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Row],[fecha_inicio]]="","",tblOrdenes[[#This Row],[anio]]&amp;"-"&amp;TEXT(tblOrdenes[[#This Row],[mes]],"00"))</f>
        <v/>
      </c>
      <c r="S261" s="5">
        <f>IF(tblOrdenes[[#This Row],[fecha_inicio]]="","",INDEX(lista_dias,WEEKDAY(tblOrdenes[[#This Row],[fecha_inicio]],2)))</f>
        <v/>
      </c>
      <c r="T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5">
        <f>IF(tblOrdenes[[#This Row],[tipo_ot]]="","",_xlfn.XLOOKUP(tblOrdenes[[#This Row],[tipo_ot]],tblTiposOT[codigo],tblTiposOT[clasificacion],"sin_clasificar"))</f>
        <v/>
      </c>
      <c r="V2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5">
        <f>IF(tblOrdenes[[#This Row],[centro_costo]]="","",_xlfn.XLOOKUP(tblOrdenes[[#This Row],[centro_costo]],tblCECO[codigo],tblCECO[linea],"(sin catálogo)"))</f>
        <v/>
      </c>
      <c r="Y261" s="5">
        <f>IF(tblOrdenes[[#This Row],[centro_costo]]="","",_xlfn.XLOOKUP(tblOrdenes[[#This Row],[centro_costo]],tblCECO[codigo],tblCECO[area],"(sin catálogo)"))</f>
        <v/>
      </c>
      <c r="Z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5">
        <f>IF(tblOrdenes[[#This Row],[centro_costo]]="","",_xlfn.XLOOKUP(tblOrdenes[[#This Row],[centro_costo]],tblCECO[codigo],tblCECO[coordinador],"(sin catálogo)"))</f>
        <v/>
      </c>
      <c r="AB261" s="5">
        <f>IF(tblOrdenes[[#This Row],[puesto_trabajo]]="","",_xlfn.XLOOKUP(tblOrdenes[[#This Row],[puesto_trabajo]],tblPuestos[codigo],tblPuestos[especialidad],"(sin catálogo)"))</f>
        <v/>
      </c>
      <c r="AC261" s="5">
        <f>IF(tblOrdenes[[#This Row],[cod_actividad]]="","",_xlfn.XLOOKUP(tblOrdenes[[#This Row],[cod_actividad]],tblActividades[codigo],tblActividades[descripcion],"(sin catálogo)"))</f>
        <v/>
      </c>
      <c r="AD261" s="23">
        <f>IF(tblOrdenes[[#This Row],[fecha_inicio]]="","",TODAY()-tblOrdenes[[#This Row],[fecha_inicio]])</f>
        <v/>
      </c>
      <c r="AE2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5">
        <f>IF(tblOrdenes[[#This Row],[backlog_habiles]]="","",IF(tblOrdenes[[#This Row],[backlog_habiles]]&lt;0,"FUTURO",IF(tblOrdenes[[#This Row],[backlog_habiles]]&gt;p_dias_backlog_max,"BACKLOG","MES CORRIENTE")))</f>
        <v/>
      </c>
      <c r="AG261" s="5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18">
        <f>IF(tblOrdenes[[#This Row],[orden]]="","",_xlfn.XLOOKUP(tblOrdenes[[#This Row],[id_operacion]],tblEjecucion[id_operacion],tblEjecucion[precio],0))</f>
        <v/>
      </c>
      <c r="AM261" s="18">
        <f>IF(tblOrdenes[[#This Row],[orden]]="","",MAX(0,_xlfn.XLOOKUP(tblOrdenes[[#This Row],[id_operacion]],tblEjecucion[id_operacion],tblEjecucion[costo_plan_total],0)-tblOrdenes[[#This Row],[costo_servicio]]))</f>
        <v/>
      </c>
      <c r="AN261" s="18">
        <f>IF(tblOrdenes[[#This Row],[orden]]="","",tblOrdenes[[#This Row],[costo_servicio]]+tblOrdenes[[#This Row],[costo_materiales]])</f>
        <v/>
      </c>
      <c r="AO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5">
        <f>IF(tblOrdenes[[#This Row],[link_checklist]]="","",HYPERLINK(p_ruta_base_checklists&amp;tblOrdenes[[#This Row],[link_checklist]],"abrir"))</f>
        <v/>
      </c>
      <c r="AT261" s="4" t="n"/>
      <c r="AU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5" t="n"/>
      <c r="K262" s="5" t="n"/>
      <c r="L262" s="18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Row],[fecha_inicio]]="","",tblOrdenes[[#This Row],[anio]]&amp;"-"&amp;TEXT(tblOrdenes[[#This Row],[mes]],"00"))</f>
        <v/>
      </c>
      <c r="S262" s="5">
        <f>IF(tblOrdenes[[#This Row],[fecha_inicio]]="","",INDEX(lista_dias,WEEKDAY(tblOrdenes[[#This Row],[fecha_inicio]],2)))</f>
        <v/>
      </c>
      <c r="T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5">
        <f>IF(tblOrdenes[[#This Row],[tipo_ot]]="","",_xlfn.XLOOKUP(tblOrdenes[[#This Row],[tipo_ot]],tblTiposOT[codigo],tblTiposOT[clasificacion],"sin_clasificar"))</f>
        <v/>
      </c>
      <c r="V2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5">
        <f>IF(tblOrdenes[[#This Row],[centro_costo]]="","",_xlfn.XLOOKUP(tblOrdenes[[#This Row],[centro_costo]],tblCECO[codigo],tblCECO[linea],"(sin catálogo)"))</f>
        <v/>
      </c>
      <c r="Y262" s="5">
        <f>IF(tblOrdenes[[#This Row],[centro_costo]]="","",_xlfn.XLOOKUP(tblOrdenes[[#This Row],[centro_costo]],tblCECO[codigo],tblCECO[area],"(sin catálogo)"))</f>
        <v/>
      </c>
      <c r="Z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5">
        <f>IF(tblOrdenes[[#This Row],[centro_costo]]="","",_xlfn.XLOOKUP(tblOrdenes[[#This Row],[centro_costo]],tblCECO[codigo],tblCECO[coordinador],"(sin catálogo)"))</f>
        <v/>
      </c>
      <c r="AB262" s="5">
        <f>IF(tblOrdenes[[#This Row],[puesto_trabajo]]="","",_xlfn.XLOOKUP(tblOrdenes[[#This Row],[puesto_trabajo]],tblPuestos[codigo],tblPuestos[especialidad],"(sin catálogo)"))</f>
        <v/>
      </c>
      <c r="AC262" s="5">
        <f>IF(tblOrdenes[[#This Row],[cod_actividad]]="","",_xlfn.XLOOKUP(tblOrdenes[[#This Row],[cod_actividad]],tblActividades[codigo],tblActividades[descripcion],"(sin catálogo)"))</f>
        <v/>
      </c>
      <c r="AD262" s="23">
        <f>IF(tblOrdenes[[#This Row],[fecha_inicio]]="","",TODAY()-tblOrdenes[[#This Row],[fecha_inicio]])</f>
        <v/>
      </c>
      <c r="AE2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5">
        <f>IF(tblOrdenes[[#This Row],[backlog_habiles]]="","",IF(tblOrdenes[[#This Row],[backlog_habiles]]&lt;0,"FUTURO",IF(tblOrdenes[[#This Row],[backlog_habiles]]&gt;p_dias_backlog_max,"BACKLOG","MES CORRIENTE")))</f>
        <v/>
      </c>
      <c r="AG262" s="5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18">
        <f>IF(tblOrdenes[[#This Row],[orden]]="","",_xlfn.XLOOKUP(tblOrdenes[[#This Row],[id_operacion]],tblEjecucion[id_operacion],tblEjecucion[precio],0))</f>
        <v/>
      </c>
      <c r="AM262" s="18">
        <f>IF(tblOrdenes[[#This Row],[orden]]="","",MAX(0,_xlfn.XLOOKUP(tblOrdenes[[#This Row],[id_operacion]],tblEjecucion[id_operacion],tblEjecucion[costo_plan_total],0)-tblOrdenes[[#This Row],[costo_servicio]]))</f>
        <v/>
      </c>
      <c r="AN262" s="18">
        <f>IF(tblOrdenes[[#This Row],[orden]]="","",tblOrdenes[[#This Row],[costo_servicio]]+tblOrdenes[[#This Row],[costo_materiales]])</f>
        <v/>
      </c>
      <c r="AO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5">
        <f>IF(tblOrdenes[[#This Row],[link_checklist]]="","",HYPERLINK(p_ruta_base_checklists&amp;tblOrdenes[[#This Row],[link_checklist]],"abrir"))</f>
        <v/>
      </c>
      <c r="AT262" s="4" t="n"/>
      <c r="AU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5" t="n"/>
      <c r="K263" s="5" t="n"/>
      <c r="L263" s="18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Row],[fecha_inicio]]="","",tblOrdenes[[#This Row],[anio]]&amp;"-"&amp;TEXT(tblOrdenes[[#This Row],[mes]],"00"))</f>
        <v/>
      </c>
      <c r="S263" s="5">
        <f>IF(tblOrdenes[[#This Row],[fecha_inicio]]="","",INDEX(lista_dias,WEEKDAY(tblOrdenes[[#This Row],[fecha_inicio]],2)))</f>
        <v/>
      </c>
      <c r="T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5">
        <f>IF(tblOrdenes[[#This Row],[tipo_ot]]="","",_xlfn.XLOOKUP(tblOrdenes[[#This Row],[tipo_ot]],tblTiposOT[codigo],tblTiposOT[clasificacion],"sin_clasificar"))</f>
        <v/>
      </c>
      <c r="V2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5">
        <f>IF(tblOrdenes[[#This Row],[centro_costo]]="","",_xlfn.XLOOKUP(tblOrdenes[[#This Row],[centro_costo]],tblCECO[codigo],tblCECO[linea],"(sin catálogo)"))</f>
        <v/>
      </c>
      <c r="Y263" s="5">
        <f>IF(tblOrdenes[[#This Row],[centro_costo]]="","",_xlfn.XLOOKUP(tblOrdenes[[#This Row],[centro_costo]],tblCECO[codigo],tblCECO[area],"(sin catálogo)"))</f>
        <v/>
      </c>
      <c r="Z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5">
        <f>IF(tblOrdenes[[#This Row],[centro_costo]]="","",_xlfn.XLOOKUP(tblOrdenes[[#This Row],[centro_costo]],tblCECO[codigo],tblCECO[coordinador],"(sin catálogo)"))</f>
        <v/>
      </c>
      <c r="AB263" s="5">
        <f>IF(tblOrdenes[[#This Row],[puesto_trabajo]]="","",_xlfn.XLOOKUP(tblOrdenes[[#This Row],[puesto_trabajo]],tblPuestos[codigo],tblPuestos[especialidad],"(sin catálogo)"))</f>
        <v/>
      </c>
      <c r="AC263" s="5">
        <f>IF(tblOrdenes[[#This Row],[cod_actividad]]="","",_xlfn.XLOOKUP(tblOrdenes[[#This Row],[cod_actividad]],tblActividades[codigo],tblActividades[descripcion],"(sin catálogo)"))</f>
        <v/>
      </c>
      <c r="AD263" s="23">
        <f>IF(tblOrdenes[[#This Row],[fecha_inicio]]="","",TODAY()-tblOrdenes[[#This Row],[fecha_inicio]])</f>
        <v/>
      </c>
      <c r="AE2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5">
        <f>IF(tblOrdenes[[#This Row],[backlog_habiles]]="","",IF(tblOrdenes[[#This Row],[backlog_habiles]]&lt;0,"FUTURO",IF(tblOrdenes[[#This Row],[backlog_habiles]]&gt;p_dias_backlog_max,"BACKLOG","MES CORRIENTE")))</f>
        <v/>
      </c>
      <c r="AG263" s="5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18">
        <f>IF(tblOrdenes[[#This Row],[orden]]="","",_xlfn.XLOOKUP(tblOrdenes[[#This Row],[id_operacion]],tblEjecucion[id_operacion],tblEjecucion[precio],0))</f>
        <v/>
      </c>
      <c r="AM263" s="18">
        <f>IF(tblOrdenes[[#This Row],[orden]]="","",MAX(0,_xlfn.XLOOKUP(tblOrdenes[[#This Row],[id_operacion]],tblEjecucion[id_operacion],tblEjecucion[costo_plan_total],0)-tblOrdenes[[#This Row],[costo_servicio]]))</f>
        <v/>
      </c>
      <c r="AN263" s="18">
        <f>IF(tblOrdenes[[#This Row],[orden]]="","",tblOrdenes[[#This Row],[costo_servicio]]+tblOrdenes[[#This Row],[costo_materiales]])</f>
        <v/>
      </c>
      <c r="AO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5">
        <f>IF(tblOrdenes[[#This Row],[link_checklist]]="","",HYPERLINK(p_ruta_base_checklists&amp;tblOrdenes[[#This Row],[link_checklist]],"abrir"))</f>
        <v/>
      </c>
      <c r="AT263" s="4" t="n"/>
      <c r="AU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5" t="n"/>
      <c r="K264" s="5" t="n"/>
      <c r="L264" s="18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Row],[fecha_inicio]]="","",tblOrdenes[[#This Row],[anio]]&amp;"-"&amp;TEXT(tblOrdenes[[#This Row],[mes]],"00"))</f>
        <v/>
      </c>
      <c r="S264" s="5">
        <f>IF(tblOrdenes[[#This Row],[fecha_inicio]]="","",INDEX(lista_dias,WEEKDAY(tblOrdenes[[#This Row],[fecha_inicio]],2)))</f>
        <v/>
      </c>
      <c r="T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5">
        <f>IF(tblOrdenes[[#This Row],[tipo_ot]]="","",_xlfn.XLOOKUP(tblOrdenes[[#This Row],[tipo_ot]],tblTiposOT[codigo],tblTiposOT[clasificacion],"sin_clasificar"))</f>
        <v/>
      </c>
      <c r="V2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5">
        <f>IF(tblOrdenes[[#This Row],[centro_costo]]="","",_xlfn.XLOOKUP(tblOrdenes[[#This Row],[centro_costo]],tblCECO[codigo],tblCECO[linea],"(sin catálogo)"))</f>
        <v/>
      </c>
      <c r="Y264" s="5">
        <f>IF(tblOrdenes[[#This Row],[centro_costo]]="","",_xlfn.XLOOKUP(tblOrdenes[[#This Row],[centro_costo]],tblCECO[codigo],tblCECO[area],"(sin catálogo)"))</f>
        <v/>
      </c>
      <c r="Z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5">
        <f>IF(tblOrdenes[[#This Row],[centro_costo]]="","",_xlfn.XLOOKUP(tblOrdenes[[#This Row],[centro_costo]],tblCECO[codigo],tblCECO[coordinador],"(sin catálogo)"))</f>
        <v/>
      </c>
      <c r="AB264" s="5">
        <f>IF(tblOrdenes[[#This Row],[puesto_trabajo]]="","",_xlfn.XLOOKUP(tblOrdenes[[#This Row],[puesto_trabajo]],tblPuestos[codigo],tblPuestos[especialidad],"(sin catálogo)"))</f>
        <v/>
      </c>
      <c r="AC264" s="5">
        <f>IF(tblOrdenes[[#This Row],[cod_actividad]]="","",_xlfn.XLOOKUP(tblOrdenes[[#This Row],[cod_actividad]],tblActividades[codigo],tblActividades[descripcion],"(sin catálogo)"))</f>
        <v/>
      </c>
      <c r="AD264" s="23">
        <f>IF(tblOrdenes[[#This Row],[fecha_inicio]]="","",TODAY()-tblOrdenes[[#This Row],[fecha_inicio]])</f>
        <v/>
      </c>
      <c r="AE2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5">
        <f>IF(tblOrdenes[[#This Row],[backlog_habiles]]="","",IF(tblOrdenes[[#This Row],[backlog_habiles]]&lt;0,"FUTURO",IF(tblOrdenes[[#This Row],[backlog_habiles]]&gt;p_dias_backlog_max,"BACKLOG","MES CORRIENTE")))</f>
        <v/>
      </c>
      <c r="AG264" s="5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18">
        <f>IF(tblOrdenes[[#This Row],[orden]]="","",_xlfn.XLOOKUP(tblOrdenes[[#This Row],[id_operacion]],tblEjecucion[id_operacion],tblEjecucion[precio],0))</f>
        <v/>
      </c>
      <c r="AM264" s="18">
        <f>IF(tblOrdenes[[#This Row],[orden]]="","",MAX(0,_xlfn.XLOOKUP(tblOrdenes[[#This Row],[id_operacion]],tblEjecucion[id_operacion],tblEjecucion[costo_plan_total],0)-tblOrdenes[[#This Row],[costo_servicio]]))</f>
        <v/>
      </c>
      <c r="AN264" s="18">
        <f>IF(tblOrdenes[[#This Row],[orden]]="","",tblOrdenes[[#This Row],[costo_servicio]]+tblOrdenes[[#This Row],[costo_materiales]])</f>
        <v/>
      </c>
      <c r="AO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5">
        <f>IF(tblOrdenes[[#This Row],[link_checklist]]="","",HYPERLINK(p_ruta_base_checklists&amp;tblOrdenes[[#This Row],[link_checklist]],"abrir"))</f>
        <v/>
      </c>
      <c r="AT264" s="4" t="n"/>
      <c r="AU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5" t="n"/>
      <c r="K265" s="5" t="n"/>
      <c r="L265" s="18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Row],[fecha_inicio]]="","",tblOrdenes[[#This Row],[anio]]&amp;"-"&amp;TEXT(tblOrdenes[[#This Row],[mes]],"00"))</f>
        <v/>
      </c>
      <c r="S265" s="5">
        <f>IF(tblOrdenes[[#This Row],[fecha_inicio]]="","",INDEX(lista_dias,WEEKDAY(tblOrdenes[[#This Row],[fecha_inicio]],2)))</f>
        <v/>
      </c>
      <c r="T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5">
        <f>IF(tblOrdenes[[#This Row],[tipo_ot]]="","",_xlfn.XLOOKUP(tblOrdenes[[#This Row],[tipo_ot]],tblTiposOT[codigo],tblTiposOT[clasificacion],"sin_clasificar"))</f>
        <v/>
      </c>
      <c r="V2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5">
        <f>IF(tblOrdenes[[#This Row],[centro_costo]]="","",_xlfn.XLOOKUP(tblOrdenes[[#This Row],[centro_costo]],tblCECO[codigo],tblCECO[linea],"(sin catálogo)"))</f>
        <v/>
      </c>
      <c r="Y265" s="5">
        <f>IF(tblOrdenes[[#This Row],[centro_costo]]="","",_xlfn.XLOOKUP(tblOrdenes[[#This Row],[centro_costo]],tblCECO[codigo],tblCECO[area],"(sin catálogo)"))</f>
        <v/>
      </c>
      <c r="Z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5">
        <f>IF(tblOrdenes[[#This Row],[centro_costo]]="","",_xlfn.XLOOKUP(tblOrdenes[[#This Row],[centro_costo]],tblCECO[codigo],tblCECO[coordinador],"(sin catálogo)"))</f>
        <v/>
      </c>
      <c r="AB265" s="5">
        <f>IF(tblOrdenes[[#This Row],[puesto_trabajo]]="","",_xlfn.XLOOKUP(tblOrdenes[[#This Row],[puesto_trabajo]],tblPuestos[codigo],tblPuestos[especialidad],"(sin catálogo)"))</f>
        <v/>
      </c>
      <c r="AC265" s="5">
        <f>IF(tblOrdenes[[#This Row],[cod_actividad]]="","",_xlfn.XLOOKUP(tblOrdenes[[#This Row],[cod_actividad]],tblActividades[codigo],tblActividades[descripcion],"(sin catálogo)"))</f>
        <v/>
      </c>
      <c r="AD265" s="23">
        <f>IF(tblOrdenes[[#This Row],[fecha_inicio]]="","",TODAY()-tblOrdenes[[#This Row],[fecha_inicio]])</f>
        <v/>
      </c>
      <c r="AE2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5">
        <f>IF(tblOrdenes[[#This Row],[backlog_habiles]]="","",IF(tblOrdenes[[#This Row],[backlog_habiles]]&lt;0,"FUTURO",IF(tblOrdenes[[#This Row],[backlog_habiles]]&gt;p_dias_backlog_max,"BACKLOG","MES CORRIENTE")))</f>
        <v/>
      </c>
      <c r="AG265" s="5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18">
        <f>IF(tblOrdenes[[#This Row],[orden]]="","",_xlfn.XLOOKUP(tblOrdenes[[#This Row],[id_operacion]],tblEjecucion[id_operacion],tblEjecucion[precio],0))</f>
        <v/>
      </c>
      <c r="AM265" s="18">
        <f>IF(tblOrdenes[[#This Row],[orden]]="","",MAX(0,_xlfn.XLOOKUP(tblOrdenes[[#This Row],[id_operacion]],tblEjecucion[id_operacion],tblEjecucion[costo_plan_total],0)-tblOrdenes[[#This Row],[costo_servicio]]))</f>
        <v/>
      </c>
      <c r="AN265" s="18">
        <f>IF(tblOrdenes[[#This Row],[orden]]="","",tblOrdenes[[#This Row],[costo_servicio]]+tblOrdenes[[#This Row],[costo_materiales]])</f>
        <v/>
      </c>
      <c r="AO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5">
        <f>IF(tblOrdenes[[#This Row],[link_checklist]]="","",HYPERLINK(p_ruta_base_checklists&amp;tblOrdenes[[#This Row],[link_checklist]],"abrir"))</f>
        <v/>
      </c>
      <c r="AT265" s="4" t="n"/>
      <c r="AU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5" t="n"/>
      <c r="K266" s="5" t="n"/>
      <c r="L266" s="18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Row],[fecha_inicio]]="","",tblOrdenes[[#This Row],[anio]]&amp;"-"&amp;TEXT(tblOrdenes[[#This Row],[mes]],"00"))</f>
        <v/>
      </c>
      <c r="S266" s="5">
        <f>IF(tblOrdenes[[#This Row],[fecha_inicio]]="","",INDEX(lista_dias,WEEKDAY(tblOrdenes[[#This Row],[fecha_inicio]],2)))</f>
        <v/>
      </c>
      <c r="T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5">
        <f>IF(tblOrdenes[[#This Row],[tipo_ot]]="","",_xlfn.XLOOKUP(tblOrdenes[[#This Row],[tipo_ot]],tblTiposOT[codigo],tblTiposOT[clasificacion],"sin_clasificar"))</f>
        <v/>
      </c>
      <c r="V2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5">
        <f>IF(tblOrdenes[[#This Row],[centro_costo]]="","",_xlfn.XLOOKUP(tblOrdenes[[#This Row],[centro_costo]],tblCECO[codigo],tblCECO[linea],"(sin catálogo)"))</f>
        <v/>
      </c>
      <c r="Y266" s="5">
        <f>IF(tblOrdenes[[#This Row],[centro_costo]]="","",_xlfn.XLOOKUP(tblOrdenes[[#This Row],[centro_costo]],tblCECO[codigo],tblCECO[area],"(sin catálogo)"))</f>
        <v/>
      </c>
      <c r="Z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5">
        <f>IF(tblOrdenes[[#This Row],[centro_costo]]="","",_xlfn.XLOOKUP(tblOrdenes[[#This Row],[centro_costo]],tblCECO[codigo],tblCECO[coordinador],"(sin catálogo)"))</f>
        <v/>
      </c>
      <c r="AB266" s="5">
        <f>IF(tblOrdenes[[#This Row],[puesto_trabajo]]="","",_xlfn.XLOOKUP(tblOrdenes[[#This Row],[puesto_trabajo]],tblPuestos[codigo],tblPuestos[especialidad],"(sin catálogo)"))</f>
        <v/>
      </c>
      <c r="AC266" s="5">
        <f>IF(tblOrdenes[[#This Row],[cod_actividad]]="","",_xlfn.XLOOKUP(tblOrdenes[[#This Row],[cod_actividad]],tblActividades[codigo],tblActividades[descripcion],"(sin catálogo)"))</f>
        <v/>
      </c>
      <c r="AD266" s="23">
        <f>IF(tblOrdenes[[#This Row],[fecha_inicio]]="","",TODAY()-tblOrdenes[[#This Row],[fecha_inicio]])</f>
        <v/>
      </c>
      <c r="AE2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5">
        <f>IF(tblOrdenes[[#This Row],[backlog_habiles]]="","",IF(tblOrdenes[[#This Row],[backlog_habiles]]&lt;0,"FUTURO",IF(tblOrdenes[[#This Row],[backlog_habiles]]&gt;p_dias_backlog_max,"BACKLOG","MES CORRIENTE")))</f>
        <v/>
      </c>
      <c r="AG266" s="5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18">
        <f>IF(tblOrdenes[[#This Row],[orden]]="","",_xlfn.XLOOKUP(tblOrdenes[[#This Row],[id_operacion]],tblEjecucion[id_operacion],tblEjecucion[precio],0))</f>
        <v/>
      </c>
      <c r="AM266" s="18">
        <f>IF(tblOrdenes[[#This Row],[orden]]="","",MAX(0,_xlfn.XLOOKUP(tblOrdenes[[#This Row],[id_operacion]],tblEjecucion[id_operacion],tblEjecucion[costo_plan_total],0)-tblOrdenes[[#This Row],[costo_servicio]]))</f>
        <v/>
      </c>
      <c r="AN266" s="18">
        <f>IF(tblOrdenes[[#This Row],[orden]]="","",tblOrdenes[[#This Row],[costo_servicio]]+tblOrdenes[[#This Row],[costo_materiales]])</f>
        <v/>
      </c>
      <c r="AO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5">
        <f>IF(tblOrdenes[[#This Row],[link_checklist]]="","",HYPERLINK(p_ruta_base_checklists&amp;tblOrdenes[[#This Row],[link_checklist]],"abrir"))</f>
        <v/>
      </c>
      <c r="AT266" s="4" t="n"/>
      <c r="AU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5" t="n"/>
      <c r="K267" s="5" t="n"/>
      <c r="L267" s="18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Row],[fecha_inicio]]="","",tblOrdenes[[#This Row],[anio]]&amp;"-"&amp;TEXT(tblOrdenes[[#This Row],[mes]],"00"))</f>
        <v/>
      </c>
      <c r="S267" s="5">
        <f>IF(tblOrdenes[[#This Row],[fecha_inicio]]="","",INDEX(lista_dias,WEEKDAY(tblOrdenes[[#This Row],[fecha_inicio]],2)))</f>
        <v/>
      </c>
      <c r="T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5">
        <f>IF(tblOrdenes[[#This Row],[tipo_ot]]="","",_xlfn.XLOOKUP(tblOrdenes[[#This Row],[tipo_ot]],tblTiposOT[codigo],tblTiposOT[clasificacion],"sin_clasificar"))</f>
        <v/>
      </c>
      <c r="V2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5">
        <f>IF(tblOrdenes[[#This Row],[centro_costo]]="","",_xlfn.XLOOKUP(tblOrdenes[[#This Row],[centro_costo]],tblCECO[codigo],tblCECO[linea],"(sin catálogo)"))</f>
        <v/>
      </c>
      <c r="Y267" s="5">
        <f>IF(tblOrdenes[[#This Row],[centro_costo]]="","",_xlfn.XLOOKUP(tblOrdenes[[#This Row],[centro_costo]],tblCECO[codigo],tblCECO[area],"(sin catálogo)"))</f>
        <v/>
      </c>
      <c r="Z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5">
        <f>IF(tblOrdenes[[#This Row],[centro_costo]]="","",_xlfn.XLOOKUP(tblOrdenes[[#This Row],[centro_costo]],tblCECO[codigo],tblCECO[coordinador],"(sin catálogo)"))</f>
        <v/>
      </c>
      <c r="AB267" s="5">
        <f>IF(tblOrdenes[[#This Row],[puesto_trabajo]]="","",_xlfn.XLOOKUP(tblOrdenes[[#This Row],[puesto_trabajo]],tblPuestos[codigo],tblPuestos[especialidad],"(sin catálogo)"))</f>
        <v/>
      </c>
      <c r="AC267" s="5">
        <f>IF(tblOrdenes[[#This Row],[cod_actividad]]="","",_xlfn.XLOOKUP(tblOrdenes[[#This Row],[cod_actividad]],tblActividades[codigo],tblActividades[descripcion],"(sin catálogo)"))</f>
        <v/>
      </c>
      <c r="AD267" s="23">
        <f>IF(tblOrdenes[[#This Row],[fecha_inicio]]="","",TODAY()-tblOrdenes[[#This Row],[fecha_inicio]])</f>
        <v/>
      </c>
      <c r="AE2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5">
        <f>IF(tblOrdenes[[#This Row],[backlog_habiles]]="","",IF(tblOrdenes[[#This Row],[backlog_habiles]]&lt;0,"FUTURO",IF(tblOrdenes[[#This Row],[backlog_habiles]]&gt;p_dias_backlog_max,"BACKLOG","MES CORRIENTE")))</f>
        <v/>
      </c>
      <c r="AG267" s="5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18">
        <f>IF(tblOrdenes[[#This Row],[orden]]="","",_xlfn.XLOOKUP(tblOrdenes[[#This Row],[id_operacion]],tblEjecucion[id_operacion],tblEjecucion[precio],0))</f>
        <v/>
      </c>
      <c r="AM267" s="18">
        <f>IF(tblOrdenes[[#This Row],[orden]]="","",MAX(0,_xlfn.XLOOKUP(tblOrdenes[[#This Row],[id_operacion]],tblEjecucion[id_operacion],tblEjecucion[costo_plan_total],0)-tblOrdenes[[#This Row],[costo_servicio]]))</f>
        <v/>
      </c>
      <c r="AN267" s="18">
        <f>IF(tblOrdenes[[#This Row],[orden]]="","",tblOrdenes[[#This Row],[costo_servicio]]+tblOrdenes[[#This Row],[costo_materiales]])</f>
        <v/>
      </c>
      <c r="AO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5">
        <f>IF(tblOrdenes[[#This Row],[link_checklist]]="","",HYPERLINK(p_ruta_base_checklists&amp;tblOrdenes[[#This Row],[link_checklist]],"abrir"))</f>
        <v/>
      </c>
      <c r="AT267" s="4" t="n"/>
      <c r="AU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5" t="n"/>
      <c r="K268" s="5" t="n"/>
      <c r="L268" s="18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Row],[fecha_inicio]]="","",tblOrdenes[[#This Row],[anio]]&amp;"-"&amp;TEXT(tblOrdenes[[#This Row],[mes]],"00"))</f>
        <v/>
      </c>
      <c r="S268" s="5">
        <f>IF(tblOrdenes[[#This Row],[fecha_inicio]]="","",INDEX(lista_dias,WEEKDAY(tblOrdenes[[#This Row],[fecha_inicio]],2)))</f>
        <v/>
      </c>
      <c r="T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5">
        <f>IF(tblOrdenes[[#This Row],[tipo_ot]]="","",_xlfn.XLOOKUP(tblOrdenes[[#This Row],[tipo_ot]],tblTiposOT[codigo],tblTiposOT[clasificacion],"sin_clasificar"))</f>
        <v/>
      </c>
      <c r="V2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5">
        <f>IF(tblOrdenes[[#This Row],[centro_costo]]="","",_xlfn.XLOOKUP(tblOrdenes[[#This Row],[centro_costo]],tblCECO[codigo],tblCECO[linea],"(sin catálogo)"))</f>
        <v/>
      </c>
      <c r="Y268" s="5">
        <f>IF(tblOrdenes[[#This Row],[centro_costo]]="","",_xlfn.XLOOKUP(tblOrdenes[[#This Row],[centro_costo]],tblCECO[codigo],tblCECO[area],"(sin catálogo)"))</f>
        <v/>
      </c>
      <c r="Z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5">
        <f>IF(tblOrdenes[[#This Row],[centro_costo]]="","",_xlfn.XLOOKUP(tblOrdenes[[#This Row],[centro_costo]],tblCECO[codigo],tblCECO[coordinador],"(sin catálogo)"))</f>
        <v/>
      </c>
      <c r="AB268" s="5">
        <f>IF(tblOrdenes[[#This Row],[puesto_trabajo]]="","",_xlfn.XLOOKUP(tblOrdenes[[#This Row],[puesto_trabajo]],tblPuestos[codigo],tblPuestos[especialidad],"(sin catálogo)"))</f>
        <v/>
      </c>
      <c r="AC268" s="5">
        <f>IF(tblOrdenes[[#This Row],[cod_actividad]]="","",_xlfn.XLOOKUP(tblOrdenes[[#This Row],[cod_actividad]],tblActividades[codigo],tblActividades[descripcion],"(sin catálogo)"))</f>
        <v/>
      </c>
      <c r="AD268" s="23">
        <f>IF(tblOrdenes[[#This Row],[fecha_inicio]]="","",TODAY()-tblOrdenes[[#This Row],[fecha_inicio]])</f>
        <v/>
      </c>
      <c r="AE2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5">
        <f>IF(tblOrdenes[[#This Row],[backlog_habiles]]="","",IF(tblOrdenes[[#This Row],[backlog_habiles]]&lt;0,"FUTURO",IF(tblOrdenes[[#This Row],[backlog_habiles]]&gt;p_dias_backlog_max,"BACKLOG","MES CORRIENTE")))</f>
        <v/>
      </c>
      <c r="AG268" s="5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18">
        <f>IF(tblOrdenes[[#This Row],[orden]]="","",_xlfn.XLOOKUP(tblOrdenes[[#This Row],[id_operacion]],tblEjecucion[id_operacion],tblEjecucion[precio],0))</f>
        <v/>
      </c>
      <c r="AM268" s="18">
        <f>IF(tblOrdenes[[#This Row],[orden]]="","",MAX(0,_xlfn.XLOOKUP(tblOrdenes[[#This Row],[id_operacion]],tblEjecucion[id_operacion],tblEjecucion[costo_plan_total],0)-tblOrdenes[[#This Row],[costo_servicio]]))</f>
        <v/>
      </c>
      <c r="AN268" s="18">
        <f>IF(tblOrdenes[[#This Row],[orden]]="","",tblOrdenes[[#This Row],[costo_servicio]]+tblOrdenes[[#This Row],[costo_materiales]])</f>
        <v/>
      </c>
      <c r="AO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5">
        <f>IF(tblOrdenes[[#This Row],[link_checklist]]="","",HYPERLINK(p_ruta_base_checklists&amp;tblOrdenes[[#This Row],[link_checklist]],"abrir"))</f>
        <v/>
      </c>
      <c r="AT268" s="4" t="n"/>
      <c r="AU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5" t="n"/>
      <c r="K269" s="5" t="n"/>
      <c r="L269" s="18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Row],[fecha_inicio]]="","",tblOrdenes[[#This Row],[anio]]&amp;"-"&amp;TEXT(tblOrdenes[[#This Row],[mes]],"00"))</f>
        <v/>
      </c>
      <c r="S269" s="5">
        <f>IF(tblOrdenes[[#This Row],[fecha_inicio]]="","",INDEX(lista_dias,WEEKDAY(tblOrdenes[[#This Row],[fecha_inicio]],2)))</f>
        <v/>
      </c>
      <c r="T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5">
        <f>IF(tblOrdenes[[#This Row],[tipo_ot]]="","",_xlfn.XLOOKUP(tblOrdenes[[#This Row],[tipo_ot]],tblTiposOT[codigo],tblTiposOT[clasificacion],"sin_clasificar"))</f>
        <v/>
      </c>
      <c r="V2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5">
        <f>IF(tblOrdenes[[#This Row],[centro_costo]]="","",_xlfn.XLOOKUP(tblOrdenes[[#This Row],[centro_costo]],tblCECO[codigo],tblCECO[linea],"(sin catálogo)"))</f>
        <v/>
      </c>
      <c r="Y269" s="5">
        <f>IF(tblOrdenes[[#This Row],[centro_costo]]="","",_xlfn.XLOOKUP(tblOrdenes[[#This Row],[centro_costo]],tblCECO[codigo],tblCECO[area],"(sin catálogo)"))</f>
        <v/>
      </c>
      <c r="Z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5">
        <f>IF(tblOrdenes[[#This Row],[centro_costo]]="","",_xlfn.XLOOKUP(tblOrdenes[[#This Row],[centro_costo]],tblCECO[codigo],tblCECO[coordinador],"(sin catálogo)"))</f>
        <v/>
      </c>
      <c r="AB269" s="5">
        <f>IF(tblOrdenes[[#This Row],[puesto_trabajo]]="","",_xlfn.XLOOKUP(tblOrdenes[[#This Row],[puesto_trabajo]],tblPuestos[codigo],tblPuestos[especialidad],"(sin catálogo)"))</f>
        <v/>
      </c>
      <c r="AC269" s="5">
        <f>IF(tblOrdenes[[#This Row],[cod_actividad]]="","",_xlfn.XLOOKUP(tblOrdenes[[#This Row],[cod_actividad]],tblActividades[codigo],tblActividades[descripcion],"(sin catálogo)"))</f>
        <v/>
      </c>
      <c r="AD269" s="23">
        <f>IF(tblOrdenes[[#This Row],[fecha_inicio]]="","",TODAY()-tblOrdenes[[#This Row],[fecha_inicio]])</f>
        <v/>
      </c>
      <c r="AE2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5">
        <f>IF(tblOrdenes[[#This Row],[backlog_habiles]]="","",IF(tblOrdenes[[#This Row],[backlog_habiles]]&lt;0,"FUTURO",IF(tblOrdenes[[#This Row],[backlog_habiles]]&gt;p_dias_backlog_max,"BACKLOG","MES CORRIENTE")))</f>
        <v/>
      </c>
      <c r="AG269" s="5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18">
        <f>IF(tblOrdenes[[#This Row],[orden]]="","",_xlfn.XLOOKUP(tblOrdenes[[#This Row],[id_operacion]],tblEjecucion[id_operacion],tblEjecucion[precio],0))</f>
        <v/>
      </c>
      <c r="AM269" s="18">
        <f>IF(tblOrdenes[[#This Row],[orden]]="","",MAX(0,_xlfn.XLOOKUP(tblOrdenes[[#This Row],[id_operacion]],tblEjecucion[id_operacion],tblEjecucion[costo_plan_total],0)-tblOrdenes[[#This Row],[costo_servicio]]))</f>
        <v/>
      </c>
      <c r="AN269" s="18">
        <f>IF(tblOrdenes[[#This Row],[orden]]="","",tblOrdenes[[#This Row],[costo_servicio]]+tblOrdenes[[#This Row],[costo_materiales]])</f>
        <v/>
      </c>
      <c r="AO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5">
        <f>IF(tblOrdenes[[#This Row],[link_checklist]]="","",HYPERLINK(p_ruta_base_checklists&amp;tblOrdenes[[#This Row],[link_checklist]],"abrir"))</f>
        <v/>
      </c>
      <c r="AT269" s="4" t="n"/>
      <c r="AU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5" t="n"/>
      <c r="K270" s="5" t="n"/>
      <c r="L270" s="18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Row],[fecha_inicio]]="","",tblOrdenes[[#This Row],[anio]]&amp;"-"&amp;TEXT(tblOrdenes[[#This Row],[mes]],"00"))</f>
        <v/>
      </c>
      <c r="S270" s="5">
        <f>IF(tblOrdenes[[#This Row],[fecha_inicio]]="","",INDEX(lista_dias,WEEKDAY(tblOrdenes[[#This Row],[fecha_inicio]],2)))</f>
        <v/>
      </c>
      <c r="T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5">
        <f>IF(tblOrdenes[[#This Row],[tipo_ot]]="","",_xlfn.XLOOKUP(tblOrdenes[[#This Row],[tipo_ot]],tblTiposOT[codigo],tblTiposOT[clasificacion],"sin_clasificar"))</f>
        <v/>
      </c>
      <c r="V2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5">
        <f>IF(tblOrdenes[[#This Row],[centro_costo]]="","",_xlfn.XLOOKUP(tblOrdenes[[#This Row],[centro_costo]],tblCECO[codigo],tblCECO[linea],"(sin catálogo)"))</f>
        <v/>
      </c>
      <c r="Y270" s="5">
        <f>IF(tblOrdenes[[#This Row],[centro_costo]]="","",_xlfn.XLOOKUP(tblOrdenes[[#This Row],[centro_costo]],tblCECO[codigo],tblCECO[area],"(sin catálogo)"))</f>
        <v/>
      </c>
      <c r="Z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5">
        <f>IF(tblOrdenes[[#This Row],[centro_costo]]="","",_xlfn.XLOOKUP(tblOrdenes[[#This Row],[centro_costo]],tblCECO[codigo],tblCECO[coordinador],"(sin catálogo)"))</f>
        <v/>
      </c>
      <c r="AB270" s="5">
        <f>IF(tblOrdenes[[#This Row],[puesto_trabajo]]="","",_xlfn.XLOOKUP(tblOrdenes[[#This Row],[puesto_trabajo]],tblPuestos[codigo],tblPuestos[especialidad],"(sin catálogo)"))</f>
        <v/>
      </c>
      <c r="AC270" s="5">
        <f>IF(tblOrdenes[[#This Row],[cod_actividad]]="","",_xlfn.XLOOKUP(tblOrdenes[[#This Row],[cod_actividad]],tblActividades[codigo],tblActividades[descripcion],"(sin catálogo)"))</f>
        <v/>
      </c>
      <c r="AD270" s="23">
        <f>IF(tblOrdenes[[#This Row],[fecha_inicio]]="","",TODAY()-tblOrdenes[[#This Row],[fecha_inicio]])</f>
        <v/>
      </c>
      <c r="AE2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5">
        <f>IF(tblOrdenes[[#This Row],[backlog_habiles]]="","",IF(tblOrdenes[[#This Row],[backlog_habiles]]&lt;0,"FUTURO",IF(tblOrdenes[[#This Row],[backlog_habiles]]&gt;p_dias_backlog_max,"BACKLOG","MES CORRIENTE")))</f>
        <v/>
      </c>
      <c r="AG270" s="5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18">
        <f>IF(tblOrdenes[[#This Row],[orden]]="","",_xlfn.XLOOKUP(tblOrdenes[[#This Row],[id_operacion]],tblEjecucion[id_operacion],tblEjecucion[precio],0))</f>
        <v/>
      </c>
      <c r="AM270" s="18">
        <f>IF(tblOrdenes[[#This Row],[orden]]="","",MAX(0,_xlfn.XLOOKUP(tblOrdenes[[#This Row],[id_operacion]],tblEjecucion[id_operacion],tblEjecucion[costo_plan_total],0)-tblOrdenes[[#This Row],[costo_servicio]]))</f>
        <v/>
      </c>
      <c r="AN270" s="18">
        <f>IF(tblOrdenes[[#This Row],[orden]]="","",tblOrdenes[[#This Row],[costo_servicio]]+tblOrdenes[[#This Row],[costo_materiales]])</f>
        <v/>
      </c>
      <c r="AO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5">
        <f>IF(tblOrdenes[[#This Row],[link_checklist]]="","",HYPERLINK(p_ruta_base_checklists&amp;tblOrdenes[[#This Row],[link_checklist]],"abrir"))</f>
        <v/>
      </c>
      <c r="AT270" s="4" t="n"/>
      <c r="AU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5" t="n"/>
      <c r="K271" s="5" t="n"/>
      <c r="L271" s="18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Row],[fecha_inicio]]="","",tblOrdenes[[#This Row],[anio]]&amp;"-"&amp;TEXT(tblOrdenes[[#This Row],[mes]],"00"))</f>
        <v/>
      </c>
      <c r="S271" s="5">
        <f>IF(tblOrdenes[[#This Row],[fecha_inicio]]="","",INDEX(lista_dias,WEEKDAY(tblOrdenes[[#This Row],[fecha_inicio]],2)))</f>
        <v/>
      </c>
      <c r="T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5">
        <f>IF(tblOrdenes[[#This Row],[tipo_ot]]="","",_xlfn.XLOOKUP(tblOrdenes[[#This Row],[tipo_ot]],tblTiposOT[codigo],tblTiposOT[clasificacion],"sin_clasificar"))</f>
        <v/>
      </c>
      <c r="V2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5">
        <f>IF(tblOrdenes[[#This Row],[centro_costo]]="","",_xlfn.XLOOKUP(tblOrdenes[[#This Row],[centro_costo]],tblCECO[codigo],tblCECO[linea],"(sin catálogo)"))</f>
        <v/>
      </c>
      <c r="Y271" s="5">
        <f>IF(tblOrdenes[[#This Row],[centro_costo]]="","",_xlfn.XLOOKUP(tblOrdenes[[#This Row],[centro_costo]],tblCECO[codigo],tblCECO[area],"(sin catálogo)"))</f>
        <v/>
      </c>
      <c r="Z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5">
        <f>IF(tblOrdenes[[#This Row],[centro_costo]]="","",_xlfn.XLOOKUP(tblOrdenes[[#This Row],[centro_costo]],tblCECO[codigo],tblCECO[coordinador],"(sin catálogo)"))</f>
        <v/>
      </c>
      <c r="AB271" s="5">
        <f>IF(tblOrdenes[[#This Row],[puesto_trabajo]]="","",_xlfn.XLOOKUP(tblOrdenes[[#This Row],[puesto_trabajo]],tblPuestos[codigo],tblPuestos[especialidad],"(sin catálogo)"))</f>
        <v/>
      </c>
      <c r="AC271" s="5">
        <f>IF(tblOrdenes[[#This Row],[cod_actividad]]="","",_xlfn.XLOOKUP(tblOrdenes[[#This Row],[cod_actividad]],tblActividades[codigo],tblActividades[descripcion],"(sin catálogo)"))</f>
        <v/>
      </c>
      <c r="AD271" s="23">
        <f>IF(tblOrdenes[[#This Row],[fecha_inicio]]="","",TODAY()-tblOrdenes[[#This Row],[fecha_inicio]])</f>
        <v/>
      </c>
      <c r="AE2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5">
        <f>IF(tblOrdenes[[#This Row],[backlog_habiles]]="","",IF(tblOrdenes[[#This Row],[backlog_habiles]]&lt;0,"FUTURO",IF(tblOrdenes[[#This Row],[backlog_habiles]]&gt;p_dias_backlog_max,"BACKLOG","MES CORRIENTE")))</f>
        <v/>
      </c>
      <c r="AG271" s="5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18">
        <f>IF(tblOrdenes[[#This Row],[orden]]="","",_xlfn.XLOOKUP(tblOrdenes[[#This Row],[id_operacion]],tblEjecucion[id_operacion],tblEjecucion[precio],0))</f>
        <v/>
      </c>
      <c r="AM271" s="18">
        <f>IF(tblOrdenes[[#This Row],[orden]]="","",MAX(0,_xlfn.XLOOKUP(tblOrdenes[[#This Row],[id_operacion]],tblEjecucion[id_operacion],tblEjecucion[costo_plan_total],0)-tblOrdenes[[#This Row],[costo_servicio]]))</f>
        <v/>
      </c>
      <c r="AN271" s="18">
        <f>IF(tblOrdenes[[#This Row],[orden]]="","",tblOrdenes[[#This Row],[costo_servicio]]+tblOrdenes[[#This Row],[costo_materiales]])</f>
        <v/>
      </c>
      <c r="AO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5">
        <f>IF(tblOrdenes[[#This Row],[link_checklist]]="","",HYPERLINK(p_ruta_base_checklists&amp;tblOrdenes[[#This Row],[link_checklist]],"abrir"))</f>
        <v/>
      </c>
      <c r="AT271" s="4" t="n"/>
      <c r="AU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5" t="n"/>
      <c r="K272" s="5" t="n"/>
      <c r="L272" s="18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Row],[fecha_inicio]]="","",tblOrdenes[[#This Row],[anio]]&amp;"-"&amp;TEXT(tblOrdenes[[#This Row],[mes]],"00"))</f>
        <v/>
      </c>
      <c r="S272" s="5">
        <f>IF(tblOrdenes[[#This Row],[fecha_inicio]]="","",INDEX(lista_dias,WEEKDAY(tblOrdenes[[#This Row],[fecha_inicio]],2)))</f>
        <v/>
      </c>
      <c r="T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5">
        <f>IF(tblOrdenes[[#This Row],[tipo_ot]]="","",_xlfn.XLOOKUP(tblOrdenes[[#This Row],[tipo_ot]],tblTiposOT[codigo],tblTiposOT[clasificacion],"sin_clasificar"))</f>
        <v/>
      </c>
      <c r="V2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5">
        <f>IF(tblOrdenes[[#This Row],[centro_costo]]="","",_xlfn.XLOOKUP(tblOrdenes[[#This Row],[centro_costo]],tblCECO[codigo],tblCECO[linea],"(sin catálogo)"))</f>
        <v/>
      </c>
      <c r="Y272" s="5">
        <f>IF(tblOrdenes[[#This Row],[centro_costo]]="","",_xlfn.XLOOKUP(tblOrdenes[[#This Row],[centro_costo]],tblCECO[codigo],tblCECO[area],"(sin catálogo)"))</f>
        <v/>
      </c>
      <c r="Z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5">
        <f>IF(tblOrdenes[[#This Row],[centro_costo]]="","",_xlfn.XLOOKUP(tblOrdenes[[#This Row],[centro_costo]],tblCECO[codigo],tblCECO[coordinador],"(sin catálogo)"))</f>
        <v/>
      </c>
      <c r="AB272" s="5">
        <f>IF(tblOrdenes[[#This Row],[puesto_trabajo]]="","",_xlfn.XLOOKUP(tblOrdenes[[#This Row],[puesto_trabajo]],tblPuestos[codigo],tblPuestos[especialidad],"(sin catálogo)"))</f>
        <v/>
      </c>
      <c r="AC272" s="5">
        <f>IF(tblOrdenes[[#This Row],[cod_actividad]]="","",_xlfn.XLOOKUP(tblOrdenes[[#This Row],[cod_actividad]],tblActividades[codigo],tblActividades[descripcion],"(sin catálogo)"))</f>
        <v/>
      </c>
      <c r="AD272" s="23">
        <f>IF(tblOrdenes[[#This Row],[fecha_inicio]]="","",TODAY()-tblOrdenes[[#This Row],[fecha_inicio]])</f>
        <v/>
      </c>
      <c r="AE2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5">
        <f>IF(tblOrdenes[[#This Row],[backlog_habiles]]="","",IF(tblOrdenes[[#This Row],[backlog_habiles]]&lt;0,"FUTURO",IF(tblOrdenes[[#This Row],[backlog_habiles]]&gt;p_dias_backlog_max,"BACKLOG","MES CORRIENTE")))</f>
        <v/>
      </c>
      <c r="AG272" s="5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18">
        <f>IF(tblOrdenes[[#This Row],[orden]]="","",_xlfn.XLOOKUP(tblOrdenes[[#This Row],[id_operacion]],tblEjecucion[id_operacion],tblEjecucion[precio],0))</f>
        <v/>
      </c>
      <c r="AM272" s="18">
        <f>IF(tblOrdenes[[#This Row],[orden]]="","",MAX(0,_xlfn.XLOOKUP(tblOrdenes[[#This Row],[id_operacion]],tblEjecucion[id_operacion],tblEjecucion[costo_plan_total],0)-tblOrdenes[[#This Row],[costo_servicio]]))</f>
        <v/>
      </c>
      <c r="AN272" s="18">
        <f>IF(tblOrdenes[[#This Row],[orden]]="","",tblOrdenes[[#This Row],[costo_servicio]]+tblOrdenes[[#This Row],[costo_materiales]])</f>
        <v/>
      </c>
      <c r="AO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5">
        <f>IF(tblOrdenes[[#This Row],[link_checklist]]="","",HYPERLINK(p_ruta_base_checklists&amp;tblOrdenes[[#This Row],[link_checklist]],"abrir"))</f>
        <v/>
      </c>
      <c r="AT272" s="4" t="n"/>
      <c r="AU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5" t="n"/>
      <c r="K273" s="5" t="n"/>
      <c r="L273" s="18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Row],[fecha_inicio]]="","",tblOrdenes[[#This Row],[anio]]&amp;"-"&amp;TEXT(tblOrdenes[[#This Row],[mes]],"00"))</f>
        <v/>
      </c>
      <c r="S273" s="5">
        <f>IF(tblOrdenes[[#This Row],[fecha_inicio]]="","",INDEX(lista_dias,WEEKDAY(tblOrdenes[[#This Row],[fecha_inicio]],2)))</f>
        <v/>
      </c>
      <c r="T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5">
        <f>IF(tblOrdenes[[#This Row],[tipo_ot]]="","",_xlfn.XLOOKUP(tblOrdenes[[#This Row],[tipo_ot]],tblTiposOT[codigo],tblTiposOT[clasificacion],"sin_clasificar"))</f>
        <v/>
      </c>
      <c r="V2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5">
        <f>IF(tblOrdenes[[#This Row],[centro_costo]]="","",_xlfn.XLOOKUP(tblOrdenes[[#This Row],[centro_costo]],tblCECO[codigo],tblCECO[linea],"(sin catálogo)"))</f>
        <v/>
      </c>
      <c r="Y273" s="5">
        <f>IF(tblOrdenes[[#This Row],[centro_costo]]="","",_xlfn.XLOOKUP(tblOrdenes[[#This Row],[centro_costo]],tblCECO[codigo],tblCECO[area],"(sin catálogo)"))</f>
        <v/>
      </c>
      <c r="Z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5">
        <f>IF(tblOrdenes[[#This Row],[centro_costo]]="","",_xlfn.XLOOKUP(tblOrdenes[[#This Row],[centro_costo]],tblCECO[codigo],tblCECO[coordinador],"(sin catálogo)"))</f>
        <v/>
      </c>
      <c r="AB273" s="5">
        <f>IF(tblOrdenes[[#This Row],[puesto_trabajo]]="","",_xlfn.XLOOKUP(tblOrdenes[[#This Row],[puesto_trabajo]],tblPuestos[codigo],tblPuestos[especialidad],"(sin catálogo)"))</f>
        <v/>
      </c>
      <c r="AC273" s="5">
        <f>IF(tblOrdenes[[#This Row],[cod_actividad]]="","",_xlfn.XLOOKUP(tblOrdenes[[#This Row],[cod_actividad]],tblActividades[codigo],tblActividades[descripcion],"(sin catálogo)"))</f>
        <v/>
      </c>
      <c r="AD273" s="23">
        <f>IF(tblOrdenes[[#This Row],[fecha_inicio]]="","",TODAY()-tblOrdenes[[#This Row],[fecha_inicio]])</f>
        <v/>
      </c>
      <c r="AE2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5">
        <f>IF(tblOrdenes[[#This Row],[backlog_habiles]]="","",IF(tblOrdenes[[#This Row],[backlog_habiles]]&lt;0,"FUTURO",IF(tblOrdenes[[#This Row],[backlog_habiles]]&gt;p_dias_backlog_max,"BACKLOG","MES CORRIENTE")))</f>
        <v/>
      </c>
      <c r="AG273" s="5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18">
        <f>IF(tblOrdenes[[#This Row],[orden]]="","",_xlfn.XLOOKUP(tblOrdenes[[#This Row],[id_operacion]],tblEjecucion[id_operacion],tblEjecucion[precio],0))</f>
        <v/>
      </c>
      <c r="AM273" s="18">
        <f>IF(tblOrdenes[[#This Row],[orden]]="","",MAX(0,_xlfn.XLOOKUP(tblOrdenes[[#This Row],[id_operacion]],tblEjecucion[id_operacion],tblEjecucion[costo_plan_total],0)-tblOrdenes[[#This Row],[costo_servicio]]))</f>
        <v/>
      </c>
      <c r="AN273" s="18">
        <f>IF(tblOrdenes[[#This Row],[orden]]="","",tblOrdenes[[#This Row],[costo_servicio]]+tblOrdenes[[#This Row],[costo_materiales]])</f>
        <v/>
      </c>
      <c r="AO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5">
        <f>IF(tblOrdenes[[#This Row],[link_checklist]]="","",HYPERLINK(p_ruta_base_checklists&amp;tblOrdenes[[#This Row],[link_checklist]],"abrir"))</f>
        <v/>
      </c>
      <c r="AT273" s="4" t="n"/>
      <c r="AU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5" t="n"/>
      <c r="K274" s="5" t="n"/>
      <c r="L274" s="18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Row],[fecha_inicio]]="","",tblOrdenes[[#This Row],[anio]]&amp;"-"&amp;TEXT(tblOrdenes[[#This Row],[mes]],"00"))</f>
        <v/>
      </c>
      <c r="S274" s="5">
        <f>IF(tblOrdenes[[#This Row],[fecha_inicio]]="","",INDEX(lista_dias,WEEKDAY(tblOrdenes[[#This Row],[fecha_inicio]],2)))</f>
        <v/>
      </c>
      <c r="T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5">
        <f>IF(tblOrdenes[[#This Row],[tipo_ot]]="","",_xlfn.XLOOKUP(tblOrdenes[[#This Row],[tipo_ot]],tblTiposOT[codigo],tblTiposOT[clasificacion],"sin_clasificar"))</f>
        <v/>
      </c>
      <c r="V2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5">
        <f>IF(tblOrdenes[[#This Row],[centro_costo]]="","",_xlfn.XLOOKUP(tblOrdenes[[#This Row],[centro_costo]],tblCECO[codigo],tblCECO[linea],"(sin catálogo)"))</f>
        <v/>
      </c>
      <c r="Y274" s="5">
        <f>IF(tblOrdenes[[#This Row],[centro_costo]]="","",_xlfn.XLOOKUP(tblOrdenes[[#This Row],[centro_costo]],tblCECO[codigo],tblCECO[area],"(sin catálogo)"))</f>
        <v/>
      </c>
      <c r="Z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5">
        <f>IF(tblOrdenes[[#This Row],[centro_costo]]="","",_xlfn.XLOOKUP(tblOrdenes[[#This Row],[centro_costo]],tblCECO[codigo],tblCECO[coordinador],"(sin catálogo)"))</f>
        <v/>
      </c>
      <c r="AB274" s="5">
        <f>IF(tblOrdenes[[#This Row],[puesto_trabajo]]="","",_xlfn.XLOOKUP(tblOrdenes[[#This Row],[puesto_trabajo]],tblPuestos[codigo],tblPuestos[especialidad],"(sin catálogo)"))</f>
        <v/>
      </c>
      <c r="AC274" s="5">
        <f>IF(tblOrdenes[[#This Row],[cod_actividad]]="","",_xlfn.XLOOKUP(tblOrdenes[[#This Row],[cod_actividad]],tblActividades[codigo],tblActividades[descripcion],"(sin catálogo)"))</f>
        <v/>
      </c>
      <c r="AD274" s="23">
        <f>IF(tblOrdenes[[#This Row],[fecha_inicio]]="","",TODAY()-tblOrdenes[[#This Row],[fecha_inicio]])</f>
        <v/>
      </c>
      <c r="AE2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5">
        <f>IF(tblOrdenes[[#This Row],[backlog_habiles]]="","",IF(tblOrdenes[[#This Row],[backlog_habiles]]&lt;0,"FUTURO",IF(tblOrdenes[[#This Row],[backlog_habiles]]&gt;p_dias_backlog_max,"BACKLOG","MES CORRIENTE")))</f>
        <v/>
      </c>
      <c r="AG274" s="5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18">
        <f>IF(tblOrdenes[[#This Row],[orden]]="","",_xlfn.XLOOKUP(tblOrdenes[[#This Row],[id_operacion]],tblEjecucion[id_operacion],tblEjecucion[precio],0))</f>
        <v/>
      </c>
      <c r="AM274" s="18">
        <f>IF(tblOrdenes[[#This Row],[orden]]="","",MAX(0,_xlfn.XLOOKUP(tblOrdenes[[#This Row],[id_operacion]],tblEjecucion[id_operacion],tblEjecucion[costo_plan_total],0)-tblOrdenes[[#This Row],[costo_servicio]]))</f>
        <v/>
      </c>
      <c r="AN274" s="18">
        <f>IF(tblOrdenes[[#This Row],[orden]]="","",tblOrdenes[[#This Row],[costo_servicio]]+tblOrdenes[[#This Row],[costo_materiales]])</f>
        <v/>
      </c>
      <c r="AO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5">
        <f>IF(tblOrdenes[[#This Row],[link_checklist]]="","",HYPERLINK(p_ruta_base_checklists&amp;tblOrdenes[[#This Row],[link_checklist]],"abrir"))</f>
        <v/>
      </c>
      <c r="AT274" s="4" t="n"/>
      <c r="AU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5" t="n"/>
      <c r="K275" s="5" t="n"/>
      <c r="L275" s="18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Row],[fecha_inicio]]="","",tblOrdenes[[#This Row],[anio]]&amp;"-"&amp;TEXT(tblOrdenes[[#This Row],[mes]],"00"))</f>
        <v/>
      </c>
      <c r="S275" s="5">
        <f>IF(tblOrdenes[[#This Row],[fecha_inicio]]="","",INDEX(lista_dias,WEEKDAY(tblOrdenes[[#This Row],[fecha_inicio]],2)))</f>
        <v/>
      </c>
      <c r="T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5">
        <f>IF(tblOrdenes[[#This Row],[tipo_ot]]="","",_xlfn.XLOOKUP(tblOrdenes[[#This Row],[tipo_ot]],tblTiposOT[codigo],tblTiposOT[clasificacion],"sin_clasificar"))</f>
        <v/>
      </c>
      <c r="V2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5">
        <f>IF(tblOrdenes[[#This Row],[centro_costo]]="","",_xlfn.XLOOKUP(tblOrdenes[[#This Row],[centro_costo]],tblCECO[codigo],tblCECO[linea],"(sin catálogo)"))</f>
        <v/>
      </c>
      <c r="Y275" s="5">
        <f>IF(tblOrdenes[[#This Row],[centro_costo]]="","",_xlfn.XLOOKUP(tblOrdenes[[#This Row],[centro_costo]],tblCECO[codigo],tblCECO[area],"(sin catálogo)"))</f>
        <v/>
      </c>
      <c r="Z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5">
        <f>IF(tblOrdenes[[#This Row],[centro_costo]]="","",_xlfn.XLOOKUP(tblOrdenes[[#This Row],[centro_costo]],tblCECO[codigo],tblCECO[coordinador],"(sin catálogo)"))</f>
        <v/>
      </c>
      <c r="AB275" s="5">
        <f>IF(tblOrdenes[[#This Row],[puesto_trabajo]]="","",_xlfn.XLOOKUP(tblOrdenes[[#This Row],[puesto_trabajo]],tblPuestos[codigo],tblPuestos[especialidad],"(sin catálogo)"))</f>
        <v/>
      </c>
      <c r="AC275" s="5">
        <f>IF(tblOrdenes[[#This Row],[cod_actividad]]="","",_xlfn.XLOOKUP(tblOrdenes[[#This Row],[cod_actividad]],tblActividades[codigo],tblActividades[descripcion],"(sin catálogo)"))</f>
        <v/>
      </c>
      <c r="AD275" s="23">
        <f>IF(tblOrdenes[[#This Row],[fecha_inicio]]="","",TODAY()-tblOrdenes[[#This Row],[fecha_inicio]])</f>
        <v/>
      </c>
      <c r="AE2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5">
        <f>IF(tblOrdenes[[#This Row],[backlog_habiles]]="","",IF(tblOrdenes[[#This Row],[backlog_habiles]]&lt;0,"FUTURO",IF(tblOrdenes[[#This Row],[backlog_habiles]]&gt;p_dias_backlog_max,"BACKLOG","MES CORRIENTE")))</f>
        <v/>
      </c>
      <c r="AG275" s="5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18">
        <f>IF(tblOrdenes[[#This Row],[orden]]="","",_xlfn.XLOOKUP(tblOrdenes[[#This Row],[id_operacion]],tblEjecucion[id_operacion],tblEjecucion[precio],0))</f>
        <v/>
      </c>
      <c r="AM275" s="18">
        <f>IF(tblOrdenes[[#This Row],[orden]]="","",MAX(0,_xlfn.XLOOKUP(tblOrdenes[[#This Row],[id_operacion]],tblEjecucion[id_operacion],tblEjecucion[costo_plan_total],0)-tblOrdenes[[#This Row],[costo_servicio]]))</f>
        <v/>
      </c>
      <c r="AN275" s="18">
        <f>IF(tblOrdenes[[#This Row],[orden]]="","",tblOrdenes[[#This Row],[costo_servicio]]+tblOrdenes[[#This Row],[costo_materiales]])</f>
        <v/>
      </c>
      <c r="AO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5">
        <f>IF(tblOrdenes[[#This Row],[link_checklist]]="","",HYPERLINK(p_ruta_base_checklists&amp;tblOrdenes[[#This Row],[link_checklist]],"abrir"))</f>
        <v/>
      </c>
      <c r="AT275" s="4" t="n"/>
      <c r="AU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5" t="n"/>
      <c r="K276" s="5" t="n"/>
      <c r="L276" s="18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Row],[fecha_inicio]]="","",tblOrdenes[[#This Row],[anio]]&amp;"-"&amp;TEXT(tblOrdenes[[#This Row],[mes]],"00"))</f>
        <v/>
      </c>
      <c r="S276" s="5">
        <f>IF(tblOrdenes[[#This Row],[fecha_inicio]]="","",INDEX(lista_dias,WEEKDAY(tblOrdenes[[#This Row],[fecha_inicio]],2)))</f>
        <v/>
      </c>
      <c r="T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5">
        <f>IF(tblOrdenes[[#This Row],[tipo_ot]]="","",_xlfn.XLOOKUP(tblOrdenes[[#This Row],[tipo_ot]],tblTiposOT[codigo],tblTiposOT[clasificacion],"sin_clasificar"))</f>
        <v/>
      </c>
      <c r="V2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5">
        <f>IF(tblOrdenes[[#This Row],[centro_costo]]="","",_xlfn.XLOOKUP(tblOrdenes[[#This Row],[centro_costo]],tblCECO[codigo],tblCECO[linea],"(sin catálogo)"))</f>
        <v/>
      </c>
      <c r="Y276" s="5">
        <f>IF(tblOrdenes[[#This Row],[centro_costo]]="","",_xlfn.XLOOKUP(tblOrdenes[[#This Row],[centro_costo]],tblCECO[codigo],tblCECO[area],"(sin catálogo)"))</f>
        <v/>
      </c>
      <c r="Z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5">
        <f>IF(tblOrdenes[[#This Row],[centro_costo]]="","",_xlfn.XLOOKUP(tblOrdenes[[#This Row],[centro_costo]],tblCECO[codigo],tblCECO[coordinador],"(sin catálogo)"))</f>
        <v/>
      </c>
      <c r="AB276" s="5">
        <f>IF(tblOrdenes[[#This Row],[puesto_trabajo]]="","",_xlfn.XLOOKUP(tblOrdenes[[#This Row],[puesto_trabajo]],tblPuestos[codigo],tblPuestos[especialidad],"(sin catálogo)"))</f>
        <v/>
      </c>
      <c r="AC276" s="5">
        <f>IF(tblOrdenes[[#This Row],[cod_actividad]]="","",_xlfn.XLOOKUP(tblOrdenes[[#This Row],[cod_actividad]],tblActividades[codigo],tblActividades[descripcion],"(sin catálogo)"))</f>
        <v/>
      </c>
      <c r="AD276" s="23">
        <f>IF(tblOrdenes[[#This Row],[fecha_inicio]]="","",TODAY()-tblOrdenes[[#This Row],[fecha_inicio]])</f>
        <v/>
      </c>
      <c r="AE2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5">
        <f>IF(tblOrdenes[[#This Row],[backlog_habiles]]="","",IF(tblOrdenes[[#This Row],[backlog_habiles]]&lt;0,"FUTURO",IF(tblOrdenes[[#This Row],[backlog_habiles]]&gt;p_dias_backlog_max,"BACKLOG","MES CORRIENTE")))</f>
        <v/>
      </c>
      <c r="AG276" s="5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18">
        <f>IF(tblOrdenes[[#This Row],[orden]]="","",_xlfn.XLOOKUP(tblOrdenes[[#This Row],[id_operacion]],tblEjecucion[id_operacion],tblEjecucion[precio],0))</f>
        <v/>
      </c>
      <c r="AM276" s="18">
        <f>IF(tblOrdenes[[#This Row],[orden]]="","",MAX(0,_xlfn.XLOOKUP(tblOrdenes[[#This Row],[id_operacion]],tblEjecucion[id_operacion],tblEjecucion[costo_plan_total],0)-tblOrdenes[[#This Row],[costo_servicio]]))</f>
        <v/>
      </c>
      <c r="AN276" s="18">
        <f>IF(tblOrdenes[[#This Row],[orden]]="","",tblOrdenes[[#This Row],[costo_servicio]]+tblOrdenes[[#This Row],[costo_materiales]])</f>
        <v/>
      </c>
      <c r="AO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5">
        <f>IF(tblOrdenes[[#This Row],[link_checklist]]="","",HYPERLINK(p_ruta_base_checklists&amp;tblOrdenes[[#This Row],[link_checklist]],"abrir"))</f>
        <v/>
      </c>
      <c r="AT276" s="4" t="n"/>
      <c r="AU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5" t="n"/>
      <c r="K277" s="5" t="n"/>
      <c r="L277" s="18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Row],[fecha_inicio]]="","",tblOrdenes[[#This Row],[anio]]&amp;"-"&amp;TEXT(tblOrdenes[[#This Row],[mes]],"00"))</f>
        <v/>
      </c>
      <c r="S277" s="5">
        <f>IF(tblOrdenes[[#This Row],[fecha_inicio]]="","",INDEX(lista_dias,WEEKDAY(tblOrdenes[[#This Row],[fecha_inicio]],2)))</f>
        <v/>
      </c>
      <c r="T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5">
        <f>IF(tblOrdenes[[#This Row],[tipo_ot]]="","",_xlfn.XLOOKUP(tblOrdenes[[#This Row],[tipo_ot]],tblTiposOT[codigo],tblTiposOT[clasificacion],"sin_clasificar"))</f>
        <v/>
      </c>
      <c r="V2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5">
        <f>IF(tblOrdenes[[#This Row],[centro_costo]]="","",_xlfn.XLOOKUP(tblOrdenes[[#This Row],[centro_costo]],tblCECO[codigo],tblCECO[linea],"(sin catálogo)"))</f>
        <v/>
      </c>
      <c r="Y277" s="5">
        <f>IF(tblOrdenes[[#This Row],[centro_costo]]="","",_xlfn.XLOOKUP(tblOrdenes[[#This Row],[centro_costo]],tblCECO[codigo],tblCECO[area],"(sin catálogo)"))</f>
        <v/>
      </c>
      <c r="Z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5">
        <f>IF(tblOrdenes[[#This Row],[centro_costo]]="","",_xlfn.XLOOKUP(tblOrdenes[[#This Row],[centro_costo]],tblCECO[codigo],tblCECO[coordinador],"(sin catálogo)"))</f>
        <v/>
      </c>
      <c r="AB277" s="5">
        <f>IF(tblOrdenes[[#This Row],[puesto_trabajo]]="","",_xlfn.XLOOKUP(tblOrdenes[[#This Row],[puesto_trabajo]],tblPuestos[codigo],tblPuestos[especialidad],"(sin catálogo)"))</f>
        <v/>
      </c>
      <c r="AC277" s="5">
        <f>IF(tblOrdenes[[#This Row],[cod_actividad]]="","",_xlfn.XLOOKUP(tblOrdenes[[#This Row],[cod_actividad]],tblActividades[codigo],tblActividades[descripcion],"(sin catálogo)"))</f>
        <v/>
      </c>
      <c r="AD277" s="23">
        <f>IF(tblOrdenes[[#This Row],[fecha_inicio]]="","",TODAY()-tblOrdenes[[#This Row],[fecha_inicio]])</f>
        <v/>
      </c>
      <c r="AE2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5">
        <f>IF(tblOrdenes[[#This Row],[backlog_habiles]]="","",IF(tblOrdenes[[#This Row],[backlog_habiles]]&lt;0,"FUTURO",IF(tblOrdenes[[#This Row],[backlog_habiles]]&gt;p_dias_backlog_max,"BACKLOG","MES CORRIENTE")))</f>
        <v/>
      </c>
      <c r="AG277" s="5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18">
        <f>IF(tblOrdenes[[#This Row],[orden]]="","",_xlfn.XLOOKUP(tblOrdenes[[#This Row],[id_operacion]],tblEjecucion[id_operacion],tblEjecucion[precio],0))</f>
        <v/>
      </c>
      <c r="AM277" s="18">
        <f>IF(tblOrdenes[[#This Row],[orden]]="","",MAX(0,_xlfn.XLOOKUP(tblOrdenes[[#This Row],[id_operacion]],tblEjecucion[id_operacion],tblEjecucion[costo_plan_total],0)-tblOrdenes[[#This Row],[costo_servicio]]))</f>
        <v/>
      </c>
      <c r="AN277" s="18">
        <f>IF(tblOrdenes[[#This Row],[orden]]="","",tblOrdenes[[#This Row],[costo_servicio]]+tblOrdenes[[#This Row],[costo_materiales]])</f>
        <v/>
      </c>
      <c r="AO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5">
        <f>IF(tblOrdenes[[#This Row],[link_checklist]]="","",HYPERLINK(p_ruta_base_checklists&amp;tblOrdenes[[#This Row],[link_checklist]],"abrir"))</f>
        <v/>
      </c>
      <c r="AT277" s="4" t="n"/>
      <c r="AU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5" t="n"/>
      <c r="K278" s="5" t="n"/>
      <c r="L278" s="18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Row],[fecha_inicio]]="","",tblOrdenes[[#This Row],[anio]]&amp;"-"&amp;TEXT(tblOrdenes[[#This Row],[mes]],"00"))</f>
        <v/>
      </c>
      <c r="S278" s="5">
        <f>IF(tblOrdenes[[#This Row],[fecha_inicio]]="","",INDEX(lista_dias,WEEKDAY(tblOrdenes[[#This Row],[fecha_inicio]],2)))</f>
        <v/>
      </c>
      <c r="T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5">
        <f>IF(tblOrdenes[[#This Row],[tipo_ot]]="","",_xlfn.XLOOKUP(tblOrdenes[[#This Row],[tipo_ot]],tblTiposOT[codigo],tblTiposOT[clasificacion],"sin_clasificar"))</f>
        <v/>
      </c>
      <c r="V2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5">
        <f>IF(tblOrdenes[[#This Row],[centro_costo]]="","",_xlfn.XLOOKUP(tblOrdenes[[#This Row],[centro_costo]],tblCECO[codigo],tblCECO[linea],"(sin catálogo)"))</f>
        <v/>
      </c>
      <c r="Y278" s="5">
        <f>IF(tblOrdenes[[#This Row],[centro_costo]]="","",_xlfn.XLOOKUP(tblOrdenes[[#This Row],[centro_costo]],tblCECO[codigo],tblCECO[area],"(sin catálogo)"))</f>
        <v/>
      </c>
      <c r="Z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5">
        <f>IF(tblOrdenes[[#This Row],[centro_costo]]="","",_xlfn.XLOOKUP(tblOrdenes[[#This Row],[centro_costo]],tblCECO[codigo],tblCECO[coordinador],"(sin catálogo)"))</f>
        <v/>
      </c>
      <c r="AB278" s="5">
        <f>IF(tblOrdenes[[#This Row],[puesto_trabajo]]="","",_xlfn.XLOOKUP(tblOrdenes[[#This Row],[puesto_trabajo]],tblPuestos[codigo],tblPuestos[especialidad],"(sin catálogo)"))</f>
        <v/>
      </c>
      <c r="AC278" s="5">
        <f>IF(tblOrdenes[[#This Row],[cod_actividad]]="","",_xlfn.XLOOKUP(tblOrdenes[[#This Row],[cod_actividad]],tblActividades[codigo],tblActividades[descripcion],"(sin catálogo)"))</f>
        <v/>
      </c>
      <c r="AD278" s="23">
        <f>IF(tblOrdenes[[#This Row],[fecha_inicio]]="","",TODAY()-tblOrdenes[[#This Row],[fecha_inicio]])</f>
        <v/>
      </c>
      <c r="AE2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5">
        <f>IF(tblOrdenes[[#This Row],[backlog_habiles]]="","",IF(tblOrdenes[[#This Row],[backlog_habiles]]&lt;0,"FUTURO",IF(tblOrdenes[[#This Row],[backlog_habiles]]&gt;p_dias_backlog_max,"BACKLOG","MES CORRIENTE")))</f>
        <v/>
      </c>
      <c r="AG278" s="5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18">
        <f>IF(tblOrdenes[[#This Row],[orden]]="","",_xlfn.XLOOKUP(tblOrdenes[[#This Row],[id_operacion]],tblEjecucion[id_operacion],tblEjecucion[precio],0))</f>
        <v/>
      </c>
      <c r="AM278" s="18">
        <f>IF(tblOrdenes[[#This Row],[orden]]="","",MAX(0,_xlfn.XLOOKUP(tblOrdenes[[#This Row],[id_operacion]],tblEjecucion[id_operacion],tblEjecucion[costo_plan_total],0)-tblOrdenes[[#This Row],[costo_servicio]]))</f>
        <v/>
      </c>
      <c r="AN278" s="18">
        <f>IF(tblOrdenes[[#This Row],[orden]]="","",tblOrdenes[[#This Row],[costo_servicio]]+tblOrdenes[[#This Row],[costo_materiales]])</f>
        <v/>
      </c>
      <c r="AO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5">
        <f>IF(tblOrdenes[[#This Row],[link_checklist]]="","",HYPERLINK(p_ruta_base_checklists&amp;tblOrdenes[[#This Row],[link_checklist]],"abrir"))</f>
        <v/>
      </c>
      <c r="AT278" s="4" t="n"/>
      <c r="AU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5" t="n"/>
      <c r="K279" s="5" t="n"/>
      <c r="L279" s="18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Row],[fecha_inicio]]="","",tblOrdenes[[#This Row],[anio]]&amp;"-"&amp;TEXT(tblOrdenes[[#This Row],[mes]],"00"))</f>
        <v/>
      </c>
      <c r="S279" s="5">
        <f>IF(tblOrdenes[[#This Row],[fecha_inicio]]="","",INDEX(lista_dias,WEEKDAY(tblOrdenes[[#This Row],[fecha_inicio]],2)))</f>
        <v/>
      </c>
      <c r="T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5">
        <f>IF(tblOrdenes[[#This Row],[tipo_ot]]="","",_xlfn.XLOOKUP(tblOrdenes[[#This Row],[tipo_ot]],tblTiposOT[codigo],tblTiposOT[clasificacion],"sin_clasificar"))</f>
        <v/>
      </c>
      <c r="V2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5">
        <f>IF(tblOrdenes[[#This Row],[centro_costo]]="","",_xlfn.XLOOKUP(tblOrdenes[[#This Row],[centro_costo]],tblCECO[codigo],tblCECO[linea],"(sin catálogo)"))</f>
        <v/>
      </c>
      <c r="Y279" s="5">
        <f>IF(tblOrdenes[[#This Row],[centro_costo]]="","",_xlfn.XLOOKUP(tblOrdenes[[#This Row],[centro_costo]],tblCECO[codigo],tblCECO[area],"(sin catálogo)"))</f>
        <v/>
      </c>
      <c r="Z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5">
        <f>IF(tblOrdenes[[#This Row],[centro_costo]]="","",_xlfn.XLOOKUP(tblOrdenes[[#This Row],[centro_costo]],tblCECO[codigo],tblCECO[coordinador],"(sin catálogo)"))</f>
        <v/>
      </c>
      <c r="AB279" s="5">
        <f>IF(tblOrdenes[[#This Row],[puesto_trabajo]]="","",_xlfn.XLOOKUP(tblOrdenes[[#This Row],[puesto_trabajo]],tblPuestos[codigo],tblPuestos[especialidad],"(sin catálogo)"))</f>
        <v/>
      </c>
      <c r="AC279" s="5">
        <f>IF(tblOrdenes[[#This Row],[cod_actividad]]="","",_xlfn.XLOOKUP(tblOrdenes[[#This Row],[cod_actividad]],tblActividades[codigo],tblActividades[descripcion],"(sin catálogo)"))</f>
        <v/>
      </c>
      <c r="AD279" s="23">
        <f>IF(tblOrdenes[[#This Row],[fecha_inicio]]="","",TODAY()-tblOrdenes[[#This Row],[fecha_inicio]])</f>
        <v/>
      </c>
      <c r="AE2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5">
        <f>IF(tblOrdenes[[#This Row],[backlog_habiles]]="","",IF(tblOrdenes[[#This Row],[backlog_habiles]]&lt;0,"FUTURO",IF(tblOrdenes[[#This Row],[backlog_habiles]]&gt;p_dias_backlog_max,"BACKLOG","MES CORRIENTE")))</f>
        <v/>
      </c>
      <c r="AG279" s="5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18">
        <f>IF(tblOrdenes[[#This Row],[orden]]="","",_xlfn.XLOOKUP(tblOrdenes[[#This Row],[id_operacion]],tblEjecucion[id_operacion],tblEjecucion[precio],0))</f>
        <v/>
      </c>
      <c r="AM279" s="18">
        <f>IF(tblOrdenes[[#This Row],[orden]]="","",MAX(0,_xlfn.XLOOKUP(tblOrdenes[[#This Row],[id_operacion]],tblEjecucion[id_operacion],tblEjecucion[costo_plan_total],0)-tblOrdenes[[#This Row],[costo_servicio]]))</f>
        <v/>
      </c>
      <c r="AN279" s="18">
        <f>IF(tblOrdenes[[#This Row],[orden]]="","",tblOrdenes[[#This Row],[costo_servicio]]+tblOrdenes[[#This Row],[costo_materiales]])</f>
        <v/>
      </c>
      <c r="AO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5">
        <f>IF(tblOrdenes[[#This Row],[link_checklist]]="","",HYPERLINK(p_ruta_base_checklists&amp;tblOrdenes[[#This Row],[link_checklist]],"abrir"))</f>
        <v/>
      </c>
      <c r="AT279" s="4" t="n"/>
      <c r="AU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5" t="n"/>
      <c r="K280" s="5" t="n"/>
      <c r="L280" s="18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Row],[fecha_inicio]]="","",tblOrdenes[[#This Row],[anio]]&amp;"-"&amp;TEXT(tblOrdenes[[#This Row],[mes]],"00"))</f>
        <v/>
      </c>
      <c r="S280" s="5">
        <f>IF(tblOrdenes[[#This Row],[fecha_inicio]]="","",INDEX(lista_dias,WEEKDAY(tblOrdenes[[#This Row],[fecha_inicio]],2)))</f>
        <v/>
      </c>
      <c r="T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5">
        <f>IF(tblOrdenes[[#This Row],[tipo_ot]]="","",_xlfn.XLOOKUP(tblOrdenes[[#This Row],[tipo_ot]],tblTiposOT[codigo],tblTiposOT[clasificacion],"sin_clasificar"))</f>
        <v/>
      </c>
      <c r="V2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5">
        <f>IF(tblOrdenes[[#This Row],[centro_costo]]="","",_xlfn.XLOOKUP(tblOrdenes[[#This Row],[centro_costo]],tblCECO[codigo],tblCECO[linea],"(sin catálogo)"))</f>
        <v/>
      </c>
      <c r="Y280" s="5">
        <f>IF(tblOrdenes[[#This Row],[centro_costo]]="","",_xlfn.XLOOKUP(tblOrdenes[[#This Row],[centro_costo]],tblCECO[codigo],tblCECO[area],"(sin catálogo)"))</f>
        <v/>
      </c>
      <c r="Z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5">
        <f>IF(tblOrdenes[[#This Row],[centro_costo]]="","",_xlfn.XLOOKUP(tblOrdenes[[#This Row],[centro_costo]],tblCECO[codigo],tblCECO[coordinador],"(sin catálogo)"))</f>
        <v/>
      </c>
      <c r="AB280" s="5">
        <f>IF(tblOrdenes[[#This Row],[puesto_trabajo]]="","",_xlfn.XLOOKUP(tblOrdenes[[#This Row],[puesto_trabajo]],tblPuestos[codigo],tblPuestos[especialidad],"(sin catálogo)"))</f>
        <v/>
      </c>
      <c r="AC280" s="5">
        <f>IF(tblOrdenes[[#This Row],[cod_actividad]]="","",_xlfn.XLOOKUP(tblOrdenes[[#This Row],[cod_actividad]],tblActividades[codigo],tblActividades[descripcion],"(sin catálogo)"))</f>
        <v/>
      </c>
      <c r="AD280" s="23">
        <f>IF(tblOrdenes[[#This Row],[fecha_inicio]]="","",TODAY()-tblOrdenes[[#This Row],[fecha_inicio]])</f>
        <v/>
      </c>
      <c r="AE2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5">
        <f>IF(tblOrdenes[[#This Row],[backlog_habiles]]="","",IF(tblOrdenes[[#This Row],[backlog_habiles]]&lt;0,"FUTURO",IF(tblOrdenes[[#This Row],[backlog_habiles]]&gt;p_dias_backlog_max,"BACKLOG","MES CORRIENTE")))</f>
        <v/>
      </c>
      <c r="AG280" s="5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18">
        <f>IF(tblOrdenes[[#This Row],[orden]]="","",_xlfn.XLOOKUP(tblOrdenes[[#This Row],[id_operacion]],tblEjecucion[id_operacion],tblEjecucion[precio],0))</f>
        <v/>
      </c>
      <c r="AM280" s="18">
        <f>IF(tblOrdenes[[#This Row],[orden]]="","",MAX(0,_xlfn.XLOOKUP(tblOrdenes[[#This Row],[id_operacion]],tblEjecucion[id_operacion],tblEjecucion[costo_plan_total],0)-tblOrdenes[[#This Row],[costo_servicio]]))</f>
        <v/>
      </c>
      <c r="AN280" s="18">
        <f>IF(tblOrdenes[[#This Row],[orden]]="","",tblOrdenes[[#This Row],[costo_servicio]]+tblOrdenes[[#This Row],[costo_materiales]])</f>
        <v/>
      </c>
      <c r="AO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5">
        <f>IF(tblOrdenes[[#This Row],[link_checklist]]="","",HYPERLINK(p_ruta_base_checklists&amp;tblOrdenes[[#This Row],[link_checklist]],"abrir"))</f>
        <v/>
      </c>
      <c r="AT280" s="4" t="n"/>
      <c r="AU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5" t="n"/>
      <c r="K281" s="5" t="n"/>
      <c r="L281" s="18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Row],[fecha_inicio]]="","",tblOrdenes[[#This Row],[anio]]&amp;"-"&amp;TEXT(tblOrdenes[[#This Row],[mes]],"00"))</f>
        <v/>
      </c>
      <c r="S281" s="5">
        <f>IF(tblOrdenes[[#This Row],[fecha_inicio]]="","",INDEX(lista_dias,WEEKDAY(tblOrdenes[[#This Row],[fecha_inicio]],2)))</f>
        <v/>
      </c>
      <c r="T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5">
        <f>IF(tblOrdenes[[#This Row],[tipo_ot]]="","",_xlfn.XLOOKUP(tblOrdenes[[#This Row],[tipo_ot]],tblTiposOT[codigo],tblTiposOT[clasificacion],"sin_clasificar"))</f>
        <v/>
      </c>
      <c r="V2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5">
        <f>IF(tblOrdenes[[#This Row],[centro_costo]]="","",_xlfn.XLOOKUP(tblOrdenes[[#This Row],[centro_costo]],tblCECO[codigo],tblCECO[linea],"(sin catálogo)"))</f>
        <v/>
      </c>
      <c r="Y281" s="5">
        <f>IF(tblOrdenes[[#This Row],[centro_costo]]="","",_xlfn.XLOOKUP(tblOrdenes[[#This Row],[centro_costo]],tblCECO[codigo],tblCECO[area],"(sin catálogo)"))</f>
        <v/>
      </c>
      <c r="Z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5">
        <f>IF(tblOrdenes[[#This Row],[centro_costo]]="","",_xlfn.XLOOKUP(tblOrdenes[[#This Row],[centro_costo]],tblCECO[codigo],tblCECO[coordinador],"(sin catálogo)"))</f>
        <v/>
      </c>
      <c r="AB281" s="5">
        <f>IF(tblOrdenes[[#This Row],[puesto_trabajo]]="","",_xlfn.XLOOKUP(tblOrdenes[[#This Row],[puesto_trabajo]],tblPuestos[codigo],tblPuestos[especialidad],"(sin catálogo)"))</f>
        <v/>
      </c>
      <c r="AC281" s="5">
        <f>IF(tblOrdenes[[#This Row],[cod_actividad]]="","",_xlfn.XLOOKUP(tblOrdenes[[#This Row],[cod_actividad]],tblActividades[codigo],tblActividades[descripcion],"(sin catálogo)"))</f>
        <v/>
      </c>
      <c r="AD281" s="23">
        <f>IF(tblOrdenes[[#This Row],[fecha_inicio]]="","",TODAY()-tblOrdenes[[#This Row],[fecha_inicio]])</f>
        <v/>
      </c>
      <c r="AE2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5">
        <f>IF(tblOrdenes[[#This Row],[backlog_habiles]]="","",IF(tblOrdenes[[#This Row],[backlog_habiles]]&lt;0,"FUTURO",IF(tblOrdenes[[#This Row],[backlog_habiles]]&gt;p_dias_backlog_max,"BACKLOG","MES CORRIENTE")))</f>
        <v/>
      </c>
      <c r="AG281" s="5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18">
        <f>IF(tblOrdenes[[#This Row],[orden]]="","",_xlfn.XLOOKUP(tblOrdenes[[#This Row],[id_operacion]],tblEjecucion[id_operacion],tblEjecucion[precio],0))</f>
        <v/>
      </c>
      <c r="AM281" s="18">
        <f>IF(tblOrdenes[[#This Row],[orden]]="","",MAX(0,_xlfn.XLOOKUP(tblOrdenes[[#This Row],[id_operacion]],tblEjecucion[id_operacion],tblEjecucion[costo_plan_total],0)-tblOrdenes[[#This Row],[costo_servicio]]))</f>
        <v/>
      </c>
      <c r="AN281" s="18">
        <f>IF(tblOrdenes[[#This Row],[orden]]="","",tblOrdenes[[#This Row],[costo_servicio]]+tblOrdenes[[#This Row],[costo_materiales]])</f>
        <v/>
      </c>
      <c r="AO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5">
        <f>IF(tblOrdenes[[#This Row],[link_checklist]]="","",HYPERLINK(p_ruta_base_checklists&amp;tblOrdenes[[#This Row],[link_checklist]],"abrir"))</f>
        <v/>
      </c>
      <c r="AT281" s="4" t="n"/>
      <c r="AU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5" t="n"/>
      <c r="K282" s="5" t="n"/>
      <c r="L282" s="18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Row],[fecha_inicio]]="","",tblOrdenes[[#This Row],[anio]]&amp;"-"&amp;TEXT(tblOrdenes[[#This Row],[mes]],"00"))</f>
        <v/>
      </c>
      <c r="S282" s="5">
        <f>IF(tblOrdenes[[#This Row],[fecha_inicio]]="","",INDEX(lista_dias,WEEKDAY(tblOrdenes[[#This Row],[fecha_inicio]],2)))</f>
        <v/>
      </c>
      <c r="T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5">
        <f>IF(tblOrdenes[[#This Row],[tipo_ot]]="","",_xlfn.XLOOKUP(tblOrdenes[[#This Row],[tipo_ot]],tblTiposOT[codigo],tblTiposOT[clasificacion],"sin_clasificar"))</f>
        <v/>
      </c>
      <c r="V2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5">
        <f>IF(tblOrdenes[[#This Row],[centro_costo]]="","",_xlfn.XLOOKUP(tblOrdenes[[#This Row],[centro_costo]],tblCECO[codigo],tblCECO[linea],"(sin catálogo)"))</f>
        <v/>
      </c>
      <c r="Y282" s="5">
        <f>IF(tblOrdenes[[#This Row],[centro_costo]]="","",_xlfn.XLOOKUP(tblOrdenes[[#This Row],[centro_costo]],tblCECO[codigo],tblCECO[area],"(sin catálogo)"))</f>
        <v/>
      </c>
      <c r="Z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5">
        <f>IF(tblOrdenes[[#This Row],[centro_costo]]="","",_xlfn.XLOOKUP(tblOrdenes[[#This Row],[centro_costo]],tblCECO[codigo],tblCECO[coordinador],"(sin catálogo)"))</f>
        <v/>
      </c>
      <c r="AB282" s="5">
        <f>IF(tblOrdenes[[#This Row],[puesto_trabajo]]="","",_xlfn.XLOOKUP(tblOrdenes[[#This Row],[puesto_trabajo]],tblPuestos[codigo],tblPuestos[especialidad],"(sin catálogo)"))</f>
        <v/>
      </c>
      <c r="AC282" s="5">
        <f>IF(tblOrdenes[[#This Row],[cod_actividad]]="","",_xlfn.XLOOKUP(tblOrdenes[[#This Row],[cod_actividad]],tblActividades[codigo],tblActividades[descripcion],"(sin catálogo)"))</f>
        <v/>
      </c>
      <c r="AD282" s="23">
        <f>IF(tblOrdenes[[#This Row],[fecha_inicio]]="","",TODAY()-tblOrdenes[[#This Row],[fecha_inicio]])</f>
        <v/>
      </c>
      <c r="AE2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5">
        <f>IF(tblOrdenes[[#This Row],[backlog_habiles]]="","",IF(tblOrdenes[[#This Row],[backlog_habiles]]&lt;0,"FUTURO",IF(tblOrdenes[[#This Row],[backlog_habiles]]&gt;p_dias_backlog_max,"BACKLOG","MES CORRIENTE")))</f>
        <v/>
      </c>
      <c r="AG282" s="5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18">
        <f>IF(tblOrdenes[[#This Row],[orden]]="","",_xlfn.XLOOKUP(tblOrdenes[[#This Row],[id_operacion]],tblEjecucion[id_operacion],tblEjecucion[precio],0))</f>
        <v/>
      </c>
      <c r="AM282" s="18">
        <f>IF(tblOrdenes[[#This Row],[orden]]="","",MAX(0,_xlfn.XLOOKUP(tblOrdenes[[#This Row],[id_operacion]],tblEjecucion[id_operacion],tblEjecucion[costo_plan_total],0)-tblOrdenes[[#This Row],[costo_servicio]]))</f>
        <v/>
      </c>
      <c r="AN282" s="18">
        <f>IF(tblOrdenes[[#This Row],[orden]]="","",tblOrdenes[[#This Row],[costo_servicio]]+tblOrdenes[[#This Row],[costo_materiales]])</f>
        <v/>
      </c>
      <c r="AO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5">
        <f>IF(tblOrdenes[[#This Row],[link_checklist]]="","",HYPERLINK(p_ruta_base_checklists&amp;tblOrdenes[[#This Row],[link_checklist]],"abrir"))</f>
        <v/>
      </c>
      <c r="AT282" s="4" t="n"/>
      <c r="AU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5" t="n"/>
      <c r="K283" s="5" t="n"/>
      <c r="L283" s="18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Row],[fecha_inicio]]="","",tblOrdenes[[#This Row],[anio]]&amp;"-"&amp;TEXT(tblOrdenes[[#This Row],[mes]],"00"))</f>
        <v/>
      </c>
      <c r="S283" s="5">
        <f>IF(tblOrdenes[[#This Row],[fecha_inicio]]="","",INDEX(lista_dias,WEEKDAY(tblOrdenes[[#This Row],[fecha_inicio]],2)))</f>
        <v/>
      </c>
      <c r="T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5">
        <f>IF(tblOrdenes[[#This Row],[tipo_ot]]="","",_xlfn.XLOOKUP(tblOrdenes[[#This Row],[tipo_ot]],tblTiposOT[codigo],tblTiposOT[clasificacion],"sin_clasificar"))</f>
        <v/>
      </c>
      <c r="V2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5">
        <f>IF(tblOrdenes[[#This Row],[centro_costo]]="","",_xlfn.XLOOKUP(tblOrdenes[[#This Row],[centro_costo]],tblCECO[codigo],tblCECO[linea],"(sin catálogo)"))</f>
        <v/>
      </c>
      <c r="Y283" s="5">
        <f>IF(tblOrdenes[[#This Row],[centro_costo]]="","",_xlfn.XLOOKUP(tblOrdenes[[#This Row],[centro_costo]],tblCECO[codigo],tblCECO[area],"(sin catálogo)"))</f>
        <v/>
      </c>
      <c r="Z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5">
        <f>IF(tblOrdenes[[#This Row],[centro_costo]]="","",_xlfn.XLOOKUP(tblOrdenes[[#This Row],[centro_costo]],tblCECO[codigo],tblCECO[coordinador],"(sin catálogo)"))</f>
        <v/>
      </c>
      <c r="AB283" s="5">
        <f>IF(tblOrdenes[[#This Row],[puesto_trabajo]]="","",_xlfn.XLOOKUP(tblOrdenes[[#This Row],[puesto_trabajo]],tblPuestos[codigo],tblPuestos[especialidad],"(sin catálogo)"))</f>
        <v/>
      </c>
      <c r="AC283" s="5">
        <f>IF(tblOrdenes[[#This Row],[cod_actividad]]="","",_xlfn.XLOOKUP(tblOrdenes[[#This Row],[cod_actividad]],tblActividades[codigo],tblActividades[descripcion],"(sin catálogo)"))</f>
        <v/>
      </c>
      <c r="AD283" s="23">
        <f>IF(tblOrdenes[[#This Row],[fecha_inicio]]="","",TODAY()-tblOrdenes[[#This Row],[fecha_inicio]])</f>
        <v/>
      </c>
      <c r="AE2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5">
        <f>IF(tblOrdenes[[#This Row],[backlog_habiles]]="","",IF(tblOrdenes[[#This Row],[backlog_habiles]]&lt;0,"FUTURO",IF(tblOrdenes[[#This Row],[backlog_habiles]]&gt;p_dias_backlog_max,"BACKLOG","MES CORRIENTE")))</f>
        <v/>
      </c>
      <c r="AG283" s="5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18">
        <f>IF(tblOrdenes[[#This Row],[orden]]="","",_xlfn.XLOOKUP(tblOrdenes[[#This Row],[id_operacion]],tblEjecucion[id_operacion],tblEjecucion[precio],0))</f>
        <v/>
      </c>
      <c r="AM283" s="18">
        <f>IF(tblOrdenes[[#This Row],[orden]]="","",MAX(0,_xlfn.XLOOKUP(tblOrdenes[[#This Row],[id_operacion]],tblEjecucion[id_operacion],tblEjecucion[costo_plan_total],0)-tblOrdenes[[#This Row],[costo_servicio]]))</f>
        <v/>
      </c>
      <c r="AN283" s="18">
        <f>IF(tblOrdenes[[#This Row],[orden]]="","",tblOrdenes[[#This Row],[costo_servicio]]+tblOrdenes[[#This Row],[costo_materiales]])</f>
        <v/>
      </c>
      <c r="AO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5">
        <f>IF(tblOrdenes[[#This Row],[link_checklist]]="","",HYPERLINK(p_ruta_base_checklists&amp;tblOrdenes[[#This Row],[link_checklist]],"abrir"))</f>
        <v/>
      </c>
      <c r="AT283" s="4" t="n"/>
      <c r="AU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5" t="n"/>
      <c r="K284" s="5" t="n"/>
      <c r="L284" s="18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Row],[fecha_inicio]]="","",tblOrdenes[[#This Row],[anio]]&amp;"-"&amp;TEXT(tblOrdenes[[#This Row],[mes]],"00"))</f>
        <v/>
      </c>
      <c r="S284" s="5">
        <f>IF(tblOrdenes[[#This Row],[fecha_inicio]]="","",INDEX(lista_dias,WEEKDAY(tblOrdenes[[#This Row],[fecha_inicio]],2)))</f>
        <v/>
      </c>
      <c r="T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5">
        <f>IF(tblOrdenes[[#This Row],[tipo_ot]]="","",_xlfn.XLOOKUP(tblOrdenes[[#This Row],[tipo_ot]],tblTiposOT[codigo],tblTiposOT[clasificacion],"sin_clasificar"))</f>
        <v/>
      </c>
      <c r="V2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5">
        <f>IF(tblOrdenes[[#This Row],[centro_costo]]="","",_xlfn.XLOOKUP(tblOrdenes[[#This Row],[centro_costo]],tblCECO[codigo],tblCECO[linea],"(sin catálogo)"))</f>
        <v/>
      </c>
      <c r="Y284" s="5">
        <f>IF(tblOrdenes[[#This Row],[centro_costo]]="","",_xlfn.XLOOKUP(tblOrdenes[[#This Row],[centro_costo]],tblCECO[codigo],tblCECO[area],"(sin catálogo)"))</f>
        <v/>
      </c>
      <c r="Z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5">
        <f>IF(tblOrdenes[[#This Row],[centro_costo]]="","",_xlfn.XLOOKUP(tblOrdenes[[#This Row],[centro_costo]],tblCECO[codigo],tblCECO[coordinador],"(sin catálogo)"))</f>
        <v/>
      </c>
      <c r="AB284" s="5">
        <f>IF(tblOrdenes[[#This Row],[puesto_trabajo]]="","",_xlfn.XLOOKUP(tblOrdenes[[#This Row],[puesto_trabajo]],tblPuestos[codigo],tblPuestos[especialidad],"(sin catálogo)"))</f>
        <v/>
      </c>
      <c r="AC284" s="5">
        <f>IF(tblOrdenes[[#This Row],[cod_actividad]]="","",_xlfn.XLOOKUP(tblOrdenes[[#This Row],[cod_actividad]],tblActividades[codigo],tblActividades[descripcion],"(sin catálogo)"))</f>
        <v/>
      </c>
      <c r="AD284" s="23">
        <f>IF(tblOrdenes[[#This Row],[fecha_inicio]]="","",TODAY()-tblOrdenes[[#This Row],[fecha_inicio]])</f>
        <v/>
      </c>
      <c r="AE2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5">
        <f>IF(tblOrdenes[[#This Row],[backlog_habiles]]="","",IF(tblOrdenes[[#This Row],[backlog_habiles]]&lt;0,"FUTURO",IF(tblOrdenes[[#This Row],[backlog_habiles]]&gt;p_dias_backlog_max,"BACKLOG","MES CORRIENTE")))</f>
        <v/>
      </c>
      <c r="AG284" s="5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18">
        <f>IF(tblOrdenes[[#This Row],[orden]]="","",_xlfn.XLOOKUP(tblOrdenes[[#This Row],[id_operacion]],tblEjecucion[id_operacion],tblEjecucion[precio],0))</f>
        <v/>
      </c>
      <c r="AM284" s="18">
        <f>IF(tblOrdenes[[#This Row],[orden]]="","",MAX(0,_xlfn.XLOOKUP(tblOrdenes[[#This Row],[id_operacion]],tblEjecucion[id_operacion],tblEjecucion[costo_plan_total],0)-tblOrdenes[[#This Row],[costo_servicio]]))</f>
        <v/>
      </c>
      <c r="AN284" s="18">
        <f>IF(tblOrdenes[[#This Row],[orden]]="","",tblOrdenes[[#This Row],[costo_servicio]]+tblOrdenes[[#This Row],[costo_materiales]])</f>
        <v/>
      </c>
      <c r="AO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5">
        <f>IF(tblOrdenes[[#This Row],[link_checklist]]="","",HYPERLINK(p_ruta_base_checklists&amp;tblOrdenes[[#This Row],[link_checklist]],"abrir"))</f>
        <v/>
      </c>
      <c r="AT284" s="4" t="n"/>
      <c r="AU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5" t="n"/>
      <c r="K285" s="5" t="n"/>
      <c r="L285" s="18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Row],[fecha_inicio]]="","",tblOrdenes[[#This Row],[anio]]&amp;"-"&amp;TEXT(tblOrdenes[[#This Row],[mes]],"00"))</f>
        <v/>
      </c>
      <c r="S285" s="5">
        <f>IF(tblOrdenes[[#This Row],[fecha_inicio]]="","",INDEX(lista_dias,WEEKDAY(tblOrdenes[[#This Row],[fecha_inicio]],2)))</f>
        <v/>
      </c>
      <c r="T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5">
        <f>IF(tblOrdenes[[#This Row],[tipo_ot]]="","",_xlfn.XLOOKUP(tblOrdenes[[#This Row],[tipo_ot]],tblTiposOT[codigo],tblTiposOT[clasificacion],"sin_clasificar"))</f>
        <v/>
      </c>
      <c r="V2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5">
        <f>IF(tblOrdenes[[#This Row],[centro_costo]]="","",_xlfn.XLOOKUP(tblOrdenes[[#This Row],[centro_costo]],tblCECO[codigo],tblCECO[linea],"(sin catálogo)"))</f>
        <v/>
      </c>
      <c r="Y285" s="5">
        <f>IF(tblOrdenes[[#This Row],[centro_costo]]="","",_xlfn.XLOOKUP(tblOrdenes[[#This Row],[centro_costo]],tblCECO[codigo],tblCECO[area],"(sin catálogo)"))</f>
        <v/>
      </c>
      <c r="Z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5">
        <f>IF(tblOrdenes[[#This Row],[centro_costo]]="","",_xlfn.XLOOKUP(tblOrdenes[[#This Row],[centro_costo]],tblCECO[codigo],tblCECO[coordinador],"(sin catálogo)"))</f>
        <v/>
      </c>
      <c r="AB285" s="5">
        <f>IF(tblOrdenes[[#This Row],[puesto_trabajo]]="","",_xlfn.XLOOKUP(tblOrdenes[[#This Row],[puesto_trabajo]],tblPuestos[codigo],tblPuestos[especialidad],"(sin catálogo)"))</f>
        <v/>
      </c>
      <c r="AC285" s="5">
        <f>IF(tblOrdenes[[#This Row],[cod_actividad]]="","",_xlfn.XLOOKUP(tblOrdenes[[#This Row],[cod_actividad]],tblActividades[codigo],tblActividades[descripcion],"(sin catálogo)"))</f>
        <v/>
      </c>
      <c r="AD285" s="23">
        <f>IF(tblOrdenes[[#This Row],[fecha_inicio]]="","",TODAY()-tblOrdenes[[#This Row],[fecha_inicio]])</f>
        <v/>
      </c>
      <c r="AE2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5">
        <f>IF(tblOrdenes[[#This Row],[backlog_habiles]]="","",IF(tblOrdenes[[#This Row],[backlog_habiles]]&lt;0,"FUTURO",IF(tblOrdenes[[#This Row],[backlog_habiles]]&gt;p_dias_backlog_max,"BACKLOG","MES CORRIENTE")))</f>
        <v/>
      </c>
      <c r="AG285" s="5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18">
        <f>IF(tblOrdenes[[#This Row],[orden]]="","",_xlfn.XLOOKUP(tblOrdenes[[#This Row],[id_operacion]],tblEjecucion[id_operacion],tblEjecucion[precio],0))</f>
        <v/>
      </c>
      <c r="AM285" s="18">
        <f>IF(tblOrdenes[[#This Row],[orden]]="","",MAX(0,_xlfn.XLOOKUP(tblOrdenes[[#This Row],[id_operacion]],tblEjecucion[id_operacion],tblEjecucion[costo_plan_total],0)-tblOrdenes[[#This Row],[costo_servicio]]))</f>
        <v/>
      </c>
      <c r="AN285" s="18">
        <f>IF(tblOrdenes[[#This Row],[orden]]="","",tblOrdenes[[#This Row],[costo_servicio]]+tblOrdenes[[#This Row],[costo_materiales]])</f>
        <v/>
      </c>
      <c r="AO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5">
        <f>IF(tblOrdenes[[#This Row],[link_checklist]]="","",HYPERLINK(p_ruta_base_checklists&amp;tblOrdenes[[#This Row],[link_checklist]],"abrir"))</f>
        <v/>
      </c>
      <c r="AT285" s="4" t="n"/>
      <c r="AU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5" t="n"/>
      <c r="K286" s="5" t="n"/>
      <c r="L286" s="18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Row],[fecha_inicio]]="","",tblOrdenes[[#This Row],[anio]]&amp;"-"&amp;TEXT(tblOrdenes[[#This Row],[mes]],"00"))</f>
        <v/>
      </c>
      <c r="S286" s="5">
        <f>IF(tblOrdenes[[#This Row],[fecha_inicio]]="","",INDEX(lista_dias,WEEKDAY(tblOrdenes[[#This Row],[fecha_inicio]],2)))</f>
        <v/>
      </c>
      <c r="T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5">
        <f>IF(tblOrdenes[[#This Row],[tipo_ot]]="","",_xlfn.XLOOKUP(tblOrdenes[[#This Row],[tipo_ot]],tblTiposOT[codigo],tblTiposOT[clasificacion],"sin_clasificar"))</f>
        <v/>
      </c>
      <c r="V2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5">
        <f>IF(tblOrdenes[[#This Row],[centro_costo]]="","",_xlfn.XLOOKUP(tblOrdenes[[#This Row],[centro_costo]],tblCECO[codigo],tblCECO[linea],"(sin catálogo)"))</f>
        <v/>
      </c>
      <c r="Y286" s="5">
        <f>IF(tblOrdenes[[#This Row],[centro_costo]]="","",_xlfn.XLOOKUP(tblOrdenes[[#This Row],[centro_costo]],tblCECO[codigo],tblCECO[area],"(sin catálogo)"))</f>
        <v/>
      </c>
      <c r="Z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5">
        <f>IF(tblOrdenes[[#This Row],[centro_costo]]="","",_xlfn.XLOOKUP(tblOrdenes[[#This Row],[centro_costo]],tblCECO[codigo],tblCECO[coordinador],"(sin catálogo)"))</f>
        <v/>
      </c>
      <c r="AB286" s="5">
        <f>IF(tblOrdenes[[#This Row],[puesto_trabajo]]="","",_xlfn.XLOOKUP(tblOrdenes[[#This Row],[puesto_trabajo]],tblPuestos[codigo],tblPuestos[especialidad],"(sin catálogo)"))</f>
        <v/>
      </c>
      <c r="AC286" s="5">
        <f>IF(tblOrdenes[[#This Row],[cod_actividad]]="","",_xlfn.XLOOKUP(tblOrdenes[[#This Row],[cod_actividad]],tblActividades[codigo],tblActividades[descripcion],"(sin catálogo)"))</f>
        <v/>
      </c>
      <c r="AD286" s="23">
        <f>IF(tblOrdenes[[#This Row],[fecha_inicio]]="","",TODAY()-tblOrdenes[[#This Row],[fecha_inicio]])</f>
        <v/>
      </c>
      <c r="AE2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5">
        <f>IF(tblOrdenes[[#This Row],[backlog_habiles]]="","",IF(tblOrdenes[[#This Row],[backlog_habiles]]&lt;0,"FUTURO",IF(tblOrdenes[[#This Row],[backlog_habiles]]&gt;p_dias_backlog_max,"BACKLOG","MES CORRIENTE")))</f>
        <v/>
      </c>
      <c r="AG286" s="5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18">
        <f>IF(tblOrdenes[[#This Row],[orden]]="","",_xlfn.XLOOKUP(tblOrdenes[[#This Row],[id_operacion]],tblEjecucion[id_operacion],tblEjecucion[precio],0))</f>
        <v/>
      </c>
      <c r="AM286" s="18">
        <f>IF(tblOrdenes[[#This Row],[orden]]="","",MAX(0,_xlfn.XLOOKUP(tblOrdenes[[#This Row],[id_operacion]],tblEjecucion[id_operacion],tblEjecucion[costo_plan_total],0)-tblOrdenes[[#This Row],[costo_servicio]]))</f>
        <v/>
      </c>
      <c r="AN286" s="18">
        <f>IF(tblOrdenes[[#This Row],[orden]]="","",tblOrdenes[[#This Row],[costo_servicio]]+tblOrdenes[[#This Row],[costo_materiales]])</f>
        <v/>
      </c>
      <c r="AO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5">
        <f>IF(tblOrdenes[[#This Row],[link_checklist]]="","",HYPERLINK(p_ruta_base_checklists&amp;tblOrdenes[[#This Row],[link_checklist]],"abrir"))</f>
        <v/>
      </c>
      <c r="AT286" s="4" t="n"/>
      <c r="AU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5" t="n"/>
      <c r="K287" s="5" t="n"/>
      <c r="L287" s="18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Row],[fecha_inicio]]="","",tblOrdenes[[#This Row],[anio]]&amp;"-"&amp;TEXT(tblOrdenes[[#This Row],[mes]],"00"))</f>
        <v/>
      </c>
      <c r="S287" s="5">
        <f>IF(tblOrdenes[[#This Row],[fecha_inicio]]="","",INDEX(lista_dias,WEEKDAY(tblOrdenes[[#This Row],[fecha_inicio]],2)))</f>
        <v/>
      </c>
      <c r="T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5">
        <f>IF(tblOrdenes[[#This Row],[tipo_ot]]="","",_xlfn.XLOOKUP(tblOrdenes[[#This Row],[tipo_ot]],tblTiposOT[codigo],tblTiposOT[clasificacion],"sin_clasificar"))</f>
        <v/>
      </c>
      <c r="V2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5">
        <f>IF(tblOrdenes[[#This Row],[centro_costo]]="","",_xlfn.XLOOKUP(tblOrdenes[[#This Row],[centro_costo]],tblCECO[codigo],tblCECO[linea],"(sin catálogo)"))</f>
        <v/>
      </c>
      <c r="Y287" s="5">
        <f>IF(tblOrdenes[[#This Row],[centro_costo]]="","",_xlfn.XLOOKUP(tblOrdenes[[#This Row],[centro_costo]],tblCECO[codigo],tblCECO[area],"(sin catálogo)"))</f>
        <v/>
      </c>
      <c r="Z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5">
        <f>IF(tblOrdenes[[#This Row],[centro_costo]]="","",_xlfn.XLOOKUP(tblOrdenes[[#This Row],[centro_costo]],tblCECO[codigo],tblCECO[coordinador],"(sin catálogo)"))</f>
        <v/>
      </c>
      <c r="AB287" s="5">
        <f>IF(tblOrdenes[[#This Row],[puesto_trabajo]]="","",_xlfn.XLOOKUP(tblOrdenes[[#This Row],[puesto_trabajo]],tblPuestos[codigo],tblPuestos[especialidad],"(sin catálogo)"))</f>
        <v/>
      </c>
      <c r="AC287" s="5">
        <f>IF(tblOrdenes[[#This Row],[cod_actividad]]="","",_xlfn.XLOOKUP(tblOrdenes[[#This Row],[cod_actividad]],tblActividades[codigo],tblActividades[descripcion],"(sin catálogo)"))</f>
        <v/>
      </c>
      <c r="AD287" s="23">
        <f>IF(tblOrdenes[[#This Row],[fecha_inicio]]="","",TODAY()-tblOrdenes[[#This Row],[fecha_inicio]])</f>
        <v/>
      </c>
      <c r="AE2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5">
        <f>IF(tblOrdenes[[#This Row],[backlog_habiles]]="","",IF(tblOrdenes[[#This Row],[backlog_habiles]]&lt;0,"FUTURO",IF(tblOrdenes[[#This Row],[backlog_habiles]]&gt;p_dias_backlog_max,"BACKLOG","MES CORRIENTE")))</f>
        <v/>
      </c>
      <c r="AG287" s="5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18">
        <f>IF(tblOrdenes[[#This Row],[orden]]="","",_xlfn.XLOOKUP(tblOrdenes[[#This Row],[id_operacion]],tblEjecucion[id_operacion],tblEjecucion[precio],0))</f>
        <v/>
      </c>
      <c r="AM287" s="18">
        <f>IF(tblOrdenes[[#This Row],[orden]]="","",MAX(0,_xlfn.XLOOKUP(tblOrdenes[[#This Row],[id_operacion]],tblEjecucion[id_operacion],tblEjecucion[costo_plan_total],0)-tblOrdenes[[#This Row],[costo_servicio]]))</f>
        <v/>
      </c>
      <c r="AN287" s="18">
        <f>IF(tblOrdenes[[#This Row],[orden]]="","",tblOrdenes[[#This Row],[costo_servicio]]+tblOrdenes[[#This Row],[costo_materiales]])</f>
        <v/>
      </c>
      <c r="AO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5">
        <f>IF(tblOrdenes[[#This Row],[link_checklist]]="","",HYPERLINK(p_ruta_base_checklists&amp;tblOrdenes[[#This Row],[link_checklist]],"abrir"))</f>
        <v/>
      </c>
      <c r="AT287" s="4" t="n"/>
      <c r="AU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5" t="n"/>
      <c r="K288" s="5" t="n"/>
      <c r="L288" s="18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Row],[fecha_inicio]]="","",tblOrdenes[[#This Row],[anio]]&amp;"-"&amp;TEXT(tblOrdenes[[#This Row],[mes]],"00"))</f>
        <v/>
      </c>
      <c r="S288" s="5">
        <f>IF(tblOrdenes[[#This Row],[fecha_inicio]]="","",INDEX(lista_dias,WEEKDAY(tblOrdenes[[#This Row],[fecha_inicio]],2)))</f>
        <v/>
      </c>
      <c r="T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5">
        <f>IF(tblOrdenes[[#This Row],[tipo_ot]]="","",_xlfn.XLOOKUP(tblOrdenes[[#This Row],[tipo_ot]],tblTiposOT[codigo],tblTiposOT[clasificacion],"sin_clasificar"))</f>
        <v/>
      </c>
      <c r="V2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5">
        <f>IF(tblOrdenes[[#This Row],[centro_costo]]="","",_xlfn.XLOOKUP(tblOrdenes[[#This Row],[centro_costo]],tblCECO[codigo],tblCECO[linea],"(sin catálogo)"))</f>
        <v/>
      </c>
      <c r="Y288" s="5">
        <f>IF(tblOrdenes[[#This Row],[centro_costo]]="","",_xlfn.XLOOKUP(tblOrdenes[[#This Row],[centro_costo]],tblCECO[codigo],tblCECO[area],"(sin catálogo)"))</f>
        <v/>
      </c>
      <c r="Z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5">
        <f>IF(tblOrdenes[[#This Row],[centro_costo]]="","",_xlfn.XLOOKUP(tblOrdenes[[#This Row],[centro_costo]],tblCECO[codigo],tblCECO[coordinador],"(sin catálogo)"))</f>
        <v/>
      </c>
      <c r="AB288" s="5">
        <f>IF(tblOrdenes[[#This Row],[puesto_trabajo]]="","",_xlfn.XLOOKUP(tblOrdenes[[#This Row],[puesto_trabajo]],tblPuestos[codigo],tblPuestos[especialidad],"(sin catálogo)"))</f>
        <v/>
      </c>
      <c r="AC288" s="5">
        <f>IF(tblOrdenes[[#This Row],[cod_actividad]]="","",_xlfn.XLOOKUP(tblOrdenes[[#This Row],[cod_actividad]],tblActividades[codigo],tblActividades[descripcion],"(sin catálogo)"))</f>
        <v/>
      </c>
      <c r="AD288" s="23">
        <f>IF(tblOrdenes[[#This Row],[fecha_inicio]]="","",TODAY()-tblOrdenes[[#This Row],[fecha_inicio]])</f>
        <v/>
      </c>
      <c r="AE2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5">
        <f>IF(tblOrdenes[[#This Row],[backlog_habiles]]="","",IF(tblOrdenes[[#This Row],[backlog_habiles]]&lt;0,"FUTURO",IF(tblOrdenes[[#This Row],[backlog_habiles]]&gt;p_dias_backlog_max,"BACKLOG","MES CORRIENTE")))</f>
        <v/>
      </c>
      <c r="AG288" s="5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18">
        <f>IF(tblOrdenes[[#This Row],[orden]]="","",_xlfn.XLOOKUP(tblOrdenes[[#This Row],[id_operacion]],tblEjecucion[id_operacion],tblEjecucion[precio],0))</f>
        <v/>
      </c>
      <c r="AM288" s="18">
        <f>IF(tblOrdenes[[#This Row],[orden]]="","",MAX(0,_xlfn.XLOOKUP(tblOrdenes[[#This Row],[id_operacion]],tblEjecucion[id_operacion],tblEjecucion[costo_plan_total],0)-tblOrdenes[[#This Row],[costo_servicio]]))</f>
        <v/>
      </c>
      <c r="AN288" s="18">
        <f>IF(tblOrdenes[[#This Row],[orden]]="","",tblOrdenes[[#This Row],[costo_servicio]]+tblOrdenes[[#This Row],[costo_materiales]])</f>
        <v/>
      </c>
      <c r="AO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5">
        <f>IF(tblOrdenes[[#This Row],[link_checklist]]="","",HYPERLINK(p_ruta_base_checklists&amp;tblOrdenes[[#This Row],[link_checklist]],"abrir"))</f>
        <v/>
      </c>
      <c r="AT288" s="4" t="n"/>
      <c r="AU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5" t="n"/>
      <c r="K289" s="5" t="n"/>
      <c r="L289" s="18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Row],[fecha_inicio]]="","",tblOrdenes[[#This Row],[anio]]&amp;"-"&amp;TEXT(tblOrdenes[[#This Row],[mes]],"00"))</f>
        <v/>
      </c>
      <c r="S289" s="5">
        <f>IF(tblOrdenes[[#This Row],[fecha_inicio]]="","",INDEX(lista_dias,WEEKDAY(tblOrdenes[[#This Row],[fecha_inicio]],2)))</f>
        <v/>
      </c>
      <c r="T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5">
        <f>IF(tblOrdenes[[#This Row],[tipo_ot]]="","",_xlfn.XLOOKUP(tblOrdenes[[#This Row],[tipo_ot]],tblTiposOT[codigo],tblTiposOT[clasificacion],"sin_clasificar"))</f>
        <v/>
      </c>
      <c r="V2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5">
        <f>IF(tblOrdenes[[#This Row],[centro_costo]]="","",_xlfn.XLOOKUP(tblOrdenes[[#This Row],[centro_costo]],tblCECO[codigo],tblCECO[linea],"(sin catálogo)"))</f>
        <v/>
      </c>
      <c r="Y289" s="5">
        <f>IF(tblOrdenes[[#This Row],[centro_costo]]="","",_xlfn.XLOOKUP(tblOrdenes[[#This Row],[centro_costo]],tblCECO[codigo],tblCECO[area],"(sin catálogo)"))</f>
        <v/>
      </c>
      <c r="Z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5">
        <f>IF(tblOrdenes[[#This Row],[centro_costo]]="","",_xlfn.XLOOKUP(tblOrdenes[[#This Row],[centro_costo]],tblCECO[codigo],tblCECO[coordinador],"(sin catálogo)"))</f>
        <v/>
      </c>
      <c r="AB289" s="5">
        <f>IF(tblOrdenes[[#This Row],[puesto_trabajo]]="","",_xlfn.XLOOKUP(tblOrdenes[[#This Row],[puesto_trabajo]],tblPuestos[codigo],tblPuestos[especialidad],"(sin catálogo)"))</f>
        <v/>
      </c>
      <c r="AC289" s="5">
        <f>IF(tblOrdenes[[#This Row],[cod_actividad]]="","",_xlfn.XLOOKUP(tblOrdenes[[#This Row],[cod_actividad]],tblActividades[codigo],tblActividades[descripcion],"(sin catálogo)"))</f>
        <v/>
      </c>
      <c r="AD289" s="23">
        <f>IF(tblOrdenes[[#This Row],[fecha_inicio]]="","",TODAY()-tblOrdenes[[#This Row],[fecha_inicio]])</f>
        <v/>
      </c>
      <c r="AE2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5">
        <f>IF(tblOrdenes[[#This Row],[backlog_habiles]]="","",IF(tblOrdenes[[#This Row],[backlog_habiles]]&lt;0,"FUTURO",IF(tblOrdenes[[#This Row],[backlog_habiles]]&gt;p_dias_backlog_max,"BACKLOG","MES CORRIENTE")))</f>
        <v/>
      </c>
      <c r="AG289" s="5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18">
        <f>IF(tblOrdenes[[#This Row],[orden]]="","",_xlfn.XLOOKUP(tblOrdenes[[#This Row],[id_operacion]],tblEjecucion[id_operacion],tblEjecucion[precio],0))</f>
        <v/>
      </c>
      <c r="AM289" s="18">
        <f>IF(tblOrdenes[[#This Row],[orden]]="","",MAX(0,_xlfn.XLOOKUP(tblOrdenes[[#This Row],[id_operacion]],tblEjecucion[id_operacion],tblEjecucion[costo_plan_total],0)-tblOrdenes[[#This Row],[costo_servicio]]))</f>
        <v/>
      </c>
      <c r="AN289" s="18">
        <f>IF(tblOrdenes[[#This Row],[orden]]="","",tblOrdenes[[#This Row],[costo_servicio]]+tblOrdenes[[#This Row],[costo_materiales]])</f>
        <v/>
      </c>
      <c r="AO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5">
        <f>IF(tblOrdenes[[#This Row],[link_checklist]]="","",HYPERLINK(p_ruta_base_checklists&amp;tblOrdenes[[#This Row],[link_checklist]],"abrir"))</f>
        <v/>
      </c>
      <c r="AT289" s="4" t="n"/>
      <c r="AU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5" t="n"/>
      <c r="K290" s="5" t="n"/>
      <c r="L290" s="18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Row],[fecha_inicio]]="","",tblOrdenes[[#This Row],[anio]]&amp;"-"&amp;TEXT(tblOrdenes[[#This Row],[mes]],"00"))</f>
        <v/>
      </c>
      <c r="S290" s="5">
        <f>IF(tblOrdenes[[#This Row],[fecha_inicio]]="","",INDEX(lista_dias,WEEKDAY(tblOrdenes[[#This Row],[fecha_inicio]],2)))</f>
        <v/>
      </c>
      <c r="T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5">
        <f>IF(tblOrdenes[[#This Row],[tipo_ot]]="","",_xlfn.XLOOKUP(tblOrdenes[[#This Row],[tipo_ot]],tblTiposOT[codigo],tblTiposOT[clasificacion],"sin_clasificar"))</f>
        <v/>
      </c>
      <c r="V2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5">
        <f>IF(tblOrdenes[[#This Row],[centro_costo]]="","",_xlfn.XLOOKUP(tblOrdenes[[#This Row],[centro_costo]],tblCECO[codigo],tblCECO[linea],"(sin catálogo)"))</f>
        <v/>
      </c>
      <c r="Y290" s="5">
        <f>IF(tblOrdenes[[#This Row],[centro_costo]]="","",_xlfn.XLOOKUP(tblOrdenes[[#This Row],[centro_costo]],tblCECO[codigo],tblCECO[area],"(sin catálogo)"))</f>
        <v/>
      </c>
      <c r="Z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5">
        <f>IF(tblOrdenes[[#This Row],[centro_costo]]="","",_xlfn.XLOOKUP(tblOrdenes[[#This Row],[centro_costo]],tblCECO[codigo],tblCECO[coordinador],"(sin catálogo)"))</f>
        <v/>
      </c>
      <c r="AB290" s="5">
        <f>IF(tblOrdenes[[#This Row],[puesto_trabajo]]="","",_xlfn.XLOOKUP(tblOrdenes[[#This Row],[puesto_trabajo]],tblPuestos[codigo],tblPuestos[especialidad],"(sin catálogo)"))</f>
        <v/>
      </c>
      <c r="AC290" s="5">
        <f>IF(tblOrdenes[[#This Row],[cod_actividad]]="","",_xlfn.XLOOKUP(tblOrdenes[[#This Row],[cod_actividad]],tblActividades[codigo],tblActividades[descripcion],"(sin catálogo)"))</f>
        <v/>
      </c>
      <c r="AD290" s="23">
        <f>IF(tblOrdenes[[#This Row],[fecha_inicio]]="","",TODAY()-tblOrdenes[[#This Row],[fecha_inicio]])</f>
        <v/>
      </c>
      <c r="AE2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5">
        <f>IF(tblOrdenes[[#This Row],[backlog_habiles]]="","",IF(tblOrdenes[[#This Row],[backlog_habiles]]&lt;0,"FUTURO",IF(tblOrdenes[[#This Row],[backlog_habiles]]&gt;p_dias_backlog_max,"BACKLOG","MES CORRIENTE")))</f>
        <v/>
      </c>
      <c r="AG290" s="5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18">
        <f>IF(tblOrdenes[[#This Row],[orden]]="","",_xlfn.XLOOKUP(tblOrdenes[[#This Row],[id_operacion]],tblEjecucion[id_operacion],tblEjecucion[precio],0))</f>
        <v/>
      </c>
      <c r="AM290" s="18">
        <f>IF(tblOrdenes[[#This Row],[orden]]="","",MAX(0,_xlfn.XLOOKUP(tblOrdenes[[#This Row],[id_operacion]],tblEjecucion[id_operacion],tblEjecucion[costo_plan_total],0)-tblOrdenes[[#This Row],[costo_servicio]]))</f>
        <v/>
      </c>
      <c r="AN290" s="18">
        <f>IF(tblOrdenes[[#This Row],[orden]]="","",tblOrdenes[[#This Row],[costo_servicio]]+tblOrdenes[[#This Row],[costo_materiales]])</f>
        <v/>
      </c>
      <c r="AO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5">
        <f>IF(tblOrdenes[[#This Row],[link_checklist]]="","",HYPERLINK(p_ruta_base_checklists&amp;tblOrdenes[[#This Row],[link_checklist]],"abrir"))</f>
        <v/>
      </c>
      <c r="AT290" s="4" t="n"/>
      <c r="AU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5" t="n"/>
      <c r="K291" s="5" t="n"/>
      <c r="L291" s="18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Row],[fecha_inicio]]="","",tblOrdenes[[#This Row],[anio]]&amp;"-"&amp;TEXT(tblOrdenes[[#This Row],[mes]],"00"))</f>
        <v/>
      </c>
      <c r="S291" s="5">
        <f>IF(tblOrdenes[[#This Row],[fecha_inicio]]="","",INDEX(lista_dias,WEEKDAY(tblOrdenes[[#This Row],[fecha_inicio]],2)))</f>
        <v/>
      </c>
      <c r="T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5">
        <f>IF(tblOrdenes[[#This Row],[tipo_ot]]="","",_xlfn.XLOOKUP(tblOrdenes[[#This Row],[tipo_ot]],tblTiposOT[codigo],tblTiposOT[clasificacion],"sin_clasificar"))</f>
        <v/>
      </c>
      <c r="V2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5">
        <f>IF(tblOrdenes[[#This Row],[centro_costo]]="","",_xlfn.XLOOKUP(tblOrdenes[[#This Row],[centro_costo]],tblCECO[codigo],tblCECO[linea],"(sin catálogo)"))</f>
        <v/>
      </c>
      <c r="Y291" s="5">
        <f>IF(tblOrdenes[[#This Row],[centro_costo]]="","",_xlfn.XLOOKUP(tblOrdenes[[#This Row],[centro_costo]],tblCECO[codigo],tblCECO[area],"(sin catálogo)"))</f>
        <v/>
      </c>
      <c r="Z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5">
        <f>IF(tblOrdenes[[#This Row],[centro_costo]]="","",_xlfn.XLOOKUP(tblOrdenes[[#This Row],[centro_costo]],tblCECO[codigo],tblCECO[coordinador],"(sin catálogo)"))</f>
        <v/>
      </c>
      <c r="AB291" s="5">
        <f>IF(tblOrdenes[[#This Row],[puesto_trabajo]]="","",_xlfn.XLOOKUP(tblOrdenes[[#This Row],[puesto_trabajo]],tblPuestos[codigo],tblPuestos[especialidad],"(sin catálogo)"))</f>
        <v/>
      </c>
      <c r="AC291" s="5">
        <f>IF(tblOrdenes[[#This Row],[cod_actividad]]="","",_xlfn.XLOOKUP(tblOrdenes[[#This Row],[cod_actividad]],tblActividades[codigo],tblActividades[descripcion],"(sin catálogo)"))</f>
        <v/>
      </c>
      <c r="AD291" s="23">
        <f>IF(tblOrdenes[[#This Row],[fecha_inicio]]="","",TODAY()-tblOrdenes[[#This Row],[fecha_inicio]])</f>
        <v/>
      </c>
      <c r="AE2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5">
        <f>IF(tblOrdenes[[#This Row],[backlog_habiles]]="","",IF(tblOrdenes[[#This Row],[backlog_habiles]]&lt;0,"FUTURO",IF(tblOrdenes[[#This Row],[backlog_habiles]]&gt;p_dias_backlog_max,"BACKLOG","MES CORRIENTE")))</f>
        <v/>
      </c>
      <c r="AG291" s="5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18">
        <f>IF(tblOrdenes[[#This Row],[orden]]="","",_xlfn.XLOOKUP(tblOrdenes[[#This Row],[id_operacion]],tblEjecucion[id_operacion],tblEjecucion[precio],0))</f>
        <v/>
      </c>
      <c r="AM291" s="18">
        <f>IF(tblOrdenes[[#This Row],[orden]]="","",MAX(0,_xlfn.XLOOKUP(tblOrdenes[[#This Row],[id_operacion]],tblEjecucion[id_operacion],tblEjecucion[costo_plan_total],0)-tblOrdenes[[#This Row],[costo_servicio]]))</f>
        <v/>
      </c>
      <c r="AN291" s="18">
        <f>IF(tblOrdenes[[#This Row],[orden]]="","",tblOrdenes[[#This Row],[costo_servicio]]+tblOrdenes[[#This Row],[costo_materiales]])</f>
        <v/>
      </c>
      <c r="AO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5">
        <f>IF(tblOrdenes[[#This Row],[link_checklist]]="","",HYPERLINK(p_ruta_base_checklists&amp;tblOrdenes[[#This Row],[link_checklist]],"abrir"))</f>
        <v/>
      </c>
      <c r="AT291" s="4" t="n"/>
      <c r="AU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5" t="n"/>
      <c r="K292" s="5" t="n"/>
      <c r="L292" s="18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Row],[fecha_inicio]]="","",tblOrdenes[[#This Row],[anio]]&amp;"-"&amp;TEXT(tblOrdenes[[#This Row],[mes]],"00"))</f>
        <v/>
      </c>
      <c r="S292" s="5">
        <f>IF(tblOrdenes[[#This Row],[fecha_inicio]]="","",INDEX(lista_dias,WEEKDAY(tblOrdenes[[#This Row],[fecha_inicio]],2)))</f>
        <v/>
      </c>
      <c r="T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5">
        <f>IF(tblOrdenes[[#This Row],[tipo_ot]]="","",_xlfn.XLOOKUP(tblOrdenes[[#This Row],[tipo_ot]],tblTiposOT[codigo],tblTiposOT[clasificacion],"sin_clasificar"))</f>
        <v/>
      </c>
      <c r="V2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5">
        <f>IF(tblOrdenes[[#This Row],[centro_costo]]="","",_xlfn.XLOOKUP(tblOrdenes[[#This Row],[centro_costo]],tblCECO[codigo],tblCECO[linea],"(sin catálogo)"))</f>
        <v/>
      </c>
      <c r="Y292" s="5">
        <f>IF(tblOrdenes[[#This Row],[centro_costo]]="","",_xlfn.XLOOKUP(tblOrdenes[[#This Row],[centro_costo]],tblCECO[codigo],tblCECO[area],"(sin catálogo)"))</f>
        <v/>
      </c>
      <c r="Z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5">
        <f>IF(tblOrdenes[[#This Row],[centro_costo]]="","",_xlfn.XLOOKUP(tblOrdenes[[#This Row],[centro_costo]],tblCECO[codigo],tblCECO[coordinador],"(sin catálogo)"))</f>
        <v/>
      </c>
      <c r="AB292" s="5">
        <f>IF(tblOrdenes[[#This Row],[puesto_trabajo]]="","",_xlfn.XLOOKUP(tblOrdenes[[#This Row],[puesto_trabajo]],tblPuestos[codigo],tblPuestos[especialidad],"(sin catálogo)"))</f>
        <v/>
      </c>
      <c r="AC292" s="5">
        <f>IF(tblOrdenes[[#This Row],[cod_actividad]]="","",_xlfn.XLOOKUP(tblOrdenes[[#This Row],[cod_actividad]],tblActividades[codigo],tblActividades[descripcion],"(sin catálogo)"))</f>
        <v/>
      </c>
      <c r="AD292" s="23">
        <f>IF(tblOrdenes[[#This Row],[fecha_inicio]]="","",TODAY()-tblOrdenes[[#This Row],[fecha_inicio]])</f>
        <v/>
      </c>
      <c r="AE2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5">
        <f>IF(tblOrdenes[[#This Row],[backlog_habiles]]="","",IF(tblOrdenes[[#This Row],[backlog_habiles]]&lt;0,"FUTURO",IF(tblOrdenes[[#This Row],[backlog_habiles]]&gt;p_dias_backlog_max,"BACKLOG","MES CORRIENTE")))</f>
        <v/>
      </c>
      <c r="AG292" s="5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18">
        <f>IF(tblOrdenes[[#This Row],[orden]]="","",_xlfn.XLOOKUP(tblOrdenes[[#This Row],[id_operacion]],tblEjecucion[id_operacion],tblEjecucion[precio],0))</f>
        <v/>
      </c>
      <c r="AM292" s="18">
        <f>IF(tblOrdenes[[#This Row],[orden]]="","",MAX(0,_xlfn.XLOOKUP(tblOrdenes[[#This Row],[id_operacion]],tblEjecucion[id_operacion],tblEjecucion[costo_plan_total],0)-tblOrdenes[[#This Row],[costo_servicio]]))</f>
        <v/>
      </c>
      <c r="AN292" s="18">
        <f>IF(tblOrdenes[[#This Row],[orden]]="","",tblOrdenes[[#This Row],[costo_servicio]]+tblOrdenes[[#This Row],[costo_materiales]])</f>
        <v/>
      </c>
      <c r="AO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5">
        <f>IF(tblOrdenes[[#This Row],[link_checklist]]="","",HYPERLINK(p_ruta_base_checklists&amp;tblOrdenes[[#This Row],[link_checklist]],"abrir"))</f>
        <v/>
      </c>
      <c r="AT292" s="4" t="n"/>
      <c r="AU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5" t="n"/>
      <c r="K293" s="5" t="n"/>
      <c r="L293" s="18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Row],[fecha_inicio]]="","",tblOrdenes[[#This Row],[anio]]&amp;"-"&amp;TEXT(tblOrdenes[[#This Row],[mes]],"00"))</f>
        <v/>
      </c>
      <c r="S293" s="5">
        <f>IF(tblOrdenes[[#This Row],[fecha_inicio]]="","",INDEX(lista_dias,WEEKDAY(tblOrdenes[[#This Row],[fecha_inicio]],2)))</f>
        <v/>
      </c>
      <c r="T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5">
        <f>IF(tblOrdenes[[#This Row],[tipo_ot]]="","",_xlfn.XLOOKUP(tblOrdenes[[#This Row],[tipo_ot]],tblTiposOT[codigo],tblTiposOT[clasificacion],"sin_clasificar"))</f>
        <v/>
      </c>
      <c r="V2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5">
        <f>IF(tblOrdenes[[#This Row],[centro_costo]]="","",_xlfn.XLOOKUP(tblOrdenes[[#This Row],[centro_costo]],tblCECO[codigo],tblCECO[linea],"(sin catálogo)"))</f>
        <v/>
      </c>
      <c r="Y293" s="5">
        <f>IF(tblOrdenes[[#This Row],[centro_costo]]="","",_xlfn.XLOOKUP(tblOrdenes[[#This Row],[centro_costo]],tblCECO[codigo],tblCECO[area],"(sin catálogo)"))</f>
        <v/>
      </c>
      <c r="Z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5">
        <f>IF(tblOrdenes[[#This Row],[centro_costo]]="","",_xlfn.XLOOKUP(tblOrdenes[[#This Row],[centro_costo]],tblCECO[codigo],tblCECO[coordinador],"(sin catálogo)"))</f>
        <v/>
      </c>
      <c r="AB293" s="5">
        <f>IF(tblOrdenes[[#This Row],[puesto_trabajo]]="","",_xlfn.XLOOKUP(tblOrdenes[[#This Row],[puesto_trabajo]],tblPuestos[codigo],tblPuestos[especialidad],"(sin catálogo)"))</f>
        <v/>
      </c>
      <c r="AC293" s="5">
        <f>IF(tblOrdenes[[#This Row],[cod_actividad]]="","",_xlfn.XLOOKUP(tblOrdenes[[#This Row],[cod_actividad]],tblActividades[codigo],tblActividades[descripcion],"(sin catálogo)"))</f>
        <v/>
      </c>
      <c r="AD293" s="23">
        <f>IF(tblOrdenes[[#This Row],[fecha_inicio]]="","",TODAY()-tblOrdenes[[#This Row],[fecha_inicio]])</f>
        <v/>
      </c>
      <c r="AE2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5">
        <f>IF(tblOrdenes[[#This Row],[backlog_habiles]]="","",IF(tblOrdenes[[#This Row],[backlog_habiles]]&lt;0,"FUTURO",IF(tblOrdenes[[#This Row],[backlog_habiles]]&gt;p_dias_backlog_max,"BACKLOG","MES CORRIENTE")))</f>
        <v/>
      </c>
      <c r="AG293" s="5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18">
        <f>IF(tblOrdenes[[#This Row],[orden]]="","",_xlfn.XLOOKUP(tblOrdenes[[#This Row],[id_operacion]],tblEjecucion[id_operacion],tblEjecucion[precio],0))</f>
        <v/>
      </c>
      <c r="AM293" s="18">
        <f>IF(tblOrdenes[[#This Row],[orden]]="","",MAX(0,_xlfn.XLOOKUP(tblOrdenes[[#This Row],[id_operacion]],tblEjecucion[id_operacion],tblEjecucion[costo_plan_total],0)-tblOrdenes[[#This Row],[costo_servicio]]))</f>
        <v/>
      </c>
      <c r="AN293" s="18">
        <f>IF(tblOrdenes[[#This Row],[orden]]="","",tblOrdenes[[#This Row],[costo_servicio]]+tblOrdenes[[#This Row],[costo_materiales]])</f>
        <v/>
      </c>
      <c r="AO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5">
        <f>IF(tblOrdenes[[#This Row],[link_checklist]]="","",HYPERLINK(p_ruta_base_checklists&amp;tblOrdenes[[#This Row],[link_checklist]],"abrir"))</f>
        <v/>
      </c>
      <c r="AT293" s="4" t="n"/>
      <c r="AU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5" t="n"/>
      <c r="K294" s="5" t="n"/>
      <c r="L294" s="18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Row],[fecha_inicio]]="","",tblOrdenes[[#This Row],[anio]]&amp;"-"&amp;TEXT(tblOrdenes[[#This Row],[mes]],"00"))</f>
        <v/>
      </c>
      <c r="S294" s="5">
        <f>IF(tblOrdenes[[#This Row],[fecha_inicio]]="","",INDEX(lista_dias,WEEKDAY(tblOrdenes[[#This Row],[fecha_inicio]],2)))</f>
        <v/>
      </c>
      <c r="T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5">
        <f>IF(tblOrdenes[[#This Row],[tipo_ot]]="","",_xlfn.XLOOKUP(tblOrdenes[[#This Row],[tipo_ot]],tblTiposOT[codigo],tblTiposOT[clasificacion],"sin_clasificar"))</f>
        <v/>
      </c>
      <c r="V2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5">
        <f>IF(tblOrdenes[[#This Row],[centro_costo]]="","",_xlfn.XLOOKUP(tblOrdenes[[#This Row],[centro_costo]],tblCECO[codigo],tblCECO[linea],"(sin catálogo)"))</f>
        <v/>
      </c>
      <c r="Y294" s="5">
        <f>IF(tblOrdenes[[#This Row],[centro_costo]]="","",_xlfn.XLOOKUP(tblOrdenes[[#This Row],[centro_costo]],tblCECO[codigo],tblCECO[area],"(sin catálogo)"))</f>
        <v/>
      </c>
      <c r="Z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5">
        <f>IF(tblOrdenes[[#This Row],[centro_costo]]="","",_xlfn.XLOOKUP(tblOrdenes[[#This Row],[centro_costo]],tblCECO[codigo],tblCECO[coordinador],"(sin catálogo)"))</f>
        <v/>
      </c>
      <c r="AB294" s="5">
        <f>IF(tblOrdenes[[#This Row],[puesto_trabajo]]="","",_xlfn.XLOOKUP(tblOrdenes[[#This Row],[puesto_trabajo]],tblPuestos[codigo],tblPuestos[especialidad],"(sin catálogo)"))</f>
        <v/>
      </c>
      <c r="AC294" s="5">
        <f>IF(tblOrdenes[[#This Row],[cod_actividad]]="","",_xlfn.XLOOKUP(tblOrdenes[[#This Row],[cod_actividad]],tblActividades[codigo],tblActividades[descripcion],"(sin catálogo)"))</f>
        <v/>
      </c>
      <c r="AD294" s="23">
        <f>IF(tblOrdenes[[#This Row],[fecha_inicio]]="","",TODAY()-tblOrdenes[[#This Row],[fecha_inicio]])</f>
        <v/>
      </c>
      <c r="AE2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5">
        <f>IF(tblOrdenes[[#This Row],[backlog_habiles]]="","",IF(tblOrdenes[[#This Row],[backlog_habiles]]&lt;0,"FUTURO",IF(tblOrdenes[[#This Row],[backlog_habiles]]&gt;p_dias_backlog_max,"BACKLOG","MES CORRIENTE")))</f>
        <v/>
      </c>
      <c r="AG294" s="5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18">
        <f>IF(tblOrdenes[[#This Row],[orden]]="","",_xlfn.XLOOKUP(tblOrdenes[[#This Row],[id_operacion]],tblEjecucion[id_operacion],tblEjecucion[precio],0))</f>
        <v/>
      </c>
      <c r="AM294" s="18">
        <f>IF(tblOrdenes[[#This Row],[orden]]="","",MAX(0,_xlfn.XLOOKUP(tblOrdenes[[#This Row],[id_operacion]],tblEjecucion[id_operacion],tblEjecucion[costo_plan_total],0)-tblOrdenes[[#This Row],[costo_servicio]]))</f>
        <v/>
      </c>
      <c r="AN294" s="18">
        <f>IF(tblOrdenes[[#This Row],[orden]]="","",tblOrdenes[[#This Row],[costo_servicio]]+tblOrdenes[[#This Row],[costo_materiales]])</f>
        <v/>
      </c>
      <c r="AO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5">
        <f>IF(tblOrdenes[[#This Row],[link_checklist]]="","",HYPERLINK(p_ruta_base_checklists&amp;tblOrdenes[[#This Row],[link_checklist]],"abrir"))</f>
        <v/>
      </c>
      <c r="AT294" s="4" t="n"/>
      <c r="AU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5" t="n"/>
      <c r="K295" s="5" t="n"/>
      <c r="L295" s="18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Row],[fecha_inicio]]="","",tblOrdenes[[#This Row],[anio]]&amp;"-"&amp;TEXT(tblOrdenes[[#This Row],[mes]],"00"))</f>
        <v/>
      </c>
      <c r="S295" s="5">
        <f>IF(tblOrdenes[[#This Row],[fecha_inicio]]="","",INDEX(lista_dias,WEEKDAY(tblOrdenes[[#This Row],[fecha_inicio]],2)))</f>
        <v/>
      </c>
      <c r="T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5">
        <f>IF(tblOrdenes[[#This Row],[tipo_ot]]="","",_xlfn.XLOOKUP(tblOrdenes[[#This Row],[tipo_ot]],tblTiposOT[codigo],tblTiposOT[clasificacion],"sin_clasificar"))</f>
        <v/>
      </c>
      <c r="V2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5">
        <f>IF(tblOrdenes[[#This Row],[centro_costo]]="","",_xlfn.XLOOKUP(tblOrdenes[[#This Row],[centro_costo]],tblCECO[codigo],tblCECO[linea],"(sin catálogo)"))</f>
        <v/>
      </c>
      <c r="Y295" s="5">
        <f>IF(tblOrdenes[[#This Row],[centro_costo]]="","",_xlfn.XLOOKUP(tblOrdenes[[#This Row],[centro_costo]],tblCECO[codigo],tblCECO[area],"(sin catálogo)"))</f>
        <v/>
      </c>
      <c r="Z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5">
        <f>IF(tblOrdenes[[#This Row],[centro_costo]]="","",_xlfn.XLOOKUP(tblOrdenes[[#This Row],[centro_costo]],tblCECO[codigo],tblCECO[coordinador],"(sin catálogo)"))</f>
        <v/>
      </c>
      <c r="AB295" s="5">
        <f>IF(tblOrdenes[[#This Row],[puesto_trabajo]]="","",_xlfn.XLOOKUP(tblOrdenes[[#This Row],[puesto_trabajo]],tblPuestos[codigo],tblPuestos[especialidad],"(sin catálogo)"))</f>
        <v/>
      </c>
      <c r="AC295" s="5">
        <f>IF(tblOrdenes[[#This Row],[cod_actividad]]="","",_xlfn.XLOOKUP(tblOrdenes[[#This Row],[cod_actividad]],tblActividades[codigo],tblActividades[descripcion],"(sin catálogo)"))</f>
        <v/>
      </c>
      <c r="AD295" s="23">
        <f>IF(tblOrdenes[[#This Row],[fecha_inicio]]="","",TODAY()-tblOrdenes[[#This Row],[fecha_inicio]])</f>
        <v/>
      </c>
      <c r="AE2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5">
        <f>IF(tblOrdenes[[#This Row],[backlog_habiles]]="","",IF(tblOrdenes[[#This Row],[backlog_habiles]]&lt;0,"FUTURO",IF(tblOrdenes[[#This Row],[backlog_habiles]]&gt;p_dias_backlog_max,"BACKLOG","MES CORRIENTE")))</f>
        <v/>
      </c>
      <c r="AG295" s="5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18">
        <f>IF(tblOrdenes[[#This Row],[orden]]="","",_xlfn.XLOOKUP(tblOrdenes[[#This Row],[id_operacion]],tblEjecucion[id_operacion],tblEjecucion[precio],0))</f>
        <v/>
      </c>
      <c r="AM295" s="18">
        <f>IF(tblOrdenes[[#This Row],[orden]]="","",MAX(0,_xlfn.XLOOKUP(tblOrdenes[[#This Row],[id_operacion]],tblEjecucion[id_operacion],tblEjecucion[costo_plan_total],0)-tblOrdenes[[#This Row],[costo_servicio]]))</f>
        <v/>
      </c>
      <c r="AN295" s="18">
        <f>IF(tblOrdenes[[#This Row],[orden]]="","",tblOrdenes[[#This Row],[costo_servicio]]+tblOrdenes[[#This Row],[costo_materiales]])</f>
        <v/>
      </c>
      <c r="AO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5">
        <f>IF(tblOrdenes[[#This Row],[link_checklist]]="","",HYPERLINK(p_ruta_base_checklists&amp;tblOrdenes[[#This Row],[link_checklist]],"abrir"))</f>
        <v/>
      </c>
      <c r="AT295" s="4" t="n"/>
      <c r="AU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5" t="n"/>
      <c r="K296" s="5" t="n"/>
      <c r="L296" s="18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Row],[fecha_inicio]]="","",tblOrdenes[[#This Row],[anio]]&amp;"-"&amp;TEXT(tblOrdenes[[#This Row],[mes]],"00"))</f>
        <v/>
      </c>
      <c r="S296" s="5">
        <f>IF(tblOrdenes[[#This Row],[fecha_inicio]]="","",INDEX(lista_dias,WEEKDAY(tblOrdenes[[#This Row],[fecha_inicio]],2)))</f>
        <v/>
      </c>
      <c r="T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5">
        <f>IF(tblOrdenes[[#This Row],[tipo_ot]]="","",_xlfn.XLOOKUP(tblOrdenes[[#This Row],[tipo_ot]],tblTiposOT[codigo],tblTiposOT[clasificacion],"sin_clasificar"))</f>
        <v/>
      </c>
      <c r="V2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5">
        <f>IF(tblOrdenes[[#This Row],[centro_costo]]="","",_xlfn.XLOOKUP(tblOrdenes[[#This Row],[centro_costo]],tblCECO[codigo],tblCECO[linea],"(sin catálogo)"))</f>
        <v/>
      </c>
      <c r="Y296" s="5">
        <f>IF(tblOrdenes[[#This Row],[centro_costo]]="","",_xlfn.XLOOKUP(tblOrdenes[[#This Row],[centro_costo]],tblCECO[codigo],tblCECO[area],"(sin catálogo)"))</f>
        <v/>
      </c>
      <c r="Z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5">
        <f>IF(tblOrdenes[[#This Row],[centro_costo]]="","",_xlfn.XLOOKUP(tblOrdenes[[#This Row],[centro_costo]],tblCECO[codigo],tblCECO[coordinador],"(sin catálogo)"))</f>
        <v/>
      </c>
      <c r="AB296" s="5">
        <f>IF(tblOrdenes[[#This Row],[puesto_trabajo]]="","",_xlfn.XLOOKUP(tblOrdenes[[#This Row],[puesto_trabajo]],tblPuestos[codigo],tblPuestos[especialidad],"(sin catálogo)"))</f>
        <v/>
      </c>
      <c r="AC296" s="5">
        <f>IF(tblOrdenes[[#This Row],[cod_actividad]]="","",_xlfn.XLOOKUP(tblOrdenes[[#This Row],[cod_actividad]],tblActividades[codigo],tblActividades[descripcion],"(sin catálogo)"))</f>
        <v/>
      </c>
      <c r="AD296" s="23">
        <f>IF(tblOrdenes[[#This Row],[fecha_inicio]]="","",TODAY()-tblOrdenes[[#This Row],[fecha_inicio]])</f>
        <v/>
      </c>
      <c r="AE2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5">
        <f>IF(tblOrdenes[[#This Row],[backlog_habiles]]="","",IF(tblOrdenes[[#This Row],[backlog_habiles]]&lt;0,"FUTURO",IF(tblOrdenes[[#This Row],[backlog_habiles]]&gt;p_dias_backlog_max,"BACKLOG","MES CORRIENTE")))</f>
        <v/>
      </c>
      <c r="AG296" s="5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18">
        <f>IF(tblOrdenes[[#This Row],[orden]]="","",_xlfn.XLOOKUP(tblOrdenes[[#This Row],[id_operacion]],tblEjecucion[id_operacion],tblEjecucion[precio],0))</f>
        <v/>
      </c>
      <c r="AM296" s="18">
        <f>IF(tblOrdenes[[#This Row],[orden]]="","",MAX(0,_xlfn.XLOOKUP(tblOrdenes[[#This Row],[id_operacion]],tblEjecucion[id_operacion],tblEjecucion[costo_plan_total],0)-tblOrdenes[[#This Row],[costo_servicio]]))</f>
        <v/>
      </c>
      <c r="AN296" s="18">
        <f>IF(tblOrdenes[[#This Row],[orden]]="","",tblOrdenes[[#This Row],[costo_servicio]]+tblOrdenes[[#This Row],[costo_materiales]])</f>
        <v/>
      </c>
      <c r="AO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5">
        <f>IF(tblOrdenes[[#This Row],[link_checklist]]="","",HYPERLINK(p_ruta_base_checklists&amp;tblOrdenes[[#This Row],[link_checklist]],"abrir"))</f>
        <v/>
      </c>
      <c r="AT296" s="4" t="n"/>
      <c r="AU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5" t="n"/>
      <c r="K297" s="5" t="n"/>
      <c r="L297" s="18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Row],[fecha_inicio]]="","",tblOrdenes[[#This Row],[anio]]&amp;"-"&amp;TEXT(tblOrdenes[[#This Row],[mes]],"00"))</f>
        <v/>
      </c>
      <c r="S297" s="5">
        <f>IF(tblOrdenes[[#This Row],[fecha_inicio]]="","",INDEX(lista_dias,WEEKDAY(tblOrdenes[[#This Row],[fecha_inicio]],2)))</f>
        <v/>
      </c>
      <c r="T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5">
        <f>IF(tblOrdenes[[#This Row],[tipo_ot]]="","",_xlfn.XLOOKUP(tblOrdenes[[#This Row],[tipo_ot]],tblTiposOT[codigo],tblTiposOT[clasificacion],"sin_clasificar"))</f>
        <v/>
      </c>
      <c r="V2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5">
        <f>IF(tblOrdenes[[#This Row],[centro_costo]]="","",_xlfn.XLOOKUP(tblOrdenes[[#This Row],[centro_costo]],tblCECO[codigo],tblCECO[linea],"(sin catálogo)"))</f>
        <v/>
      </c>
      <c r="Y297" s="5">
        <f>IF(tblOrdenes[[#This Row],[centro_costo]]="","",_xlfn.XLOOKUP(tblOrdenes[[#This Row],[centro_costo]],tblCECO[codigo],tblCECO[area],"(sin catálogo)"))</f>
        <v/>
      </c>
      <c r="Z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5">
        <f>IF(tblOrdenes[[#This Row],[centro_costo]]="","",_xlfn.XLOOKUP(tblOrdenes[[#This Row],[centro_costo]],tblCECO[codigo],tblCECO[coordinador],"(sin catálogo)"))</f>
        <v/>
      </c>
      <c r="AB297" s="5">
        <f>IF(tblOrdenes[[#This Row],[puesto_trabajo]]="","",_xlfn.XLOOKUP(tblOrdenes[[#This Row],[puesto_trabajo]],tblPuestos[codigo],tblPuestos[especialidad],"(sin catálogo)"))</f>
        <v/>
      </c>
      <c r="AC297" s="5">
        <f>IF(tblOrdenes[[#This Row],[cod_actividad]]="","",_xlfn.XLOOKUP(tblOrdenes[[#This Row],[cod_actividad]],tblActividades[codigo],tblActividades[descripcion],"(sin catálogo)"))</f>
        <v/>
      </c>
      <c r="AD297" s="23">
        <f>IF(tblOrdenes[[#This Row],[fecha_inicio]]="","",TODAY()-tblOrdenes[[#This Row],[fecha_inicio]])</f>
        <v/>
      </c>
      <c r="AE2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5">
        <f>IF(tblOrdenes[[#This Row],[backlog_habiles]]="","",IF(tblOrdenes[[#This Row],[backlog_habiles]]&lt;0,"FUTURO",IF(tblOrdenes[[#This Row],[backlog_habiles]]&gt;p_dias_backlog_max,"BACKLOG","MES CORRIENTE")))</f>
        <v/>
      </c>
      <c r="AG297" s="5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18">
        <f>IF(tblOrdenes[[#This Row],[orden]]="","",_xlfn.XLOOKUP(tblOrdenes[[#This Row],[id_operacion]],tblEjecucion[id_operacion],tblEjecucion[precio],0))</f>
        <v/>
      </c>
      <c r="AM297" s="18">
        <f>IF(tblOrdenes[[#This Row],[orden]]="","",MAX(0,_xlfn.XLOOKUP(tblOrdenes[[#This Row],[id_operacion]],tblEjecucion[id_operacion],tblEjecucion[costo_plan_total],0)-tblOrdenes[[#This Row],[costo_servicio]]))</f>
        <v/>
      </c>
      <c r="AN297" s="18">
        <f>IF(tblOrdenes[[#This Row],[orden]]="","",tblOrdenes[[#This Row],[costo_servicio]]+tblOrdenes[[#This Row],[costo_materiales]])</f>
        <v/>
      </c>
      <c r="AO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5">
        <f>IF(tblOrdenes[[#This Row],[link_checklist]]="","",HYPERLINK(p_ruta_base_checklists&amp;tblOrdenes[[#This Row],[link_checklist]],"abrir"))</f>
        <v/>
      </c>
      <c r="AT297" s="4" t="n"/>
      <c r="AU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5" t="n"/>
      <c r="K298" s="5" t="n"/>
      <c r="L298" s="18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Row],[fecha_inicio]]="","",tblOrdenes[[#This Row],[anio]]&amp;"-"&amp;TEXT(tblOrdenes[[#This Row],[mes]],"00"))</f>
        <v/>
      </c>
      <c r="S298" s="5">
        <f>IF(tblOrdenes[[#This Row],[fecha_inicio]]="","",INDEX(lista_dias,WEEKDAY(tblOrdenes[[#This Row],[fecha_inicio]],2)))</f>
        <v/>
      </c>
      <c r="T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5">
        <f>IF(tblOrdenes[[#This Row],[tipo_ot]]="","",_xlfn.XLOOKUP(tblOrdenes[[#This Row],[tipo_ot]],tblTiposOT[codigo],tblTiposOT[clasificacion],"sin_clasificar"))</f>
        <v/>
      </c>
      <c r="V2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5">
        <f>IF(tblOrdenes[[#This Row],[centro_costo]]="","",_xlfn.XLOOKUP(tblOrdenes[[#This Row],[centro_costo]],tblCECO[codigo],tblCECO[linea],"(sin catálogo)"))</f>
        <v/>
      </c>
      <c r="Y298" s="5">
        <f>IF(tblOrdenes[[#This Row],[centro_costo]]="","",_xlfn.XLOOKUP(tblOrdenes[[#This Row],[centro_costo]],tblCECO[codigo],tblCECO[area],"(sin catálogo)"))</f>
        <v/>
      </c>
      <c r="Z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5">
        <f>IF(tblOrdenes[[#This Row],[centro_costo]]="","",_xlfn.XLOOKUP(tblOrdenes[[#This Row],[centro_costo]],tblCECO[codigo],tblCECO[coordinador],"(sin catálogo)"))</f>
        <v/>
      </c>
      <c r="AB298" s="5">
        <f>IF(tblOrdenes[[#This Row],[puesto_trabajo]]="","",_xlfn.XLOOKUP(tblOrdenes[[#This Row],[puesto_trabajo]],tblPuestos[codigo],tblPuestos[especialidad],"(sin catálogo)"))</f>
        <v/>
      </c>
      <c r="AC298" s="5">
        <f>IF(tblOrdenes[[#This Row],[cod_actividad]]="","",_xlfn.XLOOKUP(tblOrdenes[[#This Row],[cod_actividad]],tblActividades[codigo],tblActividades[descripcion],"(sin catálogo)"))</f>
        <v/>
      </c>
      <c r="AD298" s="23">
        <f>IF(tblOrdenes[[#This Row],[fecha_inicio]]="","",TODAY()-tblOrdenes[[#This Row],[fecha_inicio]])</f>
        <v/>
      </c>
      <c r="AE2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5">
        <f>IF(tblOrdenes[[#This Row],[backlog_habiles]]="","",IF(tblOrdenes[[#This Row],[backlog_habiles]]&lt;0,"FUTURO",IF(tblOrdenes[[#This Row],[backlog_habiles]]&gt;p_dias_backlog_max,"BACKLOG","MES CORRIENTE")))</f>
        <v/>
      </c>
      <c r="AG298" s="5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18">
        <f>IF(tblOrdenes[[#This Row],[orden]]="","",_xlfn.XLOOKUP(tblOrdenes[[#This Row],[id_operacion]],tblEjecucion[id_operacion],tblEjecucion[precio],0))</f>
        <v/>
      </c>
      <c r="AM298" s="18">
        <f>IF(tblOrdenes[[#This Row],[orden]]="","",MAX(0,_xlfn.XLOOKUP(tblOrdenes[[#This Row],[id_operacion]],tblEjecucion[id_operacion],tblEjecucion[costo_plan_total],0)-tblOrdenes[[#This Row],[costo_servicio]]))</f>
        <v/>
      </c>
      <c r="AN298" s="18">
        <f>IF(tblOrdenes[[#This Row],[orden]]="","",tblOrdenes[[#This Row],[costo_servicio]]+tblOrdenes[[#This Row],[costo_materiales]])</f>
        <v/>
      </c>
      <c r="AO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5">
        <f>IF(tblOrdenes[[#This Row],[link_checklist]]="","",HYPERLINK(p_ruta_base_checklists&amp;tblOrdenes[[#This Row],[link_checklist]],"abrir"))</f>
        <v/>
      </c>
      <c r="AT298" s="4" t="n"/>
      <c r="AU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5" t="n"/>
      <c r="K299" s="5" t="n"/>
      <c r="L299" s="18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Row],[fecha_inicio]]="","",tblOrdenes[[#This Row],[anio]]&amp;"-"&amp;TEXT(tblOrdenes[[#This Row],[mes]],"00"))</f>
        <v/>
      </c>
      <c r="S299" s="5">
        <f>IF(tblOrdenes[[#This Row],[fecha_inicio]]="","",INDEX(lista_dias,WEEKDAY(tblOrdenes[[#This Row],[fecha_inicio]],2)))</f>
        <v/>
      </c>
      <c r="T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5">
        <f>IF(tblOrdenes[[#This Row],[tipo_ot]]="","",_xlfn.XLOOKUP(tblOrdenes[[#This Row],[tipo_ot]],tblTiposOT[codigo],tblTiposOT[clasificacion],"sin_clasificar"))</f>
        <v/>
      </c>
      <c r="V2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5">
        <f>IF(tblOrdenes[[#This Row],[centro_costo]]="","",_xlfn.XLOOKUP(tblOrdenes[[#This Row],[centro_costo]],tblCECO[codigo],tblCECO[linea],"(sin catálogo)"))</f>
        <v/>
      </c>
      <c r="Y299" s="5">
        <f>IF(tblOrdenes[[#This Row],[centro_costo]]="","",_xlfn.XLOOKUP(tblOrdenes[[#This Row],[centro_costo]],tblCECO[codigo],tblCECO[area],"(sin catálogo)"))</f>
        <v/>
      </c>
      <c r="Z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5">
        <f>IF(tblOrdenes[[#This Row],[centro_costo]]="","",_xlfn.XLOOKUP(tblOrdenes[[#This Row],[centro_costo]],tblCECO[codigo],tblCECO[coordinador],"(sin catálogo)"))</f>
        <v/>
      </c>
      <c r="AB299" s="5">
        <f>IF(tblOrdenes[[#This Row],[puesto_trabajo]]="","",_xlfn.XLOOKUP(tblOrdenes[[#This Row],[puesto_trabajo]],tblPuestos[codigo],tblPuestos[especialidad],"(sin catálogo)"))</f>
        <v/>
      </c>
      <c r="AC299" s="5">
        <f>IF(tblOrdenes[[#This Row],[cod_actividad]]="","",_xlfn.XLOOKUP(tblOrdenes[[#This Row],[cod_actividad]],tblActividades[codigo],tblActividades[descripcion],"(sin catálogo)"))</f>
        <v/>
      </c>
      <c r="AD299" s="23">
        <f>IF(tblOrdenes[[#This Row],[fecha_inicio]]="","",TODAY()-tblOrdenes[[#This Row],[fecha_inicio]])</f>
        <v/>
      </c>
      <c r="AE2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5">
        <f>IF(tblOrdenes[[#This Row],[backlog_habiles]]="","",IF(tblOrdenes[[#This Row],[backlog_habiles]]&lt;0,"FUTURO",IF(tblOrdenes[[#This Row],[backlog_habiles]]&gt;p_dias_backlog_max,"BACKLOG","MES CORRIENTE")))</f>
        <v/>
      </c>
      <c r="AG299" s="5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18">
        <f>IF(tblOrdenes[[#This Row],[orden]]="","",_xlfn.XLOOKUP(tblOrdenes[[#This Row],[id_operacion]],tblEjecucion[id_operacion],tblEjecucion[precio],0))</f>
        <v/>
      </c>
      <c r="AM299" s="18">
        <f>IF(tblOrdenes[[#This Row],[orden]]="","",MAX(0,_xlfn.XLOOKUP(tblOrdenes[[#This Row],[id_operacion]],tblEjecucion[id_operacion],tblEjecucion[costo_plan_total],0)-tblOrdenes[[#This Row],[costo_servicio]]))</f>
        <v/>
      </c>
      <c r="AN299" s="18">
        <f>IF(tblOrdenes[[#This Row],[orden]]="","",tblOrdenes[[#This Row],[costo_servicio]]+tblOrdenes[[#This Row],[costo_materiales]])</f>
        <v/>
      </c>
      <c r="AO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5">
        <f>IF(tblOrdenes[[#This Row],[link_checklist]]="","",HYPERLINK(p_ruta_base_checklists&amp;tblOrdenes[[#This Row],[link_checklist]],"abrir"))</f>
        <v/>
      </c>
      <c r="AT299" s="4" t="n"/>
      <c r="AU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5" t="n"/>
      <c r="K300" s="5" t="n"/>
      <c r="L300" s="18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Row],[fecha_inicio]]="","",tblOrdenes[[#This Row],[anio]]&amp;"-"&amp;TEXT(tblOrdenes[[#This Row],[mes]],"00"))</f>
        <v/>
      </c>
      <c r="S300" s="5">
        <f>IF(tblOrdenes[[#This Row],[fecha_inicio]]="","",INDEX(lista_dias,WEEKDAY(tblOrdenes[[#This Row],[fecha_inicio]],2)))</f>
        <v/>
      </c>
      <c r="T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5">
        <f>IF(tblOrdenes[[#This Row],[tipo_ot]]="","",_xlfn.XLOOKUP(tblOrdenes[[#This Row],[tipo_ot]],tblTiposOT[codigo],tblTiposOT[clasificacion],"sin_clasificar"))</f>
        <v/>
      </c>
      <c r="V3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5">
        <f>IF(tblOrdenes[[#This Row],[centro_costo]]="","",_xlfn.XLOOKUP(tblOrdenes[[#This Row],[centro_costo]],tblCECO[codigo],tblCECO[linea],"(sin catálogo)"))</f>
        <v/>
      </c>
      <c r="Y300" s="5">
        <f>IF(tblOrdenes[[#This Row],[centro_costo]]="","",_xlfn.XLOOKUP(tblOrdenes[[#This Row],[centro_costo]],tblCECO[codigo],tblCECO[area],"(sin catálogo)"))</f>
        <v/>
      </c>
      <c r="Z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5">
        <f>IF(tblOrdenes[[#This Row],[centro_costo]]="","",_xlfn.XLOOKUP(tblOrdenes[[#This Row],[centro_costo]],tblCECO[codigo],tblCECO[coordinador],"(sin catálogo)"))</f>
        <v/>
      </c>
      <c r="AB300" s="5">
        <f>IF(tblOrdenes[[#This Row],[puesto_trabajo]]="","",_xlfn.XLOOKUP(tblOrdenes[[#This Row],[puesto_trabajo]],tblPuestos[codigo],tblPuestos[especialidad],"(sin catálogo)"))</f>
        <v/>
      </c>
      <c r="AC300" s="5">
        <f>IF(tblOrdenes[[#This Row],[cod_actividad]]="","",_xlfn.XLOOKUP(tblOrdenes[[#This Row],[cod_actividad]],tblActividades[codigo],tblActividades[descripcion],"(sin catálogo)"))</f>
        <v/>
      </c>
      <c r="AD300" s="23">
        <f>IF(tblOrdenes[[#This Row],[fecha_inicio]]="","",TODAY()-tblOrdenes[[#This Row],[fecha_inicio]])</f>
        <v/>
      </c>
      <c r="AE3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5">
        <f>IF(tblOrdenes[[#This Row],[backlog_habiles]]="","",IF(tblOrdenes[[#This Row],[backlog_habiles]]&lt;0,"FUTURO",IF(tblOrdenes[[#This Row],[backlog_habiles]]&gt;p_dias_backlog_max,"BACKLOG","MES CORRIENTE")))</f>
        <v/>
      </c>
      <c r="AG300" s="5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18">
        <f>IF(tblOrdenes[[#This Row],[orden]]="","",_xlfn.XLOOKUP(tblOrdenes[[#This Row],[id_operacion]],tblEjecucion[id_operacion],tblEjecucion[precio],0))</f>
        <v/>
      </c>
      <c r="AM300" s="18">
        <f>IF(tblOrdenes[[#This Row],[orden]]="","",MAX(0,_xlfn.XLOOKUP(tblOrdenes[[#This Row],[id_operacion]],tblEjecucion[id_operacion],tblEjecucion[costo_plan_total],0)-tblOrdenes[[#This Row],[costo_servicio]]))</f>
        <v/>
      </c>
      <c r="AN300" s="18">
        <f>IF(tblOrdenes[[#This Row],[orden]]="","",tblOrdenes[[#This Row],[costo_servicio]]+tblOrdenes[[#This Row],[costo_materiales]])</f>
        <v/>
      </c>
      <c r="AO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5">
        <f>IF(tblOrdenes[[#This Row],[link_checklist]]="","",HYPERLINK(p_ruta_base_checklists&amp;tblOrdenes[[#This Row],[link_checklist]],"abrir"))</f>
        <v/>
      </c>
      <c r="AT300" s="4" t="n"/>
      <c r="AU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5" t="n"/>
      <c r="K301" s="5" t="n"/>
      <c r="L301" s="18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Row],[fecha_inicio]]="","",tblOrdenes[[#This Row],[anio]]&amp;"-"&amp;TEXT(tblOrdenes[[#This Row],[mes]],"00"))</f>
        <v/>
      </c>
      <c r="S301" s="5">
        <f>IF(tblOrdenes[[#This Row],[fecha_inicio]]="","",INDEX(lista_dias,WEEKDAY(tblOrdenes[[#This Row],[fecha_inicio]],2)))</f>
        <v/>
      </c>
      <c r="T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5">
        <f>IF(tblOrdenes[[#This Row],[tipo_ot]]="","",_xlfn.XLOOKUP(tblOrdenes[[#This Row],[tipo_ot]],tblTiposOT[codigo],tblTiposOT[clasificacion],"sin_clasificar"))</f>
        <v/>
      </c>
      <c r="V3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5">
        <f>IF(tblOrdenes[[#This Row],[centro_costo]]="","",_xlfn.XLOOKUP(tblOrdenes[[#This Row],[centro_costo]],tblCECO[codigo],tblCECO[linea],"(sin catálogo)"))</f>
        <v/>
      </c>
      <c r="Y301" s="5">
        <f>IF(tblOrdenes[[#This Row],[centro_costo]]="","",_xlfn.XLOOKUP(tblOrdenes[[#This Row],[centro_costo]],tblCECO[codigo],tblCECO[area],"(sin catálogo)"))</f>
        <v/>
      </c>
      <c r="Z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5">
        <f>IF(tblOrdenes[[#This Row],[centro_costo]]="","",_xlfn.XLOOKUP(tblOrdenes[[#This Row],[centro_costo]],tblCECO[codigo],tblCECO[coordinador],"(sin catálogo)"))</f>
        <v/>
      </c>
      <c r="AB301" s="5">
        <f>IF(tblOrdenes[[#This Row],[puesto_trabajo]]="","",_xlfn.XLOOKUP(tblOrdenes[[#This Row],[puesto_trabajo]],tblPuestos[codigo],tblPuestos[especialidad],"(sin catálogo)"))</f>
        <v/>
      </c>
      <c r="AC301" s="5">
        <f>IF(tblOrdenes[[#This Row],[cod_actividad]]="","",_xlfn.XLOOKUP(tblOrdenes[[#This Row],[cod_actividad]],tblActividades[codigo],tblActividades[descripcion],"(sin catálogo)"))</f>
        <v/>
      </c>
      <c r="AD301" s="23">
        <f>IF(tblOrdenes[[#This Row],[fecha_inicio]]="","",TODAY()-tblOrdenes[[#This Row],[fecha_inicio]])</f>
        <v/>
      </c>
      <c r="AE3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5">
        <f>IF(tblOrdenes[[#This Row],[backlog_habiles]]="","",IF(tblOrdenes[[#This Row],[backlog_habiles]]&lt;0,"FUTURO",IF(tblOrdenes[[#This Row],[backlog_habiles]]&gt;p_dias_backlog_max,"BACKLOG","MES CORRIENTE")))</f>
        <v/>
      </c>
      <c r="AG301" s="5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18">
        <f>IF(tblOrdenes[[#This Row],[orden]]="","",_xlfn.XLOOKUP(tblOrdenes[[#This Row],[id_operacion]],tblEjecucion[id_operacion],tblEjecucion[precio],0))</f>
        <v/>
      </c>
      <c r="AM301" s="18">
        <f>IF(tblOrdenes[[#This Row],[orden]]="","",MAX(0,_xlfn.XLOOKUP(tblOrdenes[[#This Row],[id_operacion]],tblEjecucion[id_operacion],tblEjecucion[costo_plan_total],0)-tblOrdenes[[#This Row],[costo_servicio]]))</f>
        <v/>
      </c>
      <c r="AN301" s="18">
        <f>IF(tblOrdenes[[#This Row],[orden]]="","",tblOrdenes[[#This Row],[costo_servicio]]+tblOrdenes[[#This Row],[costo_materiales]])</f>
        <v/>
      </c>
      <c r="AO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5">
        <f>IF(tblOrdenes[[#This Row],[link_checklist]]="","",HYPERLINK(p_ruta_base_checklists&amp;tblOrdenes[[#This Row],[link_checklist]],"abrir"))</f>
        <v/>
      </c>
      <c r="AT301" s="4" t="n"/>
      <c r="AU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5" t="n"/>
      <c r="K302" s="5" t="n"/>
      <c r="L302" s="18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Row],[fecha_inicio]]="","",tblOrdenes[[#This Row],[anio]]&amp;"-"&amp;TEXT(tblOrdenes[[#This Row],[mes]],"00"))</f>
        <v/>
      </c>
      <c r="S302" s="5">
        <f>IF(tblOrdenes[[#This Row],[fecha_inicio]]="","",INDEX(lista_dias,WEEKDAY(tblOrdenes[[#This Row],[fecha_inicio]],2)))</f>
        <v/>
      </c>
      <c r="T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5">
        <f>IF(tblOrdenes[[#This Row],[tipo_ot]]="","",_xlfn.XLOOKUP(tblOrdenes[[#This Row],[tipo_ot]],tblTiposOT[codigo],tblTiposOT[clasificacion],"sin_clasificar"))</f>
        <v/>
      </c>
      <c r="V3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5">
        <f>IF(tblOrdenes[[#This Row],[centro_costo]]="","",_xlfn.XLOOKUP(tblOrdenes[[#This Row],[centro_costo]],tblCECO[codigo],tblCECO[linea],"(sin catálogo)"))</f>
        <v/>
      </c>
      <c r="Y302" s="5">
        <f>IF(tblOrdenes[[#This Row],[centro_costo]]="","",_xlfn.XLOOKUP(tblOrdenes[[#This Row],[centro_costo]],tblCECO[codigo],tblCECO[area],"(sin catálogo)"))</f>
        <v/>
      </c>
      <c r="Z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5">
        <f>IF(tblOrdenes[[#This Row],[centro_costo]]="","",_xlfn.XLOOKUP(tblOrdenes[[#This Row],[centro_costo]],tblCECO[codigo],tblCECO[coordinador],"(sin catálogo)"))</f>
        <v/>
      </c>
      <c r="AB302" s="5">
        <f>IF(tblOrdenes[[#This Row],[puesto_trabajo]]="","",_xlfn.XLOOKUP(tblOrdenes[[#This Row],[puesto_trabajo]],tblPuestos[codigo],tblPuestos[especialidad],"(sin catálogo)"))</f>
        <v/>
      </c>
      <c r="AC302" s="5">
        <f>IF(tblOrdenes[[#This Row],[cod_actividad]]="","",_xlfn.XLOOKUP(tblOrdenes[[#This Row],[cod_actividad]],tblActividades[codigo],tblActividades[descripcion],"(sin catálogo)"))</f>
        <v/>
      </c>
      <c r="AD302" s="23">
        <f>IF(tblOrdenes[[#This Row],[fecha_inicio]]="","",TODAY()-tblOrdenes[[#This Row],[fecha_inicio]])</f>
        <v/>
      </c>
      <c r="AE3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5">
        <f>IF(tblOrdenes[[#This Row],[backlog_habiles]]="","",IF(tblOrdenes[[#This Row],[backlog_habiles]]&lt;0,"FUTURO",IF(tblOrdenes[[#This Row],[backlog_habiles]]&gt;p_dias_backlog_max,"BACKLOG","MES CORRIENTE")))</f>
        <v/>
      </c>
      <c r="AG302" s="5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18">
        <f>IF(tblOrdenes[[#This Row],[orden]]="","",_xlfn.XLOOKUP(tblOrdenes[[#This Row],[id_operacion]],tblEjecucion[id_operacion],tblEjecucion[precio],0))</f>
        <v/>
      </c>
      <c r="AM302" s="18">
        <f>IF(tblOrdenes[[#This Row],[orden]]="","",MAX(0,_xlfn.XLOOKUP(tblOrdenes[[#This Row],[id_operacion]],tblEjecucion[id_operacion],tblEjecucion[costo_plan_total],0)-tblOrdenes[[#This Row],[costo_servicio]]))</f>
        <v/>
      </c>
      <c r="AN302" s="18">
        <f>IF(tblOrdenes[[#This Row],[orden]]="","",tblOrdenes[[#This Row],[costo_servicio]]+tblOrdenes[[#This Row],[costo_materiales]])</f>
        <v/>
      </c>
      <c r="AO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5">
        <f>IF(tblOrdenes[[#This Row],[link_checklist]]="","",HYPERLINK(p_ruta_base_checklists&amp;tblOrdenes[[#This Row],[link_checklist]],"abrir"))</f>
        <v/>
      </c>
      <c r="AT302" s="4" t="n"/>
      <c r="AU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5" t="n"/>
      <c r="K303" s="5" t="n"/>
      <c r="L303" s="18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Row],[fecha_inicio]]="","",tblOrdenes[[#This Row],[anio]]&amp;"-"&amp;TEXT(tblOrdenes[[#This Row],[mes]],"00"))</f>
        <v/>
      </c>
      <c r="S303" s="5">
        <f>IF(tblOrdenes[[#This Row],[fecha_inicio]]="","",INDEX(lista_dias,WEEKDAY(tblOrdenes[[#This Row],[fecha_inicio]],2)))</f>
        <v/>
      </c>
      <c r="T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5">
        <f>IF(tblOrdenes[[#This Row],[tipo_ot]]="","",_xlfn.XLOOKUP(tblOrdenes[[#This Row],[tipo_ot]],tblTiposOT[codigo],tblTiposOT[clasificacion],"sin_clasificar"))</f>
        <v/>
      </c>
      <c r="V3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5">
        <f>IF(tblOrdenes[[#This Row],[centro_costo]]="","",_xlfn.XLOOKUP(tblOrdenes[[#This Row],[centro_costo]],tblCECO[codigo],tblCECO[linea],"(sin catálogo)"))</f>
        <v/>
      </c>
      <c r="Y303" s="5">
        <f>IF(tblOrdenes[[#This Row],[centro_costo]]="","",_xlfn.XLOOKUP(tblOrdenes[[#This Row],[centro_costo]],tblCECO[codigo],tblCECO[area],"(sin catálogo)"))</f>
        <v/>
      </c>
      <c r="Z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5">
        <f>IF(tblOrdenes[[#This Row],[centro_costo]]="","",_xlfn.XLOOKUP(tblOrdenes[[#This Row],[centro_costo]],tblCECO[codigo],tblCECO[coordinador],"(sin catálogo)"))</f>
        <v/>
      </c>
      <c r="AB303" s="5">
        <f>IF(tblOrdenes[[#This Row],[puesto_trabajo]]="","",_xlfn.XLOOKUP(tblOrdenes[[#This Row],[puesto_trabajo]],tblPuestos[codigo],tblPuestos[especialidad],"(sin catálogo)"))</f>
        <v/>
      </c>
      <c r="AC303" s="5">
        <f>IF(tblOrdenes[[#This Row],[cod_actividad]]="","",_xlfn.XLOOKUP(tblOrdenes[[#This Row],[cod_actividad]],tblActividades[codigo],tblActividades[descripcion],"(sin catálogo)"))</f>
        <v/>
      </c>
      <c r="AD303" s="23">
        <f>IF(tblOrdenes[[#This Row],[fecha_inicio]]="","",TODAY()-tblOrdenes[[#This Row],[fecha_inicio]])</f>
        <v/>
      </c>
      <c r="AE3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5">
        <f>IF(tblOrdenes[[#This Row],[backlog_habiles]]="","",IF(tblOrdenes[[#This Row],[backlog_habiles]]&lt;0,"FUTURO",IF(tblOrdenes[[#This Row],[backlog_habiles]]&gt;p_dias_backlog_max,"BACKLOG","MES CORRIENTE")))</f>
        <v/>
      </c>
      <c r="AG303" s="5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18">
        <f>IF(tblOrdenes[[#This Row],[orden]]="","",_xlfn.XLOOKUP(tblOrdenes[[#This Row],[id_operacion]],tblEjecucion[id_operacion],tblEjecucion[precio],0))</f>
        <v/>
      </c>
      <c r="AM303" s="18">
        <f>IF(tblOrdenes[[#This Row],[orden]]="","",MAX(0,_xlfn.XLOOKUP(tblOrdenes[[#This Row],[id_operacion]],tblEjecucion[id_operacion],tblEjecucion[costo_plan_total],0)-tblOrdenes[[#This Row],[costo_servicio]]))</f>
        <v/>
      </c>
      <c r="AN303" s="18">
        <f>IF(tblOrdenes[[#This Row],[orden]]="","",tblOrdenes[[#This Row],[costo_servicio]]+tblOrdenes[[#This Row],[costo_materiales]])</f>
        <v/>
      </c>
      <c r="AO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5">
        <f>IF(tblOrdenes[[#This Row],[link_checklist]]="","",HYPERLINK(p_ruta_base_checklists&amp;tblOrdenes[[#This Row],[link_checklist]],"abrir"))</f>
        <v/>
      </c>
      <c r="AT303" s="4" t="n"/>
      <c r="AU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5" t="n"/>
      <c r="K304" s="5" t="n"/>
      <c r="L304" s="18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Row],[fecha_inicio]]="","",tblOrdenes[[#This Row],[anio]]&amp;"-"&amp;TEXT(tblOrdenes[[#This Row],[mes]],"00"))</f>
        <v/>
      </c>
      <c r="S304" s="5">
        <f>IF(tblOrdenes[[#This Row],[fecha_inicio]]="","",INDEX(lista_dias,WEEKDAY(tblOrdenes[[#This Row],[fecha_inicio]],2)))</f>
        <v/>
      </c>
      <c r="T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5">
        <f>IF(tblOrdenes[[#This Row],[tipo_ot]]="","",_xlfn.XLOOKUP(tblOrdenes[[#This Row],[tipo_ot]],tblTiposOT[codigo],tblTiposOT[clasificacion],"sin_clasificar"))</f>
        <v/>
      </c>
      <c r="V3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5">
        <f>IF(tblOrdenes[[#This Row],[centro_costo]]="","",_xlfn.XLOOKUP(tblOrdenes[[#This Row],[centro_costo]],tblCECO[codigo],tblCECO[linea],"(sin catálogo)"))</f>
        <v/>
      </c>
      <c r="Y304" s="5">
        <f>IF(tblOrdenes[[#This Row],[centro_costo]]="","",_xlfn.XLOOKUP(tblOrdenes[[#This Row],[centro_costo]],tblCECO[codigo],tblCECO[area],"(sin catálogo)"))</f>
        <v/>
      </c>
      <c r="Z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5">
        <f>IF(tblOrdenes[[#This Row],[centro_costo]]="","",_xlfn.XLOOKUP(tblOrdenes[[#This Row],[centro_costo]],tblCECO[codigo],tblCECO[coordinador],"(sin catálogo)"))</f>
        <v/>
      </c>
      <c r="AB304" s="5">
        <f>IF(tblOrdenes[[#This Row],[puesto_trabajo]]="","",_xlfn.XLOOKUP(tblOrdenes[[#This Row],[puesto_trabajo]],tblPuestos[codigo],tblPuestos[especialidad],"(sin catálogo)"))</f>
        <v/>
      </c>
      <c r="AC304" s="5">
        <f>IF(tblOrdenes[[#This Row],[cod_actividad]]="","",_xlfn.XLOOKUP(tblOrdenes[[#This Row],[cod_actividad]],tblActividades[codigo],tblActividades[descripcion],"(sin catálogo)"))</f>
        <v/>
      </c>
      <c r="AD304" s="23">
        <f>IF(tblOrdenes[[#This Row],[fecha_inicio]]="","",TODAY()-tblOrdenes[[#This Row],[fecha_inicio]])</f>
        <v/>
      </c>
      <c r="AE3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5">
        <f>IF(tblOrdenes[[#This Row],[backlog_habiles]]="","",IF(tblOrdenes[[#This Row],[backlog_habiles]]&lt;0,"FUTURO",IF(tblOrdenes[[#This Row],[backlog_habiles]]&gt;p_dias_backlog_max,"BACKLOG","MES CORRIENTE")))</f>
        <v/>
      </c>
      <c r="AG304" s="5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18">
        <f>IF(tblOrdenes[[#This Row],[orden]]="","",_xlfn.XLOOKUP(tblOrdenes[[#This Row],[id_operacion]],tblEjecucion[id_operacion],tblEjecucion[precio],0))</f>
        <v/>
      </c>
      <c r="AM304" s="18">
        <f>IF(tblOrdenes[[#This Row],[orden]]="","",MAX(0,_xlfn.XLOOKUP(tblOrdenes[[#This Row],[id_operacion]],tblEjecucion[id_operacion],tblEjecucion[costo_plan_total],0)-tblOrdenes[[#This Row],[costo_servicio]]))</f>
        <v/>
      </c>
      <c r="AN304" s="18">
        <f>IF(tblOrdenes[[#This Row],[orden]]="","",tblOrdenes[[#This Row],[costo_servicio]]+tblOrdenes[[#This Row],[costo_materiales]])</f>
        <v/>
      </c>
      <c r="AO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5">
        <f>IF(tblOrdenes[[#This Row],[link_checklist]]="","",HYPERLINK(p_ruta_base_checklists&amp;tblOrdenes[[#This Row],[link_checklist]],"abrir"))</f>
        <v/>
      </c>
      <c r="AT304" s="4" t="n"/>
      <c r="AU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5" t="n"/>
      <c r="K305" s="5" t="n"/>
      <c r="L305" s="18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Row],[fecha_inicio]]="","",tblOrdenes[[#This Row],[anio]]&amp;"-"&amp;TEXT(tblOrdenes[[#This Row],[mes]],"00"))</f>
        <v/>
      </c>
      <c r="S305" s="5">
        <f>IF(tblOrdenes[[#This Row],[fecha_inicio]]="","",INDEX(lista_dias,WEEKDAY(tblOrdenes[[#This Row],[fecha_inicio]],2)))</f>
        <v/>
      </c>
      <c r="T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5">
        <f>IF(tblOrdenes[[#This Row],[tipo_ot]]="","",_xlfn.XLOOKUP(tblOrdenes[[#This Row],[tipo_ot]],tblTiposOT[codigo],tblTiposOT[clasificacion],"sin_clasificar"))</f>
        <v/>
      </c>
      <c r="V3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5">
        <f>IF(tblOrdenes[[#This Row],[centro_costo]]="","",_xlfn.XLOOKUP(tblOrdenes[[#This Row],[centro_costo]],tblCECO[codigo],tblCECO[linea],"(sin catálogo)"))</f>
        <v/>
      </c>
      <c r="Y305" s="5">
        <f>IF(tblOrdenes[[#This Row],[centro_costo]]="","",_xlfn.XLOOKUP(tblOrdenes[[#This Row],[centro_costo]],tblCECO[codigo],tblCECO[area],"(sin catálogo)"))</f>
        <v/>
      </c>
      <c r="Z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5">
        <f>IF(tblOrdenes[[#This Row],[centro_costo]]="","",_xlfn.XLOOKUP(tblOrdenes[[#This Row],[centro_costo]],tblCECO[codigo],tblCECO[coordinador],"(sin catálogo)"))</f>
        <v/>
      </c>
      <c r="AB305" s="5">
        <f>IF(tblOrdenes[[#This Row],[puesto_trabajo]]="","",_xlfn.XLOOKUP(tblOrdenes[[#This Row],[puesto_trabajo]],tblPuestos[codigo],tblPuestos[especialidad],"(sin catálogo)"))</f>
        <v/>
      </c>
      <c r="AC305" s="5">
        <f>IF(tblOrdenes[[#This Row],[cod_actividad]]="","",_xlfn.XLOOKUP(tblOrdenes[[#This Row],[cod_actividad]],tblActividades[codigo],tblActividades[descripcion],"(sin catálogo)"))</f>
        <v/>
      </c>
      <c r="AD305" s="23">
        <f>IF(tblOrdenes[[#This Row],[fecha_inicio]]="","",TODAY()-tblOrdenes[[#This Row],[fecha_inicio]])</f>
        <v/>
      </c>
      <c r="AE3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5">
        <f>IF(tblOrdenes[[#This Row],[backlog_habiles]]="","",IF(tblOrdenes[[#This Row],[backlog_habiles]]&lt;0,"FUTURO",IF(tblOrdenes[[#This Row],[backlog_habiles]]&gt;p_dias_backlog_max,"BACKLOG","MES CORRIENTE")))</f>
        <v/>
      </c>
      <c r="AG305" s="5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18">
        <f>IF(tblOrdenes[[#This Row],[orden]]="","",_xlfn.XLOOKUP(tblOrdenes[[#This Row],[id_operacion]],tblEjecucion[id_operacion],tblEjecucion[precio],0))</f>
        <v/>
      </c>
      <c r="AM305" s="18">
        <f>IF(tblOrdenes[[#This Row],[orden]]="","",MAX(0,_xlfn.XLOOKUP(tblOrdenes[[#This Row],[id_operacion]],tblEjecucion[id_operacion],tblEjecucion[costo_plan_total],0)-tblOrdenes[[#This Row],[costo_servicio]]))</f>
        <v/>
      </c>
      <c r="AN305" s="18">
        <f>IF(tblOrdenes[[#This Row],[orden]]="","",tblOrdenes[[#This Row],[costo_servicio]]+tblOrdenes[[#This Row],[costo_materiales]])</f>
        <v/>
      </c>
      <c r="AO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5">
        <f>IF(tblOrdenes[[#This Row],[link_checklist]]="","",HYPERLINK(p_ruta_base_checklists&amp;tblOrdenes[[#This Row],[link_checklist]],"abrir"))</f>
        <v/>
      </c>
      <c r="AT305" s="4" t="n"/>
      <c r="AU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5" t="n"/>
      <c r="K306" s="5" t="n"/>
      <c r="L306" s="18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Row],[fecha_inicio]]="","",tblOrdenes[[#This Row],[anio]]&amp;"-"&amp;TEXT(tblOrdenes[[#This Row],[mes]],"00"))</f>
        <v/>
      </c>
      <c r="S306" s="5">
        <f>IF(tblOrdenes[[#This Row],[fecha_inicio]]="","",INDEX(lista_dias,WEEKDAY(tblOrdenes[[#This Row],[fecha_inicio]],2)))</f>
        <v/>
      </c>
      <c r="T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5">
        <f>IF(tblOrdenes[[#This Row],[tipo_ot]]="","",_xlfn.XLOOKUP(tblOrdenes[[#This Row],[tipo_ot]],tblTiposOT[codigo],tblTiposOT[clasificacion],"sin_clasificar"))</f>
        <v/>
      </c>
      <c r="V3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5">
        <f>IF(tblOrdenes[[#This Row],[centro_costo]]="","",_xlfn.XLOOKUP(tblOrdenes[[#This Row],[centro_costo]],tblCECO[codigo],tblCECO[linea],"(sin catálogo)"))</f>
        <v/>
      </c>
      <c r="Y306" s="5">
        <f>IF(tblOrdenes[[#This Row],[centro_costo]]="","",_xlfn.XLOOKUP(tblOrdenes[[#This Row],[centro_costo]],tblCECO[codigo],tblCECO[area],"(sin catálogo)"))</f>
        <v/>
      </c>
      <c r="Z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5">
        <f>IF(tblOrdenes[[#This Row],[centro_costo]]="","",_xlfn.XLOOKUP(tblOrdenes[[#This Row],[centro_costo]],tblCECO[codigo],tblCECO[coordinador],"(sin catálogo)"))</f>
        <v/>
      </c>
      <c r="AB306" s="5">
        <f>IF(tblOrdenes[[#This Row],[puesto_trabajo]]="","",_xlfn.XLOOKUP(tblOrdenes[[#This Row],[puesto_trabajo]],tblPuestos[codigo],tblPuestos[especialidad],"(sin catálogo)"))</f>
        <v/>
      </c>
      <c r="AC306" s="5">
        <f>IF(tblOrdenes[[#This Row],[cod_actividad]]="","",_xlfn.XLOOKUP(tblOrdenes[[#This Row],[cod_actividad]],tblActividades[codigo],tblActividades[descripcion],"(sin catálogo)"))</f>
        <v/>
      </c>
      <c r="AD306" s="23">
        <f>IF(tblOrdenes[[#This Row],[fecha_inicio]]="","",TODAY()-tblOrdenes[[#This Row],[fecha_inicio]])</f>
        <v/>
      </c>
      <c r="AE3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5">
        <f>IF(tblOrdenes[[#This Row],[backlog_habiles]]="","",IF(tblOrdenes[[#This Row],[backlog_habiles]]&lt;0,"FUTURO",IF(tblOrdenes[[#This Row],[backlog_habiles]]&gt;p_dias_backlog_max,"BACKLOG","MES CORRIENTE")))</f>
        <v/>
      </c>
      <c r="AG306" s="5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18">
        <f>IF(tblOrdenes[[#This Row],[orden]]="","",_xlfn.XLOOKUP(tblOrdenes[[#This Row],[id_operacion]],tblEjecucion[id_operacion],tblEjecucion[precio],0))</f>
        <v/>
      </c>
      <c r="AM306" s="18">
        <f>IF(tblOrdenes[[#This Row],[orden]]="","",MAX(0,_xlfn.XLOOKUP(tblOrdenes[[#This Row],[id_operacion]],tblEjecucion[id_operacion],tblEjecucion[costo_plan_total],0)-tblOrdenes[[#This Row],[costo_servicio]]))</f>
        <v/>
      </c>
      <c r="AN306" s="18">
        <f>IF(tblOrdenes[[#This Row],[orden]]="","",tblOrdenes[[#This Row],[costo_servicio]]+tblOrdenes[[#This Row],[costo_materiales]])</f>
        <v/>
      </c>
      <c r="AO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5">
        <f>IF(tblOrdenes[[#This Row],[link_checklist]]="","",HYPERLINK(p_ruta_base_checklists&amp;tblOrdenes[[#This Row],[link_checklist]],"abrir"))</f>
        <v/>
      </c>
      <c r="AT306" s="4" t="n"/>
      <c r="AU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5" t="n"/>
      <c r="K307" s="5" t="n"/>
      <c r="L307" s="18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Row],[fecha_inicio]]="","",tblOrdenes[[#This Row],[anio]]&amp;"-"&amp;TEXT(tblOrdenes[[#This Row],[mes]],"00"))</f>
        <v/>
      </c>
      <c r="S307" s="5">
        <f>IF(tblOrdenes[[#This Row],[fecha_inicio]]="","",INDEX(lista_dias,WEEKDAY(tblOrdenes[[#This Row],[fecha_inicio]],2)))</f>
        <v/>
      </c>
      <c r="T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5">
        <f>IF(tblOrdenes[[#This Row],[tipo_ot]]="","",_xlfn.XLOOKUP(tblOrdenes[[#This Row],[tipo_ot]],tblTiposOT[codigo],tblTiposOT[clasificacion],"sin_clasificar"))</f>
        <v/>
      </c>
      <c r="V3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5">
        <f>IF(tblOrdenes[[#This Row],[centro_costo]]="","",_xlfn.XLOOKUP(tblOrdenes[[#This Row],[centro_costo]],tblCECO[codigo],tblCECO[linea],"(sin catálogo)"))</f>
        <v/>
      </c>
      <c r="Y307" s="5">
        <f>IF(tblOrdenes[[#This Row],[centro_costo]]="","",_xlfn.XLOOKUP(tblOrdenes[[#This Row],[centro_costo]],tblCECO[codigo],tblCECO[area],"(sin catálogo)"))</f>
        <v/>
      </c>
      <c r="Z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5">
        <f>IF(tblOrdenes[[#This Row],[centro_costo]]="","",_xlfn.XLOOKUP(tblOrdenes[[#This Row],[centro_costo]],tblCECO[codigo],tblCECO[coordinador],"(sin catálogo)"))</f>
        <v/>
      </c>
      <c r="AB307" s="5">
        <f>IF(tblOrdenes[[#This Row],[puesto_trabajo]]="","",_xlfn.XLOOKUP(tblOrdenes[[#This Row],[puesto_trabajo]],tblPuestos[codigo],tblPuestos[especialidad],"(sin catálogo)"))</f>
        <v/>
      </c>
      <c r="AC307" s="5">
        <f>IF(tblOrdenes[[#This Row],[cod_actividad]]="","",_xlfn.XLOOKUP(tblOrdenes[[#This Row],[cod_actividad]],tblActividades[codigo],tblActividades[descripcion],"(sin catálogo)"))</f>
        <v/>
      </c>
      <c r="AD307" s="23">
        <f>IF(tblOrdenes[[#This Row],[fecha_inicio]]="","",TODAY()-tblOrdenes[[#This Row],[fecha_inicio]])</f>
        <v/>
      </c>
      <c r="AE3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5">
        <f>IF(tblOrdenes[[#This Row],[backlog_habiles]]="","",IF(tblOrdenes[[#This Row],[backlog_habiles]]&lt;0,"FUTURO",IF(tblOrdenes[[#This Row],[backlog_habiles]]&gt;p_dias_backlog_max,"BACKLOG","MES CORRIENTE")))</f>
        <v/>
      </c>
      <c r="AG307" s="5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18">
        <f>IF(tblOrdenes[[#This Row],[orden]]="","",_xlfn.XLOOKUP(tblOrdenes[[#This Row],[id_operacion]],tblEjecucion[id_operacion],tblEjecucion[precio],0))</f>
        <v/>
      </c>
      <c r="AM307" s="18">
        <f>IF(tblOrdenes[[#This Row],[orden]]="","",MAX(0,_xlfn.XLOOKUP(tblOrdenes[[#This Row],[id_operacion]],tblEjecucion[id_operacion],tblEjecucion[costo_plan_total],0)-tblOrdenes[[#This Row],[costo_servicio]]))</f>
        <v/>
      </c>
      <c r="AN307" s="18">
        <f>IF(tblOrdenes[[#This Row],[orden]]="","",tblOrdenes[[#This Row],[costo_servicio]]+tblOrdenes[[#This Row],[costo_materiales]])</f>
        <v/>
      </c>
      <c r="AO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5">
        <f>IF(tblOrdenes[[#This Row],[link_checklist]]="","",HYPERLINK(p_ruta_base_checklists&amp;tblOrdenes[[#This Row],[link_checklist]],"abrir"))</f>
        <v/>
      </c>
      <c r="AT307" s="4" t="n"/>
      <c r="AU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5" t="n"/>
      <c r="K308" s="5" t="n"/>
      <c r="L308" s="18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Row],[fecha_inicio]]="","",tblOrdenes[[#This Row],[anio]]&amp;"-"&amp;TEXT(tblOrdenes[[#This Row],[mes]],"00"))</f>
        <v/>
      </c>
      <c r="S308" s="5">
        <f>IF(tblOrdenes[[#This Row],[fecha_inicio]]="","",INDEX(lista_dias,WEEKDAY(tblOrdenes[[#This Row],[fecha_inicio]],2)))</f>
        <v/>
      </c>
      <c r="T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5">
        <f>IF(tblOrdenes[[#This Row],[tipo_ot]]="","",_xlfn.XLOOKUP(tblOrdenes[[#This Row],[tipo_ot]],tblTiposOT[codigo],tblTiposOT[clasificacion],"sin_clasificar"))</f>
        <v/>
      </c>
      <c r="V3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5">
        <f>IF(tblOrdenes[[#This Row],[centro_costo]]="","",_xlfn.XLOOKUP(tblOrdenes[[#This Row],[centro_costo]],tblCECO[codigo],tblCECO[linea],"(sin catálogo)"))</f>
        <v/>
      </c>
      <c r="Y308" s="5">
        <f>IF(tblOrdenes[[#This Row],[centro_costo]]="","",_xlfn.XLOOKUP(tblOrdenes[[#This Row],[centro_costo]],tblCECO[codigo],tblCECO[area],"(sin catálogo)"))</f>
        <v/>
      </c>
      <c r="Z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5">
        <f>IF(tblOrdenes[[#This Row],[centro_costo]]="","",_xlfn.XLOOKUP(tblOrdenes[[#This Row],[centro_costo]],tblCECO[codigo],tblCECO[coordinador],"(sin catálogo)"))</f>
        <v/>
      </c>
      <c r="AB308" s="5">
        <f>IF(tblOrdenes[[#This Row],[puesto_trabajo]]="","",_xlfn.XLOOKUP(tblOrdenes[[#This Row],[puesto_trabajo]],tblPuestos[codigo],tblPuestos[especialidad],"(sin catálogo)"))</f>
        <v/>
      </c>
      <c r="AC308" s="5">
        <f>IF(tblOrdenes[[#This Row],[cod_actividad]]="","",_xlfn.XLOOKUP(tblOrdenes[[#This Row],[cod_actividad]],tblActividades[codigo],tblActividades[descripcion],"(sin catálogo)"))</f>
        <v/>
      </c>
      <c r="AD308" s="23">
        <f>IF(tblOrdenes[[#This Row],[fecha_inicio]]="","",TODAY()-tblOrdenes[[#This Row],[fecha_inicio]])</f>
        <v/>
      </c>
      <c r="AE3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5">
        <f>IF(tblOrdenes[[#This Row],[backlog_habiles]]="","",IF(tblOrdenes[[#This Row],[backlog_habiles]]&lt;0,"FUTURO",IF(tblOrdenes[[#This Row],[backlog_habiles]]&gt;p_dias_backlog_max,"BACKLOG","MES CORRIENTE")))</f>
        <v/>
      </c>
      <c r="AG308" s="5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18">
        <f>IF(tblOrdenes[[#This Row],[orden]]="","",_xlfn.XLOOKUP(tblOrdenes[[#This Row],[id_operacion]],tblEjecucion[id_operacion],tblEjecucion[precio],0))</f>
        <v/>
      </c>
      <c r="AM308" s="18">
        <f>IF(tblOrdenes[[#This Row],[orden]]="","",MAX(0,_xlfn.XLOOKUP(tblOrdenes[[#This Row],[id_operacion]],tblEjecucion[id_operacion],tblEjecucion[costo_plan_total],0)-tblOrdenes[[#This Row],[costo_servicio]]))</f>
        <v/>
      </c>
      <c r="AN308" s="18">
        <f>IF(tblOrdenes[[#This Row],[orden]]="","",tblOrdenes[[#This Row],[costo_servicio]]+tblOrdenes[[#This Row],[costo_materiales]])</f>
        <v/>
      </c>
      <c r="AO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5">
        <f>IF(tblOrdenes[[#This Row],[link_checklist]]="","",HYPERLINK(p_ruta_base_checklists&amp;tblOrdenes[[#This Row],[link_checklist]],"abrir"))</f>
        <v/>
      </c>
      <c r="AT308" s="4" t="n"/>
      <c r="AU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5" t="n"/>
      <c r="K309" s="5" t="n"/>
      <c r="L309" s="18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Row],[fecha_inicio]]="","",tblOrdenes[[#This Row],[anio]]&amp;"-"&amp;TEXT(tblOrdenes[[#This Row],[mes]],"00"))</f>
        <v/>
      </c>
      <c r="S309" s="5">
        <f>IF(tblOrdenes[[#This Row],[fecha_inicio]]="","",INDEX(lista_dias,WEEKDAY(tblOrdenes[[#This Row],[fecha_inicio]],2)))</f>
        <v/>
      </c>
      <c r="T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5">
        <f>IF(tblOrdenes[[#This Row],[tipo_ot]]="","",_xlfn.XLOOKUP(tblOrdenes[[#This Row],[tipo_ot]],tblTiposOT[codigo],tblTiposOT[clasificacion],"sin_clasificar"))</f>
        <v/>
      </c>
      <c r="V3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5">
        <f>IF(tblOrdenes[[#This Row],[centro_costo]]="","",_xlfn.XLOOKUP(tblOrdenes[[#This Row],[centro_costo]],tblCECO[codigo],tblCECO[linea],"(sin catálogo)"))</f>
        <v/>
      </c>
      <c r="Y309" s="5">
        <f>IF(tblOrdenes[[#This Row],[centro_costo]]="","",_xlfn.XLOOKUP(tblOrdenes[[#This Row],[centro_costo]],tblCECO[codigo],tblCECO[area],"(sin catálogo)"))</f>
        <v/>
      </c>
      <c r="Z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5">
        <f>IF(tblOrdenes[[#This Row],[centro_costo]]="","",_xlfn.XLOOKUP(tblOrdenes[[#This Row],[centro_costo]],tblCECO[codigo],tblCECO[coordinador],"(sin catálogo)"))</f>
        <v/>
      </c>
      <c r="AB309" s="5">
        <f>IF(tblOrdenes[[#This Row],[puesto_trabajo]]="","",_xlfn.XLOOKUP(tblOrdenes[[#This Row],[puesto_trabajo]],tblPuestos[codigo],tblPuestos[especialidad],"(sin catálogo)"))</f>
        <v/>
      </c>
      <c r="AC309" s="5">
        <f>IF(tblOrdenes[[#This Row],[cod_actividad]]="","",_xlfn.XLOOKUP(tblOrdenes[[#This Row],[cod_actividad]],tblActividades[codigo],tblActividades[descripcion],"(sin catálogo)"))</f>
        <v/>
      </c>
      <c r="AD309" s="23">
        <f>IF(tblOrdenes[[#This Row],[fecha_inicio]]="","",TODAY()-tblOrdenes[[#This Row],[fecha_inicio]])</f>
        <v/>
      </c>
      <c r="AE3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5">
        <f>IF(tblOrdenes[[#This Row],[backlog_habiles]]="","",IF(tblOrdenes[[#This Row],[backlog_habiles]]&lt;0,"FUTURO",IF(tblOrdenes[[#This Row],[backlog_habiles]]&gt;p_dias_backlog_max,"BACKLOG","MES CORRIENTE")))</f>
        <v/>
      </c>
      <c r="AG309" s="5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18">
        <f>IF(tblOrdenes[[#This Row],[orden]]="","",_xlfn.XLOOKUP(tblOrdenes[[#This Row],[id_operacion]],tblEjecucion[id_operacion],tblEjecucion[precio],0))</f>
        <v/>
      </c>
      <c r="AM309" s="18">
        <f>IF(tblOrdenes[[#This Row],[orden]]="","",MAX(0,_xlfn.XLOOKUP(tblOrdenes[[#This Row],[id_operacion]],tblEjecucion[id_operacion],tblEjecucion[costo_plan_total],0)-tblOrdenes[[#This Row],[costo_servicio]]))</f>
        <v/>
      </c>
      <c r="AN309" s="18">
        <f>IF(tblOrdenes[[#This Row],[orden]]="","",tblOrdenes[[#This Row],[costo_servicio]]+tblOrdenes[[#This Row],[costo_materiales]])</f>
        <v/>
      </c>
      <c r="AO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5">
        <f>IF(tblOrdenes[[#This Row],[link_checklist]]="","",HYPERLINK(p_ruta_base_checklists&amp;tblOrdenes[[#This Row],[link_checklist]],"abrir"))</f>
        <v/>
      </c>
      <c r="AT309" s="4" t="n"/>
      <c r="AU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5" t="n"/>
      <c r="K310" s="5" t="n"/>
      <c r="L310" s="18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Row],[fecha_inicio]]="","",tblOrdenes[[#This Row],[anio]]&amp;"-"&amp;TEXT(tblOrdenes[[#This Row],[mes]],"00"))</f>
        <v/>
      </c>
      <c r="S310" s="5">
        <f>IF(tblOrdenes[[#This Row],[fecha_inicio]]="","",INDEX(lista_dias,WEEKDAY(tblOrdenes[[#This Row],[fecha_inicio]],2)))</f>
        <v/>
      </c>
      <c r="T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5">
        <f>IF(tblOrdenes[[#This Row],[tipo_ot]]="","",_xlfn.XLOOKUP(tblOrdenes[[#This Row],[tipo_ot]],tblTiposOT[codigo],tblTiposOT[clasificacion],"sin_clasificar"))</f>
        <v/>
      </c>
      <c r="V3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5">
        <f>IF(tblOrdenes[[#This Row],[centro_costo]]="","",_xlfn.XLOOKUP(tblOrdenes[[#This Row],[centro_costo]],tblCECO[codigo],tblCECO[linea],"(sin catálogo)"))</f>
        <v/>
      </c>
      <c r="Y310" s="5">
        <f>IF(tblOrdenes[[#This Row],[centro_costo]]="","",_xlfn.XLOOKUP(tblOrdenes[[#This Row],[centro_costo]],tblCECO[codigo],tblCECO[area],"(sin catálogo)"))</f>
        <v/>
      </c>
      <c r="Z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5">
        <f>IF(tblOrdenes[[#This Row],[centro_costo]]="","",_xlfn.XLOOKUP(tblOrdenes[[#This Row],[centro_costo]],tblCECO[codigo],tblCECO[coordinador],"(sin catálogo)"))</f>
        <v/>
      </c>
      <c r="AB310" s="5">
        <f>IF(tblOrdenes[[#This Row],[puesto_trabajo]]="","",_xlfn.XLOOKUP(tblOrdenes[[#This Row],[puesto_trabajo]],tblPuestos[codigo],tblPuestos[especialidad],"(sin catálogo)"))</f>
        <v/>
      </c>
      <c r="AC310" s="5">
        <f>IF(tblOrdenes[[#This Row],[cod_actividad]]="","",_xlfn.XLOOKUP(tblOrdenes[[#This Row],[cod_actividad]],tblActividades[codigo],tblActividades[descripcion],"(sin catálogo)"))</f>
        <v/>
      </c>
      <c r="AD310" s="23">
        <f>IF(tblOrdenes[[#This Row],[fecha_inicio]]="","",TODAY()-tblOrdenes[[#This Row],[fecha_inicio]])</f>
        <v/>
      </c>
      <c r="AE3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5">
        <f>IF(tblOrdenes[[#This Row],[backlog_habiles]]="","",IF(tblOrdenes[[#This Row],[backlog_habiles]]&lt;0,"FUTURO",IF(tblOrdenes[[#This Row],[backlog_habiles]]&gt;p_dias_backlog_max,"BACKLOG","MES CORRIENTE")))</f>
        <v/>
      </c>
      <c r="AG310" s="5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18">
        <f>IF(tblOrdenes[[#This Row],[orden]]="","",_xlfn.XLOOKUP(tblOrdenes[[#This Row],[id_operacion]],tblEjecucion[id_operacion],tblEjecucion[precio],0))</f>
        <v/>
      </c>
      <c r="AM310" s="18">
        <f>IF(tblOrdenes[[#This Row],[orden]]="","",MAX(0,_xlfn.XLOOKUP(tblOrdenes[[#This Row],[id_operacion]],tblEjecucion[id_operacion],tblEjecucion[costo_plan_total],0)-tblOrdenes[[#This Row],[costo_servicio]]))</f>
        <v/>
      </c>
      <c r="AN310" s="18">
        <f>IF(tblOrdenes[[#This Row],[orden]]="","",tblOrdenes[[#This Row],[costo_servicio]]+tblOrdenes[[#This Row],[costo_materiales]])</f>
        <v/>
      </c>
      <c r="AO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5">
        <f>IF(tblOrdenes[[#This Row],[link_checklist]]="","",HYPERLINK(p_ruta_base_checklists&amp;tblOrdenes[[#This Row],[link_checklist]],"abrir"))</f>
        <v/>
      </c>
      <c r="AT310" s="4" t="n"/>
      <c r="AU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5" t="n"/>
      <c r="K311" s="5" t="n"/>
      <c r="L311" s="18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Row],[fecha_inicio]]="","",tblOrdenes[[#This Row],[anio]]&amp;"-"&amp;TEXT(tblOrdenes[[#This Row],[mes]],"00"))</f>
        <v/>
      </c>
      <c r="S311" s="5">
        <f>IF(tblOrdenes[[#This Row],[fecha_inicio]]="","",INDEX(lista_dias,WEEKDAY(tblOrdenes[[#This Row],[fecha_inicio]],2)))</f>
        <v/>
      </c>
      <c r="T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5">
        <f>IF(tblOrdenes[[#This Row],[tipo_ot]]="","",_xlfn.XLOOKUP(tblOrdenes[[#This Row],[tipo_ot]],tblTiposOT[codigo],tblTiposOT[clasificacion],"sin_clasificar"))</f>
        <v/>
      </c>
      <c r="V3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5">
        <f>IF(tblOrdenes[[#This Row],[centro_costo]]="","",_xlfn.XLOOKUP(tblOrdenes[[#This Row],[centro_costo]],tblCECO[codigo],tblCECO[linea],"(sin catálogo)"))</f>
        <v/>
      </c>
      <c r="Y311" s="5">
        <f>IF(tblOrdenes[[#This Row],[centro_costo]]="","",_xlfn.XLOOKUP(tblOrdenes[[#This Row],[centro_costo]],tblCECO[codigo],tblCECO[area],"(sin catálogo)"))</f>
        <v/>
      </c>
      <c r="Z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5">
        <f>IF(tblOrdenes[[#This Row],[centro_costo]]="","",_xlfn.XLOOKUP(tblOrdenes[[#This Row],[centro_costo]],tblCECO[codigo],tblCECO[coordinador],"(sin catálogo)"))</f>
        <v/>
      </c>
      <c r="AB311" s="5">
        <f>IF(tblOrdenes[[#This Row],[puesto_trabajo]]="","",_xlfn.XLOOKUP(tblOrdenes[[#This Row],[puesto_trabajo]],tblPuestos[codigo],tblPuestos[especialidad],"(sin catálogo)"))</f>
        <v/>
      </c>
      <c r="AC311" s="5">
        <f>IF(tblOrdenes[[#This Row],[cod_actividad]]="","",_xlfn.XLOOKUP(tblOrdenes[[#This Row],[cod_actividad]],tblActividades[codigo],tblActividades[descripcion],"(sin catálogo)"))</f>
        <v/>
      </c>
      <c r="AD311" s="23">
        <f>IF(tblOrdenes[[#This Row],[fecha_inicio]]="","",TODAY()-tblOrdenes[[#This Row],[fecha_inicio]])</f>
        <v/>
      </c>
      <c r="AE3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5">
        <f>IF(tblOrdenes[[#This Row],[backlog_habiles]]="","",IF(tblOrdenes[[#This Row],[backlog_habiles]]&lt;0,"FUTURO",IF(tblOrdenes[[#This Row],[backlog_habiles]]&gt;p_dias_backlog_max,"BACKLOG","MES CORRIENTE")))</f>
        <v/>
      </c>
      <c r="AG311" s="5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18">
        <f>IF(tblOrdenes[[#This Row],[orden]]="","",_xlfn.XLOOKUP(tblOrdenes[[#This Row],[id_operacion]],tblEjecucion[id_operacion],tblEjecucion[precio],0))</f>
        <v/>
      </c>
      <c r="AM311" s="18">
        <f>IF(tblOrdenes[[#This Row],[orden]]="","",MAX(0,_xlfn.XLOOKUP(tblOrdenes[[#This Row],[id_operacion]],tblEjecucion[id_operacion],tblEjecucion[costo_plan_total],0)-tblOrdenes[[#This Row],[costo_servicio]]))</f>
        <v/>
      </c>
      <c r="AN311" s="18">
        <f>IF(tblOrdenes[[#This Row],[orden]]="","",tblOrdenes[[#This Row],[costo_servicio]]+tblOrdenes[[#This Row],[costo_materiales]])</f>
        <v/>
      </c>
      <c r="AO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5">
        <f>IF(tblOrdenes[[#This Row],[link_checklist]]="","",HYPERLINK(p_ruta_base_checklists&amp;tblOrdenes[[#This Row],[link_checklist]],"abrir"))</f>
        <v/>
      </c>
      <c r="AT311" s="4" t="n"/>
      <c r="AU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5" t="n"/>
      <c r="K312" s="5" t="n"/>
      <c r="L312" s="18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Row],[fecha_inicio]]="","",tblOrdenes[[#This Row],[anio]]&amp;"-"&amp;TEXT(tblOrdenes[[#This Row],[mes]],"00"))</f>
        <v/>
      </c>
      <c r="S312" s="5">
        <f>IF(tblOrdenes[[#This Row],[fecha_inicio]]="","",INDEX(lista_dias,WEEKDAY(tblOrdenes[[#This Row],[fecha_inicio]],2)))</f>
        <v/>
      </c>
      <c r="T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5">
        <f>IF(tblOrdenes[[#This Row],[tipo_ot]]="","",_xlfn.XLOOKUP(tblOrdenes[[#This Row],[tipo_ot]],tblTiposOT[codigo],tblTiposOT[clasificacion],"sin_clasificar"))</f>
        <v/>
      </c>
      <c r="V3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5">
        <f>IF(tblOrdenes[[#This Row],[centro_costo]]="","",_xlfn.XLOOKUP(tblOrdenes[[#This Row],[centro_costo]],tblCECO[codigo],tblCECO[linea],"(sin catálogo)"))</f>
        <v/>
      </c>
      <c r="Y312" s="5">
        <f>IF(tblOrdenes[[#This Row],[centro_costo]]="","",_xlfn.XLOOKUP(tblOrdenes[[#This Row],[centro_costo]],tblCECO[codigo],tblCECO[area],"(sin catálogo)"))</f>
        <v/>
      </c>
      <c r="Z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5">
        <f>IF(tblOrdenes[[#This Row],[centro_costo]]="","",_xlfn.XLOOKUP(tblOrdenes[[#This Row],[centro_costo]],tblCECO[codigo],tblCECO[coordinador],"(sin catálogo)"))</f>
        <v/>
      </c>
      <c r="AB312" s="5">
        <f>IF(tblOrdenes[[#This Row],[puesto_trabajo]]="","",_xlfn.XLOOKUP(tblOrdenes[[#This Row],[puesto_trabajo]],tblPuestos[codigo],tblPuestos[especialidad],"(sin catálogo)"))</f>
        <v/>
      </c>
      <c r="AC312" s="5">
        <f>IF(tblOrdenes[[#This Row],[cod_actividad]]="","",_xlfn.XLOOKUP(tblOrdenes[[#This Row],[cod_actividad]],tblActividades[codigo],tblActividades[descripcion],"(sin catálogo)"))</f>
        <v/>
      </c>
      <c r="AD312" s="23">
        <f>IF(tblOrdenes[[#This Row],[fecha_inicio]]="","",TODAY()-tblOrdenes[[#This Row],[fecha_inicio]])</f>
        <v/>
      </c>
      <c r="AE3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5">
        <f>IF(tblOrdenes[[#This Row],[backlog_habiles]]="","",IF(tblOrdenes[[#This Row],[backlog_habiles]]&lt;0,"FUTURO",IF(tblOrdenes[[#This Row],[backlog_habiles]]&gt;p_dias_backlog_max,"BACKLOG","MES CORRIENTE")))</f>
        <v/>
      </c>
      <c r="AG312" s="5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18">
        <f>IF(tblOrdenes[[#This Row],[orden]]="","",_xlfn.XLOOKUP(tblOrdenes[[#This Row],[id_operacion]],tblEjecucion[id_operacion],tblEjecucion[precio],0))</f>
        <v/>
      </c>
      <c r="AM312" s="18">
        <f>IF(tblOrdenes[[#This Row],[orden]]="","",MAX(0,_xlfn.XLOOKUP(tblOrdenes[[#This Row],[id_operacion]],tblEjecucion[id_operacion],tblEjecucion[costo_plan_total],0)-tblOrdenes[[#This Row],[costo_servicio]]))</f>
        <v/>
      </c>
      <c r="AN312" s="18">
        <f>IF(tblOrdenes[[#This Row],[orden]]="","",tblOrdenes[[#This Row],[costo_servicio]]+tblOrdenes[[#This Row],[costo_materiales]])</f>
        <v/>
      </c>
      <c r="AO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5">
        <f>IF(tblOrdenes[[#This Row],[link_checklist]]="","",HYPERLINK(p_ruta_base_checklists&amp;tblOrdenes[[#This Row],[link_checklist]],"abrir"))</f>
        <v/>
      </c>
      <c r="AT312" s="4" t="n"/>
      <c r="AU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5" t="n"/>
      <c r="K313" s="5" t="n"/>
      <c r="L313" s="18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Row],[fecha_inicio]]="","",tblOrdenes[[#This Row],[anio]]&amp;"-"&amp;TEXT(tblOrdenes[[#This Row],[mes]],"00"))</f>
        <v/>
      </c>
      <c r="S313" s="5">
        <f>IF(tblOrdenes[[#This Row],[fecha_inicio]]="","",INDEX(lista_dias,WEEKDAY(tblOrdenes[[#This Row],[fecha_inicio]],2)))</f>
        <v/>
      </c>
      <c r="T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5">
        <f>IF(tblOrdenes[[#This Row],[tipo_ot]]="","",_xlfn.XLOOKUP(tblOrdenes[[#This Row],[tipo_ot]],tblTiposOT[codigo],tblTiposOT[clasificacion],"sin_clasificar"))</f>
        <v/>
      </c>
      <c r="V3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5">
        <f>IF(tblOrdenes[[#This Row],[centro_costo]]="","",_xlfn.XLOOKUP(tblOrdenes[[#This Row],[centro_costo]],tblCECO[codigo],tblCECO[linea],"(sin catálogo)"))</f>
        <v/>
      </c>
      <c r="Y313" s="5">
        <f>IF(tblOrdenes[[#This Row],[centro_costo]]="","",_xlfn.XLOOKUP(tblOrdenes[[#This Row],[centro_costo]],tblCECO[codigo],tblCECO[area],"(sin catálogo)"))</f>
        <v/>
      </c>
      <c r="Z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5">
        <f>IF(tblOrdenes[[#This Row],[centro_costo]]="","",_xlfn.XLOOKUP(tblOrdenes[[#This Row],[centro_costo]],tblCECO[codigo],tblCECO[coordinador],"(sin catálogo)"))</f>
        <v/>
      </c>
      <c r="AB313" s="5">
        <f>IF(tblOrdenes[[#This Row],[puesto_trabajo]]="","",_xlfn.XLOOKUP(tblOrdenes[[#This Row],[puesto_trabajo]],tblPuestos[codigo],tblPuestos[especialidad],"(sin catálogo)"))</f>
        <v/>
      </c>
      <c r="AC313" s="5">
        <f>IF(tblOrdenes[[#This Row],[cod_actividad]]="","",_xlfn.XLOOKUP(tblOrdenes[[#This Row],[cod_actividad]],tblActividades[codigo],tblActividades[descripcion],"(sin catálogo)"))</f>
        <v/>
      </c>
      <c r="AD313" s="23">
        <f>IF(tblOrdenes[[#This Row],[fecha_inicio]]="","",TODAY()-tblOrdenes[[#This Row],[fecha_inicio]])</f>
        <v/>
      </c>
      <c r="AE3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5">
        <f>IF(tblOrdenes[[#This Row],[backlog_habiles]]="","",IF(tblOrdenes[[#This Row],[backlog_habiles]]&lt;0,"FUTURO",IF(tblOrdenes[[#This Row],[backlog_habiles]]&gt;p_dias_backlog_max,"BACKLOG","MES CORRIENTE")))</f>
        <v/>
      </c>
      <c r="AG313" s="5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18">
        <f>IF(tblOrdenes[[#This Row],[orden]]="","",_xlfn.XLOOKUP(tblOrdenes[[#This Row],[id_operacion]],tblEjecucion[id_operacion],tblEjecucion[precio],0))</f>
        <v/>
      </c>
      <c r="AM313" s="18">
        <f>IF(tblOrdenes[[#This Row],[orden]]="","",MAX(0,_xlfn.XLOOKUP(tblOrdenes[[#This Row],[id_operacion]],tblEjecucion[id_operacion],tblEjecucion[costo_plan_total],0)-tblOrdenes[[#This Row],[costo_servicio]]))</f>
        <v/>
      </c>
      <c r="AN313" s="18">
        <f>IF(tblOrdenes[[#This Row],[orden]]="","",tblOrdenes[[#This Row],[costo_servicio]]+tblOrdenes[[#This Row],[costo_materiales]])</f>
        <v/>
      </c>
      <c r="AO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5">
        <f>IF(tblOrdenes[[#This Row],[link_checklist]]="","",HYPERLINK(p_ruta_base_checklists&amp;tblOrdenes[[#This Row],[link_checklist]],"abrir"))</f>
        <v/>
      </c>
      <c r="AT313" s="4" t="n"/>
      <c r="AU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5" t="n"/>
      <c r="K314" s="5" t="n"/>
      <c r="L314" s="18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Row],[fecha_inicio]]="","",tblOrdenes[[#This Row],[anio]]&amp;"-"&amp;TEXT(tblOrdenes[[#This Row],[mes]],"00"))</f>
        <v/>
      </c>
      <c r="S314" s="5">
        <f>IF(tblOrdenes[[#This Row],[fecha_inicio]]="","",INDEX(lista_dias,WEEKDAY(tblOrdenes[[#This Row],[fecha_inicio]],2)))</f>
        <v/>
      </c>
      <c r="T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5">
        <f>IF(tblOrdenes[[#This Row],[tipo_ot]]="","",_xlfn.XLOOKUP(tblOrdenes[[#This Row],[tipo_ot]],tblTiposOT[codigo],tblTiposOT[clasificacion],"sin_clasificar"))</f>
        <v/>
      </c>
      <c r="V3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5">
        <f>IF(tblOrdenes[[#This Row],[centro_costo]]="","",_xlfn.XLOOKUP(tblOrdenes[[#This Row],[centro_costo]],tblCECO[codigo],tblCECO[linea],"(sin catálogo)"))</f>
        <v/>
      </c>
      <c r="Y314" s="5">
        <f>IF(tblOrdenes[[#This Row],[centro_costo]]="","",_xlfn.XLOOKUP(tblOrdenes[[#This Row],[centro_costo]],tblCECO[codigo],tblCECO[area],"(sin catálogo)"))</f>
        <v/>
      </c>
      <c r="Z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5">
        <f>IF(tblOrdenes[[#This Row],[centro_costo]]="","",_xlfn.XLOOKUP(tblOrdenes[[#This Row],[centro_costo]],tblCECO[codigo],tblCECO[coordinador],"(sin catálogo)"))</f>
        <v/>
      </c>
      <c r="AB314" s="5">
        <f>IF(tblOrdenes[[#This Row],[puesto_trabajo]]="","",_xlfn.XLOOKUP(tblOrdenes[[#This Row],[puesto_trabajo]],tblPuestos[codigo],tblPuestos[especialidad],"(sin catálogo)"))</f>
        <v/>
      </c>
      <c r="AC314" s="5">
        <f>IF(tblOrdenes[[#This Row],[cod_actividad]]="","",_xlfn.XLOOKUP(tblOrdenes[[#This Row],[cod_actividad]],tblActividades[codigo],tblActividades[descripcion],"(sin catálogo)"))</f>
        <v/>
      </c>
      <c r="AD314" s="23">
        <f>IF(tblOrdenes[[#This Row],[fecha_inicio]]="","",TODAY()-tblOrdenes[[#This Row],[fecha_inicio]])</f>
        <v/>
      </c>
      <c r="AE3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5">
        <f>IF(tblOrdenes[[#This Row],[backlog_habiles]]="","",IF(tblOrdenes[[#This Row],[backlog_habiles]]&lt;0,"FUTURO",IF(tblOrdenes[[#This Row],[backlog_habiles]]&gt;p_dias_backlog_max,"BACKLOG","MES CORRIENTE")))</f>
        <v/>
      </c>
      <c r="AG314" s="5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18">
        <f>IF(tblOrdenes[[#This Row],[orden]]="","",_xlfn.XLOOKUP(tblOrdenes[[#This Row],[id_operacion]],tblEjecucion[id_operacion],tblEjecucion[precio],0))</f>
        <v/>
      </c>
      <c r="AM314" s="18">
        <f>IF(tblOrdenes[[#This Row],[orden]]="","",MAX(0,_xlfn.XLOOKUP(tblOrdenes[[#This Row],[id_operacion]],tblEjecucion[id_operacion],tblEjecucion[costo_plan_total],0)-tblOrdenes[[#This Row],[costo_servicio]]))</f>
        <v/>
      </c>
      <c r="AN314" s="18">
        <f>IF(tblOrdenes[[#This Row],[orden]]="","",tblOrdenes[[#This Row],[costo_servicio]]+tblOrdenes[[#This Row],[costo_materiales]])</f>
        <v/>
      </c>
      <c r="AO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5">
        <f>IF(tblOrdenes[[#This Row],[link_checklist]]="","",HYPERLINK(p_ruta_base_checklists&amp;tblOrdenes[[#This Row],[link_checklist]],"abrir"))</f>
        <v/>
      </c>
      <c r="AT314" s="4" t="n"/>
      <c r="AU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5" t="n"/>
      <c r="K315" s="5" t="n"/>
      <c r="L315" s="18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Row],[fecha_inicio]]="","",tblOrdenes[[#This Row],[anio]]&amp;"-"&amp;TEXT(tblOrdenes[[#This Row],[mes]],"00"))</f>
        <v/>
      </c>
      <c r="S315" s="5">
        <f>IF(tblOrdenes[[#This Row],[fecha_inicio]]="","",INDEX(lista_dias,WEEKDAY(tblOrdenes[[#This Row],[fecha_inicio]],2)))</f>
        <v/>
      </c>
      <c r="T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5">
        <f>IF(tblOrdenes[[#This Row],[tipo_ot]]="","",_xlfn.XLOOKUP(tblOrdenes[[#This Row],[tipo_ot]],tblTiposOT[codigo],tblTiposOT[clasificacion],"sin_clasificar"))</f>
        <v/>
      </c>
      <c r="V3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5">
        <f>IF(tblOrdenes[[#This Row],[centro_costo]]="","",_xlfn.XLOOKUP(tblOrdenes[[#This Row],[centro_costo]],tblCECO[codigo],tblCECO[linea],"(sin catálogo)"))</f>
        <v/>
      </c>
      <c r="Y315" s="5">
        <f>IF(tblOrdenes[[#This Row],[centro_costo]]="","",_xlfn.XLOOKUP(tblOrdenes[[#This Row],[centro_costo]],tblCECO[codigo],tblCECO[area],"(sin catálogo)"))</f>
        <v/>
      </c>
      <c r="Z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5">
        <f>IF(tblOrdenes[[#This Row],[centro_costo]]="","",_xlfn.XLOOKUP(tblOrdenes[[#This Row],[centro_costo]],tblCECO[codigo],tblCECO[coordinador],"(sin catálogo)"))</f>
        <v/>
      </c>
      <c r="AB315" s="5">
        <f>IF(tblOrdenes[[#This Row],[puesto_trabajo]]="","",_xlfn.XLOOKUP(tblOrdenes[[#This Row],[puesto_trabajo]],tblPuestos[codigo],tblPuestos[especialidad],"(sin catálogo)"))</f>
        <v/>
      </c>
      <c r="AC315" s="5">
        <f>IF(tblOrdenes[[#This Row],[cod_actividad]]="","",_xlfn.XLOOKUP(tblOrdenes[[#This Row],[cod_actividad]],tblActividades[codigo],tblActividades[descripcion],"(sin catálogo)"))</f>
        <v/>
      </c>
      <c r="AD315" s="23">
        <f>IF(tblOrdenes[[#This Row],[fecha_inicio]]="","",TODAY()-tblOrdenes[[#This Row],[fecha_inicio]])</f>
        <v/>
      </c>
      <c r="AE3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5">
        <f>IF(tblOrdenes[[#This Row],[backlog_habiles]]="","",IF(tblOrdenes[[#This Row],[backlog_habiles]]&lt;0,"FUTURO",IF(tblOrdenes[[#This Row],[backlog_habiles]]&gt;p_dias_backlog_max,"BACKLOG","MES CORRIENTE")))</f>
        <v/>
      </c>
      <c r="AG315" s="5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18">
        <f>IF(tblOrdenes[[#This Row],[orden]]="","",_xlfn.XLOOKUP(tblOrdenes[[#This Row],[id_operacion]],tblEjecucion[id_operacion],tblEjecucion[precio],0))</f>
        <v/>
      </c>
      <c r="AM315" s="18">
        <f>IF(tblOrdenes[[#This Row],[orden]]="","",MAX(0,_xlfn.XLOOKUP(tblOrdenes[[#This Row],[id_operacion]],tblEjecucion[id_operacion],tblEjecucion[costo_plan_total],0)-tblOrdenes[[#This Row],[costo_servicio]]))</f>
        <v/>
      </c>
      <c r="AN315" s="18">
        <f>IF(tblOrdenes[[#This Row],[orden]]="","",tblOrdenes[[#This Row],[costo_servicio]]+tblOrdenes[[#This Row],[costo_materiales]])</f>
        <v/>
      </c>
      <c r="AO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5">
        <f>IF(tblOrdenes[[#This Row],[link_checklist]]="","",HYPERLINK(p_ruta_base_checklists&amp;tblOrdenes[[#This Row],[link_checklist]],"abrir"))</f>
        <v/>
      </c>
      <c r="AT315" s="4" t="n"/>
      <c r="AU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5" t="n"/>
      <c r="K316" s="5" t="n"/>
      <c r="L316" s="18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Row],[fecha_inicio]]="","",tblOrdenes[[#This Row],[anio]]&amp;"-"&amp;TEXT(tblOrdenes[[#This Row],[mes]],"00"))</f>
        <v/>
      </c>
      <c r="S316" s="5">
        <f>IF(tblOrdenes[[#This Row],[fecha_inicio]]="","",INDEX(lista_dias,WEEKDAY(tblOrdenes[[#This Row],[fecha_inicio]],2)))</f>
        <v/>
      </c>
      <c r="T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5">
        <f>IF(tblOrdenes[[#This Row],[tipo_ot]]="","",_xlfn.XLOOKUP(tblOrdenes[[#This Row],[tipo_ot]],tblTiposOT[codigo],tblTiposOT[clasificacion],"sin_clasificar"))</f>
        <v/>
      </c>
      <c r="V3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5">
        <f>IF(tblOrdenes[[#This Row],[centro_costo]]="","",_xlfn.XLOOKUP(tblOrdenes[[#This Row],[centro_costo]],tblCECO[codigo],tblCECO[linea],"(sin catálogo)"))</f>
        <v/>
      </c>
      <c r="Y316" s="5">
        <f>IF(tblOrdenes[[#This Row],[centro_costo]]="","",_xlfn.XLOOKUP(tblOrdenes[[#This Row],[centro_costo]],tblCECO[codigo],tblCECO[area],"(sin catálogo)"))</f>
        <v/>
      </c>
      <c r="Z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5">
        <f>IF(tblOrdenes[[#This Row],[centro_costo]]="","",_xlfn.XLOOKUP(tblOrdenes[[#This Row],[centro_costo]],tblCECO[codigo],tblCECO[coordinador],"(sin catálogo)"))</f>
        <v/>
      </c>
      <c r="AB316" s="5">
        <f>IF(tblOrdenes[[#This Row],[puesto_trabajo]]="","",_xlfn.XLOOKUP(tblOrdenes[[#This Row],[puesto_trabajo]],tblPuestos[codigo],tblPuestos[especialidad],"(sin catálogo)"))</f>
        <v/>
      </c>
      <c r="AC316" s="5">
        <f>IF(tblOrdenes[[#This Row],[cod_actividad]]="","",_xlfn.XLOOKUP(tblOrdenes[[#This Row],[cod_actividad]],tblActividades[codigo],tblActividades[descripcion],"(sin catálogo)"))</f>
        <v/>
      </c>
      <c r="AD316" s="23">
        <f>IF(tblOrdenes[[#This Row],[fecha_inicio]]="","",TODAY()-tblOrdenes[[#This Row],[fecha_inicio]])</f>
        <v/>
      </c>
      <c r="AE3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5">
        <f>IF(tblOrdenes[[#This Row],[backlog_habiles]]="","",IF(tblOrdenes[[#This Row],[backlog_habiles]]&lt;0,"FUTURO",IF(tblOrdenes[[#This Row],[backlog_habiles]]&gt;p_dias_backlog_max,"BACKLOG","MES CORRIENTE")))</f>
        <v/>
      </c>
      <c r="AG316" s="5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18">
        <f>IF(tblOrdenes[[#This Row],[orden]]="","",_xlfn.XLOOKUP(tblOrdenes[[#This Row],[id_operacion]],tblEjecucion[id_operacion],tblEjecucion[precio],0))</f>
        <v/>
      </c>
      <c r="AM316" s="18">
        <f>IF(tblOrdenes[[#This Row],[orden]]="","",MAX(0,_xlfn.XLOOKUP(tblOrdenes[[#This Row],[id_operacion]],tblEjecucion[id_operacion],tblEjecucion[costo_plan_total],0)-tblOrdenes[[#This Row],[costo_servicio]]))</f>
        <v/>
      </c>
      <c r="AN316" s="18">
        <f>IF(tblOrdenes[[#This Row],[orden]]="","",tblOrdenes[[#This Row],[costo_servicio]]+tblOrdenes[[#This Row],[costo_materiales]])</f>
        <v/>
      </c>
      <c r="AO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5">
        <f>IF(tblOrdenes[[#This Row],[link_checklist]]="","",HYPERLINK(p_ruta_base_checklists&amp;tblOrdenes[[#This Row],[link_checklist]],"abrir"))</f>
        <v/>
      </c>
      <c r="AT316" s="4" t="n"/>
      <c r="AU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5" t="n"/>
      <c r="K317" s="5" t="n"/>
      <c r="L317" s="18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Row],[fecha_inicio]]="","",tblOrdenes[[#This Row],[anio]]&amp;"-"&amp;TEXT(tblOrdenes[[#This Row],[mes]],"00"))</f>
        <v/>
      </c>
      <c r="S317" s="5">
        <f>IF(tblOrdenes[[#This Row],[fecha_inicio]]="","",INDEX(lista_dias,WEEKDAY(tblOrdenes[[#This Row],[fecha_inicio]],2)))</f>
        <v/>
      </c>
      <c r="T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5">
        <f>IF(tblOrdenes[[#This Row],[tipo_ot]]="","",_xlfn.XLOOKUP(tblOrdenes[[#This Row],[tipo_ot]],tblTiposOT[codigo],tblTiposOT[clasificacion],"sin_clasificar"))</f>
        <v/>
      </c>
      <c r="V3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5">
        <f>IF(tblOrdenes[[#This Row],[centro_costo]]="","",_xlfn.XLOOKUP(tblOrdenes[[#This Row],[centro_costo]],tblCECO[codigo],tblCECO[linea],"(sin catálogo)"))</f>
        <v/>
      </c>
      <c r="Y317" s="5">
        <f>IF(tblOrdenes[[#This Row],[centro_costo]]="","",_xlfn.XLOOKUP(tblOrdenes[[#This Row],[centro_costo]],tblCECO[codigo],tblCECO[area],"(sin catálogo)"))</f>
        <v/>
      </c>
      <c r="Z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5">
        <f>IF(tblOrdenes[[#This Row],[centro_costo]]="","",_xlfn.XLOOKUP(tblOrdenes[[#This Row],[centro_costo]],tblCECO[codigo],tblCECO[coordinador],"(sin catálogo)"))</f>
        <v/>
      </c>
      <c r="AB317" s="5">
        <f>IF(tblOrdenes[[#This Row],[puesto_trabajo]]="","",_xlfn.XLOOKUP(tblOrdenes[[#This Row],[puesto_trabajo]],tblPuestos[codigo],tblPuestos[especialidad],"(sin catálogo)"))</f>
        <v/>
      </c>
      <c r="AC317" s="5">
        <f>IF(tblOrdenes[[#This Row],[cod_actividad]]="","",_xlfn.XLOOKUP(tblOrdenes[[#This Row],[cod_actividad]],tblActividades[codigo],tblActividades[descripcion],"(sin catálogo)"))</f>
        <v/>
      </c>
      <c r="AD317" s="23">
        <f>IF(tblOrdenes[[#This Row],[fecha_inicio]]="","",TODAY()-tblOrdenes[[#This Row],[fecha_inicio]])</f>
        <v/>
      </c>
      <c r="AE3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5">
        <f>IF(tblOrdenes[[#This Row],[backlog_habiles]]="","",IF(tblOrdenes[[#This Row],[backlog_habiles]]&lt;0,"FUTURO",IF(tblOrdenes[[#This Row],[backlog_habiles]]&gt;p_dias_backlog_max,"BACKLOG","MES CORRIENTE")))</f>
        <v/>
      </c>
      <c r="AG317" s="5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18">
        <f>IF(tblOrdenes[[#This Row],[orden]]="","",_xlfn.XLOOKUP(tblOrdenes[[#This Row],[id_operacion]],tblEjecucion[id_operacion],tblEjecucion[precio],0))</f>
        <v/>
      </c>
      <c r="AM317" s="18">
        <f>IF(tblOrdenes[[#This Row],[orden]]="","",MAX(0,_xlfn.XLOOKUP(tblOrdenes[[#This Row],[id_operacion]],tblEjecucion[id_operacion],tblEjecucion[costo_plan_total],0)-tblOrdenes[[#This Row],[costo_servicio]]))</f>
        <v/>
      </c>
      <c r="AN317" s="18">
        <f>IF(tblOrdenes[[#This Row],[orden]]="","",tblOrdenes[[#This Row],[costo_servicio]]+tblOrdenes[[#This Row],[costo_materiales]])</f>
        <v/>
      </c>
      <c r="AO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5">
        <f>IF(tblOrdenes[[#This Row],[link_checklist]]="","",HYPERLINK(p_ruta_base_checklists&amp;tblOrdenes[[#This Row],[link_checklist]],"abrir"))</f>
        <v/>
      </c>
      <c r="AT317" s="4" t="n"/>
      <c r="AU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5" t="n"/>
      <c r="K318" s="5" t="n"/>
      <c r="L318" s="18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Row],[fecha_inicio]]="","",tblOrdenes[[#This Row],[anio]]&amp;"-"&amp;TEXT(tblOrdenes[[#This Row],[mes]],"00"))</f>
        <v/>
      </c>
      <c r="S318" s="5">
        <f>IF(tblOrdenes[[#This Row],[fecha_inicio]]="","",INDEX(lista_dias,WEEKDAY(tblOrdenes[[#This Row],[fecha_inicio]],2)))</f>
        <v/>
      </c>
      <c r="T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5">
        <f>IF(tblOrdenes[[#This Row],[tipo_ot]]="","",_xlfn.XLOOKUP(tblOrdenes[[#This Row],[tipo_ot]],tblTiposOT[codigo],tblTiposOT[clasificacion],"sin_clasificar"))</f>
        <v/>
      </c>
      <c r="V3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5">
        <f>IF(tblOrdenes[[#This Row],[centro_costo]]="","",_xlfn.XLOOKUP(tblOrdenes[[#This Row],[centro_costo]],tblCECO[codigo],tblCECO[linea],"(sin catálogo)"))</f>
        <v/>
      </c>
      <c r="Y318" s="5">
        <f>IF(tblOrdenes[[#This Row],[centro_costo]]="","",_xlfn.XLOOKUP(tblOrdenes[[#This Row],[centro_costo]],tblCECO[codigo],tblCECO[area],"(sin catálogo)"))</f>
        <v/>
      </c>
      <c r="Z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5">
        <f>IF(tblOrdenes[[#This Row],[centro_costo]]="","",_xlfn.XLOOKUP(tblOrdenes[[#This Row],[centro_costo]],tblCECO[codigo],tblCECO[coordinador],"(sin catálogo)"))</f>
        <v/>
      </c>
      <c r="AB318" s="5">
        <f>IF(tblOrdenes[[#This Row],[puesto_trabajo]]="","",_xlfn.XLOOKUP(tblOrdenes[[#This Row],[puesto_trabajo]],tblPuestos[codigo],tblPuestos[especialidad],"(sin catálogo)"))</f>
        <v/>
      </c>
      <c r="AC318" s="5">
        <f>IF(tblOrdenes[[#This Row],[cod_actividad]]="","",_xlfn.XLOOKUP(tblOrdenes[[#This Row],[cod_actividad]],tblActividades[codigo],tblActividades[descripcion],"(sin catálogo)"))</f>
        <v/>
      </c>
      <c r="AD318" s="23">
        <f>IF(tblOrdenes[[#This Row],[fecha_inicio]]="","",TODAY()-tblOrdenes[[#This Row],[fecha_inicio]])</f>
        <v/>
      </c>
      <c r="AE3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5">
        <f>IF(tblOrdenes[[#This Row],[backlog_habiles]]="","",IF(tblOrdenes[[#This Row],[backlog_habiles]]&lt;0,"FUTURO",IF(tblOrdenes[[#This Row],[backlog_habiles]]&gt;p_dias_backlog_max,"BACKLOG","MES CORRIENTE")))</f>
        <v/>
      </c>
      <c r="AG318" s="5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18">
        <f>IF(tblOrdenes[[#This Row],[orden]]="","",_xlfn.XLOOKUP(tblOrdenes[[#This Row],[id_operacion]],tblEjecucion[id_operacion],tblEjecucion[precio],0))</f>
        <v/>
      </c>
      <c r="AM318" s="18">
        <f>IF(tblOrdenes[[#This Row],[orden]]="","",MAX(0,_xlfn.XLOOKUP(tblOrdenes[[#This Row],[id_operacion]],tblEjecucion[id_operacion],tblEjecucion[costo_plan_total],0)-tblOrdenes[[#This Row],[costo_servicio]]))</f>
        <v/>
      </c>
      <c r="AN318" s="18">
        <f>IF(tblOrdenes[[#This Row],[orden]]="","",tblOrdenes[[#This Row],[costo_servicio]]+tblOrdenes[[#This Row],[costo_materiales]])</f>
        <v/>
      </c>
      <c r="AO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5">
        <f>IF(tblOrdenes[[#This Row],[link_checklist]]="","",HYPERLINK(p_ruta_base_checklists&amp;tblOrdenes[[#This Row],[link_checklist]],"abrir"))</f>
        <v/>
      </c>
      <c r="AT318" s="4" t="n"/>
      <c r="AU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5" t="n"/>
      <c r="K319" s="5" t="n"/>
      <c r="L319" s="18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Row],[fecha_inicio]]="","",tblOrdenes[[#This Row],[anio]]&amp;"-"&amp;TEXT(tblOrdenes[[#This Row],[mes]],"00"))</f>
        <v/>
      </c>
      <c r="S319" s="5">
        <f>IF(tblOrdenes[[#This Row],[fecha_inicio]]="","",INDEX(lista_dias,WEEKDAY(tblOrdenes[[#This Row],[fecha_inicio]],2)))</f>
        <v/>
      </c>
      <c r="T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5">
        <f>IF(tblOrdenes[[#This Row],[tipo_ot]]="","",_xlfn.XLOOKUP(tblOrdenes[[#This Row],[tipo_ot]],tblTiposOT[codigo],tblTiposOT[clasificacion],"sin_clasificar"))</f>
        <v/>
      </c>
      <c r="V3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5">
        <f>IF(tblOrdenes[[#This Row],[centro_costo]]="","",_xlfn.XLOOKUP(tblOrdenes[[#This Row],[centro_costo]],tblCECO[codigo],tblCECO[linea],"(sin catálogo)"))</f>
        <v/>
      </c>
      <c r="Y319" s="5">
        <f>IF(tblOrdenes[[#This Row],[centro_costo]]="","",_xlfn.XLOOKUP(tblOrdenes[[#This Row],[centro_costo]],tblCECO[codigo],tblCECO[area],"(sin catálogo)"))</f>
        <v/>
      </c>
      <c r="Z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5">
        <f>IF(tblOrdenes[[#This Row],[centro_costo]]="","",_xlfn.XLOOKUP(tblOrdenes[[#This Row],[centro_costo]],tblCECO[codigo],tblCECO[coordinador],"(sin catálogo)"))</f>
        <v/>
      </c>
      <c r="AB319" s="5">
        <f>IF(tblOrdenes[[#This Row],[puesto_trabajo]]="","",_xlfn.XLOOKUP(tblOrdenes[[#This Row],[puesto_trabajo]],tblPuestos[codigo],tblPuestos[especialidad],"(sin catálogo)"))</f>
        <v/>
      </c>
      <c r="AC319" s="5">
        <f>IF(tblOrdenes[[#This Row],[cod_actividad]]="","",_xlfn.XLOOKUP(tblOrdenes[[#This Row],[cod_actividad]],tblActividades[codigo],tblActividades[descripcion],"(sin catálogo)"))</f>
        <v/>
      </c>
      <c r="AD319" s="23">
        <f>IF(tblOrdenes[[#This Row],[fecha_inicio]]="","",TODAY()-tblOrdenes[[#This Row],[fecha_inicio]])</f>
        <v/>
      </c>
      <c r="AE3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5">
        <f>IF(tblOrdenes[[#This Row],[backlog_habiles]]="","",IF(tblOrdenes[[#This Row],[backlog_habiles]]&lt;0,"FUTURO",IF(tblOrdenes[[#This Row],[backlog_habiles]]&gt;p_dias_backlog_max,"BACKLOG","MES CORRIENTE")))</f>
        <v/>
      </c>
      <c r="AG319" s="5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18">
        <f>IF(tblOrdenes[[#This Row],[orden]]="","",_xlfn.XLOOKUP(tblOrdenes[[#This Row],[id_operacion]],tblEjecucion[id_operacion],tblEjecucion[precio],0))</f>
        <v/>
      </c>
      <c r="AM319" s="18">
        <f>IF(tblOrdenes[[#This Row],[orden]]="","",MAX(0,_xlfn.XLOOKUP(tblOrdenes[[#This Row],[id_operacion]],tblEjecucion[id_operacion],tblEjecucion[costo_plan_total],0)-tblOrdenes[[#This Row],[costo_servicio]]))</f>
        <v/>
      </c>
      <c r="AN319" s="18">
        <f>IF(tblOrdenes[[#This Row],[orden]]="","",tblOrdenes[[#This Row],[costo_servicio]]+tblOrdenes[[#This Row],[costo_materiales]])</f>
        <v/>
      </c>
      <c r="AO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5">
        <f>IF(tblOrdenes[[#This Row],[link_checklist]]="","",HYPERLINK(p_ruta_base_checklists&amp;tblOrdenes[[#This Row],[link_checklist]],"abrir"))</f>
        <v/>
      </c>
      <c r="AT319" s="4" t="n"/>
      <c r="AU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5" t="n"/>
      <c r="K320" s="5" t="n"/>
      <c r="L320" s="18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Row],[fecha_inicio]]="","",tblOrdenes[[#This Row],[anio]]&amp;"-"&amp;TEXT(tblOrdenes[[#This Row],[mes]],"00"))</f>
        <v/>
      </c>
      <c r="S320" s="5">
        <f>IF(tblOrdenes[[#This Row],[fecha_inicio]]="","",INDEX(lista_dias,WEEKDAY(tblOrdenes[[#This Row],[fecha_inicio]],2)))</f>
        <v/>
      </c>
      <c r="T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5">
        <f>IF(tblOrdenes[[#This Row],[tipo_ot]]="","",_xlfn.XLOOKUP(tblOrdenes[[#This Row],[tipo_ot]],tblTiposOT[codigo],tblTiposOT[clasificacion],"sin_clasificar"))</f>
        <v/>
      </c>
      <c r="V3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5">
        <f>IF(tblOrdenes[[#This Row],[centro_costo]]="","",_xlfn.XLOOKUP(tblOrdenes[[#This Row],[centro_costo]],tblCECO[codigo],tblCECO[linea],"(sin catálogo)"))</f>
        <v/>
      </c>
      <c r="Y320" s="5">
        <f>IF(tblOrdenes[[#This Row],[centro_costo]]="","",_xlfn.XLOOKUP(tblOrdenes[[#This Row],[centro_costo]],tblCECO[codigo],tblCECO[area],"(sin catálogo)"))</f>
        <v/>
      </c>
      <c r="Z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5">
        <f>IF(tblOrdenes[[#This Row],[centro_costo]]="","",_xlfn.XLOOKUP(tblOrdenes[[#This Row],[centro_costo]],tblCECO[codigo],tblCECO[coordinador],"(sin catálogo)"))</f>
        <v/>
      </c>
      <c r="AB320" s="5">
        <f>IF(tblOrdenes[[#This Row],[puesto_trabajo]]="","",_xlfn.XLOOKUP(tblOrdenes[[#This Row],[puesto_trabajo]],tblPuestos[codigo],tblPuestos[especialidad],"(sin catálogo)"))</f>
        <v/>
      </c>
      <c r="AC320" s="5">
        <f>IF(tblOrdenes[[#This Row],[cod_actividad]]="","",_xlfn.XLOOKUP(tblOrdenes[[#This Row],[cod_actividad]],tblActividades[codigo],tblActividades[descripcion],"(sin catálogo)"))</f>
        <v/>
      </c>
      <c r="AD320" s="23">
        <f>IF(tblOrdenes[[#This Row],[fecha_inicio]]="","",TODAY()-tblOrdenes[[#This Row],[fecha_inicio]])</f>
        <v/>
      </c>
      <c r="AE3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5">
        <f>IF(tblOrdenes[[#This Row],[backlog_habiles]]="","",IF(tblOrdenes[[#This Row],[backlog_habiles]]&lt;0,"FUTURO",IF(tblOrdenes[[#This Row],[backlog_habiles]]&gt;p_dias_backlog_max,"BACKLOG","MES CORRIENTE")))</f>
        <v/>
      </c>
      <c r="AG320" s="5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18">
        <f>IF(tblOrdenes[[#This Row],[orden]]="","",_xlfn.XLOOKUP(tblOrdenes[[#This Row],[id_operacion]],tblEjecucion[id_operacion],tblEjecucion[precio],0))</f>
        <v/>
      </c>
      <c r="AM320" s="18">
        <f>IF(tblOrdenes[[#This Row],[orden]]="","",MAX(0,_xlfn.XLOOKUP(tblOrdenes[[#This Row],[id_operacion]],tblEjecucion[id_operacion],tblEjecucion[costo_plan_total],0)-tblOrdenes[[#This Row],[costo_servicio]]))</f>
        <v/>
      </c>
      <c r="AN320" s="18">
        <f>IF(tblOrdenes[[#This Row],[orden]]="","",tblOrdenes[[#This Row],[costo_servicio]]+tblOrdenes[[#This Row],[costo_materiales]])</f>
        <v/>
      </c>
      <c r="AO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5">
        <f>IF(tblOrdenes[[#This Row],[link_checklist]]="","",HYPERLINK(p_ruta_base_checklists&amp;tblOrdenes[[#This Row],[link_checklist]],"abrir"))</f>
        <v/>
      </c>
      <c r="AT320" s="4" t="n"/>
      <c r="AU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5" t="n"/>
      <c r="K321" s="5" t="n"/>
      <c r="L321" s="18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Row],[fecha_inicio]]="","",tblOrdenes[[#This Row],[anio]]&amp;"-"&amp;TEXT(tblOrdenes[[#This Row],[mes]],"00"))</f>
        <v/>
      </c>
      <c r="S321" s="5">
        <f>IF(tblOrdenes[[#This Row],[fecha_inicio]]="","",INDEX(lista_dias,WEEKDAY(tblOrdenes[[#This Row],[fecha_inicio]],2)))</f>
        <v/>
      </c>
      <c r="T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5">
        <f>IF(tblOrdenes[[#This Row],[tipo_ot]]="","",_xlfn.XLOOKUP(tblOrdenes[[#This Row],[tipo_ot]],tblTiposOT[codigo],tblTiposOT[clasificacion],"sin_clasificar"))</f>
        <v/>
      </c>
      <c r="V3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5">
        <f>IF(tblOrdenes[[#This Row],[centro_costo]]="","",_xlfn.XLOOKUP(tblOrdenes[[#This Row],[centro_costo]],tblCECO[codigo],tblCECO[linea],"(sin catálogo)"))</f>
        <v/>
      </c>
      <c r="Y321" s="5">
        <f>IF(tblOrdenes[[#This Row],[centro_costo]]="","",_xlfn.XLOOKUP(tblOrdenes[[#This Row],[centro_costo]],tblCECO[codigo],tblCECO[area],"(sin catálogo)"))</f>
        <v/>
      </c>
      <c r="Z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5">
        <f>IF(tblOrdenes[[#This Row],[centro_costo]]="","",_xlfn.XLOOKUP(tblOrdenes[[#This Row],[centro_costo]],tblCECO[codigo],tblCECO[coordinador],"(sin catálogo)"))</f>
        <v/>
      </c>
      <c r="AB321" s="5">
        <f>IF(tblOrdenes[[#This Row],[puesto_trabajo]]="","",_xlfn.XLOOKUP(tblOrdenes[[#This Row],[puesto_trabajo]],tblPuestos[codigo],tblPuestos[especialidad],"(sin catálogo)"))</f>
        <v/>
      </c>
      <c r="AC321" s="5">
        <f>IF(tblOrdenes[[#This Row],[cod_actividad]]="","",_xlfn.XLOOKUP(tblOrdenes[[#This Row],[cod_actividad]],tblActividades[codigo],tblActividades[descripcion],"(sin catálogo)"))</f>
        <v/>
      </c>
      <c r="AD321" s="23">
        <f>IF(tblOrdenes[[#This Row],[fecha_inicio]]="","",TODAY()-tblOrdenes[[#This Row],[fecha_inicio]])</f>
        <v/>
      </c>
      <c r="AE3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5">
        <f>IF(tblOrdenes[[#This Row],[backlog_habiles]]="","",IF(tblOrdenes[[#This Row],[backlog_habiles]]&lt;0,"FUTURO",IF(tblOrdenes[[#This Row],[backlog_habiles]]&gt;p_dias_backlog_max,"BACKLOG","MES CORRIENTE")))</f>
        <v/>
      </c>
      <c r="AG321" s="5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18">
        <f>IF(tblOrdenes[[#This Row],[orden]]="","",_xlfn.XLOOKUP(tblOrdenes[[#This Row],[id_operacion]],tblEjecucion[id_operacion],tblEjecucion[precio],0))</f>
        <v/>
      </c>
      <c r="AM321" s="18">
        <f>IF(tblOrdenes[[#This Row],[orden]]="","",MAX(0,_xlfn.XLOOKUP(tblOrdenes[[#This Row],[id_operacion]],tblEjecucion[id_operacion],tblEjecucion[costo_plan_total],0)-tblOrdenes[[#This Row],[costo_servicio]]))</f>
        <v/>
      </c>
      <c r="AN321" s="18">
        <f>IF(tblOrdenes[[#This Row],[orden]]="","",tblOrdenes[[#This Row],[costo_servicio]]+tblOrdenes[[#This Row],[costo_materiales]])</f>
        <v/>
      </c>
      <c r="AO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5">
        <f>IF(tblOrdenes[[#This Row],[link_checklist]]="","",HYPERLINK(p_ruta_base_checklists&amp;tblOrdenes[[#This Row],[link_checklist]],"abrir"))</f>
        <v/>
      </c>
      <c r="AT321" s="4" t="n"/>
      <c r="AU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5" t="n"/>
      <c r="K322" s="5" t="n"/>
      <c r="L322" s="18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Row],[fecha_inicio]]="","",tblOrdenes[[#This Row],[anio]]&amp;"-"&amp;TEXT(tblOrdenes[[#This Row],[mes]],"00"))</f>
        <v/>
      </c>
      <c r="S322" s="5">
        <f>IF(tblOrdenes[[#This Row],[fecha_inicio]]="","",INDEX(lista_dias,WEEKDAY(tblOrdenes[[#This Row],[fecha_inicio]],2)))</f>
        <v/>
      </c>
      <c r="T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5">
        <f>IF(tblOrdenes[[#This Row],[tipo_ot]]="","",_xlfn.XLOOKUP(tblOrdenes[[#This Row],[tipo_ot]],tblTiposOT[codigo],tblTiposOT[clasificacion],"sin_clasificar"))</f>
        <v/>
      </c>
      <c r="V3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5">
        <f>IF(tblOrdenes[[#This Row],[centro_costo]]="","",_xlfn.XLOOKUP(tblOrdenes[[#This Row],[centro_costo]],tblCECO[codigo],tblCECO[linea],"(sin catálogo)"))</f>
        <v/>
      </c>
      <c r="Y322" s="5">
        <f>IF(tblOrdenes[[#This Row],[centro_costo]]="","",_xlfn.XLOOKUP(tblOrdenes[[#This Row],[centro_costo]],tblCECO[codigo],tblCECO[area],"(sin catálogo)"))</f>
        <v/>
      </c>
      <c r="Z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5">
        <f>IF(tblOrdenes[[#This Row],[centro_costo]]="","",_xlfn.XLOOKUP(tblOrdenes[[#This Row],[centro_costo]],tblCECO[codigo],tblCECO[coordinador],"(sin catálogo)"))</f>
        <v/>
      </c>
      <c r="AB322" s="5">
        <f>IF(tblOrdenes[[#This Row],[puesto_trabajo]]="","",_xlfn.XLOOKUP(tblOrdenes[[#This Row],[puesto_trabajo]],tblPuestos[codigo],tblPuestos[especialidad],"(sin catálogo)"))</f>
        <v/>
      </c>
      <c r="AC322" s="5">
        <f>IF(tblOrdenes[[#This Row],[cod_actividad]]="","",_xlfn.XLOOKUP(tblOrdenes[[#This Row],[cod_actividad]],tblActividades[codigo],tblActividades[descripcion],"(sin catálogo)"))</f>
        <v/>
      </c>
      <c r="AD322" s="23">
        <f>IF(tblOrdenes[[#This Row],[fecha_inicio]]="","",TODAY()-tblOrdenes[[#This Row],[fecha_inicio]])</f>
        <v/>
      </c>
      <c r="AE3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5">
        <f>IF(tblOrdenes[[#This Row],[backlog_habiles]]="","",IF(tblOrdenes[[#This Row],[backlog_habiles]]&lt;0,"FUTURO",IF(tblOrdenes[[#This Row],[backlog_habiles]]&gt;p_dias_backlog_max,"BACKLOG","MES CORRIENTE")))</f>
        <v/>
      </c>
      <c r="AG322" s="5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18">
        <f>IF(tblOrdenes[[#This Row],[orden]]="","",_xlfn.XLOOKUP(tblOrdenes[[#This Row],[id_operacion]],tblEjecucion[id_operacion],tblEjecucion[precio],0))</f>
        <v/>
      </c>
      <c r="AM322" s="18">
        <f>IF(tblOrdenes[[#This Row],[orden]]="","",MAX(0,_xlfn.XLOOKUP(tblOrdenes[[#This Row],[id_operacion]],tblEjecucion[id_operacion],tblEjecucion[costo_plan_total],0)-tblOrdenes[[#This Row],[costo_servicio]]))</f>
        <v/>
      </c>
      <c r="AN322" s="18">
        <f>IF(tblOrdenes[[#This Row],[orden]]="","",tblOrdenes[[#This Row],[costo_servicio]]+tblOrdenes[[#This Row],[costo_materiales]])</f>
        <v/>
      </c>
      <c r="AO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5">
        <f>IF(tblOrdenes[[#This Row],[link_checklist]]="","",HYPERLINK(p_ruta_base_checklists&amp;tblOrdenes[[#This Row],[link_checklist]],"abrir"))</f>
        <v/>
      </c>
      <c r="AT322" s="4" t="n"/>
      <c r="AU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5" t="n"/>
      <c r="K323" s="5" t="n"/>
      <c r="L323" s="18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Row],[fecha_inicio]]="","",tblOrdenes[[#This Row],[anio]]&amp;"-"&amp;TEXT(tblOrdenes[[#This Row],[mes]],"00"))</f>
        <v/>
      </c>
      <c r="S323" s="5">
        <f>IF(tblOrdenes[[#This Row],[fecha_inicio]]="","",INDEX(lista_dias,WEEKDAY(tblOrdenes[[#This Row],[fecha_inicio]],2)))</f>
        <v/>
      </c>
      <c r="T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5">
        <f>IF(tblOrdenes[[#This Row],[tipo_ot]]="","",_xlfn.XLOOKUP(tblOrdenes[[#This Row],[tipo_ot]],tblTiposOT[codigo],tblTiposOT[clasificacion],"sin_clasificar"))</f>
        <v/>
      </c>
      <c r="V3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5">
        <f>IF(tblOrdenes[[#This Row],[centro_costo]]="","",_xlfn.XLOOKUP(tblOrdenes[[#This Row],[centro_costo]],tblCECO[codigo],tblCECO[linea],"(sin catálogo)"))</f>
        <v/>
      </c>
      <c r="Y323" s="5">
        <f>IF(tblOrdenes[[#This Row],[centro_costo]]="","",_xlfn.XLOOKUP(tblOrdenes[[#This Row],[centro_costo]],tblCECO[codigo],tblCECO[area],"(sin catálogo)"))</f>
        <v/>
      </c>
      <c r="Z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5">
        <f>IF(tblOrdenes[[#This Row],[centro_costo]]="","",_xlfn.XLOOKUP(tblOrdenes[[#This Row],[centro_costo]],tblCECO[codigo],tblCECO[coordinador],"(sin catálogo)"))</f>
        <v/>
      </c>
      <c r="AB323" s="5">
        <f>IF(tblOrdenes[[#This Row],[puesto_trabajo]]="","",_xlfn.XLOOKUP(tblOrdenes[[#This Row],[puesto_trabajo]],tblPuestos[codigo],tblPuestos[especialidad],"(sin catálogo)"))</f>
        <v/>
      </c>
      <c r="AC323" s="5">
        <f>IF(tblOrdenes[[#This Row],[cod_actividad]]="","",_xlfn.XLOOKUP(tblOrdenes[[#This Row],[cod_actividad]],tblActividades[codigo],tblActividades[descripcion],"(sin catálogo)"))</f>
        <v/>
      </c>
      <c r="AD323" s="23">
        <f>IF(tblOrdenes[[#This Row],[fecha_inicio]]="","",TODAY()-tblOrdenes[[#This Row],[fecha_inicio]])</f>
        <v/>
      </c>
      <c r="AE3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5">
        <f>IF(tblOrdenes[[#This Row],[backlog_habiles]]="","",IF(tblOrdenes[[#This Row],[backlog_habiles]]&lt;0,"FUTURO",IF(tblOrdenes[[#This Row],[backlog_habiles]]&gt;p_dias_backlog_max,"BACKLOG","MES CORRIENTE")))</f>
        <v/>
      </c>
      <c r="AG323" s="5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18">
        <f>IF(tblOrdenes[[#This Row],[orden]]="","",_xlfn.XLOOKUP(tblOrdenes[[#This Row],[id_operacion]],tblEjecucion[id_operacion],tblEjecucion[precio],0))</f>
        <v/>
      </c>
      <c r="AM323" s="18">
        <f>IF(tblOrdenes[[#This Row],[orden]]="","",MAX(0,_xlfn.XLOOKUP(tblOrdenes[[#This Row],[id_operacion]],tblEjecucion[id_operacion],tblEjecucion[costo_plan_total],0)-tblOrdenes[[#This Row],[costo_servicio]]))</f>
        <v/>
      </c>
      <c r="AN323" s="18">
        <f>IF(tblOrdenes[[#This Row],[orden]]="","",tblOrdenes[[#This Row],[costo_servicio]]+tblOrdenes[[#This Row],[costo_materiales]])</f>
        <v/>
      </c>
      <c r="AO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5">
        <f>IF(tblOrdenes[[#This Row],[link_checklist]]="","",HYPERLINK(p_ruta_base_checklists&amp;tblOrdenes[[#This Row],[link_checklist]],"abrir"))</f>
        <v/>
      </c>
      <c r="AT323" s="4" t="n"/>
      <c r="AU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5" t="n"/>
      <c r="K324" s="5" t="n"/>
      <c r="L324" s="18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Row],[fecha_inicio]]="","",tblOrdenes[[#This Row],[anio]]&amp;"-"&amp;TEXT(tblOrdenes[[#This Row],[mes]],"00"))</f>
        <v/>
      </c>
      <c r="S324" s="5">
        <f>IF(tblOrdenes[[#This Row],[fecha_inicio]]="","",INDEX(lista_dias,WEEKDAY(tblOrdenes[[#This Row],[fecha_inicio]],2)))</f>
        <v/>
      </c>
      <c r="T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5">
        <f>IF(tblOrdenes[[#This Row],[tipo_ot]]="","",_xlfn.XLOOKUP(tblOrdenes[[#This Row],[tipo_ot]],tblTiposOT[codigo],tblTiposOT[clasificacion],"sin_clasificar"))</f>
        <v/>
      </c>
      <c r="V3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5">
        <f>IF(tblOrdenes[[#This Row],[centro_costo]]="","",_xlfn.XLOOKUP(tblOrdenes[[#This Row],[centro_costo]],tblCECO[codigo],tblCECO[linea],"(sin catálogo)"))</f>
        <v/>
      </c>
      <c r="Y324" s="5">
        <f>IF(tblOrdenes[[#This Row],[centro_costo]]="","",_xlfn.XLOOKUP(tblOrdenes[[#This Row],[centro_costo]],tblCECO[codigo],tblCECO[area],"(sin catálogo)"))</f>
        <v/>
      </c>
      <c r="Z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5">
        <f>IF(tblOrdenes[[#This Row],[centro_costo]]="","",_xlfn.XLOOKUP(tblOrdenes[[#This Row],[centro_costo]],tblCECO[codigo],tblCECO[coordinador],"(sin catálogo)"))</f>
        <v/>
      </c>
      <c r="AB324" s="5">
        <f>IF(tblOrdenes[[#This Row],[puesto_trabajo]]="","",_xlfn.XLOOKUP(tblOrdenes[[#This Row],[puesto_trabajo]],tblPuestos[codigo],tblPuestos[especialidad],"(sin catálogo)"))</f>
        <v/>
      </c>
      <c r="AC324" s="5">
        <f>IF(tblOrdenes[[#This Row],[cod_actividad]]="","",_xlfn.XLOOKUP(tblOrdenes[[#This Row],[cod_actividad]],tblActividades[codigo],tblActividades[descripcion],"(sin catálogo)"))</f>
        <v/>
      </c>
      <c r="AD324" s="23">
        <f>IF(tblOrdenes[[#This Row],[fecha_inicio]]="","",TODAY()-tblOrdenes[[#This Row],[fecha_inicio]])</f>
        <v/>
      </c>
      <c r="AE3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5">
        <f>IF(tblOrdenes[[#This Row],[backlog_habiles]]="","",IF(tblOrdenes[[#This Row],[backlog_habiles]]&lt;0,"FUTURO",IF(tblOrdenes[[#This Row],[backlog_habiles]]&gt;p_dias_backlog_max,"BACKLOG","MES CORRIENTE")))</f>
        <v/>
      </c>
      <c r="AG324" s="5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18">
        <f>IF(tblOrdenes[[#This Row],[orden]]="","",_xlfn.XLOOKUP(tblOrdenes[[#This Row],[id_operacion]],tblEjecucion[id_operacion],tblEjecucion[precio],0))</f>
        <v/>
      </c>
      <c r="AM324" s="18">
        <f>IF(tblOrdenes[[#This Row],[orden]]="","",MAX(0,_xlfn.XLOOKUP(tblOrdenes[[#This Row],[id_operacion]],tblEjecucion[id_operacion],tblEjecucion[costo_plan_total],0)-tblOrdenes[[#This Row],[costo_servicio]]))</f>
        <v/>
      </c>
      <c r="AN324" s="18">
        <f>IF(tblOrdenes[[#This Row],[orden]]="","",tblOrdenes[[#This Row],[costo_servicio]]+tblOrdenes[[#This Row],[costo_materiales]])</f>
        <v/>
      </c>
      <c r="AO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5">
        <f>IF(tblOrdenes[[#This Row],[link_checklist]]="","",HYPERLINK(p_ruta_base_checklists&amp;tblOrdenes[[#This Row],[link_checklist]],"abrir"))</f>
        <v/>
      </c>
      <c r="AT324" s="4" t="n"/>
      <c r="AU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5" t="n"/>
      <c r="K325" s="5" t="n"/>
      <c r="L325" s="18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Row],[fecha_inicio]]="","",tblOrdenes[[#This Row],[anio]]&amp;"-"&amp;TEXT(tblOrdenes[[#This Row],[mes]],"00"))</f>
        <v/>
      </c>
      <c r="S325" s="5">
        <f>IF(tblOrdenes[[#This Row],[fecha_inicio]]="","",INDEX(lista_dias,WEEKDAY(tblOrdenes[[#This Row],[fecha_inicio]],2)))</f>
        <v/>
      </c>
      <c r="T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5">
        <f>IF(tblOrdenes[[#This Row],[tipo_ot]]="","",_xlfn.XLOOKUP(tblOrdenes[[#This Row],[tipo_ot]],tblTiposOT[codigo],tblTiposOT[clasificacion],"sin_clasificar"))</f>
        <v/>
      </c>
      <c r="V3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5">
        <f>IF(tblOrdenes[[#This Row],[centro_costo]]="","",_xlfn.XLOOKUP(tblOrdenes[[#This Row],[centro_costo]],tblCECO[codigo],tblCECO[linea],"(sin catálogo)"))</f>
        <v/>
      </c>
      <c r="Y325" s="5">
        <f>IF(tblOrdenes[[#This Row],[centro_costo]]="","",_xlfn.XLOOKUP(tblOrdenes[[#This Row],[centro_costo]],tblCECO[codigo],tblCECO[area],"(sin catálogo)"))</f>
        <v/>
      </c>
      <c r="Z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5">
        <f>IF(tblOrdenes[[#This Row],[centro_costo]]="","",_xlfn.XLOOKUP(tblOrdenes[[#This Row],[centro_costo]],tblCECO[codigo],tblCECO[coordinador],"(sin catálogo)"))</f>
        <v/>
      </c>
      <c r="AB325" s="5">
        <f>IF(tblOrdenes[[#This Row],[puesto_trabajo]]="","",_xlfn.XLOOKUP(tblOrdenes[[#This Row],[puesto_trabajo]],tblPuestos[codigo],tblPuestos[especialidad],"(sin catálogo)"))</f>
        <v/>
      </c>
      <c r="AC325" s="5">
        <f>IF(tblOrdenes[[#This Row],[cod_actividad]]="","",_xlfn.XLOOKUP(tblOrdenes[[#This Row],[cod_actividad]],tblActividades[codigo],tblActividades[descripcion],"(sin catálogo)"))</f>
        <v/>
      </c>
      <c r="AD325" s="23">
        <f>IF(tblOrdenes[[#This Row],[fecha_inicio]]="","",TODAY()-tblOrdenes[[#This Row],[fecha_inicio]])</f>
        <v/>
      </c>
      <c r="AE3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5">
        <f>IF(tblOrdenes[[#This Row],[backlog_habiles]]="","",IF(tblOrdenes[[#This Row],[backlog_habiles]]&lt;0,"FUTURO",IF(tblOrdenes[[#This Row],[backlog_habiles]]&gt;p_dias_backlog_max,"BACKLOG","MES CORRIENTE")))</f>
        <v/>
      </c>
      <c r="AG325" s="5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18">
        <f>IF(tblOrdenes[[#This Row],[orden]]="","",_xlfn.XLOOKUP(tblOrdenes[[#This Row],[id_operacion]],tblEjecucion[id_operacion],tblEjecucion[precio],0))</f>
        <v/>
      </c>
      <c r="AM325" s="18">
        <f>IF(tblOrdenes[[#This Row],[orden]]="","",MAX(0,_xlfn.XLOOKUP(tblOrdenes[[#This Row],[id_operacion]],tblEjecucion[id_operacion],tblEjecucion[costo_plan_total],0)-tblOrdenes[[#This Row],[costo_servicio]]))</f>
        <v/>
      </c>
      <c r="AN325" s="18">
        <f>IF(tblOrdenes[[#This Row],[orden]]="","",tblOrdenes[[#This Row],[costo_servicio]]+tblOrdenes[[#This Row],[costo_materiales]])</f>
        <v/>
      </c>
      <c r="AO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5">
        <f>IF(tblOrdenes[[#This Row],[link_checklist]]="","",HYPERLINK(p_ruta_base_checklists&amp;tblOrdenes[[#This Row],[link_checklist]],"abrir"))</f>
        <v/>
      </c>
      <c r="AT325" s="4" t="n"/>
      <c r="AU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5" t="n"/>
      <c r="K326" s="5" t="n"/>
      <c r="L326" s="18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Row],[fecha_inicio]]="","",tblOrdenes[[#This Row],[anio]]&amp;"-"&amp;TEXT(tblOrdenes[[#This Row],[mes]],"00"))</f>
        <v/>
      </c>
      <c r="S326" s="5">
        <f>IF(tblOrdenes[[#This Row],[fecha_inicio]]="","",INDEX(lista_dias,WEEKDAY(tblOrdenes[[#This Row],[fecha_inicio]],2)))</f>
        <v/>
      </c>
      <c r="T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5">
        <f>IF(tblOrdenes[[#This Row],[tipo_ot]]="","",_xlfn.XLOOKUP(tblOrdenes[[#This Row],[tipo_ot]],tblTiposOT[codigo],tblTiposOT[clasificacion],"sin_clasificar"))</f>
        <v/>
      </c>
      <c r="V3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5">
        <f>IF(tblOrdenes[[#This Row],[centro_costo]]="","",_xlfn.XLOOKUP(tblOrdenes[[#This Row],[centro_costo]],tblCECO[codigo],tblCECO[linea],"(sin catálogo)"))</f>
        <v/>
      </c>
      <c r="Y326" s="5">
        <f>IF(tblOrdenes[[#This Row],[centro_costo]]="","",_xlfn.XLOOKUP(tblOrdenes[[#This Row],[centro_costo]],tblCECO[codigo],tblCECO[area],"(sin catálogo)"))</f>
        <v/>
      </c>
      <c r="Z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5">
        <f>IF(tblOrdenes[[#This Row],[centro_costo]]="","",_xlfn.XLOOKUP(tblOrdenes[[#This Row],[centro_costo]],tblCECO[codigo],tblCECO[coordinador],"(sin catálogo)"))</f>
        <v/>
      </c>
      <c r="AB326" s="5">
        <f>IF(tblOrdenes[[#This Row],[puesto_trabajo]]="","",_xlfn.XLOOKUP(tblOrdenes[[#This Row],[puesto_trabajo]],tblPuestos[codigo],tblPuestos[especialidad],"(sin catálogo)"))</f>
        <v/>
      </c>
      <c r="AC326" s="5">
        <f>IF(tblOrdenes[[#This Row],[cod_actividad]]="","",_xlfn.XLOOKUP(tblOrdenes[[#This Row],[cod_actividad]],tblActividades[codigo],tblActividades[descripcion],"(sin catálogo)"))</f>
        <v/>
      </c>
      <c r="AD326" s="23">
        <f>IF(tblOrdenes[[#This Row],[fecha_inicio]]="","",TODAY()-tblOrdenes[[#This Row],[fecha_inicio]])</f>
        <v/>
      </c>
      <c r="AE3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5">
        <f>IF(tblOrdenes[[#This Row],[backlog_habiles]]="","",IF(tblOrdenes[[#This Row],[backlog_habiles]]&lt;0,"FUTURO",IF(tblOrdenes[[#This Row],[backlog_habiles]]&gt;p_dias_backlog_max,"BACKLOG","MES CORRIENTE")))</f>
        <v/>
      </c>
      <c r="AG326" s="5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18">
        <f>IF(tblOrdenes[[#This Row],[orden]]="","",_xlfn.XLOOKUP(tblOrdenes[[#This Row],[id_operacion]],tblEjecucion[id_operacion],tblEjecucion[precio],0))</f>
        <v/>
      </c>
      <c r="AM326" s="18">
        <f>IF(tblOrdenes[[#This Row],[orden]]="","",MAX(0,_xlfn.XLOOKUP(tblOrdenes[[#This Row],[id_operacion]],tblEjecucion[id_operacion],tblEjecucion[costo_plan_total],0)-tblOrdenes[[#This Row],[costo_servicio]]))</f>
        <v/>
      </c>
      <c r="AN326" s="18">
        <f>IF(tblOrdenes[[#This Row],[orden]]="","",tblOrdenes[[#This Row],[costo_servicio]]+tblOrdenes[[#This Row],[costo_materiales]])</f>
        <v/>
      </c>
      <c r="AO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5">
        <f>IF(tblOrdenes[[#This Row],[link_checklist]]="","",HYPERLINK(p_ruta_base_checklists&amp;tblOrdenes[[#This Row],[link_checklist]],"abrir"))</f>
        <v/>
      </c>
      <c r="AT326" s="4" t="n"/>
      <c r="AU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5" t="n"/>
      <c r="K327" s="5" t="n"/>
      <c r="L327" s="18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Row],[fecha_inicio]]="","",tblOrdenes[[#This Row],[anio]]&amp;"-"&amp;TEXT(tblOrdenes[[#This Row],[mes]],"00"))</f>
        <v/>
      </c>
      <c r="S327" s="5">
        <f>IF(tblOrdenes[[#This Row],[fecha_inicio]]="","",INDEX(lista_dias,WEEKDAY(tblOrdenes[[#This Row],[fecha_inicio]],2)))</f>
        <v/>
      </c>
      <c r="T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5">
        <f>IF(tblOrdenes[[#This Row],[tipo_ot]]="","",_xlfn.XLOOKUP(tblOrdenes[[#This Row],[tipo_ot]],tblTiposOT[codigo],tblTiposOT[clasificacion],"sin_clasificar"))</f>
        <v/>
      </c>
      <c r="V3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5">
        <f>IF(tblOrdenes[[#This Row],[centro_costo]]="","",_xlfn.XLOOKUP(tblOrdenes[[#This Row],[centro_costo]],tblCECO[codigo],tblCECO[linea],"(sin catálogo)"))</f>
        <v/>
      </c>
      <c r="Y327" s="5">
        <f>IF(tblOrdenes[[#This Row],[centro_costo]]="","",_xlfn.XLOOKUP(tblOrdenes[[#This Row],[centro_costo]],tblCECO[codigo],tblCECO[area],"(sin catálogo)"))</f>
        <v/>
      </c>
      <c r="Z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5">
        <f>IF(tblOrdenes[[#This Row],[centro_costo]]="","",_xlfn.XLOOKUP(tblOrdenes[[#This Row],[centro_costo]],tblCECO[codigo],tblCECO[coordinador],"(sin catálogo)"))</f>
        <v/>
      </c>
      <c r="AB327" s="5">
        <f>IF(tblOrdenes[[#This Row],[puesto_trabajo]]="","",_xlfn.XLOOKUP(tblOrdenes[[#This Row],[puesto_trabajo]],tblPuestos[codigo],tblPuestos[especialidad],"(sin catálogo)"))</f>
        <v/>
      </c>
      <c r="AC327" s="5">
        <f>IF(tblOrdenes[[#This Row],[cod_actividad]]="","",_xlfn.XLOOKUP(tblOrdenes[[#This Row],[cod_actividad]],tblActividades[codigo],tblActividades[descripcion],"(sin catálogo)"))</f>
        <v/>
      </c>
      <c r="AD327" s="23">
        <f>IF(tblOrdenes[[#This Row],[fecha_inicio]]="","",TODAY()-tblOrdenes[[#This Row],[fecha_inicio]])</f>
        <v/>
      </c>
      <c r="AE3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5">
        <f>IF(tblOrdenes[[#This Row],[backlog_habiles]]="","",IF(tblOrdenes[[#This Row],[backlog_habiles]]&lt;0,"FUTURO",IF(tblOrdenes[[#This Row],[backlog_habiles]]&gt;p_dias_backlog_max,"BACKLOG","MES CORRIENTE")))</f>
        <v/>
      </c>
      <c r="AG327" s="5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18">
        <f>IF(tblOrdenes[[#This Row],[orden]]="","",_xlfn.XLOOKUP(tblOrdenes[[#This Row],[id_operacion]],tblEjecucion[id_operacion],tblEjecucion[precio],0))</f>
        <v/>
      </c>
      <c r="AM327" s="18">
        <f>IF(tblOrdenes[[#This Row],[orden]]="","",MAX(0,_xlfn.XLOOKUP(tblOrdenes[[#This Row],[id_operacion]],tblEjecucion[id_operacion],tblEjecucion[costo_plan_total],0)-tblOrdenes[[#This Row],[costo_servicio]]))</f>
        <v/>
      </c>
      <c r="AN327" s="18">
        <f>IF(tblOrdenes[[#This Row],[orden]]="","",tblOrdenes[[#This Row],[costo_servicio]]+tblOrdenes[[#This Row],[costo_materiales]])</f>
        <v/>
      </c>
      <c r="AO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5">
        <f>IF(tblOrdenes[[#This Row],[link_checklist]]="","",HYPERLINK(p_ruta_base_checklists&amp;tblOrdenes[[#This Row],[link_checklist]],"abrir"))</f>
        <v/>
      </c>
      <c r="AT327" s="4" t="n"/>
      <c r="AU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5" t="n"/>
      <c r="K328" s="5" t="n"/>
      <c r="L328" s="18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Row],[fecha_inicio]]="","",tblOrdenes[[#This Row],[anio]]&amp;"-"&amp;TEXT(tblOrdenes[[#This Row],[mes]],"00"))</f>
        <v/>
      </c>
      <c r="S328" s="5">
        <f>IF(tblOrdenes[[#This Row],[fecha_inicio]]="","",INDEX(lista_dias,WEEKDAY(tblOrdenes[[#This Row],[fecha_inicio]],2)))</f>
        <v/>
      </c>
      <c r="T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5">
        <f>IF(tblOrdenes[[#This Row],[tipo_ot]]="","",_xlfn.XLOOKUP(tblOrdenes[[#This Row],[tipo_ot]],tblTiposOT[codigo],tblTiposOT[clasificacion],"sin_clasificar"))</f>
        <v/>
      </c>
      <c r="V3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5">
        <f>IF(tblOrdenes[[#This Row],[centro_costo]]="","",_xlfn.XLOOKUP(tblOrdenes[[#This Row],[centro_costo]],tblCECO[codigo],tblCECO[linea],"(sin catálogo)"))</f>
        <v/>
      </c>
      <c r="Y328" s="5">
        <f>IF(tblOrdenes[[#This Row],[centro_costo]]="","",_xlfn.XLOOKUP(tblOrdenes[[#This Row],[centro_costo]],tblCECO[codigo],tblCECO[area],"(sin catálogo)"))</f>
        <v/>
      </c>
      <c r="Z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5">
        <f>IF(tblOrdenes[[#This Row],[centro_costo]]="","",_xlfn.XLOOKUP(tblOrdenes[[#This Row],[centro_costo]],tblCECO[codigo],tblCECO[coordinador],"(sin catálogo)"))</f>
        <v/>
      </c>
      <c r="AB328" s="5">
        <f>IF(tblOrdenes[[#This Row],[puesto_trabajo]]="","",_xlfn.XLOOKUP(tblOrdenes[[#This Row],[puesto_trabajo]],tblPuestos[codigo],tblPuestos[especialidad],"(sin catálogo)"))</f>
        <v/>
      </c>
      <c r="AC328" s="5">
        <f>IF(tblOrdenes[[#This Row],[cod_actividad]]="","",_xlfn.XLOOKUP(tblOrdenes[[#This Row],[cod_actividad]],tblActividades[codigo],tblActividades[descripcion],"(sin catálogo)"))</f>
        <v/>
      </c>
      <c r="AD328" s="23">
        <f>IF(tblOrdenes[[#This Row],[fecha_inicio]]="","",TODAY()-tblOrdenes[[#This Row],[fecha_inicio]])</f>
        <v/>
      </c>
      <c r="AE3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5">
        <f>IF(tblOrdenes[[#This Row],[backlog_habiles]]="","",IF(tblOrdenes[[#This Row],[backlog_habiles]]&lt;0,"FUTURO",IF(tblOrdenes[[#This Row],[backlog_habiles]]&gt;p_dias_backlog_max,"BACKLOG","MES CORRIENTE")))</f>
        <v/>
      </c>
      <c r="AG328" s="5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18">
        <f>IF(tblOrdenes[[#This Row],[orden]]="","",_xlfn.XLOOKUP(tblOrdenes[[#This Row],[id_operacion]],tblEjecucion[id_operacion],tblEjecucion[precio],0))</f>
        <v/>
      </c>
      <c r="AM328" s="18">
        <f>IF(tblOrdenes[[#This Row],[orden]]="","",MAX(0,_xlfn.XLOOKUP(tblOrdenes[[#This Row],[id_operacion]],tblEjecucion[id_operacion],tblEjecucion[costo_plan_total],0)-tblOrdenes[[#This Row],[costo_servicio]]))</f>
        <v/>
      </c>
      <c r="AN328" s="18">
        <f>IF(tblOrdenes[[#This Row],[orden]]="","",tblOrdenes[[#This Row],[costo_servicio]]+tblOrdenes[[#This Row],[costo_materiales]])</f>
        <v/>
      </c>
      <c r="AO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5">
        <f>IF(tblOrdenes[[#This Row],[link_checklist]]="","",HYPERLINK(p_ruta_base_checklists&amp;tblOrdenes[[#This Row],[link_checklist]],"abrir"))</f>
        <v/>
      </c>
      <c r="AT328" s="4" t="n"/>
      <c r="AU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5" t="n"/>
      <c r="K329" s="5" t="n"/>
      <c r="L329" s="18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Row],[fecha_inicio]]="","",tblOrdenes[[#This Row],[anio]]&amp;"-"&amp;TEXT(tblOrdenes[[#This Row],[mes]],"00"))</f>
        <v/>
      </c>
      <c r="S329" s="5">
        <f>IF(tblOrdenes[[#This Row],[fecha_inicio]]="","",INDEX(lista_dias,WEEKDAY(tblOrdenes[[#This Row],[fecha_inicio]],2)))</f>
        <v/>
      </c>
      <c r="T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5">
        <f>IF(tblOrdenes[[#This Row],[tipo_ot]]="","",_xlfn.XLOOKUP(tblOrdenes[[#This Row],[tipo_ot]],tblTiposOT[codigo],tblTiposOT[clasificacion],"sin_clasificar"))</f>
        <v/>
      </c>
      <c r="V3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5">
        <f>IF(tblOrdenes[[#This Row],[centro_costo]]="","",_xlfn.XLOOKUP(tblOrdenes[[#This Row],[centro_costo]],tblCECO[codigo],tblCECO[linea],"(sin catálogo)"))</f>
        <v/>
      </c>
      <c r="Y329" s="5">
        <f>IF(tblOrdenes[[#This Row],[centro_costo]]="","",_xlfn.XLOOKUP(tblOrdenes[[#This Row],[centro_costo]],tblCECO[codigo],tblCECO[area],"(sin catálogo)"))</f>
        <v/>
      </c>
      <c r="Z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5">
        <f>IF(tblOrdenes[[#This Row],[centro_costo]]="","",_xlfn.XLOOKUP(tblOrdenes[[#This Row],[centro_costo]],tblCECO[codigo],tblCECO[coordinador],"(sin catálogo)"))</f>
        <v/>
      </c>
      <c r="AB329" s="5">
        <f>IF(tblOrdenes[[#This Row],[puesto_trabajo]]="","",_xlfn.XLOOKUP(tblOrdenes[[#This Row],[puesto_trabajo]],tblPuestos[codigo],tblPuestos[especialidad],"(sin catálogo)"))</f>
        <v/>
      </c>
      <c r="AC329" s="5">
        <f>IF(tblOrdenes[[#This Row],[cod_actividad]]="","",_xlfn.XLOOKUP(tblOrdenes[[#This Row],[cod_actividad]],tblActividades[codigo],tblActividades[descripcion],"(sin catálogo)"))</f>
        <v/>
      </c>
      <c r="AD329" s="23">
        <f>IF(tblOrdenes[[#This Row],[fecha_inicio]]="","",TODAY()-tblOrdenes[[#This Row],[fecha_inicio]])</f>
        <v/>
      </c>
      <c r="AE3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5">
        <f>IF(tblOrdenes[[#This Row],[backlog_habiles]]="","",IF(tblOrdenes[[#This Row],[backlog_habiles]]&lt;0,"FUTURO",IF(tblOrdenes[[#This Row],[backlog_habiles]]&gt;p_dias_backlog_max,"BACKLOG","MES CORRIENTE")))</f>
        <v/>
      </c>
      <c r="AG329" s="5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18">
        <f>IF(tblOrdenes[[#This Row],[orden]]="","",_xlfn.XLOOKUP(tblOrdenes[[#This Row],[id_operacion]],tblEjecucion[id_operacion],tblEjecucion[precio],0))</f>
        <v/>
      </c>
      <c r="AM329" s="18">
        <f>IF(tblOrdenes[[#This Row],[orden]]="","",MAX(0,_xlfn.XLOOKUP(tblOrdenes[[#This Row],[id_operacion]],tblEjecucion[id_operacion],tblEjecucion[costo_plan_total],0)-tblOrdenes[[#This Row],[costo_servicio]]))</f>
        <v/>
      </c>
      <c r="AN329" s="18">
        <f>IF(tblOrdenes[[#This Row],[orden]]="","",tblOrdenes[[#This Row],[costo_servicio]]+tblOrdenes[[#This Row],[costo_materiales]])</f>
        <v/>
      </c>
      <c r="AO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5">
        <f>IF(tblOrdenes[[#This Row],[link_checklist]]="","",HYPERLINK(p_ruta_base_checklists&amp;tblOrdenes[[#This Row],[link_checklist]],"abrir"))</f>
        <v/>
      </c>
      <c r="AT329" s="4" t="n"/>
      <c r="AU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5" t="n"/>
      <c r="K330" s="5" t="n"/>
      <c r="L330" s="18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Row],[fecha_inicio]]="","",tblOrdenes[[#This Row],[anio]]&amp;"-"&amp;TEXT(tblOrdenes[[#This Row],[mes]],"00"))</f>
        <v/>
      </c>
      <c r="S330" s="5">
        <f>IF(tblOrdenes[[#This Row],[fecha_inicio]]="","",INDEX(lista_dias,WEEKDAY(tblOrdenes[[#This Row],[fecha_inicio]],2)))</f>
        <v/>
      </c>
      <c r="T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5">
        <f>IF(tblOrdenes[[#This Row],[tipo_ot]]="","",_xlfn.XLOOKUP(tblOrdenes[[#This Row],[tipo_ot]],tblTiposOT[codigo],tblTiposOT[clasificacion],"sin_clasificar"))</f>
        <v/>
      </c>
      <c r="V3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5">
        <f>IF(tblOrdenes[[#This Row],[centro_costo]]="","",_xlfn.XLOOKUP(tblOrdenes[[#This Row],[centro_costo]],tblCECO[codigo],tblCECO[linea],"(sin catálogo)"))</f>
        <v/>
      </c>
      <c r="Y330" s="5">
        <f>IF(tblOrdenes[[#This Row],[centro_costo]]="","",_xlfn.XLOOKUP(tblOrdenes[[#This Row],[centro_costo]],tblCECO[codigo],tblCECO[area],"(sin catálogo)"))</f>
        <v/>
      </c>
      <c r="Z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5">
        <f>IF(tblOrdenes[[#This Row],[centro_costo]]="","",_xlfn.XLOOKUP(tblOrdenes[[#This Row],[centro_costo]],tblCECO[codigo],tblCECO[coordinador],"(sin catálogo)"))</f>
        <v/>
      </c>
      <c r="AB330" s="5">
        <f>IF(tblOrdenes[[#This Row],[puesto_trabajo]]="","",_xlfn.XLOOKUP(tblOrdenes[[#This Row],[puesto_trabajo]],tblPuestos[codigo],tblPuestos[especialidad],"(sin catálogo)"))</f>
        <v/>
      </c>
      <c r="AC330" s="5">
        <f>IF(tblOrdenes[[#This Row],[cod_actividad]]="","",_xlfn.XLOOKUP(tblOrdenes[[#This Row],[cod_actividad]],tblActividades[codigo],tblActividades[descripcion],"(sin catálogo)"))</f>
        <v/>
      </c>
      <c r="AD330" s="23">
        <f>IF(tblOrdenes[[#This Row],[fecha_inicio]]="","",TODAY()-tblOrdenes[[#This Row],[fecha_inicio]])</f>
        <v/>
      </c>
      <c r="AE3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5">
        <f>IF(tblOrdenes[[#This Row],[backlog_habiles]]="","",IF(tblOrdenes[[#This Row],[backlog_habiles]]&lt;0,"FUTURO",IF(tblOrdenes[[#This Row],[backlog_habiles]]&gt;p_dias_backlog_max,"BACKLOG","MES CORRIENTE")))</f>
        <v/>
      </c>
      <c r="AG330" s="5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18">
        <f>IF(tblOrdenes[[#This Row],[orden]]="","",_xlfn.XLOOKUP(tblOrdenes[[#This Row],[id_operacion]],tblEjecucion[id_operacion],tblEjecucion[precio],0))</f>
        <v/>
      </c>
      <c r="AM330" s="18">
        <f>IF(tblOrdenes[[#This Row],[orden]]="","",MAX(0,_xlfn.XLOOKUP(tblOrdenes[[#This Row],[id_operacion]],tblEjecucion[id_operacion],tblEjecucion[costo_plan_total],0)-tblOrdenes[[#This Row],[costo_servicio]]))</f>
        <v/>
      </c>
      <c r="AN330" s="18">
        <f>IF(tblOrdenes[[#This Row],[orden]]="","",tblOrdenes[[#This Row],[costo_servicio]]+tblOrdenes[[#This Row],[costo_materiales]])</f>
        <v/>
      </c>
      <c r="AO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5">
        <f>IF(tblOrdenes[[#This Row],[link_checklist]]="","",HYPERLINK(p_ruta_base_checklists&amp;tblOrdenes[[#This Row],[link_checklist]],"abrir"))</f>
        <v/>
      </c>
      <c r="AT330" s="4" t="n"/>
      <c r="AU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5" t="n"/>
      <c r="K331" s="5" t="n"/>
      <c r="L331" s="18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Row],[fecha_inicio]]="","",tblOrdenes[[#This Row],[anio]]&amp;"-"&amp;TEXT(tblOrdenes[[#This Row],[mes]],"00"))</f>
        <v/>
      </c>
      <c r="S331" s="5">
        <f>IF(tblOrdenes[[#This Row],[fecha_inicio]]="","",INDEX(lista_dias,WEEKDAY(tblOrdenes[[#This Row],[fecha_inicio]],2)))</f>
        <v/>
      </c>
      <c r="T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5">
        <f>IF(tblOrdenes[[#This Row],[tipo_ot]]="","",_xlfn.XLOOKUP(tblOrdenes[[#This Row],[tipo_ot]],tblTiposOT[codigo],tblTiposOT[clasificacion],"sin_clasificar"))</f>
        <v/>
      </c>
      <c r="V3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5">
        <f>IF(tblOrdenes[[#This Row],[centro_costo]]="","",_xlfn.XLOOKUP(tblOrdenes[[#This Row],[centro_costo]],tblCECO[codigo],tblCECO[linea],"(sin catálogo)"))</f>
        <v/>
      </c>
      <c r="Y331" s="5">
        <f>IF(tblOrdenes[[#This Row],[centro_costo]]="","",_xlfn.XLOOKUP(tblOrdenes[[#This Row],[centro_costo]],tblCECO[codigo],tblCECO[area],"(sin catálogo)"))</f>
        <v/>
      </c>
      <c r="Z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5">
        <f>IF(tblOrdenes[[#This Row],[centro_costo]]="","",_xlfn.XLOOKUP(tblOrdenes[[#This Row],[centro_costo]],tblCECO[codigo],tblCECO[coordinador],"(sin catálogo)"))</f>
        <v/>
      </c>
      <c r="AB331" s="5">
        <f>IF(tblOrdenes[[#This Row],[puesto_trabajo]]="","",_xlfn.XLOOKUP(tblOrdenes[[#This Row],[puesto_trabajo]],tblPuestos[codigo],tblPuestos[especialidad],"(sin catálogo)"))</f>
        <v/>
      </c>
      <c r="AC331" s="5">
        <f>IF(tblOrdenes[[#This Row],[cod_actividad]]="","",_xlfn.XLOOKUP(tblOrdenes[[#This Row],[cod_actividad]],tblActividades[codigo],tblActividades[descripcion],"(sin catálogo)"))</f>
        <v/>
      </c>
      <c r="AD331" s="23">
        <f>IF(tblOrdenes[[#This Row],[fecha_inicio]]="","",TODAY()-tblOrdenes[[#This Row],[fecha_inicio]])</f>
        <v/>
      </c>
      <c r="AE3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5">
        <f>IF(tblOrdenes[[#This Row],[backlog_habiles]]="","",IF(tblOrdenes[[#This Row],[backlog_habiles]]&lt;0,"FUTURO",IF(tblOrdenes[[#This Row],[backlog_habiles]]&gt;p_dias_backlog_max,"BACKLOG","MES CORRIENTE")))</f>
        <v/>
      </c>
      <c r="AG331" s="5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18">
        <f>IF(tblOrdenes[[#This Row],[orden]]="","",_xlfn.XLOOKUP(tblOrdenes[[#This Row],[id_operacion]],tblEjecucion[id_operacion],tblEjecucion[precio],0))</f>
        <v/>
      </c>
      <c r="AM331" s="18">
        <f>IF(tblOrdenes[[#This Row],[orden]]="","",MAX(0,_xlfn.XLOOKUP(tblOrdenes[[#This Row],[id_operacion]],tblEjecucion[id_operacion],tblEjecucion[costo_plan_total],0)-tblOrdenes[[#This Row],[costo_servicio]]))</f>
        <v/>
      </c>
      <c r="AN331" s="18">
        <f>IF(tblOrdenes[[#This Row],[orden]]="","",tblOrdenes[[#This Row],[costo_servicio]]+tblOrdenes[[#This Row],[costo_materiales]])</f>
        <v/>
      </c>
      <c r="AO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5">
        <f>IF(tblOrdenes[[#This Row],[link_checklist]]="","",HYPERLINK(p_ruta_base_checklists&amp;tblOrdenes[[#This Row],[link_checklist]],"abrir"))</f>
        <v/>
      </c>
      <c r="AT331" s="4" t="n"/>
      <c r="AU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5" t="n"/>
      <c r="K332" s="5" t="n"/>
      <c r="L332" s="18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Row],[fecha_inicio]]="","",tblOrdenes[[#This Row],[anio]]&amp;"-"&amp;TEXT(tblOrdenes[[#This Row],[mes]],"00"))</f>
        <v/>
      </c>
      <c r="S332" s="5">
        <f>IF(tblOrdenes[[#This Row],[fecha_inicio]]="","",INDEX(lista_dias,WEEKDAY(tblOrdenes[[#This Row],[fecha_inicio]],2)))</f>
        <v/>
      </c>
      <c r="T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5">
        <f>IF(tblOrdenes[[#This Row],[tipo_ot]]="","",_xlfn.XLOOKUP(tblOrdenes[[#This Row],[tipo_ot]],tblTiposOT[codigo],tblTiposOT[clasificacion],"sin_clasificar"))</f>
        <v/>
      </c>
      <c r="V3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5">
        <f>IF(tblOrdenes[[#This Row],[centro_costo]]="","",_xlfn.XLOOKUP(tblOrdenes[[#This Row],[centro_costo]],tblCECO[codigo],tblCECO[linea],"(sin catálogo)"))</f>
        <v/>
      </c>
      <c r="Y332" s="5">
        <f>IF(tblOrdenes[[#This Row],[centro_costo]]="","",_xlfn.XLOOKUP(tblOrdenes[[#This Row],[centro_costo]],tblCECO[codigo],tblCECO[area],"(sin catálogo)"))</f>
        <v/>
      </c>
      <c r="Z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5">
        <f>IF(tblOrdenes[[#This Row],[centro_costo]]="","",_xlfn.XLOOKUP(tblOrdenes[[#This Row],[centro_costo]],tblCECO[codigo],tblCECO[coordinador],"(sin catálogo)"))</f>
        <v/>
      </c>
      <c r="AB332" s="5">
        <f>IF(tblOrdenes[[#This Row],[puesto_trabajo]]="","",_xlfn.XLOOKUP(tblOrdenes[[#This Row],[puesto_trabajo]],tblPuestos[codigo],tblPuestos[especialidad],"(sin catálogo)"))</f>
        <v/>
      </c>
      <c r="AC332" s="5">
        <f>IF(tblOrdenes[[#This Row],[cod_actividad]]="","",_xlfn.XLOOKUP(tblOrdenes[[#This Row],[cod_actividad]],tblActividades[codigo],tblActividades[descripcion],"(sin catálogo)"))</f>
        <v/>
      </c>
      <c r="AD332" s="23">
        <f>IF(tblOrdenes[[#This Row],[fecha_inicio]]="","",TODAY()-tblOrdenes[[#This Row],[fecha_inicio]])</f>
        <v/>
      </c>
      <c r="AE3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5">
        <f>IF(tblOrdenes[[#This Row],[backlog_habiles]]="","",IF(tblOrdenes[[#This Row],[backlog_habiles]]&lt;0,"FUTURO",IF(tblOrdenes[[#This Row],[backlog_habiles]]&gt;p_dias_backlog_max,"BACKLOG","MES CORRIENTE")))</f>
        <v/>
      </c>
      <c r="AG332" s="5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18">
        <f>IF(tblOrdenes[[#This Row],[orden]]="","",_xlfn.XLOOKUP(tblOrdenes[[#This Row],[id_operacion]],tblEjecucion[id_operacion],tblEjecucion[precio],0))</f>
        <v/>
      </c>
      <c r="AM332" s="18">
        <f>IF(tblOrdenes[[#This Row],[orden]]="","",MAX(0,_xlfn.XLOOKUP(tblOrdenes[[#This Row],[id_operacion]],tblEjecucion[id_operacion],tblEjecucion[costo_plan_total],0)-tblOrdenes[[#This Row],[costo_servicio]]))</f>
        <v/>
      </c>
      <c r="AN332" s="18">
        <f>IF(tblOrdenes[[#This Row],[orden]]="","",tblOrdenes[[#This Row],[costo_servicio]]+tblOrdenes[[#This Row],[costo_materiales]])</f>
        <v/>
      </c>
      <c r="AO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5">
        <f>IF(tblOrdenes[[#This Row],[link_checklist]]="","",HYPERLINK(p_ruta_base_checklists&amp;tblOrdenes[[#This Row],[link_checklist]],"abrir"))</f>
        <v/>
      </c>
      <c r="AT332" s="4" t="n"/>
      <c r="AU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5" t="n"/>
      <c r="K333" s="5" t="n"/>
      <c r="L333" s="18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Row],[fecha_inicio]]="","",tblOrdenes[[#This Row],[anio]]&amp;"-"&amp;TEXT(tblOrdenes[[#This Row],[mes]],"00"))</f>
        <v/>
      </c>
      <c r="S333" s="5">
        <f>IF(tblOrdenes[[#This Row],[fecha_inicio]]="","",INDEX(lista_dias,WEEKDAY(tblOrdenes[[#This Row],[fecha_inicio]],2)))</f>
        <v/>
      </c>
      <c r="T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5">
        <f>IF(tblOrdenes[[#This Row],[tipo_ot]]="","",_xlfn.XLOOKUP(tblOrdenes[[#This Row],[tipo_ot]],tblTiposOT[codigo],tblTiposOT[clasificacion],"sin_clasificar"))</f>
        <v/>
      </c>
      <c r="V3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5">
        <f>IF(tblOrdenes[[#This Row],[centro_costo]]="","",_xlfn.XLOOKUP(tblOrdenes[[#This Row],[centro_costo]],tblCECO[codigo],tblCECO[linea],"(sin catálogo)"))</f>
        <v/>
      </c>
      <c r="Y333" s="5">
        <f>IF(tblOrdenes[[#This Row],[centro_costo]]="","",_xlfn.XLOOKUP(tblOrdenes[[#This Row],[centro_costo]],tblCECO[codigo],tblCECO[area],"(sin catálogo)"))</f>
        <v/>
      </c>
      <c r="Z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5">
        <f>IF(tblOrdenes[[#This Row],[centro_costo]]="","",_xlfn.XLOOKUP(tblOrdenes[[#This Row],[centro_costo]],tblCECO[codigo],tblCECO[coordinador],"(sin catálogo)"))</f>
        <v/>
      </c>
      <c r="AB333" s="5">
        <f>IF(tblOrdenes[[#This Row],[puesto_trabajo]]="","",_xlfn.XLOOKUP(tblOrdenes[[#This Row],[puesto_trabajo]],tblPuestos[codigo],tblPuestos[especialidad],"(sin catálogo)"))</f>
        <v/>
      </c>
      <c r="AC333" s="5">
        <f>IF(tblOrdenes[[#This Row],[cod_actividad]]="","",_xlfn.XLOOKUP(tblOrdenes[[#This Row],[cod_actividad]],tblActividades[codigo],tblActividades[descripcion],"(sin catálogo)"))</f>
        <v/>
      </c>
      <c r="AD333" s="23">
        <f>IF(tblOrdenes[[#This Row],[fecha_inicio]]="","",TODAY()-tblOrdenes[[#This Row],[fecha_inicio]])</f>
        <v/>
      </c>
      <c r="AE3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5">
        <f>IF(tblOrdenes[[#This Row],[backlog_habiles]]="","",IF(tblOrdenes[[#This Row],[backlog_habiles]]&lt;0,"FUTURO",IF(tblOrdenes[[#This Row],[backlog_habiles]]&gt;p_dias_backlog_max,"BACKLOG","MES CORRIENTE")))</f>
        <v/>
      </c>
      <c r="AG333" s="5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18">
        <f>IF(tblOrdenes[[#This Row],[orden]]="","",_xlfn.XLOOKUP(tblOrdenes[[#This Row],[id_operacion]],tblEjecucion[id_operacion],tblEjecucion[precio],0))</f>
        <v/>
      </c>
      <c r="AM333" s="18">
        <f>IF(tblOrdenes[[#This Row],[orden]]="","",MAX(0,_xlfn.XLOOKUP(tblOrdenes[[#This Row],[id_operacion]],tblEjecucion[id_operacion],tblEjecucion[costo_plan_total],0)-tblOrdenes[[#This Row],[costo_servicio]]))</f>
        <v/>
      </c>
      <c r="AN333" s="18">
        <f>IF(tblOrdenes[[#This Row],[orden]]="","",tblOrdenes[[#This Row],[costo_servicio]]+tblOrdenes[[#This Row],[costo_materiales]])</f>
        <v/>
      </c>
      <c r="AO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5">
        <f>IF(tblOrdenes[[#This Row],[link_checklist]]="","",HYPERLINK(p_ruta_base_checklists&amp;tblOrdenes[[#This Row],[link_checklist]],"abrir"))</f>
        <v/>
      </c>
      <c r="AT333" s="4" t="n"/>
      <c r="AU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5" t="n"/>
      <c r="K334" s="5" t="n"/>
      <c r="L334" s="18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Row],[fecha_inicio]]="","",tblOrdenes[[#This Row],[anio]]&amp;"-"&amp;TEXT(tblOrdenes[[#This Row],[mes]],"00"))</f>
        <v/>
      </c>
      <c r="S334" s="5">
        <f>IF(tblOrdenes[[#This Row],[fecha_inicio]]="","",INDEX(lista_dias,WEEKDAY(tblOrdenes[[#This Row],[fecha_inicio]],2)))</f>
        <v/>
      </c>
      <c r="T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5">
        <f>IF(tblOrdenes[[#This Row],[tipo_ot]]="","",_xlfn.XLOOKUP(tblOrdenes[[#This Row],[tipo_ot]],tblTiposOT[codigo],tblTiposOT[clasificacion],"sin_clasificar"))</f>
        <v/>
      </c>
      <c r="V3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5">
        <f>IF(tblOrdenes[[#This Row],[centro_costo]]="","",_xlfn.XLOOKUP(tblOrdenes[[#This Row],[centro_costo]],tblCECO[codigo],tblCECO[linea],"(sin catálogo)"))</f>
        <v/>
      </c>
      <c r="Y334" s="5">
        <f>IF(tblOrdenes[[#This Row],[centro_costo]]="","",_xlfn.XLOOKUP(tblOrdenes[[#This Row],[centro_costo]],tblCECO[codigo],tblCECO[area],"(sin catálogo)"))</f>
        <v/>
      </c>
      <c r="Z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5">
        <f>IF(tblOrdenes[[#This Row],[centro_costo]]="","",_xlfn.XLOOKUP(tblOrdenes[[#This Row],[centro_costo]],tblCECO[codigo],tblCECO[coordinador],"(sin catálogo)"))</f>
        <v/>
      </c>
      <c r="AB334" s="5">
        <f>IF(tblOrdenes[[#This Row],[puesto_trabajo]]="","",_xlfn.XLOOKUP(tblOrdenes[[#This Row],[puesto_trabajo]],tblPuestos[codigo],tblPuestos[especialidad],"(sin catálogo)"))</f>
        <v/>
      </c>
      <c r="AC334" s="5">
        <f>IF(tblOrdenes[[#This Row],[cod_actividad]]="","",_xlfn.XLOOKUP(tblOrdenes[[#This Row],[cod_actividad]],tblActividades[codigo],tblActividades[descripcion],"(sin catálogo)"))</f>
        <v/>
      </c>
      <c r="AD334" s="23">
        <f>IF(tblOrdenes[[#This Row],[fecha_inicio]]="","",TODAY()-tblOrdenes[[#This Row],[fecha_inicio]])</f>
        <v/>
      </c>
      <c r="AE3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5">
        <f>IF(tblOrdenes[[#This Row],[backlog_habiles]]="","",IF(tblOrdenes[[#This Row],[backlog_habiles]]&lt;0,"FUTURO",IF(tblOrdenes[[#This Row],[backlog_habiles]]&gt;p_dias_backlog_max,"BACKLOG","MES CORRIENTE")))</f>
        <v/>
      </c>
      <c r="AG334" s="5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18">
        <f>IF(tblOrdenes[[#This Row],[orden]]="","",_xlfn.XLOOKUP(tblOrdenes[[#This Row],[id_operacion]],tblEjecucion[id_operacion],tblEjecucion[precio],0))</f>
        <v/>
      </c>
      <c r="AM334" s="18">
        <f>IF(tblOrdenes[[#This Row],[orden]]="","",MAX(0,_xlfn.XLOOKUP(tblOrdenes[[#This Row],[id_operacion]],tblEjecucion[id_operacion],tblEjecucion[costo_plan_total],0)-tblOrdenes[[#This Row],[costo_servicio]]))</f>
        <v/>
      </c>
      <c r="AN334" s="18">
        <f>IF(tblOrdenes[[#This Row],[orden]]="","",tblOrdenes[[#This Row],[costo_servicio]]+tblOrdenes[[#This Row],[costo_materiales]])</f>
        <v/>
      </c>
      <c r="AO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5">
        <f>IF(tblOrdenes[[#This Row],[link_checklist]]="","",HYPERLINK(p_ruta_base_checklists&amp;tblOrdenes[[#This Row],[link_checklist]],"abrir"))</f>
        <v/>
      </c>
      <c r="AT334" s="4" t="n"/>
      <c r="AU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5" t="n"/>
      <c r="K335" s="5" t="n"/>
      <c r="L335" s="18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Row],[fecha_inicio]]="","",tblOrdenes[[#This Row],[anio]]&amp;"-"&amp;TEXT(tblOrdenes[[#This Row],[mes]],"00"))</f>
        <v/>
      </c>
      <c r="S335" s="5">
        <f>IF(tblOrdenes[[#This Row],[fecha_inicio]]="","",INDEX(lista_dias,WEEKDAY(tblOrdenes[[#This Row],[fecha_inicio]],2)))</f>
        <v/>
      </c>
      <c r="T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5">
        <f>IF(tblOrdenes[[#This Row],[tipo_ot]]="","",_xlfn.XLOOKUP(tblOrdenes[[#This Row],[tipo_ot]],tblTiposOT[codigo],tblTiposOT[clasificacion],"sin_clasificar"))</f>
        <v/>
      </c>
      <c r="V3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5">
        <f>IF(tblOrdenes[[#This Row],[centro_costo]]="","",_xlfn.XLOOKUP(tblOrdenes[[#This Row],[centro_costo]],tblCECO[codigo],tblCECO[linea],"(sin catálogo)"))</f>
        <v/>
      </c>
      <c r="Y335" s="5">
        <f>IF(tblOrdenes[[#This Row],[centro_costo]]="","",_xlfn.XLOOKUP(tblOrdenes[[#This Row],[centro_costo]],tblCECO[codigo],tblCECO[area],"(sin catálogo)"))</f>
        <v/>
      </c>
      <c r="Z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5">
        <f>IF(tblOrdenes[[#This Row],[centro_costo]]="","",_xlfn.XLOOKUP(tblOrdenes[[#This Row],[centro_costo]],tblCECO[codigo],tblCECO[coordinador],"(sin catálogo)"))</f>
        <v/>
      </c>
      <c r="AB335" s="5">
        <f>IF(tblOrdenes[[#This Row],[puesto_trabajo]]="","",_xlfn.XLOOKUP(tblOrdenes[[#This Row],[puesto_trabajo]],tblPuestos[codigo],tblPuestos[especialidad],"(sin catálogo)"))</f>
        <v/>
      </c>
      <c r="AC335" s="5">
        <f>IF(tblOrdenes[[#This Row],[cod_actividad]]="","",_xlfn.XLOOKUP(tblOrdenes[[#This Row],[cod_actividad]],tblActividades[codigo],tblActividades[descripcion],"(sin catálogo)"))</f>
        <v/>
      </c>
      <c r="AD335" s="23">
        <f>IF(tblOrdenes[[#This Row],[fecha_inicio]]="","",TODAY()-tblOrdenes[[#This Row],[fecha_inicio]])</f>
        <v/>
      </c>
      <c r="AE3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5">
        <f>IF(tblOrdenes[[#This Row],[backlog_habiles]]="","",IF(tblOrdenes[[#This Row],[backlog_habiles]]&lt;0,"FUTURO",IF(tblOrdenes[[#This Row],[backlog_habiles]]&gt;p_dias_backlog_max,"BACKLOG","MES CORRIENTE")))</f>
        <v/>
      </c>
      <c r="AG335" s="5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18">
        <f>IF(tblOrdenes[[#This Row],[orden]]="","",_xlfn.XLOOKUP(tblOrdenes[[#This Row],[id_operacion]],tblEjecucion[id_operacion],tblEjecucion[precio],0))</f>
        <v/>
      </c>
      <c r="AM335" s="18">
        <f>IF(tblOrdenes[[#This Row],[orden]]="","",MAX(0,_xlfn.XLOOKUP(tblOrdenes[[#This Row],[id_operacion]],tblEjecucion[id_operacion],tblEjecucion[costo_plan_total],0)-tblOrdenes[[#This Row],[costo_servicio]]))</f>
        <v/>
      </c>
      <c r="AN335" s="18">
        <f>IF(tblOrdenes[[#This Row],[orden]]="","",tblOrdenes[[#This Row],[costo_servicio]]+tblOrdenes[[#This Row],[costo_materiales]])</f>
        <v/>
      </c>
      <c r="AO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5">
        <f>IF(tblOrdenes[[#This Row],[link_checklist]]="","",HYPERLINK(p_ruta_base_checklists&amp;tblOrdenes[[#This Row],[link_checklist]],"abrir"))</f>
        <v/>
      </c>
      <c r="AT335" s="4" t="n"/>
      <c r="AU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5" t="n"/>
      <c r="K336" s="5" t="n"/>
      <c r="L336" s="18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Row],[fecha_inicio]]="","",tblOrdenes[[#This Row],[anio]]&amp;"-"&amp;TEXT(tblOrdenes[[#This Row],[mes]],"00"))</f>
        <v/>
      </c>
      <c r="S336" s="5">
        <f>IF(tblOrdenes[[#This Row],[fecha_inicio]]="","",INDEX(lista_dias,WEEKDAY(tblOrdenes[[#This Row],[fecha_inicio]],2)))</f>
        <v/>
      </c>
      <c r="T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5">
        <f>IF(tblOrdenes[[#This Row],[tipo_ot]]="","",_xlfn.XLOOKUP(tblOrdenes[[#This Row],[tipo_ot]],tblTiposOT[codigo],tblTiposOT[clasificacion],"sin_clasificar"))</f>
        <v/>
      </c>
      <c r="V3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5">
        <f>IF(tblOrdenes[[#This Row],[centro_costo]]="","",_xlfn.XLOOKUP(tblOrdenes[[#This Row],[centro_costo]],tblCECO[codigo],tblCECO[linea],"(sin catálogo)"))</f>
        <v/>
      </c>
      <c r="Y336" s="5">
        <f>IF(tblOrdenes[[#This Row],[centro_costo]]="","",_xlfn.XLOOKUP(tblOrdenes[[#This Row],[centro_costo]],tblCECO[codigo],tblCECO[area],"(sin catálogo)"))</f>
        <v/>
      </c>
      <c r="Z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5">
        <f>IF(tblOrdenes[[#This Row],[centro_costo]]="","",_xlfn.XLOOKUP(tblOrdenes[[#This Row],[centro_costo]],tblCECO[codigo],tblCECO[coordinador],"(sin catálogo)"))</f>
        <v/>
      </c>
      <c r="AB336" s="5">
        <f>IF(tblOrdenes[[#This Row],[puesto_trabajo]]="","",_xlfn.XLOOKUP(tblOrdenes[[#This Row],[puesto_trabajo]],tblPuestos[codigo],tblPuestos[especialidad],"(sin catálogo)"))</f>
        <v/>
      </c>
      <c r="AC336" s="5">
        <f>IF(tblOrdenes[[#This Row],[cod_actividad]]="","",_xlfn.XLOOKUP(tblOrdenes[[#This Row],[cod_actividad]],tblActividades[codigo],tblActividades[descripcion],"(sin catálogo)"))</f>
        <v/>
      </c>
      <c r="AD336" s="23">
        <f>IF(tblOrdenes[[#This Row],[fecha_inicio]]="","",TODAY()-tblOrdenes[[#This Row],[fecha_inicio]])</f>
        <v/>
      </c>
      <c r="AE3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5">
        <f>IF(tblOrdenes[[#This Row],[backlog_habiles]]="","",IF(tblOrdenes[[#This Row],[backlog_habiles]]&lt;0,"FUTURO",IF(tblOrdenes[[#This Row],[backlog_habiles]]&gt;p_dias_backlog_max,"BACKLOG","MES CORRIENTE")))</f>
        <v/>
      </c>
      <c r="AG336" s="5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18">
        <f>IF(tblOrdenes[[#This Row],[orden]]="","",_xlfn.XLOOKUP(tblOrdenes[[#This Row],[id_operacion]],tblEjecucion[id_operacion],tblEjecucion[precio],0))</f>
        <v/>
      </c>
      <c r="AM336" s="18">
        <f>IF(tblOrdenes[[#This Row],[orden]]="","",MAX(0,_xlfn.XLOOKUP(tblOrdenes[[#This Row],[id_operacion]],tblEjecucion[id_operacion],tblEjecucion[costo_plan_total],0)-tblOrdenes[[#This Row],[costo_servicio]]))</f>
        <v/>
      </c>
      <c r="AN336" s="18">
        <f>IF(tblOrdenes[[#This Row],[orden]]="","",tblOrdenes[[#This Row],[costo_servicio]]+tblOrdenes[[#This Row],[costo_materiales]])</f>
        <v/>
      </c>
      <c r="AO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5">
        <f>IF(tblOrdenes[[#This Row],[link_checklist]]="","",HYPERLINK(p_ruta_base_checklists&amp;tblOrdenes[[#This Row],[link_checklist]],"abrir"))</f>
        <v/>
      </c>
      <c r="AT336" s="4" t="n"/>
      <c r="AU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5" t="n"/>
      <c r="K337" s="5" t="n"/>
      <c r="L337" s="18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Row],[fecha_inicio]]="","",tblOrdenes[[#This Row],[anio]]&amp;"-"&amp;TEXT(tblOrdenes[[#This Row],[mes]],"00"))</f>
        <v/>
      </c>
      <c r="S337" s="5">
        <f>IF(tblOrdenes[[#This Row],[fecha_inicio]]="","",INDEX(lista_dias,WEEKDAY(tblOrdenes[[#This Row],[fecha_inicio]],2)))</f>
        <v/>
      </c>
      <c r="T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5">
        <f>IF(tblOrdenes[[#This Row],[tipo_ot]]="","",_xlfn.XLOOKUP(tblOrdenes[[#This Row],[tipo_ot]],tblTiposOT[codigo],tblTiposOT[clasificacion],"sin_clasificar"))</f>
        <v/>
      </c>
      <c r="V3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5">
        <f>IF(tblOrdenes[[#This Row],[centro_costo]]="","",_xlfn.XLOOKUP(tblOrdenes[[#This Row],[centro_costo]],tblCECO[codigo],tblCECO[linea],"(sin catálogo)"))</f>
        <v/>
      </c>
      <c r="Y337" s="5">
        <f>IF(tblOrdenes[[#This Row],[centro_costo]]="","",_xlfn.XLOOKUP(tblOrdenes[[#This Row],[centro_costo]],tblCECO[codigo],tblCECO[area],"(sin catálogo)"))</f>
        <v/>
      </c>
      <c r="Z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5">
        <f>IF(tblOrdenes[[#This Row],[centro_costo]]="","",_xlfn.XLOOKUP(tblOrdenes[[#This Row],[centro_costo]],tblCECO[codigo],tblCECO[coordinador],"(sin catálogo)"))</f>
        <v/>
      </c>
      <c r="AB337" s="5">
        <f>IF(tblOrdenes[[#This Row],[puesto_trabajo]]="","",_xlfn.XLOOKUP(tblOrdenes[[#This Row],[puesto_trabajo]],tblPuestos[codigo],tblPuestos[especialidad],"(sin catálogo)"))</f>
        <v/>
      </c>
      <c r="AC337" s="5">
        <f>IF(tblOrdenes[[#This Row],[cod_actividad]]="","",_xlfn.XLOOKUP(tblOrdenes[[#This Row],[cod_actividad]],tblActividades[codigo],tblActividades[descripcion],"(sin catálogo)"))</f>
        <v/>
      </c>
      <c r="AD337" s="23">
        <f>IF(tblOrdenes[[#This Row],[fecha_inicio]]="","",TODAY()-tblOrdenes[[#This Row],[fecha_inicio]])</f>
        <v/>
      </c>
      <c r="AE3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5">
        <f>IF(tblOrdenes[[#This Row],[backlog_habiles]]="","",IF(tblOrdenes[[#This Row],[backlog_habiles]]&lt;0,"FUTURO",IF(tblOrdenes[[#This Row],[backlog_habiles]]&gt;p_dias_backlog_max,"BACKLOG","MES CORRIENTE")))</f>
        <v/>
      </c>
      <c r="AG337" s="5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18">
        <f>IF(tblOrdenes[[#This Row],[orden]]="","",_xlfn.XLOOKUP(tblOrdenes[[#This Row],[id_operacion]],tblEjecucion[id_operacion],tblEjecucion[precio],0))</f>
        <v/>
      </c>
      <c r="AM337" s="18">
        <f>IF(tblOrdenes[[#This Row],[orden]]="","",MAX(0,_xlfn.XLOOKUP(tblOrdenes[[#This Row],[id_operacion]],tblEjecucion[id_operacion],tblEjecucion[costo_plan_total],0)-tblOrdenes[[#This Row],[costo_servicio]]))</f>
        <v/>
      </c>
      <c r="AN337" s="18">
        <f>IF(tblOrdenes[[#This Row],[orden]]="","",tblOrdenes[[#This Row],[costo_servicio]]+tblOrdenes[[#This Row],[costo_materiales]])</f>
        <v/>
      </c>
      <c r="AO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5">
        <f>IF(tblOrdenes[[#This Row],[link_checklist]]="","",HYPERLINK(p_ruta_base_checklists&amp;tblOrdenes[[#This Row],[link_checklist]],"abrir"))</f>
        <v/>
      </c>
      <c r="AT337" s="4" t="n"/>
      <c r="AU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5" t="n"/>
      <c r="K338" s="5" t="n"/>
      <c r="L338" s="18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Row],[fecha_inicio]]="","",tblOrdenes[[#This Row],[anio]]&amp;"-"&amp;TEXT(tblOrdenes[[#This Row],[mes]],"00"))</f>
        <v/>
      </c>
      <c r="S338" s="5">
        <f>IF(tblOrdenes[[#This Row],[fecha_inicio]]="","",INDEX(lista_dias,WEEKDAY(tblOrdenes[[#This Row],[fecha_inicio]],2)))</f>
        <v/>
      </c>
      <c r="T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5">
        <f>IF(tblOrdenes[[#This Row],[tipo_ot]]="","",_xlfn.XLOOKUP(tblOrdenes[[#This Row],[tipo_ot]],tblTiposOT[codigo],tblTiposOT[clasificacion],"sin_clasificar"))</f>
        <v/>
      </c>
      <c r="V3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5">
        <f>IF(tblOrdenes[[#This Row],[centro_costo]]="","",_xlfn.XLOOKUP(tblOrdenes[[#This Row],[centro_costo]],tblCECO[codigo],tblCECO[linea],"(sin catálogo)"))</f>
        <v/>
      </c>
      <c r="Y338" s="5">
        <f>IF(tblOrdenes[[#This Row],[centro_costo]]="","",_xlfn.XLOOKUP(tblOrdenes[[#This Row],[centro_costo]],tblCECO[codigo],tblCECO[area],"(sin catálogo)"))</f>
        <v/>
      </c>
      <c r="Z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5">
        <f>IF(tblOrdenes[[#This Row],[centro_costo]]="","",_xlfn.XLOOKUP(tblOrdenes[[#This Row],[centro_costo]],tblCECO[codigo],tblCECO[coordinador],"(sin catálogo)"))</f>
        <v/>
      </c>
      <c r="AB338" s="5">
        <f>IF(tblOrdenes[[#This Row],[puesto_trabajo]]="","",_xlfn.XLOOKUP(tblOrdenes[[#This Row],[puesto_trabajo]],tblPuestos[codigo],tblPuestos[especialidad],"(sin catálogo)"))</f>
        <v/>
      </c>
      <c r="AC338" s="5">
        <f>IF(tblOrdenes[[#This Row],[cod_actividad]]="","",_xlfn.XLOOKUP(tblOrdenes[[#This Row],[cod_actividad]],tblActividades[codigo],tblActividades[descripcion],"(sin catálogo)"))</f>
        <v/>
      </c>
      <c r="AD338" s="23">
        <f>IF(tblOrdenes[[#This Row],[fecha_inicio]]="","",TODAY()-tblOrdenes[[#This Row],[fecha_inicio]])</f>
        <v/>
      </c>
      <c r="AE3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5">
        <f>IF(tblOrdenes[[#This Row],[backlog_habiles]]="","",IF(tblOrdenes[[#This Row],[backlog_habiles]]&lt;0,"FUTURO",IF(tblOrdenes[[#This Row],[backlog_habiles]]&gt;p_dias_backlog_max,"BACKLOG","MES CORRIENTE")))</f>
        <v/>
      </c>
      <c r="AG338" s="5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18">
        <f>IF(tblOrdenes[[#This Row],[orden]]="","",_xlfn.XLOOKUP(tblOrdenes[[#This Row],[id_operacion]],tblEjecucion[id_operacion],tblEjecucion[precio],0))</f>
        <v/>
      </c>
      <c r="AM338" s="18">
        <f>IF(tblOrdenes[[#This Row],[orden]]="","",MAX(0,_xlfn.XLOOKUP(tblOrdenes[[#This Row],[id_operacion]],tblEjecucion[id_operacion],tblEjecucion[costo_plan_total],0)-tblOrdenes[[#This Row],[costo_servicio]]))</f>
        <v/>
      </c>
      <c r="AN338" s="18">
        <f>IF(tblOrdenes[[#This Row],[orden]]="","",tblOrdenes[[#This Row],[costo_servicio]]+tblOrdenes[[#This Row],[costo_materiales]])</f>
        <v/>
      </c>
      <c r="AO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5">
        <f>IF(tblOrdenes[[#This Row],[link_checklist]]="","",HYPERLINK(p_ruta_base_checklists&amp;tblOrdenes[[#This Row],[link_checklist]],"abrir"))</f>
        <v/>
      </c>
      <c r="AT338" s="4" t="n"/>
      <c r="AU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5" t="n"/>
      <c r="K339" s="5" t="n"/>
      <c r="L339" s="18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Row],[fecha_inicio]]="","",tblOrdenes[[#This Row],[anio]]&amp;"-"&amp;TEXT(tblOrdenes[[#This Row],[mes]],"00"))</f>
        <v/>
      </c>
      <c r="S339" s="5">
        <f>IF(tblOrdenes[[#This Row],[fecha_inicio]]="","",INDEX(lista_dias,WEEKDAY(tblOrdenes[[#This Row],[fecha_inicio]],2)))</f>
        <v/>
      </c>
      <c r="T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5">
        <f>IF(tblOrdenes[[#This Row],[tipo_ot]]="","",_xlfn.XLOOKUP(tblOrdenes[[#This Row],[tipo_ot]],tblTiposOT[codigo],tblTiposOT[clasificacion],"sin_clasificar"))</f>
        <v/>
      </c>
      <c r="V3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5">
        <f>IF(tblOrdenes[[#This Row],[centro_costo]]="","",_xlfn.XLOOKUP(tblOrdenes[[#This Row],[centro_costo]],tblCECO[codigo],tblCECO[linea],"(sin catálogo)"))</f>
        <v/>
      </c>
      <c r="Y339" s="5">
        <f>IF(tblOrdenes[[#This Row],[centro_costo]]="","",_xlfn.XLOOKUP(tblOrdenes[[#This Row],[centro_costo]],tblCECO[codigo],tblCECO[area],"(sin catálogo)"))</f>
        <v/>
      </c>
      <c r="Z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5">
        <f>IF(tblOrdenes[[#This Row],[centro_costo]]="","",_xlfn.XLOOKUP(tblOrdenes[[#This Row],[centro_costo]],tblCECO[codigo],tblCECO[coordinador],"(sin catálogo)"))</f>
        <v/>
      </c>
      <c r="AB339" s="5">
        <f>IF(tblOrdenes[[#This Row],[puesto_trabajo]]="","",_xlfn.XLOOKUP(tblOrdenes[[#This Row],[puesto_trabajo]],tblPuestos[codigo],tblPuestos[especialidad],"(sin catálogo)"))</f>
        <v/>
      </c>
      <c r="AC339" s="5">
        <f>IF(tblOrdenes[[#This Row],[cod_actividad]]="","",_xlfn.XLOOKUP(tblOrdenes[[#This Row],[cod_actividad]],tblActividades[codigo],tblActividades[descripcion],"(sin catálogo)"))</f>
        <v/>
      </c>
      <c r="AD339" s="23">
        <f>IF(tblOrdenes[[#This Row],[fecha_inicio]]="","",TODAY()-tblOrdenes[[#This Row],[fecha_inicio]])</f>
        <v/>
      </c>
      <c r="AE3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5">
        <f>IF(tblOrdenes[[#This Row],[backlog_habiles]]="","",IF(tblOrdenes[[#This Row],[backlog_habiles]]&lt;0,"FUTURO",IF(tblOrdenes[[#This Row],[backlog_habiles]]&gt;p_dias_backlog_max,"BACKLOG","MES CORRIENTE")))</f>
        <v/>
      </c>
      <c r="AG339" s="5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18">
        <f>IF(tblOrdenes[[#This Row],[orden]]="","",_xlfn.XLOOKUP(tblOrdenes[[#This Row],[id_operacion]],tblEjecucion[id_operacion],tblEjecucion[precio],0))</f>
        <v/>
      </c>
      <c r="AM339" s="18">
        <f>IF(tblOrdenes[[#This Row],[orden]]="","",MAX(0,_xlfn.XLOOKUP(tblOrdenes[[#This Row],[id_operacion]],tblEjecucion[id_operacion],tblEjecucion[costo_plan_total],0)-tblOrdenes[[#This Row],[costo_servicio]]))</f>
        <v/>
      </c>
      <c r="AN339" s="18">
        <f>IF(tblOrdenes[[#This Row],[orden]]="","",tblOrdenes[[#This Row],[costo_servicio]]+tblOrdenes[[#This Row],[costo_materiales]])</f>
        <v/>
      </c>
      <c r="AO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5">
        <f>IF(tblOrdenes[[#This Row],[link_checklist]]="","",HYPERLINK(p_ruta_base_checklists&amp;tblOrdenes[[#This Row],[link_checklist]],"abrir"))</f>
        <v/>
      </c>
      <c r="AT339" s="4" t="n"/>
      <c r="AU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5" t="n"/>
      <c r="K340" s="5" t="n"/>
      <c r="L340" s="18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Row],[fecha_inicio]]="","",tblOrdenes[[#This Row],[anio]]&amp;"-"&amp;TEXT(tblOrdenes[[#This Row],[mes]],"00"))</f>
        <v/>
      </c>
      <c r="S340" s="5">
        <f>IF(tblOrdenes[[#This Row],[fecha_inicio]]="","",INDEX(lista_dias,WEEKDAY(tblOrdenes[[#This Row],[fecha_inicio]],2)))</f>
        <v/>
      </c>
      <c r="T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5">
        <f>IF(tblOrdenes[[#This Row],[tipo_ot]]="","",_xlfn.XLOOKUP(tblOrdenes[[#This Row],[tipo_ot]],tblTiposOT[codigo],tblTiposOT[clasificacion],"sin_clasificar"))</f>
        <v/>
      </c>
      <c r="V3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5">
        <f>IF(tblOrdenes[[#This Row],[centro_costo]]="","",_xlfn.XLOOKUP(tblOrdenes[[#This Row],[centro_costo]],tblCECO[codigo],tblCECO[linea],"(sin catálogo)"))</f>
        <v/>
      </c>
      <c r="Y340" s="5">
        <f>IF(tblOrdenes[[#This Row],[centro_costo]]="","",_xlfn.XLOOKUP(tblOrdenes[[#This Row],[centro_costo]],tblCECO[codigo],tblCECO[area],"(sin catálogo)"))</f>
        <v/>
      </c>
      <c r="Z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5">
        <f>IF(tblOrdenes[[#This Row],[centro_costo]]="","",_xlfn.XLOOKUP(tblOrdenes[[#This Row],[centro_costo]],tblCECO[codigo],tblCECO[coordinador],"(sin catálogo)"))</f>
        <v/>
      </c>
      <c r="AB340" s="5">
        <f>IF(tblOrdenes[[#This Row],[puesto_trabajo]]="","",_xlfn.XLOOKUP(tblOrdenes[[#This Row],[puesto_trabajo]],tblPuestos[codigo],tblPuestos[especialidad],"(sin catálogo)"))</f>
        <v/>
      </c>
      <c r="AC340" s="5">
        <f>IF(tblOrdenes[[#This Row],[cod_actividad]]="","",_xlfn.XLOOKUP(tblOrdenes[[#This Row],[cod_actividad]],tblActividades[codigo],tblActividades[descripcion],"(sin catálogo)"))</f>
        <v/>
      </c>
      <c r="AD340" s="23">
        <f>IF(tblOrdenes[[#This Row],[fecha_inicio]]="","",TODAY()-tblOrdenes[[#This Row],[fecha_inicio]])</f>
        <v/>
      </c>
      <c r="AE3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5">
        <f>IF(tblOrdenes[[#This Row],[backlog_habiles]]="","",IF(tblOrdenes[[#This Row],[backlog_habiles]]&lt;0,"FUTURO",IF(tblOrdenes[[#This Row],[backlog_habiles]]&gt;p_dias_backlog_max,"BACKLOG","MES CORRIENTE")))</f>
        <v/>
      </c>
      <c r="AG340" s="5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18">
        <f>IF(tblOrdenes[[#This Row],[orden]]="","",_xlfn.XLOOKUP(tblOrdenes[[#This Row],[id_operacion]],tblEjecucion[id_operacion],tblEjecucion[precio],0))</f>
        <v/>
      </c>
      <c r="AM340" s="18">
        <f>IF(tblOrdenes[[#This Row],[orden]]="","",MAX(0,_xlfn.XLOOKUP(tblOrdenes[[#This Row],[id_operacion]],tblEjecucion[id_operacion],tblEjecucion[costo_plan_total],0)-tblOrdenes[[#This Row],[costo_servicio]]))</f>
        <v/>
      </c>
      <c r="AN340" s="18">
        <f>IF(tblOrdenes[[#This Row],[orden]]="","",tblOrdenes[[#This Row],[costo_servicio]]+tblOrdenes[[#This Row],[costo_materiales]])</f>
        <v/>
      </c>
      <c r="AO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5">
        <f>IF(tblOrdenes[[#This Row],[link_checklist]]="","",HYPERLINK(p_ruta_base_checklists&amp;tblOrdenes[[#This Row],[link_checklist]],"abrir"))</f>
        <v/>
      </c>
      <c r="AT340" s="4" t="n"/>
      <c r="AU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5" t="n"/>
      <c r="K341" s="5" t="n"/>
      <c r="L341" s="18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Row],[fecha_inicio]]="","",tblOrdenes[[#This Row],[anio]]&amp;"-"&amp;TEXT(tblOrdenes[[#This Row],[mes]],"00"))</f>
        <v/>
      </c>
      <c r="S341" s="5">
        <f>IF(tblOrdenes[[#This Row],[fecha_inicio]]="","",INDEX(lista_dias,WEEKDAY(tblOrdenes[[#This Row],[fecha_inicio]],2)))</f>
        <v/>
      </c>
      <c r="T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5">
        <f>IF(tblOrdenes[[#This Row],[tipo_ot]]="","",_xlfn.XLOOKUP(tblOrdenes[[#This Row],[tipo_ot]],tblTiposOT[codigo],tblTiposOT[clasificacion],"sin_clasificar"))</f>
        <v/>
      </c>
      <c r="V3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5">
        <f>IF(tblOrdenes[[#This Row],[centro_costo]]="","",_xlfn.XLOOKUP(tblOrdenes[[#This Row],[centro_costo]],tblCECO[codigo],tblCECO[linea],"(sin catálogo)"))</f>
        <v/>
      </c>
      <c r="Y341" s="5">
        <f>IF(tblOrdenes[[#This Row],[centro_costo]]="","",_xlfn.XLOOKUP(tblOrdenes[[#This Row],[centro_costo]],tblCECO[codigo],tblCECO[area],"(sin catálogo)"))</f>
        <v/>
      </c>
      <c r="Z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5">
        <f>IF(tblOrdenes[[#This Row],[centro_costo]]="","",_xlfn.XLOOKUP(tblOrdenes[[#This Row],[centro_costo]],tblCECO[codigo],tblCECO[coordinador],"(sin catálogo)"))</f>
        <v/>
      </c>
      <c r="AB341" s="5">
        <f>IF(tblOrdenes[[#This Row],[puesto_trabajo]]="","",_xlfn.XLOOKUP(tblOrdenes[[#This Row],[puesto_trabajo]],tblPuestos[codigo],tblPuestos[especialidad],"(sin catálogo)"))</f>
        <v/>
      </c>
      <c r="AC341" s="5">
        <f>IF(tblOrdenes[[#This Row],[cod_actividad]]="","",_xlfn.XLOOKUP(tblOrdenes[[#This Row],[cod_actividad]],tblActividades[codigo],tblActividades[descripcion],"(sin catálogo)"))</f>
        <v/>
      </c>
      <c r="AD341" s="23">
        <f>IF(tblOrdenes[[#This Row],[fecha_inicio]]="","",TODAY()-tblOrdenes[[#This Row],[fecha_inicio]])</f>
        <v/>
      </c>
      <c r="AE3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5">
        <f>IF(tblOrdenes[[#This Row],[backlog_habiles]]="","",IF(tblOrdenes[[#This Row],[backlog_habiles]]&lt;0,"FUTURO",IF(tblOrdenes[[#This Row],[backlog_habiles]]&gt;p_dias_backlog_max,"BACKLOG","MES CORRIENTE")))</f>
        <v/>
      </c>
      <c r="AG341" s="5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18">
        <f>IF(tblOrdenes[[#This Row],[orden]]="","",_xlfn.XLOOKUP(tblOrdenes[[#This Row],[id_operacion]],tblEjecucion[id_operacion],tblEjecucion[precio],0))</f>
        <v/>
      </c>
      <c r="AM341" s="18">
        <f>IF(tblOrdenes[[#This Row],[orden]]="","",MAX(0,_xlfn.XLOOKUP(tblOrdenes[[#This Row],[id_operacion]],tblEjecucion[id_operacion],tblEjecucion[costo_plan_total],0)-tblOrdenes[[#This Row],[costo_servicio]]))</f>
        <v/>
      </c>
      <c r="AN341" s="18">
        <f>IF(tblOrdenes[[#This Row],[orden]]="","",tblOrdenes[[#This Row],[costo_servicio]]+tblOrdenes[[#This Row],[costo_materiales]])</f>
        <v/>
      </c>
      <c r="AO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5">
        <f>IF(tblOrdenes[[#This Row],[link_checklist]]="","",HYPERLINK(p_ruta_base_checklists&amp;tblOrdenes[[#This Row],[link_checklist]],"abrir"))</f>
        <v/>
      </c>
      <c r="AT341" s="4" t="n"/>
      <c r="AU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5" t="n"/>
      <c r="K342" s="5" t="n"/>
      <c r="L342" s="18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Row],[fecha_inicio]]="","",tblOrdenes[[#This Row],[anio]]&amp;"-"&amp;TEXT(tblOrdenes[[#This Row],[mes]],"00"))</f>
        <v/>
      </c>
      <c r="S342" s="5">
        <f>IF(tblOrdenes[[#This Row],[fecha_inicio]]="","",INDEX(lista_dias,WEEKDAY(tblOrdenes[[#This Row],[fecha_inicio]],2)))</f>
        <v/>
      </c>
      <c r="T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5">
        <f>IF(tblOrdenes[[#This Row],[tipo_ot]]="","",_xlfn.XLOOKUP(tblOrdenes[[#This Row],[tipo_ot]],tblTiposOT[codigo],tblTiposOT[clasificacion],"sin_clasificar"))</f>
        <v/>
      </c>
      <c r="V3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5">
        <f>IF(tblOrdenes[[#This Row],[centro_costo]]="","",_xlfn.XLOOKUP(tblOrdenes[[#This Row],[centro_costo]],tblCECO[codigo],tblCECO[linea],"(sin catálogo)"))</f>
        <v/>
      </c>
      <c r="Y342" s="5">
        <f>IF(tblOrdenes[[#This Row],[centro_costo]]="","",_xlfn.XLOOKUP(tblOrdenes[[#This Row],[centro_costo]],tblCECO[codigo],tblCECO[area],"(sin catálogo)"))</f>
        <v/>
      </c>
      <c r="Z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5">
        <f>IF(tblOrdenes[[#This Row],[centro_costo]]="","",_xlfn.XLOOKUP(tblOrdenes[[#This Row],[centro_costo]],tblCECO[codigo],tblCECO[coordinador],"(sin catálogo)"))</f>
        <v/>
      </c>
      <c r="AB342" s="5">
        <f>IF(tblOrdenes[[#This Row],[puesto_trabajo]]="","",_xlfn.XLOOKUP(tblOrdenes[[#This Row],[puesto_trabajo]],tblPuestos[codigo],tblPuestos[especialidad],"(sin catálogo)"))</f>
        <v/>
      </c>
      <c r="AC342" s="5">
        <f>IF(tblOrdenes[[#This Row],[cod_actividad]]="","",_xlfn.XLOOKUP(tblOrdenes[[#This Row],[cod_actividad]],tblActividades[codigo],tblActividades[descripcion],"(sin catálogo)"))</f>
        <v/>
      </c>
      <c r="AD342" s="23">
        <f>IF(tblOrdenes[[#This Row],[fecha_inicio]]="","",TODAY()-tblOrdenes[[#This Row],[fecha_inicio]])</f>
        <v/>
      </c>
      <c r="AE3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5">
        <f>IF(tblOrdenes[[#This Row],[backlog_habiles]]="","",IF(tblOrdenes[[#This Row],[backlog_habiles]]&lt;0,"FUTURO",IF(tblOrdenes[[#This Row],[backlog_habiles]]&gt;p_dias_backlog_max,"BACKLOG","MES CORRIENTE")))</f>
        <v/>
      </c>
      <c r="AG342" s="5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18">
        <f>IF(tblOrdenes[[#This Row],[orden]]="","",_xlfn.XLOOKUP(tblOrdenes[[#This Row],[id_operacion]],tblEjecucion[id_operacion],tblEjecucion[precio],0))</f>
        <v/>
      </c>
      <c r="AM342" s="18">
        <f>IF(tblOrdenes[[#This Row],[orden]]="","",MAX(0,_xlfn.XLOOKUP(tblOrdenes[[#This Row],[id_operacion]],tblEjecucion[id_operacion],tblEjecucion[costo_plan_total],0)-tblOrdenes[[#This Row],[costo_servicio]]))</f>
        <v/>
      </c>
      <c r="AN342" s="18">
        <f>IF(tblOrdenes[[#This Row],[orden]]="","",tblOrdenes[[#This Row],[costo_servicio]]+tblOrdenes[[#This Row],[costo_materiales]])</f>
        <v/>
      </c>
      <c r="AO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5">
        <f>IF(tblOrdenes[[#This Row],[link_checklist]]="","",HYPERLINK(p_ruta_base_checklists&amp;tblOrdenes[[#This Row],[link_checklist]],"abrir"))</f>
        <v/>
      </c>
      <c r="AT342" s="4" t="n"/>
      <c r="AU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5" t="n"/>
      <c r="K343" s="5" t="n"/>
      <c r="L343" s="18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Row],[fecha_inicio]]="","",tblOrdenes[[#This Row],[anio]]&amp;"-"&amp;TEXT(tblOrdenes[[#This Row],[mes]],"00"))</f>
        <v/>
      </c>
      <c r="S343" s="5">
        <f>IF(tblOrdenes[[#This Row],[fecha_inicio]]="","",INDEX(lista_dias,WEEKDAY(tblOrdenes[[#This Row],[fecha_inicio]],2)))</f>
        <v/>
      </c>
      <c r="T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5">
        <f>IF(tblOrdenes[[#This Row],[tipo_ot]]="","",_xlfn.XLOOKUP(tblOrdenes[[#This Row],[tipo_ot]],tblTiposOT[codigo],tblTiposOT[clasificacion],"sin_clasificar"))</f>
        <v/>
      </c>
      <c r="V3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5">
        <f>IF(tblOrdenes[[#This Row],[centro_costo]]="","",_xlfn.XLOOKUP(tblOrdenes[[#This Row],[centro_costo]],tblCECO[codigo],tblCECO[linea],"(sin catálogo)"))</f>
        <v/>
      </c>
      <c r="Y343" s="5">
        <f>IF(tblOrdenes[[#This Row],[centro_costo]]="","",_xlfn.XLOOKUP(tblOrdenes[[#This Row],[centro_costo]],tblCECO[codigo],tblCECO[area],"(sin catálogo)"))</f>
        <v/>
      </c>
      <c r="Z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5">
        <f>IF(tblOrdenes[[#This Row],[centro_costo]]="","",_xlfn.XLOOKUP(tblOrdenes[[#This Row],[centro_costo]],tblCECO[codigo],tblCECO[coordinador],"(sin catálogo)"))</f>
        <v/>
      </c>
      <c r="AB343" s="5">
        <f>IF(tblOrdenes[[#This Row],[puesto_trabajo]]="","",_xlfn.XLOOKUP(tblOrdenes[[#This Row],[puesto_trabajo]],tblPuestos[codigo],tblPuestos[especialidad],"(sin catálogo)"))</f>
        <v/>
      </c>
      <c r="AC343" s="5">
        <f>IF(tblOrdenes[[#This Row],[cod_actividad]]="","",_xlfn.XLOOKUP(tblOrdenes[[#This Row],[cod_actividad]],tblActividades[codigo],tblActividades[descripcion],"(sin catálogo)"))</f>
        <v/>
      </c>
      <c r="AD343" s="23">
        <f>IF(tblOrdenes[[#This Row],[fecha_inicio]]="","",TODAY()-tblOrdenes[[#This Row],[fecha_inicio]])</f>
        <v/>
      </c>
      <c r="AE3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5">
        <f>IF(tblOrdenes[[#This Row],[backlog_habiles]]="","",IF(tblOrdenes[[#This Row],[backlog_habiles]]&lt;0,"FUTURO",IF(tblOrdenes[[#This Row],[backlog_habiles]]&gt;p_dias_backlog_max,"BACKLOG","MES CORRIENTE")))</f>
        <v/>
      </c>
      <c r="AG343" s="5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18">
        <f>IF(tblOrdenes[[#This Row],[orden]]="","",_xlfn.XLOOKUP(tblOrdenes[[#This Row],[id_operacion]],tblEjecucion[id_operacion],tblEjecucion[precio],0))</f>
        <v/>
      </c>
      <c r="AM343" s="18">
        <f>IF(tblOrdenes[[#This Row],[orden]]="","",MAX(0,_xlfn.XLOOKUP(tblOrdenes[[#This Row],[id_operacion]],tblEjecucion[id_operacion],tblEjecucion[costo_plan_total],0)-tblOrdenes[[#This Row],[costo_servicio]]))</f>
        <v/>
      </c>
      <c r="AN343" s="18">
        <f>IF(tblOrdenes[[#This Row],[orden]]="","",tblOrdenes[[#This Row],[costo_servicio]]+tblOrdenes[[#This Row],[costo_materiales]])</f>
        <v/>
      </c>
      <c r="AO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5">
        <f>IF(tblOrdenes[[#This Row],[link_checklist]]="","",HYPERLINK(p_ruta_base_checklists&amp;tblOrdenes[[#This Row],[link_checklist]],"abrir"))</f>
        <v/>
      </c>
      <c r="AT343" s="4" t="n"/>
      <c r="AU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5" t="n"/>
      <c r="K344" s="5" t="n"/>
      <c r="L344" s="18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Row],[fecha_inicio]]="","",tblOrdenes[[#This Row],[anio]]&amp;"-"&amp;TEXT(tblOrdenes[[#This Row],[mes]],"00"))</f>
        <v/>
      </c>
      <c r="S344" s="5">
        <f>IF(tblOrdenes[[#This Row],[fecha_inicio]]="","",INDEX(lista_dias,WEEKDAY(tblOrdenes[[#This Row],[fecha_inicio]],2)))</f>
        <v/>
      </c>
      <c r="T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5">
        <f>IF(tblOrdenes[[#This Row],[tipo_ot]]="","",_xlfn.XLOOKUP(tblOrdenes[[#This Row],[tipo_ot]],tblTiposOT[codigo],tblTiposOT[clasificacion],"sin_clasificar"))</f>
        <v/>
      </c>
      <c r="V3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5">
        <f>IF(tblOrdenes[[#This Row],[centro_costo]]="","",_xlfn.XLOOKUP(tblOrdenes[[#This Row],[centro_costo]],tblCECO[codigo],tblCECO[linea],"(sin catálogo)"))</f>
        <v/>
      </c>
      <c r="Y344" s="5">
        <f>IF(tblOrdenes[[#This Row],[centro_costo]]="","",_xlfn.XLOOKUP(tblOrdenes[[#This Row],[centro_costo]],tblCECO[codigo],tblCECO[area],"(sin catálogo)"))</f>
        <v/>
      </c>
      <c r="Z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5">
        <f>IF(tblOrdenes[[#This Row],[centro_costo]]="","",_xlfn.XLOOKUP(tblOrdenes[[#This Row],[centro_costo]],tblCECO[codigo],tblCECO[coordinador],"(sin catálogo)"))</f>
        <v/>
      </c>
      <c r="AB344" s="5">
        <f>IF(tblOrdenes[[#This Row],[puesto_trabajo]]="","",_xlfn.XLOOKUP(tblOrdenes[[#This Row],[puesto_trabajo]],tblPuestos[codigo],tblPuestos[especialidad],"(sin catálogo)"))</f>
        <v/>
      </c>
      <c r="AC344" s="5">
        <f>IF(tblOrdenes[[#This Row],[cod_actividad]]="","",_xlfn.XLOOKUP(tblOrdenes[[#This Row],[cod_actividad]],tblActividades[codigo],tblActividades[descripcion],"(sin catálogo)"))</f>
        <v/>
      </c>
      <c r="AD344" s="23">
        <f>IF(tblOrdenes[[#This Row],[fecha_inicio]]="","",TODAY()-tblOrdenes[[#This Row],[fecha_inicio]])</f>
        <v/>
      </c>
      <c r="AE3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5">
        <f>IF(tblOrdenes[[#This Row],[backlog_habiles]]="","",IF(tblOrdenes[[#This Row],[backlog_habiles]]&lt;0,"FUTURO",IF(tblOrdenes[[#This Row],[backlog_habiles]]&gt;p_dias_backlog_max,"BACKLOG","MES CORRIENTE")))</f>
        <v/>
      </c>
      <c r="AG344" s="5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18">
        <f>IF(tblOrdenes[[#This Row],[orden]]="","",_xlfn.XLOOKUP(tblOrdenes[[#This Row],[id_operacion]],tblEjecucion[id_operacion],tblEjecucion[precio],0))</f>
        <v/>
      </c>
      <c r="AM344" s="18">
        <f>IF(tblOrdenes[[#This Row],[orden]]="","",MAX(0,_xlfn.XLOOKUP(tblOrdenes[[#This Row],[id_operacion]],tblEjecucion[id_operacion],tblEjecucion[costo_plan_total],0)-tblOrdenes[[#This Row],[costo_servicio]]))</f>
        <v/>
      </c>
      <c r="AN344" s="18">
        <f>IF(tblOrdenes[[#This Row],[orden]]="","",tblOrdenes[[#This Row],[costo_servicio]]+tblOrdenes[[#This Row],[costo_materiales]])</f>
        <v/>
      </c>
      <c r="AO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5">
        <f>IF(tblOrdenes[[#This Row],[link_checklist]]="","",HYPERLINK(p_ruta_base_checklists&amp;tblOrdenes[[#This Row],[link_checklist]],"abrir"))</f>
        <v/>
      </c>
      <c r="AT344" s="4" t="n"/>
      <c r="AU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5" t="n"/>
      <c r="K345" s="5" t="n"/>
      <c r="L345" s="18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Row],[fecha_inicio]]="","",tblOrdenes[[#This Row],[anio]]&amp;"-"&amp;TEXT(tblOrdenes[[#This Row],[mes]],"00"))</f>
        <v/>
      </c>
      <c r="S345" s="5">
        <f>IF(tblOrdenes[[#This Row],[fecha_inicio]]="","",INDEX(lista_dias,WEEKDAY(tblOrdenes[[#This Row],[fecha_inicio]],2)))</f>
        <v/>
      </c>
      <c r="T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5">
        <f>IF(tblOrdenes[[#This Row],[tipo_ot]]="","",_xlfn.XLOOKUP(tblOrdenes[[#This Row],[tipo_ot]],tblTiposOT[codigo],tblTiposOT[clasificacion],"sin_clasificar"))</f>
        <v/>
      </c>
      <c r="V3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5">
        <f>IF(tblOrdenes[[#This Row],[centro_costo]]="","",_xlfn.XLOOKUP(tblOrdenes[[#This Row],[centro_costo]],tblCECO[codigo],tblCECO[linea],"(sin catálogo)"))</f>
        <v/>
      </c>
      <c r="Y345" s="5">
        <f>IF(tblOrdenes[[#This Row],[centro_costo]]="","",_xlfn.XLOOKUP(tblOrdenes[[#This Row],[centro_costo]],tblCECO[codigo],tblCECO[area],"(sin catálogo)"))</f>
        <v/>
      </c>
      <c r="Z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5">
        <f>IF(tblOrdenes[[#This Row],[centro_costo]]="","",_xlfn.XLOOKUP(tblOrdenes[[#This Row],[centro_costo]],tblCECO[codigo],tblCECO[coordinador],"(sin catálogo)"))</f>
        <v/>
      </c>
      <c r="AB345" s="5">
        <f>IF(tblOrdenes[[#This Row],[puesto_trabajo]]="","",_xlfn.XLOOKUP(tblOrdenes[[#This Row],[puesto_trabajo]],tblPuestos[codigo],tblPuestos[especialidad],"(sin catálogo)"))</f>
        <v/>
      </c>
      <c r="AC345" s="5">
        <f>IF(tblOrdenes[[#This Row],[cod_actividad]]="","",_xlfn.XLOOKUP(tblOrdenes[[#This Row],[cod_actividad]],tblActividades[codigo],tblActividades[descripcion],"(sin catálogo)"))</f>
        <v/>
      </c>
      <c r="AD345" s="23">
        <f>IF(tblOrdenes[[#This Row],[fecha_inicio]]="","",TODAY()-tblOrdenes[[#This Row],[fecha_inicio]])</f>
        <v/>
      </c>
      <c r="AE3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5">
        <f>IF(tblOrdenes[[#This Row],[backlog_habiles]]="","",IF(tblOrdenes[[#This Row],[backlog_habiles]]&lt;0,"FUTURO",IF(tblOrdenes[[#This Row],[backlog_habiles]]&gt;p_dias_backlog_max,"BACKLOG","MES CORRIENTE")))</f>
        <v/>
      </c>
      <c r="AG345" s="5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18">
        <f>IF(tblOrdenes[[#This Row],[orden]]="","",_xlfn.XLOOKUP(tblOrdenes[[#This Row],[id_operacion]],tblEjecucion[id_operacion],tblEjecucion[precio],0))</f>
        <v/>
      </c>
      <c r="AM345" s="18">
        <f>IF(tblOrdenes[[#This Row],[orden]]="","",MAX(0,_xlfn.XLOOKUP(tblOrdenes[[#This Row],[id_operacion]],tblEjecucion[id_operacion],tblEjecucion[costo_plan_total],0)-tblOrdenes[[#This Row],[costo_servicio]]))</f>
        <v/>
      </c>
      <c r="AN345" s="18">
        <f>IF(tblOrdenes[[#This Row],[orden]]="","",tblOrdenes[[#This Row],[costo_servicio]]+tblOrdenes[[#This Row],[costo_materiales]])</f>
        <v/>
      </c>
      <c r="AO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5">
        <f>IF(tblOrdenes[[#This Row],[link_checklist]]="","",HYPERLINK(p_ruta_base_checklists&amp;tblOrdenes[[#This Row],[link_checklist]],"abrir"))</f>
        <v/>
      </c>
      <c r="AT345" s="4" t="n"/>
      <c r="AU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5" t="n"/>
      <c r="K346" s="5" t="n"/>
      <c r="L346" s="18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Row],[fecha_inicio]]="","",tblOrdenes[[#This Row],[anio]]&amp;"-"&amp;TEXT(tblOrdenes[[#This Row],[mes]],"00"))</f>
        <v/>
      </c>
      <c r="S346" s="5">
        <f>IF(tblOrdenes[[#This Row],[fecha_inicio]]="","",INDEX(lista_dias,WEEKDAY(tblOrdenes[[#This Row],[fecha_inicio]],2)))</f>
        <v/>
      </c>
      <c r="T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5">
        <f>IF(tblOrdenes[[#This Row],[tipo_ot]]="","",_xlfn.XLOOKUP(tblOrdenes[[#This Row],[tipo_ot]],tblTiposOT[codigo],tblTiposOT[clasificacion],"sin_clasificar"))</f>
        <v/>
      </c>
      <c r="V3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5">
        <f>IF(tblOrdenes[[#This Row],[centro_costo]]="","",_xlfn.XLOOKUP(tblOrdenes[[#This Row],[centro_costo]],tblCECO[codigo],tblCECO[linea],"(sin catálogo)"))</f>
        <v/>
      </c>
      <c r="Y346" s="5">
        <f>IF(tblOrdenes[[#This Row],[centro_costo]]="","",_xlfn.XLOOKUP(tblOrdenes[[#This Row],[centro_costo]],tblCECO[codigo],tblCECO[area],"(sin catálogo)"))</f>
        <v/>
      </c>
      <c r="Z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5">
        <f>IF(tblOrdenes[[#This Row],[centro_costo]]="","",_xlfn.XLOOKUP(tblOrdenes[[#This Row],[centro_costo]],tblCECO[codigo],tblCECO[coordinador],"(sin catálogo)"))</f>
        <v/>
      </c>
      <c r="AB346" s="5">
        <f>IF(tblOrdenes[[#This Row],[puesto_trabajo]]="","",_xlfn.XLOOKUP(tblOrdenes[[#This Row],[puesto_trabajo]],tblPuestos[codigo],tblPuestos[especialidad],"(sin catálogo)"))</f>
        <v/>
      </c>
      <c r="AC346" s="5">
        <f>IF(tblOrdenes[[#This Row],[cod_actividad]]="","",_xlfn.XLOOKUP(tblOrdenes[[#This Row],[cod_actividad]],tblActividades[codigo],tblActividades[descripcion],"(sin catálogo)"))</f>
        <v/>
      </c>
      <c r="AD346" s="23">
        <f>IF(tblOrdenes[[#This Row],[fecha_inicio]]="","",TODAY()-tblOrdenes[[#This Row],[fecha_inicio]])</f>
        <v/>
      </c>
      <c r="AE3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5">
        <f>IF(tblOrdenes[[#This Row],[backlog_habiles]]="","",IF(tblOrdenes[[#This Row],[backlog_habiles]]&lt;0,"FUTURO",IF(tblOrdenes[[#This Row],[backlog_habiles]]&gt;p_dias_backlog_max,"BACKLOG","MES CORRIENTE")))</f>
        <v/>
      </c>
      <c r="AG346" s="5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18">
        <f>IF(tblOrdenes[[#This Row],[orden]]="","",_xlfn.XLOOKUP(tblOrdenes[[#This Row],[id_operacion]],tblEjecucion[id_operacion],tblEjecucion[precio],0))</f>
        <v/>
      </c>
      <c r="AM346" s="18">
        <f>IF(tblOrdenes[[#This Row],[orden]]="","",MAX(0,_xlfn.XLOOKUP(tblOrdenes[[#This Row],[id_operacion]],tblEjecucion[id_operacion],tblEjecucion[costo_plan_total],0)-tblOrdenes[[#This Row],[costo_servicio]]))</f>
        <v/>
      </c>
      <c r="AN346" s="18">
        <f>IF(tblOrdenes[[#This Row],[orden]]="","",tblOrdenes[[#This Row],[costo_servicio]]+tblOrdenes[[#This Row],[costo_materiales]])</f>
        <v/>
      </c>
      <c r="AO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5">
        <f>IF(tblOrdenes[[#This Row],[link_checklist]]="","",HYPERLINK(p_ruta_base_checklists&amp;tblOrdenes[[#This Row],[link_checklist]],"abrir"))</f>
        <v/>
      </c>
      <c r="AT346" s="4" t="n"/>
      <c r="AU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5" t="n"/>
      <c r="K347" s="5" t="n"/>
      <c r="L347" s="18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Row],[fecha_inicio]]="","",tblOrdenes[[#This Row],[anio]]&amp;"-"&amp;TEXT(tblOrdenes[[#This Row],[mes]],"00"))</f>
        <v/>
      </c>
      <c r="S347" s="5">
        <f>IF(tblOrdenes[[#This Row],[fecha_inicio]]="","",INDEX(lista_dias,WEEKDAY(tblOrdenes[[#This Row],[fecha_inicio]],2)))</f>
        <v/>
      </c>
      <c r="T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5">
        <f>IF(tblOrdenes[[#This Row],[tipo_ot]]="","",_xlfn.XLOOKUP(tblOrdenes[[#This Row],[tipo_ot]],tblTiposOT[codigo],tblTiposOT[clasificacion],"sin_clasificar"))</f>
        <v/>
      </c>
      <c r="V3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5">
        <f>IF(tblOrdenes[[#This Row],[centro_costo]]="","",_xlfn.XLOOKUP(tblOrdenes[[#This Row],[centro_costo]],tblCECO[codigo],tblCECO[linea],"(sin catálogo)"))</f>
        <v/>
      </c>
      <c r="Y347" s="5">
        <f>IF(tblOrdenes[[#This Row],[centro_costo]]="","",_xlfn.XLOOKUP(tblOrdenes[[#This Row],[centro_costo]],tblCECO[codigo],tblCECO[area],"(sin catálogo)"))</f>
        <v/>
      </c>
      <c r="Z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5">
        <f>IF(tblOrdenes[[#This Row],[centro_costo]]="","",_xlfn.XLOOKUP(tblOrdenes[[#This Row],[centro_costo]],tblCECO[codigo],tblCECO[coordinador],"(sin catálogo)"))</f>
        <v/>
      </c>
      <c r="AB347" s="5">
        <f>IF(tblOrdenes[[#This Row],[puesto_trabajo]]="","",_xlfn.XLOOKUP(tblOrdenes[[#This Row],[puesto_trabajo]],tblPuestos[codigo],tblPuestos[especialidad],"(sin catálogo)"))</f>
        <v/>
      </c>
      <c r="AC347" s="5">
        <f>IF(tblOrdenes[[#This Row],[cod_actividad]]="","",_xlfn.XLOOKUP(tblOrdenes[[#This Row],[cod_actividad]],tblActividades[codigo],tblActividades[descripcion],"(sin catálogo)"))</f>
        <v/>
      </c>
      <c r="AD347" s="23">
        <f>IF(tblOrdenes[[#This Row],[fecha_inicio]]="","",TODAY()-tblOrdenes[[#This Row],[fecha_inicio]])</f>
        <v/>
      </c>
      <c r="AE3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5">
        <f>IF(tblOrdenes[[#This Row],[backlog_habiles]]="","",IF(tblOrdenes[[#This Row],[backlog_habiles]]&lt;0,"FUTURO",IF(tblOrdenes[[#This Row],[backlog_habiles]]&gt;p_dias_backlog_max,"BACKLOG","MES CORRIENTE")))</f>
        <v/>
      </c>
      <c r="AG347" s="5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18">
        <f>IF(tblOrdenes[[#This Row],[orden]]="","",_xlfn.XLOOKUP(tblOrdenes[[#This Row],[id_operacion]],tblEjecucion[id_operacion],tblEjecucion[precio],0))</f>
        <v/>
      </c>
      <c r="AM347" s="18">
        <f>IF(tblOrdenes[[#This Row],[orden]]="","",MAX(0,_xlfn.XLOOKUP(tblOrdenes[[#This Row],[id_operacion]],tblEjecucion[id_operacion],tblEjecucion[costo_plan_total],0)-tblOrdenes[[#This Row],[costo_servicio]]))</f>
        <v/>
      </c>
      <c r="AN347" s="18">
        <f>IF(tblOrdenes[[#This Row],[orden]]="","",tblOrdenes[[#This Row],[costo_servicio]]+tblOrdenes[[#This Row],[costo_materiales]])</f>
        <v/>
      </c>
      <c r="AO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5">
        <f>IF(tblOrdenes[[#This Row],[link_checklist]]="","",HYPERLINK(p_ruta_base_checklists&amp;tblOrdenes[[#This Row],[link_checklist]],"abrir"))</f>
        <v/>
      </c>
      <c r="AT347" s="4" t="n"/>
      <c r="AU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5" t="n"/>
      <c r="K348" s="5" t="n"/>
      <c r="L348" s="18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Row],[fecha_inicio]]="","",tblOrdenes[[#This Row],[anio]]&amp;"-"&amp;TEXT(tblOrdenes[[#This Row],[mes]],"00"))</f>
        <v/>
      </c>
      <c r="S348" s="5">
        <f>IF(tblOrdenes[[#This Row],[fecha_inicio]]="","",INDEX(lista_dias,WEEKDAY(tblOrdenes[[#This Row],[fecha_inicio]],2)))</f>
        <v/>
      </c>
      <c r="T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5">
        <f>IF(tblOrdenes[[#This Row],[tipo_ot]]="","",_xlfn.XLOOKUP(tblOrdenes[[#This Row],[tipo_ot]],tblTiposOT[codigo],tblTiposOT[clasificacion],"sin_clasificar"))</f>
        <v/>
      </c>
      <c r="V3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5">
        <f>IF(tblOrdenes[[#This Row],[centro_costo]]="","",_xlfn.XLOOKUP(tblOrdenes[[#This Row],[centro_costo]],tblCECO[codigo],tblCECO[linea],"(sin catálogo)"))</f>
        <v/>
      </c>
      <c r="Y348" s="5">
        <f>IF(tblOrdenes[[#This Row],[centro_costo]]="","",_xlfn.XLOOKUP(tblOrdenes[[#This Row],[centro_costo]],tblCECO[codigo],tblCECO[area],"(sin catálogo)"))</f>
        <v/>
      </c>
      <c r="Z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5">
        <f>IF(tblOrdenes[[#This Row],[centro_costo]]="","",_xlfn.XLOOKUP(tblOrdenes[[#This Row],[centro_costo]],tblCECO[codigo],tblCECO[coordinador],"(sin catálogo)"))</f>
        <v/>
      </c>
      <c r="AB348" s="5">
        <f>IF(tblOrdenes[[#This Row],[puesto_trabajo]]="","",_xlfn.XLOOKUP(tblOrdenes[[#This Row],[puesto_trabajo]],tblPuestos[codigo],tblPuestos[especialidad],"(sin catálogo)"))</f>
        <v/>
      </c>
      <c r="AC348" s="5">
        <f>IF(tblOrdenes[[#This Row],[cod_actividad]]="","",_xlfn.XLOOKUP(tblOrdenes[[#This Row],[cod_actividad]],tblActividades[codigo],tblActividades[descripcion],"(sin catálogo)"))</f>
        <v/>
      </c>
      <c r="AD348" s="23">
        <f>IF(tblOrdenes[[#This Row],[fecha_inicio]]="","",TODAY()-tblOrdenes[[#This Row],[fecha_inicio]])</f>
        <v/>
      </c>
      <c r="AE3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5">
        <f>IF(tblOrdenes[[#This Row],[backlog_habiles]]="","",IF(tblOrdenes[[#This Row],[backlog_habiles]]&lt;0,"FUTURO",IF(tblOrdenes[[#This Row],[backlog_habiles]]&gt;p_dias_backlog_max,"BACKLOG","MES CORRIENTE")))</f>
        <v/>
      </c>
      <c r="AG348" s="5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18">
        <f>IF(tblOrdenes[[#This Row],[orden]]="","",_xlfn.XLOOKUP(tblOrdenes[[#This Row],[id_operacion]],tblEjecucion[id_operacion],tblEjecucion[precio],0))</f>
        <v/>
      </c>
      <c r="AM348" s="18">
        <f>IF(tblOrdenes[[#This Row],[orden]]="","",MAX(0,_xlfn.XLOOKUP(tblOrdenes[[#This Row],[id_operacion]],tblEjecucion[id_operacion],tblEjecucion[costo_plan_total],0)-tblOrdenes[[#This Row],[costo_servicio]]))</f>
        <v/>
      </c>
      <c r="AN348" s="18">
        <f>IF(tblOrdenes[[#This Row],[orden]]="","",tblOrdenes[[#This Row],[costo_servicio]]+tblOrdenes[[#This Row],[costo_materiales]])</f>
        <v/>
      </c>
      <c r="AO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5">
        <f>IF(tblOrdenes[[#This Row],[link_checklist]]="","",HYPERLINK(p_ruta_base_checklists&amp;tblOrdenes[[#This Row],[link_checklist]],"abrir"))</f>
        <v/>
      </c>
      <c r="AT348" s="4" t="n"/>
      <c r="AU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5" t="n"/>
      <c r="K349" s="5" t="n"/>
      <c r="L349" s="18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Row],[fecha_inicio]]="","",tblOrdenes[[#This Row],[anio]]&amp;"-"&amp;TEXT(tblOrdenes[[#This Row],[mes]],"00"))</f>
        <v/>
      </c>
      <c r="S349" s="5">
        <f>IF(tblOrdenes[[#This Row],[fecha_inicio]]="","",INDEX(lista_dias,WEEKDAY(tblOrdenes[[#This Row],[fecha_inicio]],2)))</f>
        <v/>
      </c>
      <c r="T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5">
        <f>IF(tblOrdenes[[#This Row],[tipo_ot]]="","",_xlfn.XLOOKUP(tblOrdenes[[#This Row],[tipo_ot]],tblTiposOT[codigo],tblTiposOT[clasificacion],"sin_clasificar"))</f>
        <v/>
      </c>
      <c r="V3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5">
        <f>IF(tblOrdenes[[#This Row],[centro_costo]]="","",_xlfn.XLOOKUP(tblOrdenes[[#This Row],[centro_costo]],tblCECO[codigo],tblCECO[linea],"(sin catálogo)"))</f>
        <v/>
      </c>
      <c r="Y349" s="5">
        <f>IF(tblOrdenes[[#This Row],[centro_costo]]="","",_xlfn.XLOOKUP(tblOrdenes[[#This Row],[centro_costo]],tblCECO[codigo],tblCECO[area],"(sin catálogo)"))</f>
        <v/>
      </c>
      <c r="Z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5">
        <f>IF(tblOrdenes[[#This Row],[centro_costo]]="","",_xlfn.XLOOKUP(tblOrdenes[[#This Row],[centro_costo]],tblCECO[codigo],tblCECO[coordinador],"(sin catálogo)"))</f>
        <v/>
      </c>
      <c r="AB349" s="5">
        <f>IF(tblOrdenes[[#This Row],[puesto_trabajo]]="","",_xlfn.XLOOKUP(tblOrdenes[[#This Row],[puesto_trabajo]],tblPuestos[codigo],tblPuestos[especialidad],"(sin catálogo)"))</f>
        <v/>
      </c>
      <c r="AC349" s="5">
        <f>IF(tblOrdenes[[#This Row],[cod_actividad]]="","",_xlfn.XLOOKUP(tblOrdenes[[#This Row],[cod_actividad]],tblActividades[codigo],tblActividades[descripcion],"(sin catálogo)"))</f>
        <v/>
      </c>
      <c r="AD349" s="23">
        <f>IF(tblOrdenes[[#This Row],[fecha_inicio]]="","",TODAY()-tblOrdenes[[#This Row],[fecha_inicio]])</f>
        <v/>
      </c>
      <c r="AE3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5">
        <f>IF(tblOrdenes[[#This Row],[backlog_habiles]]="","",IF(tblOrdenes[[#This Row],[backlog_habiles]]&lt;0,"FUTURO",IF(tblOrdenes[[#This Row],[backlog_habiles]]&gt;p_dias_backlog_max,"BACKLOG","MES CORRIENTE")))</f>
        <v/>
      </c>
      <c r="AG349" s="5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18">
        <f>IF(tblOrdenes[[#This Row],[orden]]="","",_xlfn.XLOOKUP(tblOrdenes[[#This Row],[id_operacion]],tblEjecucion[id_operacion],tblEjecucion[precio],0))</f>
        <v/>
      </c>
      <c r="AM349" s="18">
        <f>IF(tblOrdenes[[#This Row],[orden]]="","",MAX(0,_xlfn.XLOOKUP(tblOrdenes[[#This Row],[id_operacion]],tblEjecucion[id_operacion],tblEjecucion[costo_plan_total],0)-tblOrdenes[[#This Row],[costo_servicio]]))</f>
        <v/>
      </c>
      <c r="AN349" s="18">
        <f>IF(tblOrdenes[[#This Row],[orden]]="","",tblOrdenes[[#This Row],[costo_servicio]]+tblOrdenes[[#This Row],[costo_materiales]])</f>
        <v/>
      </c>
      <c r="AO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5">
        <f>IF(tblOrdenes[[#This Row],[link_checklist]]="","",HYPERLINK(p_ruta_base_checklists&amp;tblOrdenes[[#This Row],[link_checklist]],"abrir"))</f>
        <v/>
      </c>
      <c r="AT349" s="4" t="n"/>
      <c r="AU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5" t="n"/>
      <c r="K350" s="5" t="n"/>
      <c r="L350" s="18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Row],[fecha_inicio]]="","",tblOrdenes[[#This Row],[anio]]&amp;"-"&amp;TEXT(tblOrdenes[[#This Row],[mes]],"00"))</f>
        <v/>
      </c>
      <c r="S350" s="5">
        <f>IF(tblOrdenes[[#This Row],[fecha_inicio]]="","",INDEX(lista_dias,WEEKDAY(tblOrdenes[[#This Row],[fecha_inicio]],2)))</f>
        <v/>
      </c>
      <c r="T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5">
        <f>IF(tblOrdenes[[#This Row],[tipo_ot]]="","",_xlfn.XLOOKUP(tblOrdenes[[#This Row],[tipo_ot]],tblTiposOT[codigo],tblTiposOT[clasificacion],"sin_clasificar"))</f>
        <v/>
      </c>
      <c r="V3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5">
        <f>IF(tblOrdenes[[#This Row],[centro_costo]]="","",_xlfn.XLOOKUP(tblOrdenes[[#This Row],[centro_costo]],tblCECO[codigo],tblCECO[linea],"(sin catálogo)"))</f>
        <v/>
      </c>
      <c r="Y350" s="5">
        <f>IF(tblOrdenes[[#This Row],[centro_costo]]="","",_xlfn.XLOOKUP(tblOrdenes[[#This Row],[centro_costo]],tblCECO[codigo],tblCECO[area],"(sin catálogo)"))</f>
        <v/>
      </c>
      <c r="Z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5">
        <f>IF(tblOrdenes[[#This Row],[centro_costo]]="","",_xlfn.XLOOKUP(tblOrdenes[[#This Row],[centro_costo]],tblCECO[codigo],tblCECO[coordinador],"(sin catálogo)"))</f>
        <v/>
      </c>
      <c r="AB350" s="5">
        <f>IF(tblOrdenes[[#This Row],[puesto_trabajo]]="","",_xlfn.XLOOKUP(tblOrdenes[[#This Row],[puesto_trabajo]],tblPuestos[codigo],tblPuestos[especialidad],"(sin catálogo)"))</f>
        <v/>
      </c>
      <c r="AC350" s="5">
        <f>IF(tblOrdenes[[#This Row],[cod_actividad]]="","",_xlfn.XLOOKUP(tblOrdenes[[#This Row],[cod_actividad]],tblActividades[codigo],tblActividades[descripcion],"(sin catálogo)"))</f>
        <v/>
      </c>
      <c r="AD350" s="23">
        <f>IF(tblOrdenes[[#This Row],[fecha_inicio]]="","",TODAY()-tblOrdenes[[#This Row],[fecha_inicio]])</f>
        <v/>
      </c>
      <c r="AE3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5">
        <f>IF(tblOrdenes[[#This Row],[backlog_habiles]]="","",IF(tblOrdenes[[#This Row],[backlog_habiles]]&lt;0,"FUTURO",IF(tblOrdenes[[#This Row],[backlog_habiles]]&gt;p_dias_backlog_max,"BACKLOG","MES CORRIENTE")))</f>
        <v/>
      </c>
      <c r="AG350" s="5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18">
        <f>IF(tblOrdenes[[#This Row],[orden]]="","",_xlfn.XLOOKUP(tblOrdenes[[#This Row],[id_operacion]],tblEjecucion[id_operacion],tblEjecucion[precio],0))</f>
        <v/>
      </c>
      <c r="AM350" s="18">
        <f>IF(tblOrdenes[[#This Row],[orden]]="","",MAX(0,_xlfn.XLOOKUP(tblOrdenes[[#This Row],[id_operacion]],tblEjecucion[id_operacion],tblEjecucion[costo_plan_total],0)-tblOrdenes[[#This Row],[costo_servicio]]))</f>
        <v/>
      </c>
      <c r="AN350" s="18">
        <f>IF(tblOrdenes[[#This Row],[orden]]="","",tblOrdenes[[#This Row],[costo_servicio]]+tblOrdenes[[#This Row],[costo_materiales]])</f>
        <v/>
      </c>
      <c r="AO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5">
        <f>IF(tblOrdenes[[#This Row],[link_checklist]]="","",HYPERLINK(p_ruta_base_checklists&amp;tblOrdenes[[#This Row],[link_checklist]],"abrir"))</f>
        <v/>
      </c>
      <c r="AT350" s="4" t="n"/>
      <c r="AU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5" t="n"/>
      <c r="K351" s="5" t="n"/>
      <c r="L351" s="18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Row],[fecha_inicio]]="","",tblOrdenes[[#This Row],[anio]]&amp;"-"&amp;TEXT(tblOrdenes[[#This Row],[mes]],"00"))</f>
        <v/>
      </c>
      <c r="S351" s="5">
        <f>IF(tblOrdenes[[#This Row],[fecha_inicio]]="","",INDEX(lista_dias,WEEKDAY(tblOrdenes[[#This Row],[fecha_inicio]],2)))</f>
        <v/>
      </c>
      <c r="T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5">
        <f>IF(tblOrdenes[[#This Row],[tipo_ot]]="","",_xlfn.XLOOKUP(tblOrdenes[[#This Row],[tipo_ot]],tblTiposOT[codigo],tblTiposOT[clasificacion],"sin_clasificar"))</f>
        <v/>
      </c>
      <c r="V3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5">
        <f>IF(tblOrdenes[[#This Row],[centro_costo]]="","",_xlfn.XLOOKUP(tblOrdenes[[#This Row],[centro_costo]],tblCECO[codigo],tblCECO[linea],"(sin catálogo)"))</f>
        <v/>
      </c>
      <c r="Y351" s="5">
        <f>IF(tblOrdenes[[#This Row],[centro_costo]]="","",_xlfn.XLOOKUP(tblOrdenes[[#This Row],[centro_costo]],tblCECO[codigo],tblCECO[area],"(sin catálogo)"))</f>
        <v/>
      </c>
      <c r="Z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5">
        <f>IF(tblOrdenes[[#This Row],[centro_costo]]="","",_xlfn.XLOOKUP(tblOrdenes[[#This Row],[centro_costo]],tblCECO[codigo],tblCECO[coordinador],"(sin catálogo)"))</f>
        <v/>
      </c>
      <c r="AB351" s="5">
        <f>IF(tblOrdenes[[#This Row],[puesto_trabajo]]="","",_xlfn.XLOOKUP(tblOrdenes[[#This Row],[puesto_trabajo]],tblPuestos[codigo],tblPuestos[especialidad],"(sin catálogo)"))</f>
        <v/>
      </c>
      <c r="AC351" s="5">
        <f>IF(tblOrdenes[[#This Row],[cod_actividad]]="","",_xlfn.XLOOKUP(tblOrdenes[[#This Row],[cod_actividad]],tblActividades[codigo],tblActividades[descripcion],"(sin catálogo)"))</f>
        <v/>
      </c>
      <c r="AD351" s="23">
        <f>IF(tblOrdenes[[#This Row],[fecha_inicio]]="","",TODAY()-tblOrdenes[[#This Row],[fecha_inicio]])</f>
        <v/>
      </c>
      <c r="AE3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5">
        <f>IF(tblOrdenes[[#This Row],[backlog_habiles]]="","",IF(tblOrdenes[[#This Row],[backlog_habiles]]&lt;0,"FUTURO",IF(tblOrdenes[[#This Row],[backlog_habiles]]&gt;p_dias_backlog_max,"BACKLOG","MES CORRIENTE")))</f>
        <v/>
      </c>
      <c r="AG351" s="5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18">
        <f>IF(tblOrdenes[[#This Row],[orden]]="","",_xlfn.XLOOKUP(tblOrdenes[[#This Row],[id_operacion]],tblEjecucion[id_operacion],tblEjecucion[precio],0))</f>
        <v/>
      </c>
      <c r="AM351" s="18">
        <f>IF(tblOrdenes[[#This Row],[orden]]="","",MAX(0,_xlfn.XLOOKUP(tblOrdenes[[#This Row],[id_operacion]],tblEjecucion[id_operacion],tblEjecucion[costo_plan_total],0)-tblOrdenes[[#This Row],[costo_servicio]]))</f>
        <v/>
      </c>
      <c r="AN351" s="18">
        <f>IF(tblOrdenes[[#This Row],[orden]]="","",tblOrdenes[[#This Row],[costo_servicio]]+tblOrdenes[[#This Row],[costo_materiales]])</f>
        <v/>
      </c>
      <c r="AO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5">
        <f>IF(tblOrdenes[[#This Row],[link_checklist]]="","",HYPERLINK(p_ruta_base_checklists&amp;tblOrdenes[[#This Row],[link_checklist]],"abrir"))</f>
        <v/>
      </c>
      <c r="AT351" s="4" t="n"/>
      <c r="AU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5" t="n"/>
      <c r="K352" s="5" t="n"/>
      <c r="L352" s="18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Row],[fecha_inicio]]="","",tblOrdenes[[#This Row],[anio]]&amp;"-"&amp;TEXT(tblOrdenes[[#This Row],[mes]],"00"))</f>
        <v/>
      </c>
      <c r="S352" s="5">
        <f>IF(tblOrdenes[[#This Row],[fecha_inicio]]="","",INDEX(lista_dias,WEEKDAY(tblOrdenes[[#This Row],[fecha_inicio]],2)))</f>
        <v/>
      </c>
      <c r="T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5">
        <f>IF(tblOrdenes[[#This Row],[tipo_ot]]="","",_xlfn.XLOOKUP(tblOrdenes[[#This Row],[tipo_ot]],tblTiposOT[codigo],tblTiposOT[clasificacion],"sin_clasificar"))</f>
        <v/>
      </c>
      <c r="V3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5">
        <f>IF(tblOrdenes[[#This Row],[centro_costo]]="","",_xlfn.XLOOKUP(tblOrdenes[[#This Row],[centro_costo]],tblCECO[codigo],tblCECO[linea],"(sin catálogo)"))</f>
        <v/>
      </c>
      <c r="Y352" s="5">
        <f>IF(tblOrdenes[[#This Row],[centro_costo]]="","",_xlfn.XLOOKUP(tblOrdenes[[#This Row],[centro_costo]],tblCECO[codigo],tblCECO[area],"(sin catálogo)"))</f>
        <v/>
      </c>
      <c r="Z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5">
        <f>IF(tblOrdenes[[#This Row],[centro_costo]]="","",_xlfn.XLOOKUP(tblOrdenes[[#This Row],[centro_costo]],tblCECO[codigo],tblCECO[coordinador],"(sin catálogo)"))</f>
        <v/>
      </c>
      <c r="AB352" s="5">
        <f>IF(tblOrdenes[[#This Row],[puesto_trabajo]]="","",_xlfn.XLOOKUP(tblOrdenes[[#This Row],[puesto_trabajo]],tblPuestos[codigo],tblPuestos[especialidad],"(sin catálogo)"))</f>
        <v/>
      </c>
      <c r="AC352" s="5">
        <f>IF(tblOrdenes[[#This Row],[cod_actividad]]="","",_xlfn.XLOOKUP(tblOrdenes[[#This Row],[cod_actividad]],tblActividades[codigo],tblActividades[descripcion],"(sin catálogo)"))</f>
        <v/>
      </c>
      <c r="AD352" s="23">
        <f>IF(tblOrdenes[[#This Row],[fecha_inicio]]="","",TODAY()-tblOrdenes[[#This Row],[fecha_inicio]])</f>
        <v/>
      </c>
      <c r="AE3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5">
        <f>IF(tblOrdenes[[#This Row],[backlog_habiles]]="","",IF(tblOrdenes[[#This Row],[backlog_habiles]]&lt;0,"FUTURO",IF(tblOrdenes[[#This Row],[backlog_habiles]]&gt;p_dias_backlog_max,"BACKLOG","MES CORRIENTE")))</f>
        <v/>
      </c>
      <c r="AG352" s="5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18">
        <f>IF(tblOrdenes[[#This Row],[orden]]="","",_xlfn.XLOOKUP(tblOrdenes[[#This Row],[id_operacion]],tblEjecucion[id_operacion],tblEjecucion[precio],0))</f>
        <v/>
      </c>
      <c r="AM352" s="18">
        <f>IF(tblOrdenes[[#This Row],[orden]]="","",MAX(0,_xlfn.XLOOKUP(tblOrdenes[[#This Row],[id_operacion]],tblEjecucion[id_operacion],tblEjecucion[costo_plan_total],0)-tblOrdenes[[#This Row],[costo_servicio]]))</f>
        <v/>
      </c>
      <c r="AN352" s="18">
        <f>IF(tblOrdenes[[#This Row],[orden]]="","",tblOrdenes[[#This Row],[costo_servicio]]+tblOrdenes[[#This Row],[costo_materiales]])</f>
        <v/>
      </c>
      <c r="AO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5">
        <f>IF(tblOrdenes[[#This Row],[link_checklist]]="","",HYPERLINK(p_ruta_base_checklists&amp;tblOrdenes[[#This Row],[link_checklist]],"abrir"))</f>
        <v/>
      </c>
      <c r="AT352" s="4" t="n"/>
      <c r="AU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5" t="n"/>
      <c r="K353" s="5" t="n"/>
      <c r="L353" s="18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Row],[fecha_inicio]]="","",tblOrdenes[[#This Row],[anio]]&amp;"-"&amp;TEXT(tblOrdenes[[#This Row],[mes]],"00"))</f>
        <v/>
      </c>
      <c r="S353" s="5">
        <f>IF(tblOrdenes[[#This Row],[fecha_inicio]]="","",INDEX(lista_dias,WEEKDAY(tblOrdenes[[#This Row],[fecha_inicio]],2)))</f>
        <v/>
      </c>
      <c r="T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5">
        <f>IF(tblOrdenes[[#This Row],[tipo_ot]]="","",_xlfn.XLOOKUP(tblOrdenes[[#This Row],[tipo_ot]],tblTiposOT[codigo],tblTiposOT[clasificacion],"sin_clasificar"))</f>
        <v/>
      </c>
      <c r="V3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5">
        <f>IF(tblOrdenes[[#This Row],[centro_costo]]="","",_xlfn.XLOOKUP(tblOrdenes[[#This Row],[centro_costo]],tblCECO[codigo],tblCECO[linea],"(sin catálogo)"))</f>
        <v/>
      </c>
      <c r="Y353" s="5">
        <f>IF(tblOrdenes[[#This Row],[centro_costo]]="","",_xlfn.XLOOKUP(tblOrdenes[[#This Row],[centro_costo]],tblCECO[codigo],tblCECO[area],"(sin catálogo)"))</f>
        <v/>
      </c>
      <c r="Z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5">
        <f>IF(tblOrdenes[[#This Row],[centro_costo]]="","",_xlfn.XLOOKUP(tblOrdenes[[#This Row],[centro_costo]],tblCECO[codigo],tblCECO[coordinador],"(sin catálogo)"))</f>
        <v/>
      </c>
      <c r="AB353" s="5">
        <f>IF(tblOrdenes[[#This Row],[puesto_trabajo]]="","",_xlfn.XLOOKUP(tblOrdenes[[#This Row],[puesto_trabajo]],tblPuestos[codigo],tblPuestos[especialidad],"(sin catálogo)"))</f>
        <v/>
      </c>
      <c r="AC353" s="5">
        <f>IF(tblOrdenes[[#This Row],[cod_actividad]]="","",_xlfn.XLOOKUP(tblOrdenes[[#This Row],[cod_actividad]],tblActividades[codigo],tblActividades[descripcion],"(sin catálogo)"))</f>
        <v/>
      </c>
      <c r="AD353" s="23">
        <f>IF(tblOrdenes[[#This Row],[fecha_inicio]]="","",TODAY()-tblOrdenes[[#This Row],[fecha_inicio]])</f>
        <v/>
      </c>
      <c r="AE3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5">
        <f>IF(tblOrdenes[[#This Row],[backlog_habiles]]="","",IF(tblOrdenes[[#This Row],[backlog_habiles]]&lt;0,"FUTURO",IF(tblOrdenes[[#This Row],[backlog_habiles]]&gt;p_dias_backlog_max,"BACKLOG","MES CORRIENTE")))</f>
        <v/>
      </c>
      <c r="AG353" s="5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18">
        <f>IF(tblOrdenes[[#This Row],[orden]]="","",_xlfn.XLOOKUP(tblOrdenes[[#This Row],[id_operacion]],tblEjecucion[id_operacion],tblEjecucion[precio],0))</f>
        <v/>
      </c>
      <c r="AM353" s="18">
        <f>IF(tblOrdenes[[#This Row],[orden]]="","",MAX(0,_xlfn.XLOOKUP(tblOrdenes[[#This Row],[id_operacion]],tblEjecucion[id_operacion],tblEjecucion[costo_plan_total],0)-tblOrdenes[[#This Row],[costo_servicio]]))</f>
        <v/>
      </c>
      <c r="AN353" s="18">
        <f>IF(tblOrdenes[[#This Row],[orden]]="","",tblOrdenes[[#This Row],[costo_servicio]]+tblOrdenes[[#This Row],[costo_materiales]])</f>
        <v/>
      </c>
      <c r="AO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5">
        <f>IF(tblOrdenes[[#This Row],[link_checklist]]="","",HYPERLINK(p_ruta_base_checklists&amp;tblOrdenes[[#This Row],[link_checklist]],"abrir"))</f>
        <v/>
      </c>
      <c r="AT353" s="4" t="n"/>
      <c r="AU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5" t="n"/>
      <c r="K354" s="5" t="n"/>
      <c r="L354" s="18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Row],[fecha_inicio]]="","",tblOrdenes[[#This Row],[anio]]&amp;"-"&amp;TEXT(tblOrdenes[[#This Row],[mes]],"00"))</f>
        <v/>
      </c>
      <c r="S354" s="5">
        <f>IF(tblOrdenes[[#This Row],[fecha_inicio]]="","",INDEX(lista_dias,WEEKDAY(tblOrdenes[[#This Row],[fecha_inicio]],2)))</f>
        <v/>
      </c>
      <c r="T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5">
        <f>IF(tblOrdenes[[#This Row],[tipo_ot]]="","",_xlfn.XLOOKUP(tblOrdenes[[#This Row],[tipo_ot]],tblTiposOT[codigo],tblTiposOT[clasificacion],"sin_clasificar"))</f>
        <v/>
      </c>
      <c r="V3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5">
        <f>IF(tblOrdenes[[#This Row],[centro_costo]]="","",_xlfn.XLOOKUP(tblOrdenes[[#This Row],[centro_costo]],tblCECO[codigo],tblCECO[linea],"(sin catálogo)"))</f>
        <v/>
      </c>
      <c r="Y354" s="5">
        <f>IF(tblOrdenes[[#This Row],[centro_costo]]="","",_xlfn.XLOOKUP(tblOrdenes[[#This Row],[centro_costo]],tblCECO[codigo],tblCECO[area],"(sin catálogo)"))</f>
        <v/>
      </c>
      <c r="Z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5">
        <f>IF(tblOrdenes[[#This Row],[centro_costo]]="","",_xlfn.XLOOKUP(tblOrdenes[[#This Row],[centro_costo]],tblCECO[codigo],tblCECO[coordinador],"(sin catálogo)"))</f>
        <v/>
      </c>
      <c r="AB354" s="5">
        <f>IF(tblOrdenes[[#This Row],[puesto_trabajo]]="","",_xlfn.XLOOKUP(tblOrdenes[[#This Row],[puesto_trabajo]],tblPuestos[codigo],tblPuestos[especialidad],"(sin catálogo)"))</f>
        <v/>
      </c>
      <c r="AC354" s="5">
        <f>IF(tblOrdenes[[#This Row],[cod_actividad]]="","",_xlfn.XLOOKUP(tblOrdenes[[#This Row],[cod_actividad]],tblActividades[codigo],tblActividades[descripcion],"(sin catálogo)"))</f>
        <v/>
      </c>
      <c r="AD354" s="23">
        <f>IF(tblOrdenes[[#This Row],[fecha_inicio]]="","",TODAY()-tblOrdenes[[#This Row],[fecha_inicio]])</f>
        <v/>
      </c>
      <c r="AE3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5">
        <f>IF(tblOrdenes[[#This Row],[backlog_habiles]]="","",IF(tblOrdenes[[#This Row],[backlog_habiles]]&lt;0,"FUTURO",IF(tblOrdenes[[#This Row],[backlog_habiles]]&gt;p_dias_backlog_max,"BACKLOG","MES CORRIENTE")))</f>
        <v/>
      </c>
      <c r="AG354" s="5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18">
        <f>IF(tblOrdenes[[#This Row],[orden]]="","",_xlfn.XLOOKUP(tblOrdenes[[#This Row],[id_operacion]],tblEjecucion[id_operacion],tblEjecucion[precio],0))</f>
        <v/>
      </c>
      <c r="AM354" s="18">
        <f>IF(tblOrdenes[[#This Row],[orden]]="","",MAX(0,_xlfn.XLOOKUP(tblOrdenes[[#This Row],[id_operacion]],tblEjecucion[id_operacion],tblEjecucion[costo_plan_total],0)-tblOrdenes[[#This Row],[costo_servicio]]))</f>
        <v/>
      </c>
      <c r="AN354" s="18">
        <f>IF(tblOrdenes[[#This Row],[orden]]="","",tblOrdenes[[#This Row],[costo_servicio]]+tblOrdenes[[#This Row],[costo_materiales]])</f>
        <v/>
      </c>
      <c r="AO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5">
        <f>IF(tblOrdenes[[#This Row],[link_checklist]]="","",HYPERLINK(p_ruta_base_checklists&amp;tblOrdenes[[#This Row],[link_checklist]],"abrir"))</f>
        <v/>
      </c>
      <c r="AT354" s="4" t="n"/>
      <c r="AU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5" t="n"/>
      <c r="K355" s="5" t="n"/>
      <c r="L355" s="18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Row],[fecha_inicio]]="","",tblOrdenes[[#This Row],[anio]]&amp;"-"&amp;TEXT(tblOrdenes[[#This Row],[mes]],"00"))</f>
        <v/>
      </c>
      <c r="S355" s="5">
        <f>IF(tblOrdenes[[#This Row],[fecha_inicio]]="","",INDEX(lista_dias,WEEKDAY(tblOrdenes[[#This Row],[fecha_inicio]],2)))</f>
        <v/>
      </c>
      <c r="T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5">
        <f>IF(tblOrdenes[[#This Row],[tipo_ot]]="","",_xlfn.XLOOKUP(tblOrdenes[[#This Row],[tipo_ot]],tblTiposOT[codigo],tblTiposOT[clasificacion],"sin_clasificar"))</f>
        <v/>
      </c>
      <c r="V3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5">
        <f>IF(tblOrdenes[[#This Row],[centro_costo]]="","",_xlfn.XLOOKUP(tblOrdenes[[#This Row],[centro_costo]],tblCECO[codigo],tblCECO[linea],"(sin catálogo)"))</f>
        <v/>
      </c>
      <c r="Y355" s="5">
        <f>IF(tblOrdenes[[#This Row],[centro_costo]]="","",_xlfn.XLOOKUP(tblOrdenes[[#This Row],[centro_costo]],tblCECO[codigo],tblCECO[area],"(sin catálogo)"))</f>
        <v/>
      </c>
      <c r="Z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5">
        <f>IF(tblOrdenes[[#This Row],[centro_costo]]="","",_xlfn.XLOOKUP(tblOrdenes[[#This Row],[centro_costo]],tblCECO[codigo],tblCECO[coordinador],"(sin catálogo)"))</f>
        <v/>
      </c>
      <c r="AB355" s="5">
        <f>IF(tblOrdenes[[#This Row],[puesto_trabajo]]="","",_xlfn.XLOOKUP(tblOrdenes[[#This Row],[puesto_trabajo]],tblPuestos[codigo],tblPuestos[especialidad],"(sin catálogo)"))</f>
        <v/>
      </c>
      <c r="AC355" s="5">
        <f>IF(tblOrdenes[[#This Row],[cod_actividad]]="","",_xlfn.XLOOKUP(tblOrdenes[[#This Row],[cod_actividad]],tblActividades[codigo],tblActividades[descripcion],"(sin catálogo)"))</f>
        <v/>
      </c>
      <c r="AD355" s="23">
        <f>IF(tblOrdenes[[#This Row],[fecha_inicio]]="","",TODAY()-tblOrdenes[[#This Row],[fecha_inicio]])</f>
        <v/>
      </c>
      <c r="AE3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5">
        <f>IF(tblOrdenes[[#This Row],[backlog_habiles]]="","",IF(tblOrdenes[[#This Row],[backlog_habiles]]&lt;0,"FUTURO",IF(tblOrdenes[[#This Row],[backlog_habiles]]&gt;p_dias_backlog_max,"BACKLOG","MES CORRIENTE")))</f>
        <v/>
      </c>
      <c r="AG355" s="5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18">
        <f>IF(tblOrdenes[[#This Row],[orden]]="","",_xlfn.XLOOKUP(tblOrdenes[[#This Row],[id_operacion]],tblEjecucion[id_operacion],tblEjecucion[precio],0))</f>
        <v/>
      </c>
      <c r="AM355" s="18">
        <f>IF(tblOrdenes[[#This Row],[orden]]="","",MAX(0,_xlfn.XLOOKUP(tblOrdenes[[#This Row],[id_operacion]],tblEjecucion[id_operacion],tblEjecucion[costo_plan_total],0)-tblOrdenes[[#This Row],[costo_servicio]]))</f>
        <v/>
      </c>
      <c r="AN355" s="18">
        <f>IF(tblOrdenes[[#This Row],[orden]]="","",tblOrdenes[[#This Row],[costo_servicio]]+tblOrdenes[[#This Row],[costo_materiales]])</f>
        <v/>
      </c>
      <c r="AO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5">
        <f>IF(tblOrdenes[[#This Row],[link_checklist]]="","",HYPERLINK(p_ruta_base_checklists&amp;tblOrdenes[[#This Row],[link_checklist]],"abrir"))</f>
        <v/>
      </c>
      <c r="AT355" s="4" t="n"/>
      <c r="AU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5" t="n"/>
      <c r="K356" s="5" t="n"/>
      <c r="L356" s="18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Row],[fecha_inicio]]="","",tblOrdenes[[#This Row],[anio]]&amp;"-"&amp;TEXT(tblOrdenes[[#This Row],[mes]],"00"))</f>
        <v/>
      </c>
      <c r="S356" s="5">
        <f>IF(tblOrdenes[[#This Row],[fecha_inicio]]="","",INDEX(lista_dias,WEEKDAY(tblOrdenes[[#This Row],[fecha_inicio]],2)))</f>
        <v/>
      </c>
      <c r="T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5">
        <f>IF(tblOrdenes[[#This Row],[tipo_ot]]="","",_xlfn.XLOOKUP(tblOrdenes[[#This Row],[tipo_ot]],tblTiposOT[codigo],tblTiposOT[clasificacion],"sin_clasificar"))</f>
        <v/>
      </c>
      <c r="V3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5">
        <f>IF(tblOrdenes[[#This Row],[centro_costo]]="","",_xlfn.XLOOKUP(tblOrdenes[[#This Row],[centro_costo]],tblCECO[codigo],tblCECO[linea],"(sin catálogo)"))</f>
        <v/>
      </c>
      <c r="Y356" s="5">
        <f>IF(tblOrdenes[[#This Row],[centro_costo]]="","",_xlfn.XLOOKUP(tblOrdenes[[#This Row],[centro_costo]],tblCECO[codigo],tblCECO[area],"(sin catálogo)"))</f>
        <v/>
      </c>
      <c r="Z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5">
        <f>IF(tblOrdenes[[#This Row],[centro_costo]]="","",_xlfn.XLOOKUP(tblOrdenes[[#This Row],[centro_costo]],tblCECO[codigo],tblCECO[coordinador],"(sin catálogo)"))</f>
        <v/>
      </c>
      <c r="AB356" s="5">
        <f>IF(tblOrdenes[[#This Row],[puesto_trabajo]]="","",_xlfn.XLOOKUP(tblOrdenes[[#This Row],[puesto_trabajo]],tblPuestos[codigo],tblPuestos[especialidad],"(sin catálogo)"))</f>
        <v/>
      </c>
      <c r="AC356" s="5">
        <f>IF(tblOrdenes[[#This Row],[cod_actividad]]="","",_xlfn.XLOOKUP(tblOrdenes[[#This Row],[cod_actividad]],tblActividades[codigo],tblActividades[descripcion],"(sin catálogo)"))</f>
        <v/>
      </c>
      <c r="AD356" s="23">
        <f>IF(tblOrdenes[[#This Row],[fecha_inicio]]="","",TODAY()-tblOrdenes[[#This Row],[fecha_inicio]])</f>
        <v/>
      </c>
      <c r="AE3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5">
        <f>IF(tblOrdenes[[#This Row],[backlog_habiles]]="","",IF(tblOrdenes[[#This Row],[backlog_habiles]]&lt;0,"FUTURO",IF(tblOrdenes[[#This Row],[backlog_habiles]]&gt;p_dias_backlog_max,"BACKLOG","MES CORRIENTE")))</f>
        <v/>
      </c>
      <c r="AG356" s="5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18">
        <f>IF(tblOrdenes[[#This Row],[orden]]="","",_xlfn.XLOOKUP(tblOrdenes[[#This Row],[id_operacion]],tblEjecucion[id_operacion],tblEjecucion[precio],0))</f>
        <v/>
      </c>
      <c r="AM356" s="18">
        <f>IF(tblOrdenes[[#This Row],[orden]]="","",MAX(0,_xlfn.XLOOKUP(tblOrdenes[[#This Row],[id_operacion]],tblEjecucion[id_operacion],tblEjecucion[costo_plan_total],0)-tblOrdenes[[#This Row],[costo_servicio]]))</f>
        <v/>
      </c>
      <c r="AN356" s="18">
        <f>IF(tblOrdenes[[#This Row],[orden]]="","",tblOrdenes[[#This Row],[costo_servicio]]+tblOrdenes[[#This Row],[costo_materiales]])</f>
        <v/>
      </c>
      <c r="AO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5">
        <f>IF(tblOrdenes[[#This Row],[link_checklist]]="","",HYPERLINK(p_ruta_base_checklists&amp;tblOrdenes[[#This Row],[link_checklist]],"abrir"))</f>
        <v/>
      </c>
      <c r="AT356" s="4" t="n"/>
      <c r="AU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5" t="n"/>
      <c r="K357" s="5" t="n"/>
      <c r="L357" s="18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Row],[fecha_inicio]]="","",tblOrdenes[[#This Row],[anio]]&amp;"-"&amp;TEXT(tblOrdenes[[#This Row],[mes]],"00"))</f>
        <v/>
      </c>
      <c r="S357" s="5">
        <f>IF(tblOrdenes[[#This Row],[fecha_inicio]]="","",INDEX(lista_dias,WEEKDAY(tblOrdenes[[#This Row],[fecha_inicio]],2)))</f>
        <v/>
      </c>
      <c r="T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5">
        <f>IF(tblOrdenes[[#This Row],[tipo_ot]]="","",_xlfn.XLOOKUP(tblOrdenes[[#This Row],[tipo_ot]],tblTiposOT[codigo],tblTiposOT[clasificacion],"sin_clasificar"))</f>
        <v/>
      </c>
      <c r="V3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5">
        <f>IF(tblOrdenes[[#This Row],[centro_costo]]="","",_xlfn.XLOOKUP(tblOrdenes[[#This Row],[centro_costo]],tblCECO[codigo],tblCECO[linea],"(sin catálogo)"))</f>
        <v/>
      </c>
      <c r="Y357" s="5">
        <f>IF(tblOrdenes[[#This Row],[centro_costo]]="","",_xlfn.XLOOKUP(tblOrdenes[[#This Row],[centro_costo]],tblCECO[codigo],tblCECO[area],"(sin catálogo)"))</f>
        <v/>
      </c>
      <c r="Z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5">
        <f>IF(tblOrdenes[[#This Row],[centro_costo]]="","",_xlfn.XLOOKUP(tblOrdenes[[#This Row],[centro_costo]],tblCECO[codigo],tblCECO[coordinador],"(sin catálogo)"))</f>
        <v/>
      </c>
      <c r="AB357" s="5">
        <f>IF(tblOrdenes[[#This Row],[puesto_trabajo]]="","",_xlfn.XLOOKUP(tblOrdenes[[#This Row],[puesto_trabajo]],tblPuestos[codigo],tblPuestos[especialidad],"(sin catálogo)"))</f>
        <v/>
      </c>
      <c r="AC357" s="5">
        <f>IF(tblOrdenes[[#This Row],[cod_actividad]]="","",_xlfn.XLOOKUP(tblOrdenes[[#This Row],[cod_actividad]],tblActividades[codigo],tblActividades[descripcion],"(sin catálogo)"))</f>
        <v/>
      </c>
      <c r="AD357" s="23">
        <f>IF(tblOrdenes[[#This Row],[fecha_inicio]]="","",TODAY()-tblOrdenes[[#This Row],[fecha_inicio]])</f>
        <v/>
      </c>
      <c r="AE3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5">
        <f>IF(tblOrdenes[[#This Row],[backlog_habiles]]="","",IF(tblOrdenes[[#This Row],[backlog_habiles]]&lt;0,"FUTURO",IF(tblOrdenes[[#This Row],[backlog_habiles]]&gt;p_dias_backlog_max,"BACKLOG","MES CORRIENTE")))</f>
        <v/>
      </c>
      <c r="AG357" s="5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18">
        <f>IF(tblOrdenes[[#This Row],[orden]]="","",_xlfn.XLOOKUP(tblOrdenes[[#This Row],[id_operacion]],tblEjecucion[id_operacion],tblEjecucion[precio],0))</f>
        <v/>
      </c>
      <c r="AM357" s="18">
        <f>IF(tblOrdenes[[#This Row],[orden]]="","",MAX(0,_xlfn.XLOOKUP(tblOrdenes[[#This Row],[id_operacion]],tblEjecucion[id_operacion],tblEjecucion[costo_plan_total],0)-tblOrdenes[[#This Row],[costo_servicio]]))</f>
        <v/>
      </c>
      <c r="AN357" s="18">
        <f>IF(tblOrdenes[[#This Row],[orden]]="","",tblOrdenes[[#This Row],[costo_servicio]]+tblOrdenes[[#This Row],[costo_materiales]])</f>
        <v/>
      </c>
      <c r="AO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5">
        <f>IF(tblOrdenes[[#This Row],[link_checklist]]="","",HYPERLINK(p_ruta_base_checklists&amp;tblOrdenes[[#This Row],[link_checklist]],"abrir"))</f>
        <v/>
      </c>
      <c r="AT357" s="4" t="n"/>
      <c r="AU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5" t="n"/>
      <c r="K358" s="5" t="n"/>
      <c r="L358" s="18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Row],[fecha_inicio]]="","",tblOrdenes[[#This Row],[anio]]&amp;"-"&amp;TEXT(tblOrdenes[[#This Row],[mes]],"00"))</f>
        <v/>
      </c>
      <c r="S358" s="5">
        <f>IF(tblOrdenes[[#This Row],[fecha_inicio]]="","",INDEX(lista_dias,WEEKDAY(tblOrdenes[[#This Row],[fecha_inicio]],2)))</f>
        <v/>
      </c>
      <c r="T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5">
        <f>IF(tblOrdenes[[#This Row],[tipo_ot]]="","",_xlfn.XLOOKUP(tblOrdenes[[#This Row],[tipo_ot]],tblTiposOT[codigo],tblTiposOT[clasificacion],"sin_clasificar"))</f>
        <v/>
      </c>
      <c r="V3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5">
        <f>IF(tblOrdenes[[#This Row],[centro_costo]]="","",_xlfn.XLOOKUP(tblOrdenes[[#This Row],[centro_costo]],tblCECO[codigo],tblCECO[linea],"(sin catálogo)"))</f>
        <v/>
      </c>
      <c r="Y358" s="5">
        <f>IF(tblOrdenes[[#This Row],[centro_costo]]="","",_xlfn.XLOOKUP(tblOrdenes[[#This Row],[centro_costo]],tblCECO[codigo],tblCECO[area],"(sin catálogo)"))</f>
        <v/>
      </c>
      <c r="Z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5">
        <f>IF(tblOrdenes[[#This Row],[centro_costo]]="","",_xlfn.XLOOKUP(tblOrdenes[[#This Row],[centro_costo]],tblCECO[codigo],tblCECO[coordinador],"(sin catálogo)"))</f>
        <v/>
      </c>
      <c r="AB358" s="5">
        <f>IF(tblOrdenes[[#This Row],[puesto_trabajo]]="","",_xlfn.XLOOKUP(tblOrdenes[[#This Row],[puesto_trabajo]],tblPuestos[codigo],tblPuestos[especialidad],"(sin catálogo)"))</f>
        <v/>
      </c>
      <c r="AC358" s="5">
        <f>IF(tblOrdenes[[#This Row],[cod_actividad]]="","",_xlfn.XLOOKUP(tblOrdenes[[#This Row],[cod_actividad]],tblActividades[codigo],tblActividades[descripcion],"(sin catálogo)"))</f>
        <v/>
      </c>
      <c r="AD358" s="23">
        <f>IF(tblOrdenes[[#This Row],[fecha_inicio]]="","",TODAY()-tblOrdenes[[#This Row],[fecha_inicio]])</f>
        <v/>
      </c>
      <c r="AE3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5">
        <f>IF(tblOrdenes[[#This Row],[backlog_habiles]]="","",IF(tblOrdenes[[#This Row],[backlog_habiles]]&lt;0,"FUTURO",IF(tblOrdenes[[#This Row],[backlog_habiles]]&gt;p_dias_backlog_max,"BACKLOG","MES CORRIENTE")))</f>
        <v/>
      </c>
      <c r="AG358" s="5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18">
        <f>IF(tblOrdenes[[#This Row],[orden]]="","",_xlfn.XLOOKUP(tblOrdenes[[#This Row],[id_operacion]],tblEjecucion[id_operacion],tblEjecucion[precio],0))</f>
        <v/>
      </c>
      <c r="AM358" s="18">
        <f>IF(tblOrdenes[[#This Row],[orden]]="","",MAX(0,_xlfn.XLOOKUP(tblOrdenes[[#This Row],[id_operacion]],tblEjecucion[id_operacion],tblEjecucion[costo_plan_total],0)-tblOrdenes[[#This Row],[costo_servicio]]))</f>
        <v/>
      </c>
      <c r="AN358" s="18">
        <f>IF(tblOrdenes[[#This Row],[orden]]="","",tblOrdenes[[#This Row],[costo_servicio]]+tblOrdenes[[#This Row],[costo_materiales]])</f>
        <v/>
      </c>
      <c r="AO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5">
        <f>IF(tblOrdenes[[#This Row],[link_checklist]]="","",HYPERLINK(p_ruta_base_checklists&amp;tblOrdenes[[#This Row],[link_checklist]],"abrir"))</f>
        <v/>
      </c>
      <c r="AT358" s="4" t="n"/>
      <c r="AU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5" t="n"/>
      <c r="K359" s="5" t="n"/>
      <c r="L359" s="18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Row],[fecha_inicio]]="","",tblOrdenes[[#This Row],[anio]]&amp;"-"&amp;TEXT(tblOrdenes[[#This Row],[mes]],"00"))</f>
        <v/>
      </c>
      <c r="S359" s="5">
        <f>IF(tblOrdenes[[#This Row],[fecha_inicio]]="","",INDEX(lista_dias,WEEKDAY(tblOrdenes[[#This Row],[fecha_inicio]],2)))</f>
        <v/>
      </c>
      <c r="T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5">
        <f>IF(tblOrdenes[[#This Row],[tipo_ot]]="","",_xlfn.XLOOKUP(tblOrdenes[[#This Row],[tipo_ot]],tblTiposOT[codigo],tblTiposOT[clasificacion],"sin_clasificar"))</f>
        <v/>
      </c>
      <c r="V3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5">
        <f>IF(tblOrdenes[[#This Row],[centro_costo]]="","",_xlfn.XLOOKUP(tblOrdenes[[#This Row],[centro_costo]],tblCECO[codigo],tblCECO[linea],"(sin catálogo)"))</f>
        <v/>
      </c>
      <c r="Y359" s="5">
        <f>IF(tblOrdenes[[#This Row],[centro_costo]]="","",_xlfn.XLOOKUP(tblOrdenes[[#This Row],[centro_costo]],tblCECO[codigo],tblCECO[area],"(sin catálogo)"))</f>
        <v/>
      </c>
      <c r="Z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5">
        <f>IF(tblOrdenes[[#This Row],[centro_costo]]="","",_xlfn.XLOOKUP(tblOrdenes[[#This Row],[centro_costo]],tblCECO[codigo],tblCECO[coordinador],"(sin catálogo)"))</f>
        <v/>
      </c>
      <c r="AB359" s="5">
        <f>IF(tblOrdenes[[#This Row],[puesto_trabajo]]="","",_xlfn.XLOOKUP(tblOrdenes[[#This Row],[puesto_trabajo]],tblPuestos[codigo],tblPuestos[especialidad],"(sin catálogo)"))</f>
        <v/>
      </c>
      <c r="AC359" s="5">
        <f>IF(tblOrdenes[[#This Row],[cod_actividad]]="","",_xlfn.XLOOKUP(tblOrdenes[[#This Row],[cod_actividad]],tblActividades[codigo],tblActividades[descripcion],"(sin catálogo)"))</f>
        <v/>
      </c>
      <c r="AD359" s="23">
        <f>IF(tblOrdenes[[#This Row],[fecha_inicio]]="","",TODAY()-tblOrdenes[[#This Row],[fecha_inicio]])</f>
        <v/>
      </c>
      <c r="AE3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5">
        <f>IF(tblOrdenes[[#This Row],[backlog_habiles]]="","",IF(tblOrdenes[[#This Row],[backlog_habiles]]&lt;0,"FUTURO",IF(tblOrdenes[[#This Row],[backlog_habiles]]&gt;p_dias_backlog_max,"BACKLOG","MES CORRIENTE")))</f>
        <v/>
      </c>
      <c r="AG359" s="5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18">
        <f>IF(tblOrdenes[[#This Row],[orden]]="","",_xlfn.XLOOKUP(tblOrdenes[[#This Row],[id_operacion]],tblEjecucion[id_operacion],tblEjecucion[precio],0))</f>
        <v/>
      </c>
      <c r="AM359" s="18">
        <f>IF(tblOrdenes[[#This Row],[orden]]="","",MAX(0,_xlfn.XLOOKUP(tblOrdenes[[#This Row],[id_operacion]],tblEjecucion[id_operacion],tblEjecucion[costo_plan_total],0)-tblOrdenes[[#This Row],[costo_servicio]]))</f>
        <v/>
      </c>
      <c r="AN359" s="18">
        <f>IF(tblOrdenes[[#This Row],[orden]]="","",tblOrdenes[[#This Row],[costo_servicio]]+tblOrdenes[[#This Row],[costo_materiales]])</f>
        <v/>
      </c>
      <c r="AO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5">
        <f>IF(tblOrdenes[[#This Row],[link_checklist]]="","",HYPERLINK(p_ruta_base_checklists&amp;tblOrdenes[[#This Row],[link_checklist]],"abrir"))</f>
        <v/>
      </c>
      <c r="AT359" s="4" t="n"/>
      <c r="AU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5" t="n"/>
      <c r="K360" s="5" t="n"/>
      <c r="L360" s="18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Row],[fecha_inicio]]="","",tblOrdenes[[#This Row],[anio]]&amp;"-"&amp;TEXT(tblOrdenes[[#This Row],[mes]],"00"))</f>
        <v/>
      </c>
      <c r="S360" s="5">
        <f>IF(tblOrdenes[[#This Row],[fecha_inicio]]="","",INDEX(lista_dias,WEEKDAY(tblOrdenes[[#This Row],[fecha_inicio]],2)))</f>
        <v/>
      </c>
      <c r="T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5">
        <f>IF(tblOrdenes[[#This Row],[tipo_ot]]="","",_xlfn.XLOOKUP(tblOrdenes[[#This Row],[tipo_ot]],tblTiposOT[codigo],tblTiposOT[clasificacion],"sin_clasificar"))</f>
        <v/>
      </c>
      <c r="V3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5">
        <f>IF(tblOrdenes[[#This Row],[centro_costo]]="","",_xlfn.XLOOKUP(tblOrdenes[[#This Row],[centro_costo]],tblCECO[codigo],tblCECO[linea],"(sin catálogo)"))</f>
        <v/>
      </c>
      <c r="Y360" s="5">
        <f>IF(tblOrdenes[[#This Row],[centro_costo]]="","",_xlfn.XLOOKUP(tblOrdenes[[#This Row],[centro_costo]],tblCECO[codigo],tblCECO[area],"(sin catálogo)"))</f>
        <v/>
      </c>
      <c r="Z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5">
        <f>IF(tblOrdenes[[#This Row],[centro_costo]]="","",_xlfn.XLOOKUP(tblOrdenes[[#This Row],[centro_costo]],tblCECO[codigo],tblCECO[coordinador],"(sin catálogo)"))</f>
        <v/>
      </c>
      <c r="AB360" s="5">
        <f>IF(tblOrdenes[[#This Row],[puesto_trabajo]]="","",_xlfn.XLOOKUP(tblOrdenes[[#This Row],[puesto_trabajo]],tblPuestos[codigo],tblPuestos[especialidad],"(sin catálogo)"))</f>
        <v/>
      </c>
      <c r="AC360" s="5">
        <f>IF(tblOrdenes[[#This Row],[cod_actividad]]="","",_xlfn.XLOOKUP(tblOrdenes[[#This Row],[cod_actividad]],tblActividades[codigo],tblActividades[descripcion],"(sin catálogo)"))</f>
        <v/>
      </c>
      <c r="AD360" s="23">
        <f>IF(tblOrdenes[[#This Row],[fecha_inicio]]="","",TODAY()-tblOrdenes[[#This Row],[fecha_inicio]])</f>
        <v/>
      </c>
      <c r="AE3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5">
        <f>IF(tblOrdenes[[#This Row],[backlog_habiles]]="","",IF(tblOrdenes[[#This Row],[backlog_habiles]]&lt;0,"FUTURO",IF(tblOrdenes[[#This Row],[backlog_habiles]]&gt;p_dias_backlog_max,"BACKLOG","MES CORRIENTE")))</f>
        <v/>
      </c>
      <c r="AG360" s="5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18">
        <f>IF(tblOrdenes[[#This Row],[orden]]="","",_xlfn.XLOOKUP(tblOrdenes[[#This Row],[id_operacion]],tblEjecucion[id_operacion],tblEjecucion[precio],0))</f>
        <v/>
      </c>
      <c r="AM360" s="18">
        <f>IF(tblOrdenes[[#This Row],[orden]]="","",MAX(0,_xlfn.XLOOKUP(tblOrdenes[[#This Row],[id_operacion]],tblEjecucion[id_operacion],tblEjecucion[costo_plan_total],0)-tblOrdenes[[#This Row],[costo_servicio]]))</f>
        <v/>
      </c>
      <c r="AN360" s="18">
        <f>IF(tblOrdenes[[#This Row],[orden]]="","",tblOrdenes[[#This Row],[costo_servicio]]+tblOrdenes[[#This Row],[costo_materiales]])</f>
        <v/>
      </c>
      <c r="AO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5">
        <f>IF(tblOrdenes[[#This Row],[link_checklist]]="","",HYPERLINK(p_ruta_base_checklists&amp;tblOrdenes[[#This Row],[link_checklist]],"abrir"))</f>
        <v/>
      </c>
      <c r="AT360" s="4" t="n"/>
      <c r="AU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5" t="n"/>
      <c r="K361" s="5" t="n"/>
      <c r="L361" s="18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Row],[fecha_inicio]]="","",tblOrdenes[[#This Row],[anio]]&amp;"-"&amp;TEXT(tblOrdenes[[#This Row],[mes]],"00"))</f>
        <v/>
      </c>
      <c r="S361" s="5">
        <f>IF(tblOrdenes[[#This Row],[fecha_inicio]]="","",INDEX(lista_dias,WEEKDAY(tblOrdenes[[#This Row],[fecha_inicio]],2)))</f>
        <v/>
      </c>
      <c r="T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5">
        <f>IF(tblOrdenes[[#This Row],[tipo_ot]]="","",_xlfn.XLOOKUP(tblOrdenes[[#This Row],[tipo_ot]],tblTiposOT[codigo],tblTiposOT[clasificacion],"sin_clasificar"))</f>
        <v/>
      </c>
      <c r="V3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5">
        <f>IF(tblOrdenes[[#This Row],[centro_costo]]="","",_xlfn.XLOOKUP(tblOrdenes[[#This Row],[centro_costo]],tblCECO[codigo],tblCECO[linea],"(sin catálogo)"))</f>
        <v/>
      </c>
      <c r="Y361" s="5">
        <f>IF(tblOrdenes[[#This Row],[centro_costo]]="","",_xlfn.XLOOKUP(tblOrdenes[[#This Row],[centro_costo]],tblCECO[codigo],tblCECO[area],"(sin catálogo)"))</f>
        <v/>
      </c>
      <c r="Z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5">
        <f>IF(tblOrdenes[[#This Row],[centro_costo]]="","",_xlfn.XLOOKUP(tblOrdenes[[#This Row],[centro_costo]],tblCECO[codigo],tblCECO[coordinador],"(sin catálogo)"))</f>
        <v/>
      </c>
      <c r="AB361" s="5">
        <f>IF(tblOrdenes[[#This Row],[puesto_trabajo]]="","",_xlfn.XLOOKUP(tblOrdenes[[#This Row],[puesto_trabajo]],tblPuestos[codigo],tblPuestos[especialidad],"(sin catálogo)"))</f>
        <v/>
      </c>
      <c r="AC361" s="5">
        <f>IF(tblOrdenes[[#This Row],[cod_actividad]]="","",_xlfn.XLOOKUP(tblOrdenes[[#This Row],[cod_actividad]],tblActividades[codigo],tblActividades[descripcion],"(sin catálogo)"))</f>
        <v/>
      </c>
      <c r="AD361" s="23">
        <f>IF(tblOrdenes[[#This Row],[fecha_inicio]]="","",TODAY()-tblOrdenes[[#This Row],[fecha_inicio]])</f>
        <v/>
      </c>
      <c r="AE3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5">
        <f>IF(tblOrdenes[[#This Row],[backlog_habiles]]="","",IF(tblOrdenes[[#This Row],[backlog_habiles]]&lt;0,"FUTURO",IF(tblOrdenes[[#This Row],[backlog_habiles]]&gt;p_dias_backlog_max,"BACKLOG","MES CORRIENTE")))</f>
        <v/>
      </c>
      <c r="AG361" s="5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18">
        <f>IF(tblOrdenes[[#This Row],[orden]]="","",_xlfn.XLOOKUP(tblOrdenes[[#This Row],[id_operacion]],tblEjecucion[id_operacion],tblEjecucion[precio],0))</f>
        <v/>
      </c>
      <c r="AM361" s="18">
        <f>IF(tblOrdenes[[#This Row],[orden]]="","",MAX(0,_xlfn.XLOOKUP(tblOrdenes[[#This Row],[id_operacion]],tblEjecucion[id_operacion],tblEjecucion[costo_plan_total],0)-tblOrdenes[[#This Row],[costo_servicio]]))</f>
        <v/>
      </c>
      <c r="AN361" s="18">
        <f>IF(tblOrdenes[[#This Row],[orden]]="","",tblOrdenes[[#This Row],[costo_servicio]]+tblOrdenes[[#This Row],[costo_materiales]])</f>
        <v/>
      </c>
      <c r="AO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5">
        <f>IF(tblOrdenes[[#This Row],[link_checklist]]="","",HYPERLINK(p_ruta_base_checklists&amp;tblOrdenes[[#This Row],[link_checklist]],"abrir"))</f>
        <v/>
      </c>
      <c r="AT361" s="4" t="n"/>
      <c r="AU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5" t="n"/>
      <c r="K362" s="5" t="n"/>
      <c r="L362" s="18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Row],[fecha_inicio]]="","",tblOrdenes[[#This Row],[anio]]&amp;"-"&amp;TEXT(tblOrdenes[[#This Row],[mes]],"00"))</f>
        <v/>
      </c>
      <c r="S362" s="5">
        <f>IF(tblOrdenes[[#This Row],[fecha_inicio]]="","",INDEX(lista_dias,WEEKDAY(tblOrdenes[[#This Row],[fecha_inicio]],2)))</f>
        <v/>
      </c>
      <c r="T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5">
        <f>IF(tblOrdenes[[#This Row],[tipo_ot]]="","",_xlfn.XLOOKUP(tblOrdenes[[#This Row],[tipo_ot]],tblTiposOT[codigo],tblTiposOT[clasificacion],"sin_clasificar"))</f>
        <v/>
      </c>
      <c r="V3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5">
        <f>IF(tblOrdenes[[#This Row],[centro_costo]]="","",_xlfn.XLOOKUP(tblOrdenes[[#This Row],[centro_costo]],tblCECO[codigo],tblCECO[linea],"(sin catálogo)"))</f>
        <v/>
      </c>
      <c r="Y362" s="5">
        <f>IF(tblOrdenes[[#This Row],[centro_costo]]="","",_xlfn.XLOOKUP(tblOrdenes[[#This Row],[centro_costo]],tblCECO[codigo],tblCECO[area],"(sin catálogo)"))</f>
        <v/>
      </c>
      <c r="Z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5">
        <f>IF(tblOrdenes[[#This Row],[centro_costo]]="","",_xlfn.XLOOKUP(tblOrdenes[[#This Row],[centro_costo]],tblCECO[codigo],tblCECO[coordinador],"(sin catálogo)"))</f>
        <v/>
      </c>
      <c r="AB362" s="5">
        <f>IF(tblOrdenes[[#This Row],[puesto_trabajo]]="","",_xlfn.XLOOKUP(tblOrdenes[[#This Row],[puesto_trabajo]],tblPuestos[codigo],tblPuestos[especialidad],"(sin catálogo)"))</f>
        <v/>
      </c>
      <c r="AC362" s="5">
        <f>IF(tblOrdenes[[#This Row],[cod_actividad]]="","",_xlfn.XLOOKUP(tblOrdenes[[#This Row],[cod_actividad]],tblActividades[codigo],tblActividades[descripcion],"(sin catálogo)"))</f>
        <v/>
      </c>
      <c r="AD362" s="23">
        <f>IF(tblOrdenes[[#This Row],[fecha_inicio]]="","",TODAY()-tblOrdenes[[#This Row],[fecha_inicio]])</f>
        <v/>
      </c>
      <c r="AE3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5">
        <f>IF(tblOrdenes[[#This Row],[backlog_habiles]]="","",IF(tblOrdenes[[#This Row],[backlog_habiles]]&lt;0,"FUTURO",IF(tblOrdenes[[#This Row],[backlog_habiles]]&gt;p_dias_backlog_max,"BACKLOG","MES CORRIENTE")))</f>
        <v/>
      </c>
      <c r="AG362" s="5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18">
        <f>IF(tblOrdenes[[#This Row],[orden]]="","",_xlfn.XLOOKUP(tblOrdenes[[#This Row],[id_operacion]],tblEjecucion[id_operacion],tblEjecucion[precio],0))</f>
        <v/>
      </c>
      <c r="AM362" s="18">
        <f>IF(tblOrdenes[[#This Row],[orden]]="","",MAX(0,_xlfn.XLOOKUP(tblOrdenes[[#This Row],[id_operacion]],tblEjecucion[id_operacion],tblEjecucion[costo_plan_total],0)-tblOrdenes[[#This Row],[costo_servicio]]))</f>
        <v/>
      </c>
      <c r="AN362" s="18">
        <f>IF(tblOrdenes[[#This Row],[orden]]="","",tblOrdenes[[#This Row],[costo_servicio]]+tblOrdenes[[#This Row],[costo_materiales]])</f>
        <v/>
      </c>
      <c r="AO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5">
        <f>IF(tblOrdenes[[#This Row],[link_checklist]]="","",HYPERLINK(p_ruta_base_checklists&amp;tblOrdenes[[#This Row],[link_checklist]],"abrir"))</f>
        <v/>
      </c>
      <c r="AT362" s="4" t="n"/>
      <c r="AU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5" t="n"/>
      <c r="K363" s="5" t="n"/>
      <c r="L363" s="18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Row],[fecha_inicio]]="","",tblOrdenes[[#This Row],[anio]]&amp;"-"&amp;TEXT(tblOrdenes[[#This Row],[mes]],"00"))</f>
        <v/>
      </c>
      <c r="S363" s="5">
        <f>IF(tblOrdenes[[#This Row],[fecha_inicio]]="","",INDEX(lista_dias,WEEKDAY(tblOrdenes[[#This Row],[fecha_inicio]],2)))</f>
        <v/>
      </c>
      <c r="T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5">
        <f>IF(tblOrdenes[[#This Row],[tipo_ot]]="","",_xlfn.XLOOKUP(tblOrdenes[[#This Row],[tipo_ot]],tblTiposOT[codigo],tblTiposOT[clasificacion],"sin_clasificar"))</f>
        <v/>
      </c>
      <c r="V3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5">
        <f>IF(tblOrdenes[[#This Row],[centro_costo]]="","",_xlfn.XLOOKUP(tblOrdenes[[#This Row],[centro_costo]],tblCECO[codigo],tblCECO[linea],"(sin catálogo)"))</f>
        <v/>
      </c>
      <c r="Y363" s="5">
        <f>IF(tblOrdenes[[#This Row],[centro_costo]]="","",_xlfn.XLOOKUP(tblOrdenes[[#This Row],[centro_costo]],tblCECO[codigo],tblCECO[area],"(sin catálogo)"))</f>
        <v/>
      </c>
      <c r="Z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5">
        <f>IF(tblOrdenes[[#This Row],[centro_costo]]="","",_xlfn.XLOOKUP(tblOrdenes[[#This Row],[centro_costo]],tblCECO[codigo],tblCECO[coordinador],"(sin catálogo)"))</f>
        <v/>
      </c>
      <c r="AB363" s="5">
        <f>IF(tblOrdenes[[#This Row],[puesto_trabajo]]="","",_xlfn.XLOOKUP(tblOrdenes[[#This Row],[puesto_trabajo]],tblPuestos[codigo],tblPuestos[especialidad],"(sin catálogo)"))</f>
        <v/>
      </c>
      <c r="AC363" s="5">
        <f>IF(tblOrdenes[[#This Row],[cod_actividad]]="","",_xlfn.XLOOKUP(tblOrdenes[[#This Row],[cod_actividad]],tblActividades[codigo],tblActividades[descripcion],"(sin catálogo)"))</f>
        <v/>
      </c>
      <c r="AD363" s="23">
        <f>IF(tblOrdenes[[#This Row],[fecha_inicio]]="","",TODAY()-tblOrdenes[[#This Row],[fecha_inicio]])</f>
        <v/>
      </c>
      <c r="AE3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5">
        <f>IF(tblOrdenes[[#This Row],[backlog_habiles]]="","",IF(tblOrdenes[[#This Row],[backlog_habiles]]&lt;0,"FUTURO",IF(tblOrdenes[[#This Row],[backlog_habiles]]&gt;p_dias_backlog_max,"BACKLOG","MES CORRIENTE")))</f>
        <v/>
      </c>
      <c r="AG363" s="5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18">
        <f>IF(tblOrdenes[[#This Row],[orden]]="","",_xlfn.XLOOKUP(tblOrdenes[[#This Row],[id_operacion]],tblEjecucion[id_operacion],tblEjecucion[precio],0))</f>
        <v/>
      </c>
      <c r="AM363" s="18">
        <f>IF(tblOrdenes[[#This Row],[orden]]="","",MAX(0,_xlfn.XLOOKUP(tblOrdenes[[#This Row],[id_operacion]],tblEjecucion[id_operacion],tblEjecucion[costo_plan_total],0)-tblOrdenes[[#This Row],[costo_servicio]]))</f>
        <v/>
      </c>
      <c r="AN363" s="18">
        <f>IF(tblOrdenes[[#This Row],[orden]]="","",tblOrdenes[[#This Row],[costo_servicio]]+tblOrdenes[[#This Row],[costo_materiales]])</f>
        <v/>
      </c>
      <c r="AO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5">
        <f>IF(tblOrdenes[[#This Row],[link_checklist]]="","",HYPERLINK(p_ruta_base_checklists&amp;tblOrdenes[[#This Row],[link_checklist]],"abrir"))</f>
        <v/>
      </c>
      <c r="AT363" s="4" t="n"/>
      <c r="AU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5" t="n"/>
      <c r="K364" s="5" t="n"/>
      <c r="L364" s="18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Row],[fecha_inicio]]="","",tblOrdenes[[#This Row],[anio]]&amp;"-"&amp;TEXT(tblOrdenes[[#This Row],[mes]],"00"))</f>
        <v/>
      </c>
      <c r="S364" s="5">
        <f>IF(tblOrdenes[[#This Row],[fecha_inicio]]="","",INDEX(lista_dias,WEEKDAY(tblOrdenes[[#This Row],[fecha_inicio]],2)))</f>
        <v/>
      </c>
      <c r="T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5">
        <f>IF(tblOrdenes[[#This Row],[tipo_ot]]="","",_xlfn.XLOOKUP(tblOrdenes[[#This Row],[tipo_ot]],tblTiposOT[codigo],tblTiposOT[clasificacion],"sin_clasificar"))</f>
        <v/>
      </c>
      <c r="V3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5">
        <f>IF(tblOrdenes[[#This Row],[centro_costo]]="","",_xlfn.XLOOKUP(tblOrdenes[[#This Row],[centro_costo]],tblCECO[codigo],tblCECO[linea],"(sin catálogo)"))</f>
        <v/>
      </c>
      <c r="Y364" s="5">
        <f>IF(tblOrdenes[[#This Row],[centro_costo]]="","",_xlfn.XLOOKUP(tblOrdenes[[#This Row],[centro_costo]],tblCECO[codigo],tblCECO[area],"(sin catálogo)"))</f>
        <v/>
      </c>
      <c r="Z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5">
        <f>IF(tblOrdenes[[#This Row],[centro_costo]]="","",_xlfn.XLOOKUP(tblOrdenes[[#This Row],[centro_costo]],tblCECO[codigo],tblCECO[coordinador],"(sin catálogo)"))</f>
        <v/>
      </c>
      <c r="AB364" s="5">
        <f>IF(tblOrdenes[[#This Row],[puesto_trabajo]]="","",_xlfn.XLOOKUP(tblOrdenes[[#This Row],[puesto_trabajo]],tblPuestos[codigo],tblPuestos[especialidad],"(sin catálogo)"))</f>
        <v/>
      </c>
      <c r="AC364" s="5">
        <f>IF(tblOrdenes[[#This Row],[cod_actividad]]="","",_xlfn.XLOOKUP(tblOrdenes[[#This Row],[cod_actividad]],tblActividades[codigo],tblActividades[descripcion],"(sin catálogo)"))</f>
        <v/>
      </c>
      <c r="AD364" s="23">
        <f>IF(tblOrdenes[[#This Row],[fecha_inicio]]="","",TODAY()-tblOrdenes[[#This Row],[fecha_inicio]])</f>
        <v/>
      </c>
      <c r="AE3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5">
        <f>IF(tblOrdenes[[#This Row],[backlog_habiles]]="","",IF(tblOrdenes[[#This Row],[backlog_habiles]]&lt;0,"FUTURO",IF(tblOrdenes[[#This Row],[backlog_habiles]]&gt;p_dias_backlog_max,"BACKLOG","MES CORRIENTE")))</f>
        <v/>
      </c>
      <c r="AG364" s="5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18">
        <f>IF(tblOrdenes[[#This Row],[orden]]="","",_xlfn.XLOOKUP(tblOrdenes[[#This Row],[id_operacion]],tblEjecucion[id_operacion],tblEjecucion[precio],0))</f>
        <v/>
      </c>
      <c r="AM364" s="18">
        <f>IF(tblOrdenes[[#This Row],[orden]]="","",MAX(0,_xlfn.XLOOKUP(tblOrdenes[[#This Row],[id_operacion]],tblEjecucion[id_operacion],tblEjecucion[costo_plan_total],0)-tblOrdenes[[#This Row],[costo_servicio]]))</f>
        <v/>
      </c>
      <c r="AN364" s="18">
        <f>IF(tblOrdenes[[#This Row],[orden]]="","",tblOrdenes[[#This Row],[costo_servicio]]+tblOrdenes[[#This Row],[costo_materiales]])</f>
        <v/>
      </c>
      <c r="AO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5">
        <f>IF(tblOrdenes[[#This Row],[link_checklist]]="","",HYPERLINK(p_ruta_base_checklists&amp;tblOrdenes[[#This Row],[link_checklist]],"abrir"))</f>
        <v/>
      </c>
      <c r="AT364" s="4" t="n"/>
      <c r="AU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5" t="n"/>
      <c r="K365" s="5" t="n"/>
      <c r="L365" s="18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Row],[fecha_inicio]]="","",tblOrdenes[[#This Row],[anio]]&amp;"-"&amp;TEXT(tblOrdenes[[#This Row],[mes]],"00"))</f>
        <v/>
      </c>
      <c r="S365" s="5">
        <f>IF(tblOrdenes[[#This Row],[fecha_inicio]]="","",INDEX(lista_dias,WEEKDAY(tblOrdenes[[#This Row],[fecha_inicio]],2)))</f>
        <v/>
      </c>
      <c r="T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5">
        <f>IF(tblOrdenes[[#This Row],[tipo_ot]]="","",_xlfn.XLOOKUP(tblOrdenes[[#This Row],[tipo_ot]],tblTiposOT[codigo],tblTiposOT[clasificacion],"sin_clasificar"))</f>
        <v/>
      </c>
      <c r="V3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5">
        <f>IF(tblOrdenes[[#This Row],[centro_costo]]="","",_xlfn.XLOOKUP(tblOrdenes[[#This Row],[centro_costo]],tblCECO[codigo],tblCECO[linea],"(sin catálogo)"))</f>
        <v/>
      </c>
      <c r="Y365" s="5">
        <f>IF(tblOrdenes[[#This Row],[centro_costo]]="","",_xlfn.XLOOKUP(tblOrdenes[[#This Row],[centro_costo]],tblCECO[codigo],tblCECO[area],"(sin catálogo)"))</f>
        <v/>
      </c>
      <c r="Z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5">
        <f>IF(tblOrdenes[[#This Row],[centro_costo]]="","",_xlfn.XLOOKUP(tblOrdenes[[#This Row],[centro_costo]],tblCECO[codigo],tblCECO[coordinador],"(sin catálogo)"))</f>
        <v/>
      </c>
      <c r="AB365" s="5">
        <f>IF(tblOrdenes[[#This Row],[puesto_trabajo]]="","",_xlfn.XLOOKUP(tblOrdenes[[#This Row],[puesto_trabajo]],tblPuestos[codigo],tblPuestos[especialidad],"(sin catálogo)"))</f>
        <v/>
      </c>
      <c r="AC365" s="5">
        <f>IF(tblOrdenes[[#This Row],[cod_actividad]]="","",_xlfn.XLOOKUP(tblOrdenes[[#This Row],[cod_actividad]],tblActividades[codigo],tblActividades[descripcion],"(sin catálogo)"))</f>
        <v/>
      </c>
      <c r="AD365" s="23">
        <f>IF(tblOrdenes[[#This Row],[fecha_inicio]]="","",TODAY()-tblOrdenes[[#This Row],[fecha_inicio]])</f>
        <v/>
      </c>
      <c r="AE3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5">
        <f>IF(tblOrdenes[[#This Row],[backlog_habiles]]="","",IF(tblOrdenes[[#This Row],[backlog_habiles]]&lt;0,"FUTURO",IF(tblOrdenes[[#This Row],[backlog_habiles]]&gt;p_dias_backlog_max,"BACKLOG","MES CORRIENTE")))</f>
        <v/>
      </c>
      <c r="AG365" s="5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18">
        <f>IF(tblOrdenes[[#This Row],[orden]]="","",_xlfn.XLOOKUP(tblOrdenes[[#This Row],[id_operacion]],tblEjecucion[id_operacion],tblEjecucion[precio],0))</f>
        <v/>
      </c>
      <c r="AM365" s="18">
        <f>IF(tblOrdenes[[#This Row],[orden]]="","",MAX(0,_xlfn.XLOOKUP(tblOrdenes[[#This Row],[id_operacion]],tblEjecucion[id_operacion],tblEjecucion[costo_plan_total],0)-tblOrdenes[[#This Row],[costo_servicio]]))</f>
        <v/>
      </c>
      <c r="AN365" s="18">
        <f>IF(tblOrdenes[[#This Row],[orden]]="","",tblOrdenes[[#This Row],[costo_servicio]]+tblOrdenes[[#This Row],[costo_materiales]])</f>
        <v/>
      </c>
      <c r="AO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5">
        <f>IF(tblOrdenes[[#This Row],[link_checklist]]="","",HYPERLINK(p_ruta_base_checklists&amp;tblOrdenes[[#This Row],[link_checklist]],"abrir"))</f>
        <v/>
      </c>
      <c r="AT365" s="4" t="n"/>
      <c r="AU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5" t="n"/>
      <c r="K366" s="5" t="n"/>
      <c r="L366" s="18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Row],[fecha_inicio]]="","",tblOrdenes[[#This Row],[anio]]&amp;"-"&amp;TEXT(tblOrdenes[[#This Row],[mes]],"00"))</f>
        <v/>
      </c>
      <c r="S366" s="5">
        <f>IF(tblOrdenes[[#This Row],[fecha_inicio]]="","",INDEX(lista_dias,WEEKDAY(tblOrdenes[[#This Row],[fecha_inicio]],2)))</f>
        <v/>
      </c>
      <c r="T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5">
        <f>IF(tblOrdenes[[#This Row],[tipo_ot]]="","",_xlfn.XLOOKUP(tblOrdenes[[#This Row],[tipo_ot]],tblTiposOT[codigo],tblTiposOT[clasificacion],"sin_clasificar"))</f>
        <v/>
      </c>
      <c r="V3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5">
        <f>IF(tblOrdenes[[#This Row],[centro_costo]]="","",_xlfn.XLOOKUP(tblOrdenes[[#This Row],[centro_costo]],tblCECO[codigo],tblCECO[linea],"(sin catálogo)"))</f>
        <v/>
      </c>
      <c r="Y366" s="5">
        <f>IF(tblOrdenes[[#This Row],[centro_costo]]="","",_xlfn.XLOOKUP(tblOrdenes[[#This Row],[centro_costo]],tblCECO[codigo],tblCECO[area],"(sin catálogo)"))</f>
        <v/>
      </c>
      <c r="Z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5">
        <f>IF(tblOrdenes[[#This Row],[centro_costo]]="","",_xlfn.XLOOKUP(tblOrdenes[[#This Row],[centro_costo]],tblCECO[codigo],tblCECO[coordinador],"(sin catálogo)"))</f>
        <v/>
      </c>
      <c r="AB366" s="5">
        <f>IF(tblOrdenes[[#This Row],[puesto_trabajo]]="","",_xlfn.XLOOKUP(tblOrdenes[[#This Row],[puesto_trabajo]],tblPuestos[codigo],tblPuestos[especialidad],"(sin catálogo)"))</f>
        <v/>
      </c>
      <c r="AC366" s="5">
        <f>IF(tblOrdenes[[#This Row],[cod_actividad]]="","",_xlfn.XLOOKUP(tblOrdenes[[#This Row],[cod_actividad]],tblActividades[codigo],tblActividades[descripcion],"(sin catálogo)"))</f>
        <v/>
      </c>
      <c r="AD366" s="23">
        <f>IF(tblOrdenes[[#This Row],[fecha_inicio]]="","",TODAY()-tblOrdenes[[#This Row],[fecha_inicio]])</f>
        <v/>
      </c>
      <c r="AE3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5">
        <f>IF(tblOrdenes[[#This Row],[backlog_habiles]]="","",IF(tblOrdenes[[#This Row],[backlog_habiles]]&lt;0,"FUTURO",IF(tblOrdenes[[#This Row],[backlog_habiles]]&gt;p_dias_backlog_max,"BACKLOG","MES CORRIENTE")))</f>
        <v/>
      </c>
      <c r="AG366" s="5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18">
        <f>IF(tblOrdenes[[#This Row],[orden]]="","",_xlfn.XLOOKUP(tblOrdenes[[#This Row],[id_operacion]],tblEjecucion[id_operacion],tblEjecucion[precio],0))</f>
        <v/>
      </c>
      <c r="AM366" s="18">
        <f>IF(tblOrdenes[[#This Row],[orden]]="","",MAX(0,_xlfn.XLOOKUP(tblOrdenes[[#This Row],[id_operacion]],tblEjecucion[id_operacion],tblEjecucion[costo_plan_total],0)-tblOrdenes[[#This Row],[costo_servicio]]))</f>
        <v/>
      </c>
      <c r="AN366" s="18">
        <f>IF(tblOrdenes[[#This Row],[orden]]="","",tblOrdenes[[#This Row],[costo_servicio]]+tblOrdenes[[#This Row],[costo_materiales]])</f>
        <v/>
      </c>
      <c r="AO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5">
        <f>IF(tblOrdenes[[#This Row],[link_checklist]]="","",HYPERLINK(p_ruta_base_checklists&amp;tblOrdenes[[#This Row],[link_checklist]],"abrir"))</f>
        <v/>
      </c>
      <c r="AT366" s="4" t="n"/>
      <c r="AU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5" t="n"/>
      <c r="K367" s="5" t="n"/>
      <c r="L367" s="18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Row],[fecha_inicio]]="","",tblOrdenes[[#This Row],[anio]]&amp;"-"&amp;TEXT(tblOrdenes[[#This Row],[mes]],"00"))</f>
        <v/>
      </c>
      <c r="S367" s="5">
        <f>IF(tblOrdenes[[#This Row],[fecha_inicio]]="","",INDEX(lista_dias,WEEKDAY(tblOrdenes[[#This Row],[fecha_inicio]],2)))</f>
        <v/>
      </c>
      <c r="T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5">
        <f>IF(tblOrdenes[[#This Row],[tipo_ot]]="","",_xlfn.XLOOKUP(tblOrdenes[[#This Row],[tipo_ot]],tblTiposOT[codigo],tblTiposOT[clasificacion],"sin_clasificar"))</f>
        <v/>
      </c>
      <c r="V3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5">
        <f>IF(tblOrdenes[[#This Row],[centro_costo]]="","",_xlfn.XLOOKUP(tblOrdenes[[#This Row],[centro_costo]],tblCECO[codigo],tblCECO[linea],"(sin catálogo)"))</f>
        <v/>
      </c>
      <c r="Y367" s="5">
        <f>IF(tblOrdenes[[#This Row],[centro_costo]]="","",_xlfn.XLOOKUP(tblOrdenes[[#This Row],[centro_costo]],tblCECO[codigo],tblCECO[area],"(sin catálogo)"))</f>
        <v/>
      </c>
      <c r="Z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5">
        <f>IF(tblOrdenes[[#This Row],[centro_costo]]="","",_xlfn.XLOOKUP(tblOrdenes[[#This Row],[centro_costo]],tblCECO[codigo],tblCECO[coordinador],"(sin catálogo)"))</f>
        <v/>
      </c>
      <c r="AB367" s="5">
        <f>IF(tblOrdenes[[#This Row],[puesto_trabajo]]="","",_xlfn.XLOOKUP(tblOrdenes[[#This Row],[puesto_trabajo]],tblPuestos[codigo],tblPuestos[especialidad],"(sin catálogo)"))</f>
        <v/>
      </c>
      <c r="AC367" s="5">
        <f>IF(tblOrdenes[[#This Row],[cod_actividad]]="","",_xlfn.XLOOKUP(tblOrdenes[[#This Row],[cod_actividad]],tblActividades[codigo],tblActividades[descripcion],"(sin catálogo)"))</f>
        <v/>
      </c>
      <c r="AD367" s="23">
        <f>IF(tblOrdenes[[#This Row],[fecha_inicio]]="","",TODAY()-tblOrdenes[[#This Row],[fecha_inicio]])</f>
        <v/>
      </c>
      <c r="AE3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5">
        <f>IF(tblOrdenes[[#This Row],[backlog_habiles]]="","",IF(tblOrdenes[[#This Row],[backlog_habiles]]&lt;0,"FUTURO",IF(tblOrdenes[[#This Row],[backlog_habiles]]&gt;p_dias_backlog_max,"BACKLOG","MES CORRIENTE")))</f>
        <v/>
      </c>
      <c r="AG367" s="5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18">
        <f>IF(tblOrdenes[[#This Row],[orden]]="","",_xlfn.XLOOKUP(tblOrdenes[[#This Row],[id_operacion]],tblEjecucion[id_operacion],tblEjecucion[precio],0))</f>
        <v/>
      </c>
      <c r="AM367" s="18">
        <f>IF(tblOrdenes[[#This Row],[orden]]="","",MAX(0,_xlfn.XLOOKUP(tblOrdenes[[#This Row],[id_operacion]],tblEjecucion[id_operacion],tblEjecucion[costo_plan_total],0)-tblOrdenes[[#This Row],[costo_servicio]]))</f>
        <v/>
      </c>
      <c r="AN367" s="18">
        <f>IF(tblOrdenes[[#This Row],[orden]]="","",tblOrdenes[[#This Row],[costo_servicio]]+tblOrdenes[[#This Row],[costo_materiales]])</f>
        <v/>
      </c>
      <c r="AO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5">
        <f>IF(tblOrdenes[[#This Row],[link_checklist]]="","",HYPERLINK(p_ruta_base_checklists&amp;tblOrdenes[[#This Row],[link_checklist]],"abrir"))</f>
        <v/>
      </c>
      <c r="AT367" s="4" t="n"/>
      <c r="AU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5" t="n"/>
      <c r="K368" s="5" t="n"/>
      <c r="L368" s="18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Row],[fecha_inicio]]="","",tblOrdenes[[#This Row],[anio]]&amp;"-"&amp;TEXT(tblOrdenes[[#This Row],[mes]],"00"))</f>
        <v/>
      </c>
      <c r="S368" s="5">
        <f>IF(tblOrdenes[[#This Row],[fecha_inicio]]="","",INDEX(lista_dias,WEEKDAY(tblOrdenes[[#This Row],[fecha_inicio]],2)))</f>
        <v/>
      </c>
      <c r="T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5">
        <f>IF(tblOrdenes[[#This Row],[tipo_ot]]="","",_xlfn.XLOOKUP(tblOrdenes[[#This Row],[tipo_ot]],tblTiposOT[codigo],tblTiposOT[clasificacion],"sin_clasificar"))</f>
        <v/>
      </c>
      <c r="V3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5">
        <f>IF(tblOrdenes[[#This Row],[centro_costo]]="","",_xlfn.XLOOKUP(tblOrdenes[[#This Row],[centro_costo]],tblCECO[codigo],tblCECO[linea],"(sin catálogo)"))</f>
        <v/>
      </c>
      <c r="Y368" s="5">
        <f>IF(tblOrdenes[[#This Row],[centro_costo]]="","",_xlfn.XLOOKUP(tblOrdenes[[#This Row],[centro_costo]],tblCECO[codigo],tblCECO[area],"(sin catálogo)"))</f>
        <v/>
      </c>
      <c r="Z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5">
        <f>IF(tblOrdenes[[#This Row],[centro_costo]]="","",_xlfn.XLOOKUP(tblOrdenes[[#This Row],[centro_costo]],tblCECO[codigo],tblCECO[coordinador],"(sin catálogo)"))</f>
        <v/>
      </c>
      <c r="AB368" s="5">
        <f>IF(tblOrdenes[[#This Row],[puesto_trabajo]]="","",_xlfn.XLOOKUP(tblOrdenes[[#This Row],[puesto_trabajo]],tblPuestos[codigo],tblPuestos[especialidad],"(sin catálogo)"))</f>
        <v/>
      </c>
      <c r="AC368" s="5">
        <f>IF(tblOrdenes[[#This Row],[cod_actividad]]="","",_xlfn.XLOOKUP(tblOrdenes[[#This Row],[cod_actividad]],tblActividades[codigo],tblActividades[descripcion],"(sin catálogo)"))</f>
        <v/>
      </c>
      <c r="AD368" s="23">
        <f>IF(tblOrdenes[[#This Row],[fecha_inicio]]="","",TODAY()-tblOrdenes[[#This Row],[fecha_inicio]])</f>
        <v/>
      </c>
      <c r="AE3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5">
        <f>IF(tblOrdenes[[#This Row],[backlog_habiles]]="","",IF(tblOrdenes[[#This Row],[backlog_habiles]]&lt;0,"FUTURO",IF(tblOrdenes[[#This Row],[backlog_habiles]]&gt;p_dias_backlog_max,"BACKLOG","MES CORRIENTE")))</f>
        <v/>
      </c>
      <c r="AG368" s="5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18">
        <f>IF(tblOrdenes[[#This Row],[orden]]="","",_xlfn.XLOOKUP(tblOrdenes[[#This Row],[id_operacion]],tblEjecucion[id_operacion],tblEjecucion[precio],0))</f>
        <v/>
      </c>
      <c r="AM368" s="18">
        <f>IF(tblOrdenes[[#This Row],[orden]]="","",MAX(0,_xlfn.XLOOKUP(tblOrdenes[[#This Row],[id_operacion]],tblEjecucion[id_operacion],tblEjecucion[costo_plan_total],0)-tblOrdenes[[#This Row],[costo_servicio]]))</f>
        <v/>
      </c>
      <c r="AN368" s="18">
        <f>IF(tblOrdenes[[#This Row],[orden]]="","",tblOrdenes[[#This Row],[costo_servicio]]+tblOrdenes[[#This Row],[costo_materiales]])</f>
        <v/>
      </c>
      <c r="AO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5">
        <f>IF(tblOrdenes[[#This Row],[link_checklist]]="","",HYPERLINK(p_ruta_base_checklists&amp;tblOrdenes[[#This Row],[link_checklist]],"abrir"))</f>
        <v/>
      </c>
      <c r="AT368" s="4" t="n"/>
      <c r="AU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5" t="n"/>
      <c r="K369" s="5" t="n"/>
      <c r="L369" s="18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Row],[fecha_inicio]]="","",tblOrdenes[[#This Row],[anio]]&amp;"-"&amp;TEXT(tblOrdenes[[#This Row],[mes]],"00"))</f>
        <v/>
      </c>
      <c r="S369" s="5">
        <f>IF(tblOrdenes[[#This Row],[fecha_inicio]]="","",INDEX(lista_dias,WEEKDAY(tblOrdenes[[#This Row],[fecha_inicio]],2)))</f>
        <v/>
      </c>
      <c r="T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5">
        <f>IF(tblOrdenes[[#This Row],[tipo_ot]]="","",_xlfn.XLOOKUP(tblOrdenes[[#This Row],[tipo_ot]],tblTiposOT[codigo],tblTiposOT[clasificacion],"sin_clasificar"))</f>
        <v/>
      </c>
      <c r="V3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5">
        <f>IF(tblOrdenes[[#This Row],[centro_costo]]="","",_xlfn.XLOOKUP(tblOrdenes[[#This Row],[centro_costo]],tblCECO[codigo],tblCECO[linea],"(sin catálogo)"))</f>
        <v/>
      </c>
      <c r="Y369" s="5">
        <f>IF(tblOrdenes[[#This Row],[centro_costo]]="","",_xlfn.XLOOKUP(tblOrdenes[[#This Row],[centro_costo]],tblCECO[codigo],tblCECO[area],"(sin catálogo)"))</f>
        <v/>
      </c>
      <c r="Z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5">
        <f>IF(tblOrdenes[[#This Row],[centro_costo]]="","",_xlfn.XLOOKUP(tblOrdenes[[#This Row],[centro_costo]],tblCECO[codigo],tblCECO[coordinador],"(sin catálogo)"))</f>
        <v/>
      </c>
      <c r="AB369" s="5">
        <f>IF(tblOrdenes[[#This Row],[puesto_trabajo]]="","",_xlfn.XLOOKUP(tblOrdenes[[#This Row],[puesto_trabajo]],tblPuestos[codigo],tblPuestos[especialidad],"(sin catálogo)"))</f>
        <v/>
      </c>
      <c r="AC369" s="5">
        <f>IF(tblOrdenes[[#This Row],[cod_actividad]]="","",_xlfn.XLOOKUP(tblOrdenes[[#This Row],[cod_actividad]],tblActividades[codigo],tblActividades[descripcion],"(sin catálogo)"))</f>
        <v/>
      </c>
      <c r="AD369" s="23">
        <f>IF(tblOrdenes[[#This Row],[fecha_inicio]]="","",TODAY()-tblOrdenes[[#This Row],[fecha_inicio]])</f>
        <v/>
      </c>
      <c r="AE3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5">
        <f>IF(tblOrdenes[[#This Row],[backlog_habiles]]="","",IF(tblOrdenes[[#This Row],[backlog_habiles]]&lt;0,"FUTURO",IF(tblOrdenes[[#This Row],[backlog_habiles]]&gt;p_dias_backlog_max,"BACKLOG","MES CORRIENTE")))</f>
        <v/>
      </c>
      <c r="AG369" s="5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18">
        <f>IF(tblOrdenes[[#This Row],[orden]]="","",_xlfn.XLOOKUP(tblOrdenes[[#This Row],[id_operacion]],tblEjecucion[id_operacion],tblEjecucion[precio],0))</f>
        <v/>
      </c>
      <c r="AM369" s="18">
        <f>IF(tblOrdenes[[#This Row],[orden]]="","",MAX(0,_xlfn.XLOOKUP(tblOrdenes[[#This Row],[id_operacion]],tblEjecucion[id_operacion],tblEjecucion[costo_plan_total],0)-tblOrdenes[[#This Row],[costo_servicio]]))</f>
        <v/>
      </c>
      <c r="AN369" s="18">
        <f>IF(tblOrdenes[[#This Row],[orden]]="","",tblOrdenes[[#This Row],[costo_servicio]]+tblOrdenes[[#This Row],[costo_materiales]])</f>
        <v/>
      </c>
      <c r="AO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5">
        <f>IF(tblOrdenes[[#This Row],[link_checklist]]="","",HYPERLINK(p_ruta_base_checklists&amp;tblOrdenes[[#This Row],[link_checklist]],"abrir"))</f>
        <v/>
      </c>
      <c r="AT369" s="4" t="n"/>
      <c r="AU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5" t="n"/>
      <c r="K370" s="5" t="n"/>
      <c r="L370" s="18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Row],[fecha_inicio]]="","",tblOrdenes[[#This Row],[anio]]&amp;"-"&amp;TEXT(tblOrdenes[[#This Row],[mes]],"00"))</f>
        <v/>
      </c>
      <c r="S370" s="5">
        <f>IF(tblOrdenes[[#This Row],[fecha_inicio]]="","",INDEX(lista_dias,WEEKDAY(tblOrdenes[[#This Row],[fecha_inicio]],2)))</f>
        <v/>
      </c>
      <c r="T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5">
        <f>IF(tblOrdenes[[#This Row],[tipo_ot]]="","",_xlfn.XLOOKUP(tblOrdenes[[#This Row],[tipo_ot]],tblTiposOT[codigo],tblTiposOT[clasificacion],"sin_clasificar"))</f>
        <v/>
      </c>
      <c r="V3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5">
        <f>IF(tblOrdenes[[#This Row],[centro_costo]]="","",_xlfn.XLOOKUP(tblOrdenes[[#This Row],[centro_costo]],tblCECO[codigo],tblCECO[linea],"(sin catálogo)"))</f>
        <v/>
      </c>
      <c r="Y370" s="5">
        <f>IF(tblOrdenes[[#This Row],[centro_costo]]="","",_xlfn.XLOOKUP(tblOrdenes[[#This Row],[centro_costo]],tblCECO[codigo],tblCECO[area],"(sin catálogo)"))</f>
        <v/>
      </c>
      <c r="Z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5">
        <f>IF(tblOrdenes[[#This Row],[centro_costo]]="","",_xlfn.XLOOKUP(tblOrdenes[[#This Row],[centro_costo]],tblCECO[codigo],tblCECO[coordinador],"(sin catálogo)"))</f>
        <v/>
      </c>
      <c r="AB370" s="5">
        <f>IF(tblOrdenes[[#This Row],[puesto_trabajo]]="","",_xlfn.XLOOKUP(tblOrdenes[[#This Row],[puesto_trabajo]],tblPuestos[codigo],tblPuestos[especialidad],"(sin catálogo)"))</f>
        <v/>
      </c>
      <c r="AC370" s="5">
        <f>IF(tblOrdenes[[#This Row],[cod_actividad]]="","",_xlfn.XLOOKUP(tblOrdenes[[#This Row],[cod_actividad]],tblActividades[codigo],tblActividades[descripcion],"(sin catálogo)"))</f>
        <v/>
      </c>
      <c r="AD370" s="23">
        <f>IF(tblOrdenes[[#This Row],[fecha_inicio]]="","",TODAY()-tblOrdenes[[#This Row],[fecha_inicio]])</f>
        <v/>
      </c>
      <c r="AE3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5">
        <f>IF(tblOrdenes[[#This Row],[backlog_habiles]]="","",IF(tblOrdenes[[#This Row],[backlog_habiles]]&lt;0,"FUTURO",IF(tblOrdenes[[#This Row],[backlog_habiles]]&gt;p_dias_backlog_max,"BACKLOG","MES CORRIENTE")))</f>
        <v/>
      </c>
      <c r="AG370" s="5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18">
        <f>IF(tblOrdenes[[#This Row],[orden]]="","",_xlfn.XLOOKUP(tblOrdenes[[#This Row],[id_operacion]],tblEjecucion[id_operacion],tblEjecucion[precio],0))</f>
        <v/>
      </c>
      <c r="AM370" s="18">
        <f>IF(tblOrdenes[[#This Row],[orden]]="","",MAX(0,_xlfn.XLOOKUP(tblOrdenes[[#This Row],[id_operacion]],tblEjecucion[id_operacion],tblEjecucion[costo_plan_total],0)-tblOrdenes[[#This Row],[costo_servicio]]))</f>
        <v/>
      </c>
      <c r="AN370" s="18">
        <f>IF(tblOrdenes[[#This Row],[orden]]="","",tblOrdenes[[#This Row],[costo_servicio]]+tblOrdenes[[#This Row],[costo_materiales]])</f>
        <v/>
      </c>
      <c r="AO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5">
        <f>IF(tblOrdenes[[#This Row],[link_checklist]]="","",HYPERLINK(p_ruta_base_checklists&amp;tblOrdenes[[#This Row],[link_checklist]],"abrir"))</f>
        <v/>
      </c>
      <c r="AT370" s="4" t="n"/>
      <c r="AU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5" t="n"/>
      <c r="K371" s="5" t="n"/>
      <c r="L371" s="18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Row],[fecha_inicio]]="","",tblOrdenes[[#This Row],[anio]]&amp;"-"&amp;TEXT(tblOrdenes[[#This Row],[mes]],"00"))</f>
        <v/>
      </c>
      <c r="S371" s="5">
        <f>IF(tblOrdenes[[#This Row],[fecha_inicio]]="","",INDEX(lista_dias,WEEKDAY(tblOrdenes[[#This Row],[fecha_inicio]],2)))</f>
        <v/>
      </c>
      <c r="T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5">
        <f>IF(tblOrdenes[[#This Row],[tipo_ot]]="","",_xlfn.XLOOKUP(tblOrdenes[[#This Row],[tipo_ot]],tblTiposOT[codigo],tblTiposOT[clasificacion],"sin_clasificar"))</f>
        <v/>
      </c>
      <c r="V3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5">
        <f>IF(tblOrdenes[[#This Row],[centro_costo]]="","",_xlfn.XLOOKUP(tblOrdenes[[#This Row],[centro_costo]],tblCECO[codigo],tblCECO[linea],"(sin catálogo)"))</f>
        <v/>
      </c>
      <c r="Y371" s="5">
        <f>IF(tblOrdenes[[#This Row],[centro_costo]]="","",_xlfn.XLOOKUP(tblOrdenes[[#This Row],[centro_costo]],tblCECO[codigo],tblCECO[area],"(sin catálogo)"))</f>
        <v/>
      </c>
      <c r="Z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5">
        <f>IF(tblOrdenes[[#This Row],[centro_costo]]="","",_xlfn.XLOOKUP(tblOrdenes[[#This Row],[centro_costo]],tblCECO[codigo],tblCECO[coordinador],"(sin catálogo)"))</f>
        <v/>
      </c>
      <c r="AB371" s="5">
        <f>IF(tblOrdenes[[#This Row],[puesto_trabajo]]="","",_xlfn.XLOOKUP(tblOrdenes[[#This Row],[puesto_trabajo]],tblPuestos[codigo],tblPuestos[especialidad],"(sin catálogo)"))</f>
        <v/>
      </c>
      <c r="AC371" s="5">
        <f>IF(tblOrdenes[[#This Row],[cod_actividad]]="","",_xlfn.XLOOKUP(tblOrdenes[[#This Row],[cod_actividad]],tblActividades[codigo],tblActividades[descripcion],"(sin catálogo)"))</f>
        <v/>
      </c>
      <c r="AD371" s="23">
        <f>IF(tblOrdenes[[#This Row],[fecha_inicio]]="","",TODAY()-tblOrdenes[[#This Row],[fecha_inicio]])</f>
        <v/>
      </c>
      <c r="AE3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5">
        <f>IF(tblOrdenes[[#This Row],[backlog_habiles]]="","",IF(tblOrdenes[[#This Row],[backlog_habiles]]&lt;0,"FUTURO",IF(tblOrdenes[[#This Row],[backlog_habiles]]&gt;p_dias_backlog_max,"BACKLOG","MES CORRIENTE")))</f>
        <v/>
      </c>
      <c r="AG371" s="5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18">
        <f>IF(tblOrdenes[[#This Row],[orden]]="","",_xlfn.XLOOKUP(tblOrdenes[[#This Row],[id_operacion]],tblEjecucion[id_operacion],tblEjecucion[precio],0))</f>
        <v/>
      </c>
      <c r="AM371" s="18">
        <f>IF(tblOrdenes[[#This Row],[orden]]="","",MAX(0,_xlfn.XLOOKUP(tblOrdenes[[#This Row],[id_operacion]],tblEjecucion[id_operacion],tblEjecucion[costo_plan_total],0)-tblOrdenes[[#This Row],[costo_servicio]]))</f>
        <v/>
      </c>
      <c r="AN371" s="18">
        <f>IF(tblOrdenes[[#This Row],[orden]]="","",tblOrdenes[[#This Row],[costo_servicio]]+tblOrdenes[[#This Row],[costo_materiales]])</f>
        <v/>
      </c>
      <c r="AO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5">
        <f>IF(tblOrdenes[[#This Row],[link_checklist]]="","",HYPERLINK(p_ruta_base_checklists&amp;tblOrdenes[[#This Row],[link_checklist]],"abrir"))</f>
        <v/>
      </c>
      <c r="AT371" s="4" t="n"/>
      <c r="AU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5" t="n"/>
      <c r="K372" s="5" t="n"/>
      <c r="L372" s="18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Row],[fecha_inicio]]="","",tblOrdenes[[#This Row],[anio]]&amp;"-"&amp;TEXT(tblOrdenes[[#This Row],[mes]],"00"))</f>
        <v/>
      </c>
      <c r="S372" s="5">
        <f>IF(tblOrdenes[[#This Row],[fecha_inicio]]="","",INDEX(lista_dias,WEEKDAY(tblOrdenes[[#This Row],[fecha_inicio]],2)))</f>
        <v/>
      </c>
      <c r="T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5">
        <f>IF(tblOrdenes[[#This Row],[tipo_ot]]="","",_xlfn.XLOOKUP(tblOrdenes[[#This Row],[tipo_ot]],tblTiposOT[codigo],tblTiposOT[clasificacion],"sin_clasificar"))</f>
        <v/>
      </c>
      <c r="V3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5">
        <f>IF(tblOrdenes[[#This Row],[centro_costo]]="","",_xlfn.XLOOKUP(tblOrdenes[[#This Row],[centro_costo]],tblCECO[codigo],tblCECO[linea],"(sin catálogo)"))</f>
        <v/>
      </c>
      <c r="Y372" s="5">
        <f>IF(tblOrdenes[[#This Row],[centro_costo]]="","",_xlfn.XLOOKUP(tblOrdenes[[#This Row],[centro_costo]],tblCECO[codigo],tblCECO[area],"(sin catálogo)"))</f>
        <v/>
      </c>
      <c r="Z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5">
        <f>IF(tblOrdenes[[#This Row],[centro_costo]]="","",_xlfn.XLOOKUP(tblOrdenes[[#This Row],[centro_costo]],tblCECO[codigo],tblCECO[coordinador],"(sin catálogo)"))</f>
        <v/>
      </c>
      <c r="AB372" s="5">
        <f>IF(tblOrdenes[[#This Row],[puesto_trabajo]]="","",_xlfn.XLOOKUP(tblOrdenes[[#This Row],[puesto_trabajo]],tblPuestos[codigo],tblPuestos[especialidad],"(sin catálogo)"))</f>
        <v/>
      </c>
      <c r="AC372" s="5">
        <f>IF(tblOrdenes[[#This Row],[cod_actividad]]="","",_xlfn.XLOOKUP(tblOrdenes[[#This Row],[cod_actividad]],tblActividades[codigo],tblActividades[descripcion],"(sin catálogo)"))</f>
        <v/>
      </c>
      <c r="AD372" s="23">
        <f>IF(tblOrdenes[[#This Row],[fecha_inicio]]="","",TODAY()-tblOrdenes[[#This Row],[fecha_inicio]])</f>
        <v/>
      </c>
      <c r="AE3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5">
        <f>IF(tblOrdenes[[#This Row],[backlog_habiles]]="","",IF(tblOrdenes[[#This Row],[backlog_habiles]]&lt;0,"FUTURO",IF(tblOrdenes[[#This Row],[backlog_habiles]]&gt;p_dias_backlog_max,"BACKLOG","MES CORRIENTE")))</f>
        <v/>
      </c>
      <c r="AG372" s="5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18">
        <f>IF(tblOrdenes[[#This Row],[orden]]="","",_xlfn.XLOOKUP(tblOrdenes[[#This Row],[id_operacion]],tblEjecucion[id_operacion],tblEjecucion[precio],0))</f>
        <v/>
      </c>
      <c r="AM372" s="18">
        <f>IF(tblOrdenes[[#This Row],[orden]]="","",MAX(0,_xlfn.XLOOKUP(tblOrdenes[[#This Row],[id_operacion]],tblEjecucion[id_operacion],tblEjecucion[costo_plan_total],0)-tblOrdenes[[#This Row],[costo_servicio]]))</f>
        <v/>
      </c>
      <c r="AN372" s="18">
        <f>IF(tblOrdenes[[#This Row],[orden]]="","",tblOrdenes[[#This Row],[costo_servicio]]+tblOrdenes[[#This Row],[costo_materiales]])</f>
        <v/>
      </c>
      <c r="AO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5">
        <f>IF(tblOrdenes[[#This Row],[link_checklist]]="","",HYPERLINK(p_ruta_base_checklists&amp;tblOrdenes[[#This Row],[link_checklist]],"abrir"))</f>
        <v/>
      </c>
      <c r="AT372" s="4" t="n"/>
      <c r="AU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5" t="n"/>
      <c r="K373" s="5" t="n"/>
      <c r="L373" s="18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Row],[fecha_inicio]]="","",tblOrdenes[[#This Row],[anio]]&amp;"-"&amp;TEXT(tblOrdenes[[#This Row],[mes]],"00"))</f>
        <v/>
      </c>
      <c r="S373" s="5">
        <f>IF(tblOrdenes[[#This Row],[fecha_inicio]]="","",INDEX(lista_dias,WEEKDAY(tblOrdenes[[#This Row],[fecha_inicio]],2)))</f>
        <v/>
      </c>
      <c r="T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5">
        <f>IF(tblOrdenes[[#This Row],[tipo_ot]]="","",_xlfn.XLOOKUP(tblOrdenes[[#This Row],[tipo_ot]],tblTiposOT[codigo],tblTiposOT[clasificacion],"sin_clasificar"))</f>
        <v/>
      </c>
      <c r="V3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5">
        <f>IF(tblOrdenes[[#This Row],[centro_costo]]="","",_xlfn.XLOOKUP(tblOrdenes[[#This Row],[centro_costo]],tblCECO[codigo],tblCECO[linea],"(sin catálogo)"))</f>
        <v/>
      </c>
      <c r="Y373" s="5">
        <f>IF(tblOrdenes[[#This Row],[centro_costo]]="","",_xlfn.XLOOKUP(tblOrdenes[[#This Row],[centro_costo]],tblCECO[codigo],tblCECO[area],"(sin catálogo)"))</f>
        <v/>
      </c>
      <c r="Z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5">
        <f>IF(tblOrdenes[[#This Row],[centro_costo]]="","",_xlfn.XLOOKUP(tblOrdenes[[#This Row],[centro_costo]],tblCECO[codigo],tblCECO[coordinador],"(sin catálogo)"))</f>
        <v/>
      </c>
      <c r="AB373" s="5">
        <f>IF(tblOrdenes[[#This Row],[puesto_trabajo]]="","",_xlfn.XLOOKUP(tblOrdenes[[#This Row],[puesto_trabajo]],tblPuestos[codigo],tblPuestos[especialidad],"(sin catálogo)"))</f>
        <v/>
      </c>
      <c r="AC373" s="5">
        <f>IF(tblOrdenes[[#This Row],[cod_actividad]]="","",_xlfn.XLOOKUP(tblOrdenes[[#This Row],[cod_actividad]],tblActividades[codigo],tblActividades[descripcion],"(sin catálogo)"))</f>
        <v/>
      </c>
      <c r="AD373" s="23">
        <f>IF(tblOrdenes[[#This Row],[fecha_inicio]]="","",TODAY()-tblOrdenes[[#This Row],[fecha_inicio]])</f>
        <v/>
      </c>
      <c r="AE3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5">
        <f>IF(tblOrdenes[[#This Row],[backlog_habiles]]="","",IF(tblOrdenes[[#This Row],[backlog_habiles]]&lt;0,"FUTURO",IF(tblOrdenes[[#This Row],[backlog_habiles]]&gt;p_dias_backlog_max,"BACKLOG","MES CORRIENTE")))</f>
        <v/>
      </c>
      <c r="AG373" s="5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18">
        <f>IF(tblOrdenes[[#This Row],[orden]]="","",_xlfn.XLOOKUP(tblOrdenes[[#This Row],[id_operacion]],tblEjecucion[id_operacion],tblEjecucion[precio],0))</f>
        <v/>
      </c>
      <c r="AM373" s="18">
        <f>IF(tblOrdenes[[#This Row],[orden]]="","",MAX(0,_xlfn.XLOOKUP(tblOrdenes[[#This Row],[id_operacion]],tblEjecucion[id_operacion],tblEjecucion[costo_plan_total],0)-tblOrdenes[[#This Row],[costo_servicio]]))</f>
        <v/>
      </c>
      <c r="AN373" s="18">
        <f>IF(tblOrdenes[[#This Row],[orden]]="","",tblOrdenes[[#This Row],[costo_servicio]]+tblOrdenes[[#This Row],[costo_materiales]])</f>
        <v/>
      </c>
      <c r="AO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5">
        <f>IF(tblOrdenes[[#This Row],[link_checklist]]="","",HYPERLINK(p_ruta_base_checklists&amp;tblOrdenes[[#This Row],[link_checklist]],"abrir"))</f>
        <v/>
      </c>
      <c r="AT373" s="4" t="n"/>
      <c r="AU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5" t="n"/>
      <c r="K374" s="5" t="n"/>
      <c r="L374" s="18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Row],[fecha_inicio]]="","",tblOrdenes[[#This Row],[anio]]&amp;"-"&amp;TEXT(tblOrdenes[[#This Row],[mes]],"00"))</f>
        <v/>
      </c>
      <c r="S374" s="5">
        <f>IF(tblOrdenes[[#This Row],[fecha_inicio]]="","",INDEX(lista_dias,WEEKDAY(tblOrdenes[[#This Row],[fecha_inicio]],2)))</f>
        <v/>
      </c>
      <c r="T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5">
        <f>IF(tblOrdenes[[#This Row],[tipo_ot]]="","",_xlfn.XLOOKUP(tblOrdenes[[#This Row],[tipo_ot]],tblTiposOT[codigo],tblTiposOT[clasificacion],"sin_clasificar"))</f>
        <v/>
      </c>
      <c r="V3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5">
        <f>IF(tblOrdenes[[#This Row],[centro_costo]]="","",_xlfn.XLOOKUP(tblOrdenes[[#This Row],[centro_costo]],tblCECO[codigo],tblCECO[linea],"(sin catálogo)"))</f>
        <v/>
      </c>
      <c r="Y374" s="5">
        <f>IF(tblOrdenes[[#This Row],[centro_costo]]="","",_xlfn.XLOOKUP(tblOrdenes[[#This Row],[centro_costo]],tblCECO[codigo],tblCECO[area],"(sin catálogo)"))</f>
        <v/>
      </c>
      <c r="Z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5">
        <f>IF(tblOrdenes[[#This Row],[centro_costo]]="","",_xlfn.XLOOKUP(tblOrdenes[[#This Row],[centro_costo]],tblCECO[codigo],tblCECO[coordinador],"(sin catálogo)"))</f>
        <v/>
      </c>
      <c r="AB374" s="5">
        <f>IF(tblOrdenes[[#This Row],[puesto_trabajo]]="","",_xlfn.XLOOKUP(tblOrdenes[[#This Row],[puesto_trabajo]],tblPuestos[codigo],tblPuestos[especialidad],"(sin catálogo)"))</f>
        <v/>
      </c>
      <c r="AC374" s="5">
        <f>IF(tblOrdenes[[#This Row],[cod_actividad]]="","",_xlfn.XLOOKUP(tblOrdenes[[#This Row],[cod_actividad]],tblActividades[codigo],tblActividades[descripcion],"(sin catálogo)"))</f>
        <v/>
      </c>
      <c r="AD374" s="23">
        <f>IF(tblOrdenes[[#This Row],[fecha_inicio]]="","",TODAY()-tblOrdenes[[#This Row],[fecha_inicio]])</f>
        <v/>
      </c>
      <c r="AE3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5">
        <f>IF(tblOrdenes[[#This Row],[backlog_habiles]]="","",IF(tblOrdenes[[#This Row],[backlog_habiles]]&lt;0,"FUTURO",IF(tblOrdenes[[#This Row],[backlog_habiles]]&gt;p_dias_backlog_max,"BACKLOG","MES CORRIENTE")))</f>
        <v/>
      </c>
      <c r="AG374" s="5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18">
        <f>IF(tblOrdenes[[#This Row],[orden]]="","",_xlfn.XLOOKUP(tblOrdenes[[#This Row],[id_operacion]],tblEjecucion[id_operacion],tblEjecucion[precio],0))</f>
        <v/>
      </c>
      <c r="AM374" s="18">
        <f>IF(tblOrdenes[[#This Row],[orden]]="","",MAX(0,_xlfn.XLOOKUP(tblOrdenes[[#This Row],[id_operacion]],tblEjecucion[id_operacion],tblEjecucion[costo_plan_total],0)-tblOrdenes[[#This Row],[costo_servicio]]))</f>
        <v/>
      </c>
      <c r="AN374" s="18">
        <f>IF(tblOrdenes[[#This Row],[orden]]="","",tblOrdenes[[#This Row],[costo_servicio]]+tblOrdenes[[#This Row],[costo_materiales]])</f>
        <v/>
      </c>
      <c r="AO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5">
        <f>IF(tblOrdenes[[#This Row],[link_checklist]]="","",HYPERLINK(p_ruta_base_checklists&amp;tblOrdenes[[#This Row],[link_checklist]],"abrir"))</f>
        <v/>
      </c>
      <c r="AT374" s="4" t="n"/>
      <c r="AU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5" t="n"/>
      <c r="K375" s="5" t="n"/>
      <c r="L375" s="18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Row],[fecha_inicio]]="","",tblOrdenes[[#This Row],[anio]]&amp;"-"&amp;TEXT(tblOrdenes[[#This Row],[mes]],"00"))</f>
        <v/>
      </c>
      <c r="S375" s="5">
        <f>IF(tblOrdenes[[#This Row],[fecha_inicio]]="","",INDEX(lista_dias,WEEKDAY(tblOrdenes[[#This Row],[fecha_inicio]],2)))</f>
        <v/>
      </c>
      <c r="T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5">
        <f>IF(tblOrdenes[[#This Row],[tipo_ot]]="","",_xlfn.XLOOKUP(tblOrdenes[[#This Row],[tipo_ot]],tblTiposOT[codigo],tblTiposOT[clasificacion],"sin_clasificar"))</f>
        <v/>
      </c>
      <c r="V3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5">
        <f>IF(tblOrdenes[[#This Row],[centro_costo]]="","",_xlfn.XLOOKUP(tblOrdenes[[#This Row],[centro_costo]],tblCECO[codigo],tblCECO[linea],"(sin catálogo)"))</f>
        <v/>
      </c>
      <c r="Y375" s="5">
        <f>IF(tblOrdenes[[#This Row],[centro_costo]]="","",_xlfn.XLOOKUP(tblOrdenes[[#This Row],[centro_costo]],tblCECO[codigo],tblCECO[area],"(sin catálogo)"))</f>
        <v/>
      </c>
      <c r="Z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5">
        <f>IF(tblOrdenes[[#This Row],[centro_costo]]="","",_xlfn.XLOOKUP(tblOrdenes[[#This Row],[centro_costo]],tblCECO[codigo],tblCECO[coordinador],"(sin catálogo)"))</f>
        <v/>
      </c>
      <c r="AB375" s="5">
        <f>IF(tblOrdenes[[#This Row],[puesto_trabajo]]="","",_xlfn.XLOOKUP(tblOrdenes[[#This Row],[puesto_trabajo]],tblPuestos[codigo],tblPuestos[especialidad],"(sin catálogo)"))</f>
        <v/>
      </c>
      <c r="AC375" s="5">
        <f>IF(tblOrdenes[[#This Row],[cod_actividad]]="","",_xlfn.XLOOKUP(tblOrdenes[[#This Row],[cod_actividad]],tblActividades[codigo],tblActividades[descripcion],"(sin catálogo)"))</f>
        <v/>
      </c>
      <c r="AD375" s="23">
        <f>IF(tblOrdenes[[#This Row],[fecha_inicio]]="","",TODAY()-tblOrdenes[[#This Row],[fecha_inicio]])</f>
        <v/>
      </c>
      <c r="AE3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5">
        <f>IF(tblOrdenes[[#This Row],[backlog_habiles]]="","",IF(tblOrdenes[[#This Row],[backlog_habiles]]&lt;0,"FUTURO",IF(tblOrdenes[[#This Row],[backlog_habiles]]&gt;p_dias_backlog_max,"BACKLOG","MES CORRIENTE")))</f>
        <v/>
      </c>
      <c r="AG375" s="5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18">
        <f>IF(tblOrdenes[[#This Row],[orden]]="","",_xlfn.XLOOKUP(tblOrdenes[[#This Row],[id_operacion]],tblEjecucion[id_operacion],tblEjecucion[precio],0))</f>
        <v/>
      </c>
      <c r="AM375" s="18">
        <f>IF(tblOrdenes[[#This Row],[orden]]="","",MAX(0,_xlfn.XLOOKUP(tblOrdenes[[#This Row],[id_operacion]],tblEjecucion[id_operacion],tblEjecucion[costo_plan_total],0)-tblOrdenes[[#This Row],[costo_servicio]]))</f>
        <v/>
      </c>
      <c r="AN375" s="18">
        <f>IF(tblOrdenes[[#This Row],[orden]]="","",tblOrdenes[[#This Row],[costo_servicio]]+tblOrdenes[[#This Row],[costo_materiales]])</f>
        <v/>
      </c>
      <c r="AO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5">
        <f>IF(tblOrdenes[[#This Row],[link_checklist]]="","",HYPERLINK(p_ruta_base_checklists&amp;tblOrdenes[[#This Row],[link_checklist]],"abrir"))</f>
        <v/>
      </c>
      <c r="AT375" s="4" t="n"/>
      <c r="AU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5" t="n"/>
      <c r="K376" s="5" t="n"/>
      <c r="L376" s="18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Row],[fecha_inicio]]="","",tblOrdenes[[#This Row],[anio]]&amp;"-"&amp;TEXT(tblOrdenes[[#This Row],[mes]],"00"))</f>
        <v/>
      </c>
      <c r="S376" s="5">
        <f>IF(tblOrdenes[[#This Row],[fecha_inicio]]="","",INDEX(lista_dias,WEEKDAY(tblOrdenes[[#This Row],[fecha_inicio]],2)))</f>
        <v/>
      </c>
      <c r="T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5">
        <f>IF(tblOrdenes[[#This Row],[tipo_ot]]="","",_xlfn.XLOOKUP(tblOrdenes[[#This Row],[tipo_ot]],tblTiposOT[codigo],tblTiposOT[clasificacion],"sin_clasificar"))</f>
        <v/>
      </c>
      <c r="V3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5">
        <f>IF(tblOrdenes[[#This Row],[centro_costo]]="","",_xlfn.XLOOKUP(tblOrdenes[[#This Row],[centro_costo]],tblCECO[codigo],tblCECO[linea],"(sin catálogo)"))</f>
        <v/>
      </c>
      <c r="Y376" s="5">
        <f>IF(tblOrdenes[[#This Row],[centro_costo]]="","",_xlfn.XLOOKUP(tblOrdenes[[#This Row],[centro_costo]],tblCECO[codigo],tblCECO[area],"(sin catálogo)"))</f>
        <v/>
      </c>
      <c r="Z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5">
        <f>IF(tblOrdenes[[#This Row],[centro_costo]]="","",_xlfn.XLOOKUP(tblOrdenes[[#This Row],[centro_costo]],tblCECO[codigo],tblCECO[coordinador],"(sin catálogo)"))</f>
        <v/>
      </c>
      <c r="AB376" s="5">
        <f>IF(tblOrdenes[[#This Row],[puesto_trabajo]]="","",_xlfn.XLOOKUP(tblOrdenes[[#This Row],[puesto_trabajo]],tblPuestos[codigo],tblPuestos[especialidad],"(sin catálogo)"))</f>
        <v/>
      </c>
      <c r="AC376" s="5">
        <f>IF(tblOrdenes[[#This Row],[cod_actividad]]="","",_xlfn.XLOOKUP(tblOrdenes[[#This Row],[cod_actividad]],tblActividades[codigo],tblActividades[descripcion],"(sin catálogo)"))</f>
        <v/>
      </c>
      <c r="AD376" s="23">
        <f>IF(tblOrdenes[[#This Row],[fecha_inicio]]="","",TODAY()-tblOrdenes[[#This Row],[fecha_inicio]])</f>
        <v/>
      </c>
      <c r="AE3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5">
        <f>IF(tblOrdenes[[#This Row],[backlog_habiles]]="","",IF(tblOrdenes[[#This Row],[backlog_habiles]]&lt;0,"FUTURO",IF(tblOrdenes[[#This Row],[backlog_habiles]]&gt;p_dias_backlog_max,"BACKLOG","MES CORRIENTE")))</f>
        <v/>
      </c>
      <c r="AG376" s="5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18">
        <f>IF(tblOrdenes[[#This Row],[orden]]="","",_xlfn.XLOOKUP(tblOrdenes[[#This Row],[id_operacion]],tblEjecucion[id_operacion],tblEjecucion[precio],0))</f>
        <v/>
      </c>
      <c r="AM376" s="18">
        <f>IF(tblOrdenes[[#This Row],[orden]]="","",MAX(0,_xlfn.XLOOKUP(tblOrdenes[[#This Row],[id_operacion]],tblEjecucion[id_operacion],tblEjecucion[costo_plan_total],0)-tblOrdenes[[#This Row],[costo_servicio]]))</f>
        <v/>
      </c>
      <c r="AN376" s="18">
        <f>IF(tblOrdenes[[#This Row],[orden]]="","",tblOrdenes[[#This Row],[costo_servicio]]+tblOrdenes[[#This Row],[costo_materiales]])</f>
        <v/>
      </c>
      <c r="AO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5">
        <f>IF(tblOrdenes[[#This Row],[link_checklist]]="","",HYPERLINK(p_ruta_base_checklists&amp;tblOrdenes[[#This Row],[link_checklist]],"abrir"))</f>
        <v/>
      </c>
      <c r="AT376" s="4" t="n"/>
      <c r="AU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5" t="n"/>
      <c r="K377" s="5" t="n"/>
      <c r="L377" s="18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Row],[fecha_inicio]]="","",tblOrdenes[[#This Row],[anio]]&amp;"-"&amp;TEXT(tblOrdenes[[#This Row],[mes]],"00"))</f>
        <v/>
      </c>
      <c r="S377" s="5">
        <f>IF(tblOrdenes[[#This Row],[fecha_inicio]]="","",INDEX(lista_dias,WEEKDAY(tblOrdenes[[#This Row],[fecha_inicio]],2)))</f>
        <v/>
      </c>
      <c r="T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5">
        <f>IF(tblOrdenes[[#This Row],[tipo_ot]]="","",_xlfn.XLOOKUP(tblOrdenes[[#This Row],[tipo_ot]],tblTiposOT[codigo],tblTiposOT[clasificacion],"sin_clasificar"))</f>
        <v/>
      </c>
      <c r="V3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5">
        <f>IF(tblOrdenes[[#This Row],[centro_costo]]="","",_xlfn.XLOOKUP(tblOrdenes[[#This Row],[centro_costo]],tblCECO[codigo],tblCECO[linea],"(sin catálogo)"))</f>
        <v/>
      </c>
      <c r="Y377" s="5">
        <f>IF(tblOrdenes[[#This Row],[centro_costo]]="","",_xlfn.XLOOKUP(tblOrdenes[[#This Row],[centro_costo]],tblCECO[codigo],tblCECO[area],"(sin catálogo)"))</f>
        <v/>
      </c>
      <c r="Z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5">
        <f>IF(tblOrdenes[[#This Row],[centro_costo]]="","",_xlfn.XLOOKUP(tblOrdenes[[#This Row],[centro_costo]],tblCECO[codigo],tblCECO[coordinador],"(sin catálogo)"))</f>
        <v/>
      </c>
      <c r="AB377" s="5">
        <f>IF(tblOrdenes[[#This Row],[puesto_trabajo]]="","",_xlfn.XLOOKUP(tblOrdenes[[#This Row],[puesto_trabajo]],tblPuestos[codigo],tblPuestos[especialidad],"(sin catálogo)"))</f>
        <v/>
      </c>
      <c r="AC377" s="5">
        <f>IF(tblOrdenes[[#This Row],[cod_actividad]]="","",_xlfn.XLOOKUP(tblOrdenes[[#This Row],[cod_actividad]],tblActividades[codigo],tblActividades[descripcion],"(sin catálogo)"))</f>
        <v/>
      </c>
      <c r="AD377" s="23">
        <f>IF(tblOrdenes[[#This Row],[fecha_inicio]]="","",TODAY()-tblOrdenes[[#This Row],[fecha_inicio]])</f>
        <v/>
      </c>
      <c r="AE3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5">
        <f>IF(tblOrdenes[[#This Row],[backlog_habiles]]="","",IF(tblOrdenes[[#This Row],[backlog_habiles]]&lt;0,"FUTURO",IF(tblOrdenes[[#This Row],[backlog_habiles]]&gt;p_dias_backlog_max,"BACKLOG","MES CORRIENTE")))</f>
        <v/>
      </c>
      <c r="AG377" s="5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18">
        <f>IF(tblOrdenes[[#This Row],[orden]]="","",_xlfn.XLOOKUP(tblOrdenes[[#This Row],[id_operacion]],tblEjecucion[id_operacion],tblEjecucion[precio],0))</f>
        <v/>
      </c>
      <c r="AM377" s="18">
        <f>IF(tblOrdenes[[#This Row],[orden]]="","",MAX(0,_xlfn.XLOOKUP(tblOrdenes[[#This Row],[id_operacion]],tblEjecucion[id_operacion],tblEjecucion[costo_plan_total],0)-tblOrdenes[[#This Row],[costo_servicio]]))</f>
        <v/>
      </c>
      <c r="AN377" s="18">
        <f>IF(tblOrdenes[[#This Row],[orden]]="","",tblOrdenes[[#This Row],[costo_servicio]]+tblOrdenes[[#This Row],[costo_materiales]])</f>
        <v/>
      </c>
      <c r="AO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5">
        <f>IF(tblOrdenes[[#This Row],[link_checklist]]="","",HYPERLINK(p_ruta_base_checklists&amp;tblOrdenes[[#This Row],[link_checklist]],"abrir"))</f>
        <v/>
      </c>
      <c r="AT377" s="4" t="n"/>
      <c r="AU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5" t="n"/>
      <c r="K378" s="5" t="n"/>
      <c r="L378" s="18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Row],[fecha_inicio]]="","",tblOrdenes[[#This Row],[anio]]&amp;"-"&amp;TEXT(tblOrdenes[[#This Row],[mes]],"00"))</f>
        <v/>
      </c>
      <c r="S378" s="5">
        <f>IF(tblOrdenes[[#This Row],[fecha_inicio]]="","",INDEX(lista_dias,WEEKDAY(tblOrdenes[[#This Row],[fecha_inicio]],2)))</f>
        <v/>
      </c>
      <c r="T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5">
        <f>IF(tblOrdenes[[#This Row],[tipo_ot]]="","",_xlfn.XLOOKUP(tblOrdenes[[#This Row],[tipo_ot]],tblTiposOT[codigo],tblTiposOT[clasificacion],"sin_clasificar"))</f>
        <v/>
      </c>
      <c r="V3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5">
        <f>IF(tblOrdenes[[#This Row],[centro_costo]]="","",_xlfn.XLOOKUP(tblOrdenes[[#This Row],[centro_costo]],tblCECO[codigo],tblCECO[linea],"(sin catálogo)"))</f>
        <v/>
      </c>
      <c r="Y378" s="5">
        <f>IF(tblOrdenes[[#This Row],[centro_costo]]="","",_xlfn.XLOOKUP(tblOrdenes[[#This Row],[centro_costo]],tblCECO[codigo],tblCECO[area],"(sin catálogo)"))</f>
        <v/>
      </c>
      <c r="Z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5">
        <f>IF(tblOrdenes[[#This Row],[centro_costo]]="","",_xlfn.XLOOKUP(tblOrdenes[[#This Row],[centro_costo]],tblCECO[codigo],tblCECO[coordinador],"(sin catálogo)"))</f>
        <v/>
      </c>
      <c r="AB378" s="5">
        <f>IF(tblOrdenes[[#This Row],[puesto_trabajo]]="","",_xlfn.XLOOKUP(tblOrdenes[[#This Row],[puesto_trabajo]],tblPuestos[codigo],tblPuestos[especialidad],"(sin catálogo)"))</f>
        <v/>
      </c>
      <c r="AC378" s="5">
        <f>IF(tblOrdenes[[#This Row],[cod_actividad]]="","",_xlfn.XLOOKUP(tblOrdenes[[#This Row],[cod_actividad]],tblActividades[codigo],tblActividades[descripcion],"(sin catálogo)"))</f>
        <v/>
      </c>
      <c r="AD378" s="23">
        <f>IF(tblOrdenes[[#This Row],[fecha_inicio]]="","",TODAY()-tblOrdenes[[#This Row],[fecha_inicio]])</f>
        <v/>
      </c>
      <c r="AE3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5">
        <f>IF(tblOrdenes[[#This Row],[backlog_habiles]]="","",IF(tblOrdenes[[#This Row],[backlog_habiles]]&lt;0,"FUTURO",IF(tblOrdenes[[#This Row],[backlog_habiles]]&gt;p_dias_backlog_max,"BACKLOG","MES CORRIENTE")))</f>
        <v/>
      </c>
      <c r="AG378" s="5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18">
        <f>IF(tblOrdenes[[#This Row],[orden]]="","",_xlfn.XLOOKUP(tblOrdenes[[#This Row],[id_operacion]],tblEjecucion[id_operacion],tblEjecucion[precio],0))</f>
        <v/>
      </c>
      <c r="AM378" s="18">
        <f>IF(tblOrdenes[[#This Row],[orden]]="","",MAX(0,_xlfn.XLOOKUP(tblOrdenes[[#This Row],[id_operacion]],tblEjecucion[id_operacion],tblEjecucion[costo_plan_total],0)-tblOrdenes[[#This Row],[costo_servicio]]))</f>
        <v/>
      </c>
      <c r="AN378" s="18">
        <f>IF(tblOrdenes[[#This Row],[orden]]="","",tblOrdenes[[#This Row],[costo_servicio]]+tblOrdenes[[#This Row],[costo_materiales]])</f>
        <v/>
      </c>
      <c r="AO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5">
        <f>IF(tblOrdenes[[#This Row],[link_checklist]]="","",HYPERLINK(p_ruta_base_checklists&amp;tblOrdenes[[#This Row],[link_checklist]],"abrir"))</f>
        <v/>
      </c>
      <c r="AT378" s="4" t="n"/>
      <c r="AU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5" t="n"/>
      <c r="K379" s="5" t="n"/>
      <c r="L379" s="18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Row],[fecha_inicio]]="","",tblOrdenes[[#This Row],[anio]]&amp;"-"&amp;TEXT(tblOrdenes[[#This Row],[mes]],"00"))</f>
        <v/>
      </c>
      <c r="S379" s="5">
        <f>IF(tblOrdenes[[#This Row],[fecha_inicio]]="","",INDEX(lista_dias,WEEKDAY(tblOrdenes[[#This Row],[fecha_inicio]],2)))</f>
        <v/>
      </c>
      <c r="T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5">
        <f>IF(tblOrdenes[[#This Row],[tipo_ot]]="","",_xlfn.XLOOKUP(tblOrdenes[[#This Row],[tipo_ot]],tblTiposOT[codigo],tblTiposOT[clasificacion],"sin_clasificar"))</f>
        <v/>
      </c>
      <c r="V3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5">
        <f>IF(tblOrdenes[[#This Row],[centro_costo]]="","",_xlfn.XLOOKUP(tblOrdenes[[#This Row],[centro_costo]],tblCECO[codigo],tblCECO[linea],"(sin catálogo)"))</f>
        <v/>
      </c>
      <c r="Y379" s="5">
        <f>IF(tblOrdenes[[#This Row],[centro_costo]]="","",_xlfn.XLOOKUP(tblOrdenes[[#This Row],[centro_costo]],tblCECO[codigo],tblCECO[area],"(sin catálogo)"))</f>
        <v/>
      </c>
      <c r="Z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5">
        <f>IF(tblOrdenes[[#This Row],[centro_costo]]="","",_xlfn.XLOOKUP(tblOrdenes[[#This Row],[centro_costo]],tblCECO[codigo],tblCECO[coordinador],"(sin catálogo)"))</f>
        <v/>
      </c>
      <c r="AB379" s="5">
        <f>IF(tblOrdenes[[#This Row],[puesto_trabajo]]="","",_xlfn.XLOOKUP(tblOrdenes[[#This Row],[puesto_trabajo]],tblPuestos[codigo],tblPuestos[especialidad],"(sin catálogo)"))</f>
        <v/>
      </c>
      <c r="AC379" s="5">
        <f>IF(tblOrdenes[[#This Row],[cod_actividad]]="","",_xlfn.XLOOKUP(tblOrdenes[[#This Row],[cod_actividad]],tblActividades[codigo],tblActividades[descripcion],"(sin catálogo)"))</f>
        <v/>
      </c>
      <c r="AD379" s="23">
        <f>IF(tblOrdenes[[#This Row],[fecha_inicio]]="","",TODAY()-tblOrdenes[[#This Row],[fecha_inicio]])</f>
        <v/>
      </c>
      <c r="AE3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5">
        <f>IF(tblOrdenes[[#This Row],[backlog_habiles]]="","",IF(tblOrdenes[[#This Row],[backlog_habiles]]&lt;0,"FUTURO",IF(tblOrdenes[[#This Row],[backlog_habiles]]&gt;p_dias_backlog_max,"BACKLOG","MES CORRIENTE")))</f>
        <v/>
      </c>
      <c r="AG379" s="5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18">
        <f>IF(tblOrdenes[[#This Row],[orden]]="","",_xlfn.XLOOKUP(tblOrdenes[[#This Row],[id_operacion]],tblEjecucion[id_operacion],tblEjecucion[precio],0))</f>
        <v/>
      </c>
      <c r="AM379" s="18">
        <f>IF(tblOrdenes[[#This Row],[orden]]="","",MAX(0,_xlfn.XLOOKUP(tblOrdenes[[#This Row],[id_operacion]],tblEjecucion[id_operacion],tblEjecucion[costo_plan_total],0)-tblOrdenes[[#This Row],[costo_servicio]]))</f>
        <v/>
      </c>
      <c r="AN379" s="18">
        <f>IF(tblOrdenes[[#This Row],[orden]]="","",tblOrdenes[[#This Row],[costo_servicio]]+tblOrdenes[[#This Row],[costo_materiales]])</f>
        <v/>
      </c>
      <c r="AO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5">
        <f>IF(tblOrdenes[[#This Row],[link_checklist]]="","",HYPERLINK(p_ruta_base_checklists&amp;tblOrdenes[[#This Row],[link_checklist]],"abrir"))</f>
        <v/>
      </c>
      <c r="AT379" s="4" t="n"/>
      <c r="AU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5" t="n"/>
      <c r="K380" s="5" t="n"/>
      <c r="L380" s="18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Row],[fecha_inicio]]="","",tblOrdenes[[#This Row],[anio]]&amp;"-"&amp;TEXT(tblOrdenes[[#This Row],[mes]],"00"))</f>
        <v/>
      </c>
      <c r="S380" s="5">
        <f>IF(tblOrdenes[[#This Row],[fecha_inicio]]="","",INDEX(lista_dias,WEEKDAY(tblOrdenes[[#This Row],[fecha_inicio]],2)))</f>
        <v/>
      </c>
      <c r="T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5">
        <f>IF(tblOrdenes[[#This Row],[tipo_ot]]="","",_xlfn.XLOOKUP(tblOrdenes[[#This Row],[tipo_ot]],tblTiposOT[codigo],tblTiposOT[clasificacion],"sin_clasificar"))</f>
        <v/>
      </c>
      <c r="V3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5">
        <f>IF(tblOrdenes[[#This Row],[centro_costo]]="","",_xlfn.XLOOKUP(tblOrdenes[[#This Row],[centro_costo]],tblCECO[codigo],tblCECO[linea],"(sin catálogo)"))</f>
        <v/>
      </c>
      <c r="Y380" s="5">
        <f>IF(tblOrdenes[[#This Row],[centro_costo]]="","",_xlfn.XLOOKUP(tblOrdenes[[#This Row],[centro_costo]],tblCECO[codigo],tblCECO[area],"(sin catálogo)"))</f>
        <v/>
      </c>
      <c r="Z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5">
        <f>IF(tblOrdenes[[#This Row],[centro_costo]]="","",_xlfn.XLOOKUP(tblOrdenes[[#This Row],[centro_costo]],tblCECO[codigo],tblCECO[coordinador],"(sin catálogo)"))</f>
        <v/>
      </c>
      <c r="AB380" s="5">
        <f>IF(tblOrdenes[[#This Row],[puesto_trabajo]]="","",_xlfn.XLOOKUP(tblOrdenes[[#This Row],[puesto_trabajo]],tblPuestos[codigo],tblPuestos[especialidad],"(sin catálogo)"))</f>
        <v/>
      </c>
      <c r="AC380" s="5">
        <f>IF(tblOrdenes[[#This Row],[cod_actividad]]="","",_xlfn.XLOOKUP(tblOrdenes[[#This Row],[cod_actividad]],tblActividades[codigo],tblActividades[descripcion],"(sin catálogo)"))</f>
        <v/>
      </c>
      <c r="AD380" s="23">
        <f>IF(tblOrdenes[[#This Row],[fecha_inicio]]="","",TODAY()-tblOrdenes[[#This Row],[fecha_inicio]])</f>
        <v/>
      </c>
      <c r="AE3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5">
        <f>IF(tblOrdenes[[#This Row],[backlog_habiles]]="","",IF(tblOrdenes[[#This Row],[backlog_habiles]]&lt;0,"FUTURO",IF(tblOrdenes[[#This Row],[backlog_habiles]]&gt;p_dias_backlog_max,"BACKLOG","MES CORRIENTE")))</f>
        <v/>
      </c>
      <c r="AG380" s="5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18">
        <f>IF(tblOrdenes[[#This Row],[orden]]="","",_xlfn.XLOOKUP(tblOrdenes[[#This Row],[id_operacion]],tblEjecucion[id_operacion],tblEjecucion[precio],0))</f>
        <v/>
      </c>
      <c r="AM380" s="18">
        <f>IF(tblOrdenes[[#This Row],[orden]]="","",MAX(0,_xlfn.XLOOKUP(tblOrdenes[[#This Row],[id_operacion]],tblEjecucion[id_operacion],tblEjecucion[costo_plan_total],0)-tblOrdenes[[#This Row],[costo_servicio]]))</f>
        <v/>
      </c>
      <c r="AN380" s="18">
        <f>IF(tblOrdenes[[#This Row],[orden]]="","",tblOrdenes[[#This Row],[costo_servicio]]+tblOrdenes[[#This Row],[costo_materiales]])</f>
        <v/>
      </c>
      <c r="AO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5">
        <f>IF(tblOrdenes[[#This Row],[link_checklist]]="","",HYPERLINK(p_ruta_base_checklists&amp;tblOrdenes[[#This Row],[link_checklist]],"abrir"))</f>
        <v/>
      </c>
      <c r="AT380" s="4" t="n"/>
      <c r="AU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5" t="n"/>
      <c r="K381" s="5" t="n"/>
      <c r="L381" s="18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Row],[fecha_inicio]]="","",tblOrdenes[[#This Row],[anio]]&amp;"-"&amp;TEXT(tblOrdenes[[#This Row],[mes]],"00"))</f>
        <v/>
      </c>
      <c r="S381" s="5">
        <f>IF(tblOrdenes[[#This Row],[fecha_inicio]]="","",INDEX(lista_dias,WEEKDAY(tblOrdenes[[#This Row],[fecha_inicio]],2)))</f>
        <v/>
      </c>
      <c r="T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5">
        <f>IF(tblOrdenes[[#This Row],[tipo_ot]]="","",_xlfn.XLOOKUP(tblOrdenes[[#This Row],[tipo_ot]],tblTiposOT[codigo],tblTiposOT[clasificacion],"sin_clasificar"))</f>
        <v/>
      </c>
      <c r="V3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5">
        <f>IF(tblOrdenes[[#This Row],[centro_costo]]="","",_xlfn.XLOOKUP(tblOrdenes[[#This Row],[centro_costo]],tblCECO[codigo],tblCECO[linea],"(sin catálogo)"))</f>
        <v/>
      </c>
      <c r="Y381" s="5">
        <f>IF(tblOrdenes[[#This Row],[centro_costo]]="","",_xlfn.XLOOKUP(tblOrdenes[[#This Row],[centro_costo]],tblCECO[codigo],tblCECO[area],"(sin catálogo)"))</f>
        <v/>
      </c>
      <c r="Z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5">
        <f>IF(tblOrdenes[[#This Row],[centro_costo]]="","",_xlfn.XLOOKUP(tblOrdenes[[#This Row],[centro_costo]],tblCECO[codigo],tblCECO[coordinador],"(sin catálogo)"))</f>
        <v/>
      </c>
      <c r="AB381" s="5">
        <f>IF(tblOrdenes[[#This Row],[puesto_trabajo]]="","",_xlfn.XLOOKUP(tblOrdenes[[#This Row],[puesto_trabajo]],tblPuestos[codigo],tblPuestos[especialidad],"(sin catálogo)"))</f>
        <v/>
      </c>
      <c r="AC381" s="5">
        <f>IF(tblOrdenes[[#This Row],[cod_actividad]]="","",_xlfn.XLOOKUP(tblOrdenes[[#This Row],[cod_actividad]],tblActividades[codigo],tblActividades[descripcion],"(sin catálogo)"))</f>
        <v/>
      </c>
      <c r="AD381" s="23">
        <f>IF(tblOrdenes[[#This Row],[fecha_inicio]]="","",TODAY()-tblOrdenes[[#This Row],[fecha_inicio]])</f>
        <v/>
      </c>
      <c r="AE3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5">
        <f>IF(tblOrdenes[[#This Row],[backlog_habiles]]="","",IF(tblOrdenes[[#This Row],[backlog_habiles]]&lt;0,"FUTURO",IF(tblOrdenes[[#This Row],[backlog_habiles]]&gt;p_dias_backlog_max,"BACKLOG","MES CORRIENTE")))</f>
        <v/>
      </c>
      <c r="AG381" s="5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18">
        <f>IF(tblOrdenes[[#This Row],[orden]]="","",_xlfn.XLOOKUP(tblOrdenes[[#This Row],[id_operacion]],tblEjecucion[id_operacion],tblEjecucion[precio],0))</f>
        <v/>
      </c>
      <c r="AM381" s="18">
        <f>IF(tblOrdenes[[#This Row],[orden]]="","",MAX(0,_xlfn.XLOOKUP(tblOrdenes[[#This Row],[id_operacion]],tblEjecucion[id_operacion],tblEjecucion[costo_plan_total],0)-tblOrdenes[[#This Row],[costo_servicio]]))</f>
        <v/>
      </c>
      <c r="AN381" s="18">
        <f>IF(tblOrdenes[[#This Row],[orden]]="","",tblOrdenes[[#This Row],[costo_servicio]]+tblOrdenes[[#This Row],[costo_materiales]])</f>
        <v/>
      </c>
      <c r="AO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5">
        <f>IF(tblOrdenes[[#This Row],[link_checklist]]="","",HYPERLINK(p_ruta_base_checklists&amp;tblOrdenes[[#This Row],[link_checklist]],"abrir"))</f>
        <v/>
      </c>
      <c r="AT381" s="4" t="n"/>
      <c r="AU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5" t="n"/>
      <c r="K382" s="5" t="n"/>
      <c r="L382" s="18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Row],[fecha_inicio]]="","",tblOrdenes[[#This Row],[anio]]&amp;"-"&amp;TEXT(tblOrdenes[[#This Row],[mes]],"00"))</f>
        <v/>
      </c>
      <c r="S382" s="5">
        <f>IF(tblOrdenes[[#This Row],[fecha_inicio]]="","",INDEX(lista_dias,WEEKDAY(tblOrdenes[[#This Row],[fecha_inicio]],2)))</f>
        <v/>
      </c>
      <c r="T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5">
        <f>IF(tblOrdenes[[#This Row],[tipo_ot]]="","",_xlfn.XLOOKUP(tblOrdenes[[#This Row],[tipo_ot]],tblTiposOT[codigo],tblTiposOT[clasificacion],"sin_clasificar"))</f>
        <v/>
      </c>
      <c r="V3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5">
        <f>IF(tblOrdenes[[#This Row],[centro_costo]]="","",_xlfn.XLOOKUP(tblOrdenes[[#This Row],[centro_costo]],tblCECO[codigo],tblCECO[linea],"(sin catálogo)"))</f>
        <v/>
      </c>
      <c r="Y382" s="5">
        <f>IF(tblOrdenes[[#This Row],[centro_costo]]="","",_xlfn.XLOOKUP(tblOrdenes[[#This Row],[centro_costo]],tblCECO[codigo],tblCECO[area],"(sin catálogo)"))</f>
        <v/>
      </c>
      <c r="Z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5">
        <f>IF(tblOrdenes[[#This Row],[centro_costo]]="","",_xlfn.XLOOKUP(tblOrdenes[[#This Row],[centro_costo]],tblCECO[codigo],tblCECO[coordinador],"(sin catálogo)"))</f>
        <v/>
      </c>
      <c r="AB382" s="5">
        <f>IF(tblOrdenes[[#This Row],[puesto_trabajo]]="","",_xlfn.XLOOKUP(tblOrdenes[[#This Row],[puesto_trabajo]],tblPuestos[codigo],tblPuestos[especialidad],"(sin catálogo)"))</f>
        <v/>
      </c>
      <c r="AC382" s="5">
        <f>IF(tblOrdenes[[#This Row],[cod_actividad]]="","",_xlfn.XLOOKUP(tblOrdenes[[#This Row],[cod_actividad]],tblActividades[codigo],tblActividades[descripcion],"(sin catálogo)"))</f>
        <v/>
      </c>
      <c r="AD382" s="23">
        <f>IF(tblOrdenes[[#This Row],[fecha_inicio]]="","",TODAY()-tblOrdenes[[#This Row],[fecha_inicio]])</f>
        <v/>
      </c>
      <c r="AE3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5">
        <f>IF(tblOrdenes[[#This Row],[backlog_habiles]]="","",IF(tblOrdenes[[#This Row],[backlog_habiles]]&lt;0,"FUTURO",IF(tblOrdenes[[#This Row],[backlog_habiles]]&gt;p_dias_backlog_max,"BACKLOG","MES CORRIENTE")))</f>
        <v/>
      </c>
      <c r="AG382" s="5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18">
        <f>IF(tblOrdenes[[#This Row],[orden]]="","",_xlfn.XLOOKUP(tblOrdenes[[#This Row],[id_operacion]],tblEjecucion[id_operacion],tblEjecucion[precio],0))</f>
        <v/>
      </c>
      <c r="AM382" s="18">
        <f>IF(tblOrdenes[[#This Row],[orden]]="","",MAX(0,_xlfn.XLOOKUP(tblOrdenes[[#This Row],[id_operacion]],tblEjecucion[id_operacion],tblEjecucion[costo_plan_total],0)-tblOrdenes[[#This Row],[costo_servicio]]))</f>
        <v/>
      </c>
      <c r="AN382" s="18">
        <f>IF(tblOrdenes[[#This Row],[orden]]="","",tblOrdenes[[#This Row],[costo_servicio]]+tblOrdenes[[#This Row],[costo_materiales]])</f>
        <v/>
      </c>
      <c r="AO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5">
        <f>IF(tblOrdenes[[#This Row],[link_checklist]]="","",HYPERLINK(p_ruta_base_checklists&amp;tblOrdenes[[#This Row],[link_checklist]],"abrir"))</f>
        <v/>
      </c>
      <c r="AT382" s="4" t="n"/>
      <c r="AU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5" t="n"/>
      <c r="K383" s="5" t="n"/>
      <c r="L383" s="18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Row],[fecha_inicio]]="","",tblOrdenes[[#This Row],[anio]]&amp;"-"&amp;TEXT(tblOrdenes[[#This Row],[mes]],"00"))</f>
        <v/>
      </c>
      <c r="S383" s="5">
        <f>IF(tblOrdenes[[#This Row],[fecha_inicio]]="","",INDEX(lista_dias,WEEKDAY(tblOrdenes[[#This Row],[fecha_inicio]],2)))</f>
        <v/>
      </c>
      <c r="T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5">
        <f>IF(tblOrdenes[[#This Row],[tipo_ot]]="","",_xlfn.XLOOKUP(tblOrdenes[[#This Row],[tipo_ot]],tblTiposOT[codigo],tblTiposOT[clasificacion],"sin_clasificar"))</f>
        <v/>
      </c>
      <c r="V3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5">
        <f>IF(tblOrdenes[[#This Row],[centro_costo]]="","",_xlfn.XLOOKUP(tblOrdenes[[#This Row],[centro_costo]],tblCECO[codigo],tblCECO[linea],"(sin catálogo)"))</f>
        <v/>
      </c>
      <c r="Y383" s="5">
        <f>IF(tblOrdenes[[#This Row],[centro_costo]]="","",_xlfn.XLOOKUP(tblOrdenes[[#This Row],[centro_costo]],tblCECO[codigo],tblCECO[area],"(sin catálogo)"))</f>
        <v/>
      </c>
      <c r="Z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5">
        <f>IF(tblOrdenes[[#This Row],[centro_costo]]="","",_xlfn.XLOOKUP(tblOrdenes[[#This Row],[centro_costo]],tblCECO[codigo],tblCECO[coordinador],"(sin catálogo)"))</f>
        <v/>
      </c>
      <c r="AB383" s="5">
        <f>IF(tblOrdenes[[#This Row],[puesto_trabajo]]="","",_xlfn.XLOOKUP(tblOrdenes[[#This Row],[puesto_trabajo]],tblPuestos[codigo],tblPuestos[especialidad],"(sin catálogo)"))</f>
        <v/>
      </c>
      <c r="AC383" s="5">
        <f>IF(tblOrdenes[[#This Row],[cod_actividad]]="","",_xlfn.XLOOKUP(tblOrdenes[[#This Row],[cod_actividad]],tblActividades[codigo],tblActividades[descripcion],"(sin catálogo)"))</f>
        <v/>
      </c>
      <c r="AD383" s="23">
        <f>IF(tblOrdenes[[#This Row],[fecha_inicio]]="","",TODAY()-tblOrdenes[[#This Row],[fecha_inicio]])</f>
        <v/>
      </c>
      <c r="AE3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5">
        <f>IF(tblOrdenes[[#This Row],[backlog_habiles]]="","",IF(tblOrdenes[[#This Row],[backlog_habiles]]&lt;0,"FUTURO",IF(tblOrdenes[[#This Row],[backlog_habiles]]&gt;p_dias_backlog_max,"BACKLOG","MES CORRIENTE")))</f>
        <v/>
      </c>
      <c r="AG383" s="5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18">
        <f>IF(tblOrdenes[[#This Row],[orden]]="","",_xlfn.XLOOKUP(tblOrdenes[[#This Row],[id_operacion]],tblEjecucion[id_operacion],tblEjecucion[precio],0))</f>
        <v/>
      </c>
      <c r="AM383" s="18">
        <f>IF(tblOrdenes[[#This Row],[orden]]="","",MAX(0,_xlfn.XLOOKUP(tblOrdenes[[#This Row],[id_operacion]],tblEjecucion[id_operacion],tblEjecucion[costo_plan_total],0)-tblOrdenes[[#This Row],[costo_servicio]]))</f>
        <v/>
      </c>
      <c r="AN383" s="18">
        <f>IF(tblOrdenes[[#This Row],[orden]]="","",tblOrdenes[[#This Row],[costo_servicio]]+tblOrdenes[[#This Row],[costo_materiales]])</f>
        <v/>
      </c>
      <c r="AO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5">
        <f>IF(tblOrdenes[[#This Row],[link_checklist]]="","",HYPERLINK(p_ruta_base_checklists&amp;tblOrdenes[[#This Row],[link_checklist]],"abrir"))</f>
        <v/>
      </c>
      <c r="AT383" s="4" t="n"/>
      <c r="AU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5" t="n"/>
      <c r="K384" s="5" t="n"/>
      <c r="L384" s="18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Row],[fecha_inicio]]="","",tblOrdenes[[#This Row],[anio]]&amp;"-"&amp;TEXT(tblOrdenes[[#This Row],[mes]],"00"))</f>
        <v/>
      </c>
      <c r="S384" s="5">
        <f>IF(tblOrdenes[[#This Row],[fecha_inicio]]="","",INDEX(lista_dias,WEEKDAY(tblOrdenes[[#This Row],[fecha_inicio]],2)))</f>
        <v/>
      </c>
      <c r="T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5">
        <f>IF(tblOrdenes[[#This Row],[tipo_ot]]="","",_xlfn.XLOOKUP(tblOrdenes[[#This Row],[tipo_ot]],tblTiposOT[codigo],tblTiposOT[clasificacion],"sin_clasificar"))</f>
        <v/>
      </c>
      <c r="V3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5">
        <f>IF(tblOrdenes[[#This Row],[centro_costo]]="","",_xlfn.XLOOKUP(tblOrdenes[[#This Row],[centro_costo]],tblCECO[codigo],tblCECO[linea],"(sin catálogo)"))</f>
        <v/>
      </c>
      <c r="Y384" s="5">
        <f>IF(tblOrdenes[[#This Row],[centro_costo]]="","",_xlfn.XLOOKUP(tblOrdenes[[#This Row],[centro_costo]],tblCECO[codigo],tblCECO[area],"(sin catálogo)"))</f>
        <v/>
      </c>
      <c r="Z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5">
        <f>IF(tblOrdenes[[#This Row],[centro_costo]]="","",_xlfn.XLOOKUP(tblOrdenes[[#This Row],[centro_costo]],tblCECO[codigo],tblCECO[coordinador],"(sin catálogo)"))</f>
        <v/>
      </c>
      <c r="AB384" s="5">
        <f>IF(tblOrdenes[[#This Row],[puesto_trabajo]]="","",_xlfn.XLOOKUP(tblOrdenes[[#This Row],[puesto_trabajo]],tblPuestos[codigo],tblPuestos[especialidad],"(sin catálogo)"))</f>
        <v/>
      </c>
      <c r="AC384" s="5">
        <f>IF(tblOrdenes[[#This Row],[cod_actividad]]="","",_xlfn.XLOOKUP(tblOrdenes[[#This Row],[cod_actividad]],tblActividades[codigo],tblActividades[descripcion],"(sin catálogo)"))</f>
        <v/>
      </c>
      <c r="AD384" s="23">
        <f>IF(tblOrdenes[[#This Row],[fecha_inicio]]="","",TODAY()-tblOrdenes[[#This Row],[fecha_inicio]])</f>
        <v/>
      </c>
      <c r="AE3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5">
        <f>IF(tblOrdenes[[#This Row],[backlog_habiles]]="","",IF(tblOrdenes[[#This Row],[backlog_habiles]]&lt;0,"FUTURO",IF(tblOrdenes[[#This Row],[backlog_habiles]]&gt;p_dias_backlog_max,"BACKLOG","MES CORRIENTE")))</f>
        <v/>
      </c>
      <c r="AG384" s="5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18">
        <f>IF(tblOrdenes[[#This Row],[orden]]="","",_xlfn.XLOOKUP(tblOrdenes[[#This Row],[id_operacion]],tblEjecucion[id_operacion],tblEjecucion[precio],0))</f>
        <v/>
      </c>
      <c r="AM384" s="18">
        <f>IF(tblOrdenes[[#This Row],[orden]]="","",MAX(0,_xlfn.XLOOKUP(tblOrdenes[[#This Row],[id_operacion]],tblEjecucion[id_operacion],tblEjecucion[costo_plan_total],0)-tblOrdenes[[#This Row],[costo_servicio]]))</f>
        <v/>
      </c>
      <c r="AN384" s="18">
        <f>IF(tblOrdenes[[#This Row],[orden]]="","",tblOrdenes[[#This Row],[costo_servicio]]+tblOrdenes[[#This Row],[costo_materiales]])</f>
        <v/>
      </c>
      <c r="AO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5">
        <f>IF(tblOrdenes[[#This Row],[link_checklist]]="","",HYPERLINK(p_ruta_base_checklists&amp;tblOrdenes[[#This Row],[link_checklist]],"abrir"))</f>
        <v/>
      </c>
      <c r="AT384" s="4" t="n"/>
      <c r="AU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5" t="n"/>
      <c r="K385" s="5" t="n"/>
      <c r="L385" s="18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Row],[fecha_inicio]]="","",tblOrdenes[[#This Row],[anio]]&amp;"-"&amp;TEXT(tblOrdenes[[#This Row],[mes]],"00"))</f>
        <v/>
      </c>
      <c r="S385" s="5">
        <f>IF(tblOrdenes[[#This Row],[fecha_inicio]]="","",INDEX(lista_dias,WEEKDAY(tblOrdenes[[#This Row],[fecha_inicio]],2)))</f>
        <v/>
      </c>
      <c r="T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5">
        <f>IF(tblOrdenes[[#This Row],[tipo_ot]]="","",_xlfn.XLOOKUP(tblOrdenes[[#This Row],[tipo_ot]],tblTiposOT[codigo],tblTiposOT[clasificacion],"sin_clasificar"))</f>
        <v/>
      </c>
      <c r="V3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5">
        <f>IF(tblOrdenes[[#This Row],[centro_costo]]="","",_xlfn.XLOOKUP(tblOrdenes[[#This Row],[centro_costo]],tblCECO[codigo],tblCECO[linea],"(sin catálogo)"))</f>
        <v/>
      </c>
      <c r="Y385" s="5">
        <f>IF(tblOrdenes[[#This Row],[centro_costo]]="","",_xlfn.XLOOKUP(tblOrdenes[[#This Row],[centro_costo]],tblCECO[codigo],tblCECO[area],"(sin catálogo)"))</f>
        <v/>
      </c>
      <c r="Z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5">
        <f>IF(tblOrdenes[[#This Row],[centro_costo]]="","",_xlfn.XLOOKUP(tblOrdenes[[#This Row],[centro_costo]],tblCECO[codigo],tblCECO[coordinador],"(sin catálogo)"))</f>
        <v/>
      </c>
      <c r="AB385" s="5">
        <f>IF(tblOrdenes[[#This Row],[puesto_trabajo]]="","",_xlfn.XLOOKUP(tblOrdenes[[#This Row],[puesto_trabajo]],tblPuestos[codigo],tblPuestos[especialidad],"(sin catálogo)"))</f>
        <v/>
      </c>
      <c r="AC385" s="5">
        <f>IF(tblOrdenes[[#This Row],[cod_actividad]]="","",_xlfn.XLOOKUP(tblOrdenes[[#This Row],[cod_actividad]],tblActividades[codigo],tblActividades[descripcion],"(sin catálogo)"))</f>
        <v/>
      </c>
      <c r="AD385" s="23">
        <f>IF(tblOrdenes[[#This Row],[fecha_inicio]]="","",TODAY()-tblOrdenes[[#This Row],[fecha_inicio]])</f>
        <v/>
      </c>
      <c r="AE3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5">
        <f>IF(tblOrdenes[[#This Row],[backlog_habiles]]="","",IF(tblOrdenes[[#This Row],[backlog_habiles]]&lt;0,"FUTURO",IF(tblOrdenes[[#This Row],[backlog_habiles]]&gt;p_dias_backlog_max,"BACKLOG","MES CORRIENTE")))</f>
        <v/>
      </c>
      <c r="AG385" s="5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18">
        <f>IF(tblOrdenes[[#This Row],[orden]]="","",_xlfn.XLOOKUP(tblOrdenes[[#This Row],[id_operacion]],tblEjecucion[id_operacion],tblEjecucion[precio],0))</f>
        <v/>
      </c>
      <c r="AM385" s="18">
        <f>IF(tblOrdenes[[#This Row],[orden]]="","",MAX(0,_xlfn.XLOOKUP(tblOrdenes[[#This Row],[id_operacion]],tblEjecucion[id_operacion],tblEjecucion[costo_plan_total],0)-tblOrdenes[[#This Row],[costo_servicio]]))</f>
        <v/>
      </c>
      <c r="AN385" s="18">
        <f>IF(tblOrdenes[[#This Row],[orden]]="","",tblOrdenes[[#This Row],[costo_servicio]]+tblOrdenes[[#This Row],[costo_materiales]])</f>
        <v/>
      </c>
      <c r="AO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5">
        <f>IF(tblOrdenes[[#This Row],[link_checklist]]="","",HYPERLINK(p_ruta_base_checklists&amp;tblOrdenes[[#This Row],[link_checklist]],"abrir"))</f>
        <v/>
      </c>
      <c r="AT385" s="4" t="n"/>
      <c r="AU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5" t="n"/>
      <c r="K386" s="5" t="n"/>
      <c r="L386" s="18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Row],[fecha_inicio]]="","",tblOrdenes[[#This Row],[anio]]&amp;"-"&amp;TEXT(tblOrdenes[[#This Row],[mes]],"00"))</f>
        <v/>
      </c>
      <c r="S386" s="5">
        <f>IF(tblOrdenes[[#This Row],[fecha_inicio]]="","",INDEX(lista_dias,WEEKDAY(tblOrdenes[[#This Row],[fecha_inicio]],2)))</f>
        <v/>
      </c>
      <c r="T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5">
        <f>IF(tblOrdenes[[#This Row],[tipo_ot]]="","",_xlfn.XLOOKUP(tblOrdenes[[#This Row],[tipo_ot]],tblTiposOT[codigo],tblTiposOT[clasificacion],"sin_clasificar"))</f>
        <v/>
      </c>
      <c r="V3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5">
        <f>IF(tblOrdenes[[#This Row],[centro_costo]]="","",_xlfn.XLOOKUP(tblOrdenes[[#This Row],[centro_costo]],tblCECO[codigo],tblCECO[linea],"(sin catálogo)"))</f>
        <v/>
      </c>
      <c r="Y386" s="5">
        <f>IF(tblOrdenes[[#This Row],[centro_costo]]="","",_xlfn.XLOOKUP(tblOrdenes[[#This Row],[centro_costo]],tblCECO[codigo],tblCECO[area],"(sin catálogo)"))</f>
        <v/>
      </c>
      <c r="Z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5">
        <f>IF(tblOrdenes[[#This Row],[centro_costo]]="","",_xlfn.XLOOKUP(tblOrdenes[[#This Row],[centro_costo]],tblCECO[codigo],tblCECO[coordinador],"(sin catálogo)"))</f>
        <v/>
      </c>
      <c r="AB386" s="5">
        <f>IF(tblOrdenes[[#This Row],[puesto_trabajo]]="","",_xlfn.XLOOKUP(tblOrdenes[[#This Row],[puesto_trabajo]],tblPuestos[codigo],tblPuestos[especialidad],"(sin catálogo)"))</f>
        <v/>
      </c>
      <c r="AC386" s="5">
        <f>IF(tblOrdenes[[#This Row],[cod_actividad]]="","",_xlfn.XLOOKUP(tblOrdenes[[#This Row],[cod_actividad]],tblActividades[codigo],tblActividades[descripcion],"(sin catálogo)"))</f>
        <v/>
      </c>
      <c r="AD386" s="23">
        <f>IF(tblOrdenes[[#This Row],[fecha_inicio]]="","",TODAY()-tblOrdenes[[#This Row],[fecha_inicio]])</f>
        <v/>
      </c>
      <c r="AE3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5">
        <f>IF(tblOrdenes[[#This Row],[backlog_habiles]]="","",IF(tblOrdenes[[#This Row],[backlog_habiles]]&lt;0,"FUTURO",IF(tblOrdenes[[#This Row],[backlog_habiles]]&gt;p_dias_backlog_max,"BACKLOG","MES CORRIENTE")))</f>
        <v/>
      </c>
      <c r="AG386" s="5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18">
        <f>IF(tblOrdenes[[#This Row],[orden]]="","",_xlfn.XLOOKUP(tblOrdenes[[#This Row],[id_operacion]],tblEjecucion[id_operacion],tblEjecucion[precio],0))</f>
        <v/>
      </c>
      <c r="AM386" s="18">
        <f>IF(tblOrdenes[[#This Row],[orden]]="","",MAX(0,_xlfn.XLOOKUP(tblOrdenes[[#This Row],[id_operacion]],tblEjecucion[id_operacion],tblEjecucion[costo_plan_total],0)-tblOrdenes[[#This Row],[costo_servicio]]))</f>
        <v/>
      </c>
      <c r="AN386" s="18">
        <f>IF(tblOrdenes[[#This Row],[orden]]="","",tblOrdenes[[#This Row],[costo_servicio]]+tblOrdenes[[#This Row],[costo_materiales]])</f>
        <v/>
      </c>
      <c r="AO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5">
        <f>IF(tblOrdenes[[#This Row],[link_checklist]]="","",HYPERLINK(p_ruta_base_checklists&amp;tblOrdenes[[#This Row],[link_checklist]],"abrir"))</f>
        <v/>
      </c>
      <c r="AT386" s="4" t="n"/>
      <c r="AU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5" t="n"/>
      <c r="K387" s="5" t="n"/>
      <c r="L387" s="18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Row],[fecha_inicio]]="","",tblOrdenes[[#This Row],[anio]]&amp;"-"&amp;TEXT(tblOrdenes[[#This Row],[mes]],"00"))</f>
        <v/>
      </c>
      <c r="S387" s="5">
        <f>IF(tblOrdenes[[#This Row],[fecha_inicio]]="","",INDEX(lista_dias,WEEKDAY(tblOrdenes[[#This Row],[fecha_inicio]],2)))</f>
        <v/>
      </c>
      <c r="T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5">
        <f>IF(tblOrdenes[[#This Row],[tipo_ot]]="","",_xlfn.XLOOKUP(tblOrdenes[[#This Row],[tipo_ot]],tblTiposOT[codigo],tblTiposOT[clasificacion],"sin_clasificar"))</f>
        <v/>
      </c>
      <c r="V3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5">
        <f>IF(tblOrdenes[[#This Row],[centro_costo]]="","",_xlfn.XLOOKUP(tblOrdenes[[#This Row],[centro_costo]],tblCECO[codigo],tblCECO[linea],"(sin catálogo)"))</f>
        <v/>
      </c>
      <c r="Y387" s="5">
        <f>IF(tblOrdenes[[#This Row],[centro_costo]]="","",_xlfn.XLOOKUP(tblOrdenes[[#This Row],[centro_costo]],tblCECO[codigo],tblCECO[area],"(sin catálogo)"))</f>
        <v/>
      </c>
      <c r="Z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5">
        <f>IF(tblOrdenes[[#This Row],[centro_costo]]="","",_xlfn.XLOOKUP(tblOrdenes[[#This Row],[centro_costo]],tblCECO[codigo],tblCECO[coordinador],"(sin catálogo)"))</f>
        <v/>
      </c>
      <c r="AB387" s="5">
        <f>IF(tblOrdenes[[#This Row],[puesto_trabajo]]="","",_xlfn.XLOOKUP(tblOrdenes[[#This Row],[puesto_trabajo]],tblPuestos[codigo],tblPuestos[especialidad],"(sin catálogo)"))</f>
        <v/>
      </c>
      <c r="AC387" s="5">
        <f>IF(tblOrdenes[[#This Row],[cod_actividad]]="","",_xlfn.XLOOKUP(tblOrdenes[[#This Row],[cod_actividad]],tblActividades[codigo],tblActividades[descripcion],"(sin catálogo)"))</f>
        <v/>
      </c>
      <c r="AD387" s="23">
        <f>IF(tblOrdenes[[#This Row],[fecha_inicio]]="","",TODAY()-tblOrdenes[[#This Row],[fecha_inicio]])</f>
        <v/>
      </c>
      <c r="AE3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5">
        <f>IF(tblOrdenes[[#This Row],[backlog_habiles]]="","",IF(tblOrdenes[[#This Row],[backlog_habiles]]&lt;0,"FUTURO",IF(tblOrdenes[[#This Row],[backlog_habiles]]&gt;p_dias_backlog_max,"BACKLOG","MES CORRIENTE")))</f>
        <v/>
      </c>
      <c r="AG387" s="5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18">
        <f>IF(tblOrdenes[[#This Row],[orden]]="","",_xlfn.XLOOKUP(tblOrdenes[[#This Row],[id_operacion]],tblEjecucion[id_operacion],tblEjecucion[precio],0))</f>
        <v/>
      </c>
      <c r="AM387" s="18">
        <f>IF(tblOrdenes[[#This Row],[orden]]="","",MAX(0,_xlfn.XLOOKUP(tblOrdenes[[#This Row],[id_operacion]],tblEjecucion[id_operacion],tblEjecucion[costo_plan_total],0)-tblOrdenes[[#This Row],[costo_servicio]]))</f>
        <v/>
      </c>
      <c r="AN387" s="18">
        <f>IF(tblOrdenes[[#This Row],[orden]]="","",tblOrdenes[[#This Row],[costo_servicio]]+tblOrdenes[[#This Row],[costo_materiales]])</f>
        <v/>
      </c>
      <c r="AO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5">
        <f>IF(tblOrdenes[[#This Row],[link_checklist]]="","",HYPERLINK(p_ruta_base_checklists&amp;tblOrdenes[[#This Row],[link_checklist]],"abrir"))</f>
        <v/>
      </c>
      <c r="AT387" s="4" t="n"/>
      <c r="AU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5" t="n"/>
      <c r="K388" s="5" t="n"/>
      <c r="L388" s="18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Row],[fecha_inicio]]="","",tblOrdenes[[#This Row],[anio]]&amp;"-"&amp;TEXT(tblOrdenes[[#This Row],[mes]],"00"))</f>
        <v/>
      </c>
      <c r="S388" s="5">
        <f>IF(tblOrdenes[[#This Row],[fecha_inicio]]="","",INDEX(lista_dias,WEEKDAY(tblOrdenes[[#This Row],[fecha_inicio]],2)))</f>
        <v/>
      </c>
      <c r="T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5">
        <f>IF(tblOrdenes[[#This Row],[tipo_ot]]="","",_xlfn.XLOOKUP(tblOrdenes[[#This Row],[tipo_ot]],tblTiposOT[codigo],tblTiposOT[clasificacion],"sin_clasificar"))</f>
        <v/>
      </c>
      <c r="V3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5">
        <f>IF(tblOrdenes[[#This Row],[centro_costo]]="","",_xlfn.XLOOKUP(tblOrdenes[[#This Row],[centro_costo]],tblCECO[codigo],tblCECO[linea],"(sin catálogo)"))</f>
        <v/>
      </c>
      <c r="Y388" s="5">
        <f>IF(tblOrdenes[[#This Row],[centro_costo]]="","",_xlfn.XLOOKUP(tblOrdenes[[#This Row],[centro_costo]],tblCECO[codigo],tblCECO[area],"(sin catálogo)"))</f>
        <v/>
      </c>
      <c r="Z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5">
        <f>IF(tblOrdenes[[#This Row],[centro_costo]]="","",_xlfn.XLOOKUP(tblOrdenes[[#This Row],[centro_costo]],tblCECO[codigo],tblCECO[coordinador],"(sin catálogo)"))</f>
        <v/>
      </c>
      <c r="AB388" s="5">
        <f>IF(tblOrdenes[[#This Row],[puesto_trabajo]]="","",_xlfn.XLOOKUP(tblOrdenes[[#This Row],[puesto_trabajo]],tblPuestos[codigo],tblPuestos[especialidad],"(sin catálogo)"))</f>
        <v/>
      </c>
      <c r="AC388" s="5">
        <f>IF(tblOrdenes[[#This Row],[cod_actividad]]="","",_xlfn.XLOOKUP(tblOrdenes[[#This Row],[cod_actividad]],tblActividades[codigo],tblActividades[descripcion],"(sin catálogo)"))</f>
        <v/>
      </c>
      <c r="AD388" s="23">
        <f>IF(tblOrdenes[[#This Row],[fecha_inicio]]="","",TODAY()-tblOrdenes[[#This Row],[fecha_inicio]])</f>
        <v/>
      </c>
      <c r="AE3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5">
        <f>IF(tblOrdenes[[#This Row],[backlog_habiles]]="","",IF(tblOrdenes[[#This Row],[backlog_habiles]]&lt;0,"FUTURO",IF(tblOrdenes[[#This Row],[backlog_habiles]]&gt;p_dias_backlog_max,"BACKLOG","MES CORRIENTE")))</f>
        <v/>
      </c>
      <c r="AG388" s="5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18">
        <f>IF(tblOrdenes[[#This Row],[orden]]="","",_xlfn.XLOOKUP(tblOrdenes[[#This Row],[id_operacion]],tblEjecucion[id_operacion],tblEjecucion[precio],0))</f>
        <v/>
      </c>
      <c r="AM388" s="18">
        <f>IF(tblOrdenes[[#This Row],[orden]]="","",MAX(0,_xlfn.XLOOKUP(tblOrdenes[[#This Row],[id_operacion]],tblEjecucion[id_operacion],tblEjecucion[costo_plan_total],0)-tblOrdenes[[#This Row],[costo_servicio]]))</f>
        <v/>
      </c>
      <c r="AN388" s="18">
        <f>IF(tblOrdenes[[#This Row],[orden]]="","",tblOrdenes[[#This Row],[costo_servicio]]+tblOrdenes[[#This Row],[costo_materiales]])</f>
        <v/>
      </c>
      <c r="AO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5">
        <f>IF(tblOrdenes[[#This Row],[link_checklist]]="","",HYPERLINK(p_ruta_base_checklists&amp;tblOrdenes[[#This Row],[link_checklist]],"abrir"))</f>
        <v/>
      </c>
      <c r="AT388" s="4" t="n"/>
      <c r="AU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5" t="n"/>
      <c r="K389" s="5" t="n"/>
      <c r="L389" s="18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Row],[fecha_inicio]]="","",tblOrdenes[[#This Row],[anio]]&amp;"-"&amp;TEXT(tblOrdenes[[#This Row],[mes]],"00"))</f>
        <v/>
      </c>
      <c r="S389" s="5">
        <f>IF(tblOrdenes[[#This Row],[fecha_inicio]]="","",INDEX(lista_dias,WEEKDAY(tblOrdenes[[#This Row],[fecha_inicio]],2)))</f>
        <v/>
      </c>
      <c r="T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5">
        <f>IF(tblOrdenes[[#This Row],[tipo_ot]]="","",_xlfn.XLOOKUP(tblOrdenes[[#This Row],[tipo_ot]],tblTiposOT[codigo],tblTiposOT[clasificacion],"sin_clasificar"))</f>
        <v/>
      </c>
      <c r="V3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5">
        <f>IF(tblOrdenes[[#This Row],[centro_costo]]="","",_xlfn.XLOOKUP(tblOrdenes[[#This Row],[centro_costo]],tblCECO[codigo],tblCECO[linea],"(sin catálogo)"))</f>
        <v/>
      </c>
      <c r="Y389" s="5">
        <f>IF(tblOrdenes[[#This Row],[centro_costo]]="","",_xlfn.XLOOKUP(tblOrdenes[[#This Row],[centro_costo]],tblCECO[codigo],tblCECO[area],"(sin catálogo)"))</f>
        <v/>
      </c>
      <c r="Z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5">
        <f>IF(tblOrdenes[[#This Row],[centro_costo]]="","",_xlfn.XLOOKUP(tblOrdenes[[#This Row],[centro_costo]],tblCECO[codigo],tblCECO[coordinador],"(sin catálogo)"))</f>
        <v/>
      </c>
      <c r="AB389" s="5">
        <f>IF(tblOrdenes[[#This Row],[puesto_trabajo]]="","",_xlfn.XLOOKUP(tblOrdenes[[#This Row],[puesto_trabajo]],tblPuestos[codigo],tblPuestos[especialidad],"(sin catálogo)"))</f>
        <v/>
      </c>
      <c r="AC389" s="5">
        <f>IF(tblOrdenes[[#This Row],[cod_actividad]]="","",_xlfn.XLOOKUP(tblOrdenes[[#This Row],[cod_actividad]],tblActividades[codigo],tblActividades[descripcion],"(sin catálogo)"))</f>
        <v/>
      </c>
      <c r="AD389" s="23">
        <f>IF(tblOrdenes[[#This Row],[fecha_inicio]]="","",TODAY()-tblOrdenes[[#This Row],[fecha_inicio]])</f>
        <v/>
      </c>
      <c r="AE3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5">
        <f>IF(tblOrdenes[[#This Row],[backlog_habiles]]="","",IF(tblOrdenes[[#This Row],[backlog_habiles]]&lt;0,"FUTURO",IF(tblOrdenes[[#This Row],[backlog_habiles]]&gt;p_dias_backlog_max,"BACKLOG","MES CORRIENTE")))</f>
        <v/>
      </c>
      <c r="AG389" s="5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18">
        <f>IF(tblOrdenes[[#This Row],[orden]]="","",_xlfn.XLOOKUP(tblOrdenes[[#This Row],[id_operacion]],tblEjecucion[id_operacion],tblEjecucion[precio],0))</f>
        <v/>
      </c>
      <c r="AM389" s="18">
        <f>IF(tblOrdenes[[#This Row],[orden]]="","",MAX(0,_xlfn.XLOOKUP(tblOrdenes[[#This Row],[id_operacion]],tblEjecucion[id_operacion],tblEjecucion[costo_plan_total],0)-tblOrdenes[[#This Row],[costo_servicio]]))</f>
        <v/>
      </c>
      <c r="AN389" s="18">
        <f>IF(tblOrdenes[[#This Row],[orden]]="","",tblOrdenes[[#This Row],[costo_servicio]]+tblOrdenes[[#This Row],[costo_materiales]])</f>
        <v/>
      </c>
      <c r="AO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5">
        <f>IF(tblOrdenes[[#This Row],[link_checklist]]="","",HYPERLINK(p_ruta_base_checklists&amp;tblOrdenes[[#This Row],[link_checklist]],"abrir"))</f>
        <v/>
      </c>
      <c r="AT389" s="4" t="n"/>
      <c r="AU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5" t="n"/>
      <c r="K390" s="5" t="n"/>
      <c r="L390" s="18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Row],[fecha_inicio]]="","",tblOrdenes[[#This Row],[anio]]&amp;"-"&amp;TEXT(tblOrdenes[[#This Row],[mes]],"00"))</f>
        <v/>
      </c>
      <c r="S390" s="5">
        <f>IF(tblOrdenes[[#This Row],[fecha_inicio]]="","",INDEX(lista_dias,WEEKDAY(tblOrdenes[[#This Row],[fecha_inicio]],2)))</f>
        <v/>
      </c>
      <c r="T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5">
        <f>IF(tblOrdenes[[#This Row],[tipo_ot]]="","",_xlfn.XLOOKUP(tblOrdenes[[#This Row],[tipo_ot]],tblTiposOT[codigo],tblTiposOT[clasificacion],"sin_clasificar"))</f>
        <v/>
      </c>
      <c r="V3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5">
        <f>IF(tblOrdenes[[#This Row],[centro_costo]]="","",_xlfn.XLOOKUP(tblOrdenes[[#This Row],[centro_costo]],tblCECO[codigo],tblCECO[linea],"(sin catálogo)"))</f>
        <v/>
      </c>
      <c r="Y390" s="5">
        <f>IF(tblOrdenes[[#This Row],[centro_costo]]="","",_xlfn.XLOOKUP(tblOrdenes[[#This Row],[centro_costo]],tblCECO[codigo],tblCECO[area],"(sin catálogo)"))</f>
        <v/>
      </c>
      <c r="Z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5">
        <f>IF(tblOrdenes[[#This Row],[centro_costo]]="","",_xlfn.XLOOKUP(tblOrdenes[[#This Row],[centro_costo]],tblCECO[codigo],tblCECO[coordinador],"(sin catálogo)"))</f>
        <v/>
      </c>
      <c r="AB390" s="5">
        <f>IF(tblOrdenes[[#This Row],[puesto_trabajo]]="","",_xlfn.XLOOKUP(tblOrdenes[[#This Row],[puesto_trabajo]],tblPuestos[codigo],tblPuestos[especialidad],"(sin catálogo)"))</f>
        <v/>
      </c>
      <c r="AC390" s="5">
        <f>IF(tblOrdenes[[#This Row],[cod_actividad]]="","",_xlfn.XLOOKUP(tblOrdenes[[#This Row],[cod_actividad]],tblActividades[codigo],tblActividades[descripcion],"(sin catálogo)"))</f>
        <v/>
      </c>
      <c r="AD390" s="23">
        <f>IF(tblOrdenes[[#This Row],[fecha_inicio]]="","",TODAY()-tblOrdenes[[#This Row],[fecha_inicio]])</f>
        <v/>
      </c>
      <c r="AE3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5">
        <f>IF(tblOrdenes[[#This Row],[backlog_habiles]]="","",IF(tblOrdenes[[#This Row],[backlog_habiles]]&lt;0,"FUTURO",IF(tblOrdenes[[#This Row],[backlog_habiles]]&gt;p_dias_backlog_max,"BACKLOG","MES CORRIENTE")))</f>
        <v/>
      </c>
      <c r="AG390" s="5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18">
        <f>IF(tblOrdenes[[#This Row],[orden]]="","",_xlfn.XLOOKUP(tblOrdenes[[#This Row],[id_operacion]],tblEjecucion[id_operacion],tblEjecucion[precio],0))</f>
        <v/>
      </c>
      <c r="AM390" s="18">
        <f>IF(tblOrdenes[[#This Row],[orden]]="","",MAX(0,_xlfn.XLOOKUP(tblOrdenes[[#This Row],[id_operacion]],tblEjecucion[id_operacion],tblEjecucion[costo_plan_total],0)-tblOrdenes[[#This Row],[costo_servicio]]))</f>
        <v/>
      </c>
      <c r="AN390" s="18">
        <f>IF(tblOrdenes[[#This Row],[orden]]="","",tblOrdenes[[#This Row],[costo_servicio]]+tblOrdenes[[#This Row],[costo_materiales]])</f>
        <v/>
      </c>
      <c r="AO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5">
        <f>IF(tblOrdenes[[#This Row],[link_checklist]]="","",HYPERLINK(p_ruta_base_checklists&amp;tblOrdenes[[#This Row],[link_checklist]],"abrir"))</f>
        <v/>
      </c>
      <c r="AT390" s="4" t="n"/>
      <c r="AU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5" t="n"/>
      <c r="K391" s="5" t="n"/>
      <c r="L391" s="18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Row],[fecha_inicio]]="","",tblOrdenes[[#This Row],[anio]]&amp;"-"&amp;TEXT(tblOrdenes[[#This Row],[mes]],"00"))</f>
        <v/>
      </c>
      <c r="S391" s="5">
        <f>IF(tblOrdenes[[#This Row],[fecha_inicio]]="","",INDEX(lista_dias,WEEKDAY(tblOrdenes[[#This Row],[fecha_inicio]],2)))</f>
        <v/>
      </c>
      <c r="T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5">
        <f>IF(tblOrdenes[[#This Row],[tipo_ot]]="","",_xlfn.XLOOKUP(tblOrdenes[[#This Row],[tipo_ot]],tblTiposOT[codigo],tblTiposOT[clasificacion],"sin_clasificar"))</f>
        <v/>
      </c>
      <c r="V3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5">
        <f>IF(tblOrdenes[[#This Row],[centro_costo]]="","",_xlfn.XLOOKUP(tblOrdenes[[#This Row],[centro_costo]],tblCECO[codigo],tblCECO[linea],"(sin catálogo)"))</f>
        <v/>
      </c>
      <c r="Y391" s="5">
        <f>IF(tblOrdenes[[#This Row],[centro_costo]]="","",_xlfn.XLOOKUP(tblOrdenes[[#This Row],[centro_costo]],tblCECO[codigo],tblCECO[area],"(sin catálogo)"))</f>
        <v/>
      </c>
      <c r="Z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5">
        <f>IF(tblOrdenes[[#This Row],[centro_costo]]="","",_xlfn.XLOOKUP(tblOrdenes[[#This Row],[centro_costo]],tblCECO[codigo],tblCECO[coordinador],"(sin catálogo)"))</f>
        <v/>
      </c>
      <c r="AB391" s="5">
        <f>IF(tblOrdenes[[#This Row],[puesto_trabajo]]="","",_xlfn.XLOOKUP(tblOrdenes[[#This Row],[puesto_trabajo]],tblPuestos[codigo],tblPuestos[especialidad],"(sin catálogo)"))</f>
        <v/>
      </c>
      <c r="AC391" s="5">
        <f>IF(tblOrdenes[[#This Row],[cod_actividad]]="","",_xlfn.XLOOKUP(tblOrdenes[[#This Row],[cod_actividad]],tblActividades[codigo],tblActividades[descripcion],"(sin catálogo)"))</f>
        <v/>
      </c>
      <c r="AD391" s="23">
        <f>IF(tblOrdenes[[#This Row],[fecha_inicio]]="","",TODAY()-tblOrdenes[[#This Row],[fecha_inicio]])</f>
        <v/>
      </c>
      <c r="AE3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5">
        <f>IF(tblOrdenes[[#This Row],[backlog_habiles]]="","",IF(tblOrdenes[[#This Row],[backlog_habiles]]&lt;0,"FUTURO",IF(tblOrdenes[[#This Row],[backlog_habiles]]&gt;p_dias_backlog_max,"BACKLOG","MES CORRIENTE")))</f>
        <v/>
      </c>
      <c r="AG391" s="5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18">
        <f>IF(tblOrdenes[[#This Row],[orden]]="","",_xlfn.XLOOKUP(tblOrdenes[[#This Row],[id_operacion]],tblEjecucion[id_operacion],tblEjecucion[precio],0))</f>
        <v/>
      </c>
      <c r="AM391" s="18">
        <f>IF(tblOrdenes[[#This Row],[orden]]="","",MAX(0,_xlfn.XLOOKUP(tblOrdenes[[#This Row],[id_operacion]],tblEjecucion[id_operacion],tblEjecucion[costo_plan_total],0)-tblOrdenes[[#This Row],[costo_servicio]]))</f>
        <v/>
      </c>
      <c r="AN391" s="18">
        <f>IF(tblOrdenes[[#This Row],[orden]]="","",tblOrdenes[[#This Row],[costo_servicio]]+tblOrdenes[[#This Row],[costo_materiales]])</f>
        <v/>
      </c>
      <c r="AO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5">
        <f>IF(tblOrdenes[[#This Row],[link_checklist]]="","",HYPERLINK(p_ruta_base_checklists&amp;tblOrdenes[[#This Row],[link_checklist]],"abrir"))</f>
        <v/>
      </c>
      <c r="AT391" s="4" t="n"/>
      <c r="AU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5" t="n"/>
      <c r="K392" s="5" t="n"/>
      <c r="L392" s="18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Row],[fecha_inicio]]="","",tblOrdenes[[#This Row],[anio]]&amp;"-"&amp;TEXT(tblOrdenes[[#This Row],[mes]],"00"))</f>
        <v/>
      </c>
      <c r="S392" s="5">
        <f>IF(tblOrdenes[[#This Row],[fecha_inicio]]="","",INDEX(lista_dias,WEEKDAY(tblOrdenes[[#This Row],[fecha_inicio]],2)))</f>
        <v/>
      </c>
      <c r="T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5">
        <f>IF(tblOrdenes[[#This Row],[tipo_ot]]="","",_xlfn.XLOOKUP(tblOrdenes[[#This Row],[tipo_ot]],tblTiposOT[codigo],tblTiposOT[clasificacion],"sin_clasificar"))</f>
        <v/>
      </c>
      <c r="V3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5">
        <f>IF(tblOrdenes[[#This Row],[centro_costo]]="","",_xlfn.XLOOKUP(tblOrdenes[[#This Row],[centro_costo]],tblCECO[codigo],tblCECO[linea],"(sin catálogo)"))</f>
        <v/>
      </c>
      <c r="Y392" s="5">
        <f>IF(tblOrdenes[[#This Row],[centro_costo]]="","",_xlfn.XLOOKUP(tblOrdenes[[#This Row],[centro_costo]],tblCECO[codigo],tblCECO[area],"(sin catálogo)"))</f>
        <v/>
      </c>
      <c r="Z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5">
        <f>IF(tblOrdenes[[#This Row],[centro_costo]]="","",_xlfn.XLOOKUP(tblOrdenes[[#This Row],[centro_costo]],tblCECO[codigo],tblCECO[coordinador],"(sin catálogo)"))</f>
        <v/>
      </c>
      <c r="AB392" s="5">
        <f>IF(tblOrdenes[[#This Row],[puesto_trabajo]]="","",_xlfn.XLOOKUP(tblOrdenes[[#This Row],[puesto_trabajo]],tblPuestos[codigo],tblPuestos[especialidad],"(sin catálogo)"))</f>
        <v/>
      </c>
      <c r="AC392" s="5">
        <f>IF(tblOrdenes[[#This Row],[cod_actividad]]="","",_xlfn.XLOOKUP(tblOrdenes[[#This Row],[cod_actividad]],tblActividades[codigo],tblActividades[descripcion],"(sin catálogo)"))</f>
        <v/>
      </c>
      <c r="AD392" s="23">
        <f>IF(tblOrdenes[[#This Row],[fecha_inicio]]="","",TODAY()-tblOrdenes[[#This Row],[fecha_inicio]])</f>
        <v/>
      </c>
      <c r="AE3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5">
        <f>IF(tblOrdenes[[#This Row],[backlog_habiles]]="","",IF(tblOrdenes[[#This Row],[backlog_habiles]]&lt;0,"FUTURO",IF(tblOrdenes[[#This Row],[backlog_habiles]]&gt;p_dias_backlog_max,"BACKLOG","MES CORRIENTE")))</f>
        <v/>
      </c>
      <c r="AG392" s="5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18">
        <f>IF(tblOrdenes[[#This Row],[orden]]="","",_xlfn.XLOOKUP(tblOrdenes[[#This Row],[id_operacion]],tblEjecucion[id_operacion],tblEjecucion[precio],0))</f>
        <v/>
      </c>
      <c r="AM392" s="18">
        <f>IF(tblOrdenes[[#This Row],[orden]]="","",MAX(0,_xlfn.XLOOKUP(tblOrdenes[[#This Row],[id_operacion]],tblEjecucion[id_operacion],tblEjecucion[costo_plan_total],0)-tblOrdenes[[#This Row],[costo_servicio]]))</f>
        <v/>
      </c>
      <c r="AN392" s="18">
        <f>IF(tblOrdenes[[#This Row],[orden]]="","",tblOrdenes[[#This Row],[costo_servicio]]+tblOrdenes[[#This Row],[costo_materiales]])</f>
        <v/>
      </c>
      <c r="AO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5">
        <f>IF(tblOrdenes[[#This Row],[link_checklist]]="","",HYPERLINK(p_ruta_base_checklists&amp;tblOrdenes[[#This Row],[link_checklist]],"abrir"))</f>
        <v/>
      </c>
      <c r="AT392" s="4" t="n"/>
      <c r="AU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5" t="n"/>
      <c r="K393" s="5" t="n"/>
      <c r="L393" s="18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Row],[fecha_inicio]]="","",tblOrdenes[[#This Row],[anio]]&amp;"-"&amp;TEXT(tblOrdenes[[#This Row],[mes]],"00"))</f>
        <v/>
      </c>
      <c r="S393" s="5">
        <f>IF(tblOrdenes[[#This Row],[fecha_inicio]]="","",INDEX(lista_dias,WEEKDAY(tblOrdenes[[#This Row],[fecha_inicio]],2)))</f>
        <v/>
      </c>
      <c r="T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5">
        <f>IF(tblOrdenes[[#This Row],[tipo_ot]]="","",_xlfn.XLOOKUP(tblOrdenes[[#This Row],[tipo_ot]],tblTiposOT[codigo],tblTiposOT[clasificacion],"sin_clasificar"))</f>
        <v/>
      </c>
      <c r="V3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5">
        <f>IF(tblOrdenes[[#This Row],[centro_costo]]="","",_xlfn.XLOOKUP(tblOrdenes[[#This Row],[centro_costo]],tblCECO[codigo],tblCECO[linea],"(sin catálogo)"))</f>
        <v/>
      </c>
      <c r="Y393" s="5">
        <f>IF(tblOrdenes[[#This Row],[centro_costo]]="","",_xlfn.XLOOKUP(tblOrdenes[[#This Row],[centro_costo]],tblCECO[codigo],tblCECO[area],"(sin catálogo)"))</f>
        <v/>
      </c>
      <c r="Z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5">
        <f>IF(tblOrdenes[[#This Row],[centro_costo]]="","",_xlfn.XLOOKUP(tblOrdenes[[#This Row],[centro_costo]],tblCECO[codigo],tblCECO[coordinador],"(sin catálogo)"))</f>
        <v/>
      </c>
      <c r="AB393" s="5">
        <f>IF(tblOrdenes[[#This Row],[puesto_trabajo]]="","",_xlfn.XLOOKUP(tblOrdenes[[#This Row],[puesto_trabajo]],tblPuestos[codigo],tblPuestos[especialidad],"(sin catálogo)"))</f>
        <v/>
      </c>
      <c r="AC393" s="5">
        <f>IF(tblOrdenes[[#This Row],[cod_actividad]]="","",_xlfn.XLOOKUP(tblOrdenes[[#This Row],[cod_actividad]],tblActividades[codigo],tblActividades[descripcion],"(sin catálogo)"))</f>
        <v/>
      </c>
      <c r="AD393" s="23">
        <f>IF(tblOrdenes[[#This Row],[fecha_inicio]]="","",TODAY()-tblOrdenes[[#This Row],[fecha_inicio]])</f>
        <v/>
      </c>
      <c r="AE3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5">
        <f>IF(tblOrdenes[[#This Row],[backlog_habiles]]="","",IF(tblOrdenes[[#This Row],[backlog_habiles]]&lt;0,"FUTURO",IF(tblOrdenes[[#This Row],[backlog_habiles]]&gt;p_dias_backlog_max,"BACKLOG","MES CORRIENTE")))</f>
        <v/>
      </c>
      <c r="AG393" s="5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18">
        <f>IF(tblOrdenes[[#This Row],[orden]]="","",_xlfn.XLOOKUP(tblOrdenes[[#This Row],[id_operacion]],tblEjecucion[id_operacion],tblEjecucion[precio],0))</f>
        <v/>
      </c>
      <c r="AM393" s="18">
        <f>IF(tblOrdenes[[#This Row],[orden]]="","",MAX(0,_xlfn.XLOOKUP(tblOrdenes[[#This Row],[id_operacion]],tblEjecucion[id_operacion],tblEjecucion[costo_plan_total],0)-tblOrdenes[[#This Row],[costo_servicio]]))</f>
        <v/>
      </c>
      <c r="AN393" s="18">
        <f>IF(tblOrdenes[[#This Row],[orden]]="","",tblOrdenes[[#This Row],[costo_servicio]]+tblOrdenes[[#This Row],[costo_materiales]])</f>
        <v/>
      </c>
      <c r="AO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5">
        <f>IF(tblOrdenes[[#This Row],[link_checklist]]="","",HYPERLINK(p_ruta_base_checklists&amp;tblOrdenes[[#This Row],[link_checklist]],"abrir"))</f>
        <v/>
      </c>
      <c r="AT393" s="4" t="n"/>
      <c r="AU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5" t="n"/>
      <c r="K394" s="5" t="n"/>
      <c r="L394" s="18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Row],[fecha_inicio]]="","",tblOrdenes[[#This Row],[anio]]&amp;"-"&amp;TEXT(tblOrdenes[[#This Row],[mes]],"00"))</f>
        <v/>
      </c>
      <c r="S394" s="5">
        <f>IF(tblOrdenes[[#This Row],[fecha_inicio]]="","",INDEX(lista_dias,WEEKDAY(tblOrdenes[[#This Row],[fecha_inicio]],2)))</f>
        <v/>
      </c>
      <c r="T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5">
        <f>IF(tblOrdenes[[#This Row],[tipo_ot]]="","",_xlfn.XLOOKUP(tblOrdenes[[#This Row],[tipo_ot]],tblTiposOT[codigo],tblTiposOT[clasificacion],"sin_clasificar"))</f>
        <v/>
      </c>
      <c r="V3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5">
        <f>IF(tblOrdenes[[#This Row],[centro_costo]]="","",_xlfn.XLOOKUP(tblOrdenes[[#This Row],[centro_costo]],tblCECO[codigo],tblCECO[linea],"(sin catálogo)"))</f>
        <v/>
      </c>
      <c r="Y394" s="5">
        <f>IF(tblOrdenes[[#This Row],[centro_costo]]="","",_xlfn.XLOOKUP(tblOrdenes[[#This Row],[centro_costo]],tblCECO[codigo],tblCECO[area],"(sin catálogo)"))</f>
        <v/>
      </c>
      <c r="Z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5">
        <f>IF(tblOrdenes[[#This Row],[centro_costo]]="","",_xlfn.XLOOKUP(tblOrdenes[[#This Row],[centro_costo]],tblCECO[codigo],tblCECO[coordinador],"(sin catálogo)"))</f>
        <v/>
      </c>
      <c r="AB394" s="5">
        <f>IF(tblOrdenes[[#This Row],[puesto_trabajo]]="","",_xlfn.XLOOKUP(tblOrdenes[[#This Row],[puesto_trabajo]],tblPuestos[codigo],tblPuestos[especialidad],"(sin catálogo)"))</f>
        <v/>
      </c>
      <c r="AC394" s="5">
        <f>IF(tblOrdenes[[#This Row],[cod_actividad]]="","",_xlfn.XLOOKUP(tblOrdenes[[#This Row],[cod_actividad]],tblActividades[codigo],tblActividades[descripcion],"(sin catálogo)"))</f>
        <v/>
      </c>
      <c r="AD394" s="23">
        <f>IF(tblOrdenes[[#This Row],[fecha_inicio]]="","",TODAY()-tblOrdenes[[#This Row],[fecha_inicio]])</f>
        <v/>
      </c>
      <c r="AE3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5">
        <f>IF(tblOrdenes[[#This Row],[backlog_habiles]]="","",IF(tblOrdenes[[#This Row],[backlog_habiles]]&lt;0,"FUTURO",IF(tblOrdenes[[#This Row],[backlog_habiles]]&gt;p_dias_backlog_max,"BACKLOG","MES CORRIENTE")))</f>
        <v/>
      </c>
      <c r="AG394" s="5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18">
        <f>IF(tblOrdenes[[#This Row],[orden]]="","",_xlfn.XLOOKUP(tblOrdenes[[#This Row],[id_operacion]],tblEjecucion[id_operacion],tblEjecucion[precio],0))</f>
        <v/>
      </c>
      <c r="AM394" s="18">
        <f>IF(tblOrdenes[[#This Row],[orden]]="","",MAX(0,_xlfn.XLOOKUP(tblOrdenes[[#This Row],[id_operacion]],tblEjecucion[id_operacion],tblEjecucion[costo_plan_total],0)-tblOrdenes[[#This Row],[costo_servicio]]))</f>
        <v/>
      </c>
      <c r="AN394" s="18">
        <f>IF(tblOrdenes[[#This Row],[orden]]="","",tblOrdenes[[#This Row],[costo_servicio]]+tblOrdenes[[#This Row],[costo_materiales]])</f>
        <v/>
      </c>
      <c r="AO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5">
        <f>IF(tblOrdenes[[#This Row],[link_checklist]]="","",HYPERLINK(p_ruta_base_checklists&amp;tblOrdenes[[#This Row],[link_checklist]],"abrir"))</f>
        <v/>
      </c>
      <c r="AT394" s="4" t="n"/>
      <c r="AU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5" t="n"/>
      <c r="K395" s="5" t="n"/>
      <c r="L395" s="18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Row],[fecha_inicio]]="","",tblOrdenes[[#This Row],[anio]]&amp;"-"&amp;TEXT(tblOrdenes[[#This Row],[mes]],"00"))</f>
        <v/>
      </c>
      <c r="S395" s="5">
        <f>IF(tblOrdenes[[#This Row],[fecha_inicio]]="","",INDEX(lista_dias,WEEKDAY(tblOrdenes[[#This Row],[fecha_inicio]],2)))</f>
        <v/>
      </c>
      <c r="T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5">
        <f>IF(tblOrdenes[[#This Row],[tipo_ot]]="","",_xlfn.XLOOKUP(tblOrdenes[[#This Row],[tipo_ot]],tblTiposOT[codigo],tblTiposOT[clasificacion],"sin_clasificar"))</f>
        <v/>
      </c>
      <c r="V3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5">
        <f>IF(tblOrdenes[[#This Row],[centro_costo]]="","",_xlfn.XLOOKUP(tblOrdenes[[#This Row],[centro_costo]],tblCECO[codigo],tblCECO[linea],"(sin catálogo)"))</f>
        <v/>
      </c>
      <c r="Y395" s="5">
        <f>IF(tblOrdenes[[#This Row],[centro_costo]]="","",_xlfn.XLOOKUP(tblOrdenes[[#This Row],[centro_costo]],tblCECO[codigo],tblCECO[area],"(sin catálogo)"))</f>
        <v/>
      </c>
      <c r="Z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5">
        <f>IF(tblOrdenes[[#This Row],[centro_costo]]="","",_xlfn.XLOOKUP(tblOrdenes[[#This Row],[centro_costo]],tblCECO[codigo],tblCECO[coordinador],"(sin catálogo)"))</f>
        <v/>
      </c>
      <c r="AB395" s="5">
        <f>IF(tblOrdenes[[#This Row],[puesto_trabajo]]="","",_xlfn.XLOOKUP(tblOrdenes[[#This Row],[puesto_trabajo]],tblPuestos[codigo],tblPuestos[especialidad],"(sin catálogo)"))</f>
        <v/>
      </c>
      <c r="AC395" s="5">
        <f>IF(tblOrdenes[[#This Row],[cod_actividad]]="","",_xlfn.XLOOKUP(tblOrdenes[[#This Row],[cod_actividad]],tblActividades[codigo],tblActividades[descripcion],"(sin catálogo)"))</f>
        <v/>
      </c>
      <c r="AD395" s="23">
        <f>IF(tblOrdenes[[#This Row],[fecha_inicio]]="","",TODAY()-tblOrdenes[[#This Row],[fecha_inicio]])</f>
        <v/>
      </c>
      <c r="AE3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5">
        <f>IF(tblOrdenes[[#This Row],[backlog_habiles]]="","",IF(tblOrdenes[[#This Row],[backlog_habiles]]&lt;0,"FUTURO",IF(tblOrdenes[[#This Row],[backlog_habiles]]&gt;p_dias_backlog_max,"BACKLOG","MES CORRIENTE")))</f>
        <v/>
      </c>
      <c r="AG395" s="5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18">
        <f>IF(tblOrdenes[[#This Row],[orden]]="","",_xlfn.XLOOKUP(tblOrdenes[[#This Row],[id_operacion]],tblEjecucion[id_operacion],tblEjecucion[precio],0))</f>
        <v/>
      </c>
      <c r="AM395" s="18">
        <f>IF(tblOrdenes[[#This Row],[orden]]="","",MAX(0,_xlfn.XLOOKUP(tblOrdenes[[#This Row],[id_operacion]],tblEjecucion[id_operacion],tblEjecucion[costo_plan_total],0)-tblOrdenes[[#This Row],[costo_servicio]]))</f>
        <v/>
      </c>
      <c r="AN395" s="18">
        <f>IF(tblOrdenes[[#This Row],[orden]]="","",tblOrdenes[[#This Row],[costo_servicio]]+tblOrdenes[[#This Row],[costo_materiales]])</f>
        <v/>
      </c>
      <c r="AO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5">
        <f>IF(tblOrdenes[[#This Row],[link_checklist]]="","",HYPERLINK(p_ruta_base_checklists&amp;tblOrdenes[[#This Row],[link_checklist]],"abrir"))</f>
        <v/>
      </c>
      <c r="AT395" s="4" t="n"/>
      <c r="AU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5" t="n"/>
      <c r="K396" s="5" t="n"/>
      <c r="L396" s="18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Row],[fecha_inicio]]="","",tblOrdenes[[#This Row],[anio]]&amp;"-"&amp;TEXT(tblOrdenes[[#This Row],[mes]],"00"))</f>
        <v/>
      </c>
      <c r="S396" s="5">
        <f>IF(tblOrdenes[[#This Row],[fecha_inicio]]="","",INDEX(lista_dias,WEEKDAY(tblOrdenes[[#This Row],[fecha_inicio]],2)))</f>
        <v/>
      </c>
      <c r="T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5">
        <f>IF(tblOrdenes[[#This Row],[tipo_ot]]="","",_xlfn.XLOOKUP(tblOrdenes[[#This Row],[tipo_ot]],tblTiposOT[codigo],tblTiposOT[clasificacion],"sin_clasificar"))</f>
        <v/>
      </c>
      <c r="V3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5">
        <f>IF(tblOrdenes[[#This Row],[centro_costo]]="","",_xlfn.XLOOKUP(tblOrdenes[[#This Row],[centro_costo]],tblCECO[codigo],tblCECO[linea],"(sin catálogo)"))</f>
        <v/>
      </c>
      <c r="Y396" s="5">
        <f>IF(tblOrdenes[[#This Row],[centro_costo]]="","",_xlfn.XLOOKUP(tblOrdenes[[#This Row],[centro_costo]],tblCECO[codigo],tblCECO[area],"(sin catálogo)"))</f>
        <v/>
      </c>
      <c r="Z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5">
        <f>IF(tblOrdenes[[#This Row],[centro_costo]]="","",_xlfn.XLOOKUP(tblOrdenes[[#This Row],[centro_costo]],tblCECO[codigo],tblCECO[coordinador],"(sin catálogo)"))</f>
        <v/>
      </c>
      <c r="AB396" s="5">
        <f>IF(tblOrdenes[[#This Row],[puesto_trabajo]]="","",_xlfn.XLOOKUP(tblOrdenes[[#This Row],[puesto_trabajo]],tblPuestos[codigo],tblPuestos[especialidad],"(sin catálogo)"))</f>
        <v/>
      </c>
      <c r="AC396" s="5">
        <f>IF(tblOrdenes[[#This Row],[cod_actividad]]="","",_xlfn.XLOOKUP(tblOrdenes[[#This Row],[cod_actividad]],tblActividades[codigo],tblActividades[descripcion],"(sin catálogo)"))</f>
        <v/>
      </c>
      <c r="AD396" s="23">
        <f>IF(tblOrdenes[[#This Row],[fecha_inicio]]="","",TODAY()-tblOrdenes[[#This Row],[fecha_inicio]])</f>
        <v/>
      </c>
      <c r="AE3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5">
        <f>IF(tblOrdenes[[#This Row],[backlog_habiles]]="","",IF(tblOrdenes[[#This Row],[backlog_habiles]]&lt;0,"FUTURO",IF(tblOrdenes[[#This Row],[backlog_habiles]]&gt;p_dias_backlog_max,"BACKLOG","MES CORRIENTE")))</f>
        <v/>
      </c>
      <c r="AG396" s="5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18">
        <f>IF(tblOrdenes[[#This Row],[orden]]="","",_xlfn.XLOOKUP(tblOrdenes[[#This Row],[id_operacion]],tblEjecucion[id_operacion],tblEjecucion[precio],0))</f>
        <v/>
      </c>
      <c r="AM396" s="18">
        <f>IF(tblOrdenes[[#This Row],[orden]]="","",MAX(0,_xlfn.XLOOKUP(tblOrdenes[[#This Row],[id_operacion]],tblEjecucion[id_operacion],tblEjecucion[costo_plan_total],0)-tblOrdenes[[#This Row],[costo_servicio]]))</f>
        <v/>
      </c>
      <c r="AN396" s="18">
        <f>IF(tblOrdenes[[#This Row],[orden]]="","",tblOrdenes[[#This Row],[costo_servicio]]+tblOrdenes[[#This Row],[costo_materiales]])</f>
        <v/>
      </c>
      <c r="AO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5">
        <f>IF(tblOrdenes[[#This Row],[link_checklist]]="","",HYPERLINK(p_ruta_base_checklists&amp;tblOrdenes[[#This Row],[link_checklist]],"abrir"))</f>
        <v/>
      </c>
      <c r="AT396" s="4" t="n"/>
      <c r="AU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5" t="n"/>
      <c r="K397" s="5" t="n"/>
      <c r="L397" s="18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Row],[fecha_inicio]]="","",tblOrdenes[[#This Row],[anio]]&amp;"-"&amp;TEXT(tblOrdenes[[#This Row],[mes]],"00"))</f>
        <v/>
      </c>
      <c r="S397" s="5">
        <f>IF(tblOrdenes[[#This Row],[fecha_inicio]]="","",INDEX(lista_dias,WEEKDAY(tblOrdenes[[#This Row],[fecha_inicio]],2)))</f>
        <v/>
      </c>
      <c r="T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5">
        <f>IF(tblOrdenes[[#This Row],[tipo_ot]]="","",_xlfn.XLOOKUP(tblOrdenes[[#This Row],[tipo_ot]],tblTiposOT[codigo],tblTiposOT[clasificacion],"sin_clasificar"))</f>
        <v/>
      </c>
      <c r="V3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5">
        <f>IF(tblOrdenes[[#This Row],[centro_costo]]="","",_xlfn.XLOOKUP(tblOrdenes[[#This Row],[centro_costo]],tblCECO[codigo],tblCECO[linea],"(sin catálogo)"))</f>
        <v/>
      </c>
      <c r="Y397" s="5">
        <f>IF(tblOrdenes[[#This Row],[centro_costo]]="","",_xlfn.XLOOKUP(tblOrdenes[[#This Row],[centro_costo]],tblCECO[codigo],tblCECO[area],"(sin catálogo)"))</f>
        <v/>
      </c>
      <c r="Z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5">
        <f>IF(tblOrdenes[[#This Row],[centro_costo]]="","",_xlfn.XLOOKUP(tblOrdenes[[#This Row],[centro_costo]],tblCECO[codigo],tblCECO[coordinador],"(sin catálogo)"))</f>
        <v/>
      </c>
      <c r="AB397" s="5">
        <f>IF(tblOrdenes[[#This Row],[puesto_trabajo]]="","",_xlfn.XLOOKUP(tblOrdenes[[#This Row],[puesto_trabajo]],tblPuestos[codigo],tblPuestos[especialidad],"(sin catálogo)"))</f>
        <v/>
      </c>
      <c r="AC397" s="5">
        <f>IF(tblOrdenes[[#This Row],[cod_actividad]]="","",_xlfn.XLOOKUP(tblOrdenes[[#This Row],[cod_actividad]],tblActividades[codigo],tblActividades[descripcion],"(sin catálogo)"))</f>
        <v/>
      </c>
      <c r="AD397" s="23">
        <f>IF(tblOrdenes[[#This Row],[fecha_inicio]]="","",TODAY()-tblOrdenes[[#This Row],[fecha_inicio]])</f>
        <v/>
      </c>
      <c r="AE3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5">
        <f>IF(tblOrdenes[[#This Row],[backlog_habiles]]="","",IF(tblOrdenes[[#This Row],[backlog_habiles]]&lt;0,"FUTURO",IF(tblOrdenes[[#This Row],[backlog_habiles]]&gt;p_dias_backlog_max,"BACKLOG","MES CORRIENTE")))</f>
        <v/>
      </c>
      <c r="AG397" s="5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18">
        <f>IF(tblOrdenes[[#This Row],[orden]]="","",_xlfn.XLOOKUP(tblOrdenes[[#This Row],[id_operacion]],tblEjecucion[id_operacion],tblEjecucion[precio],0))</f>
        <v/>
      </c>
      <c r="AM397" s="18">
        <f>IF(tblOrdenes[[#This Row],[orden]]="","",MAX(0,_xlfn.XLOOKUP(tblOrdenes[[#This Row],[id_operacion]],tblEjecucion[id_operacion],tblEjecucion[costo_plan_total],0)-tblOrdenes[[#This Row],[costo_servicio]]))</f>
        <v/>
      </c>
      <c r="AN397" s="18">
        <f>IF(tblOrdenes[[#This Row],[orden]]="","",tblOrdenes[[#This Row],[costo_servicio]]+tblOrdenes[[#This Row],[costo_materiales]])</f>
        <v/>
      </c>
      <c r="AO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5">
        <f>IF(tblOrdenes[[#This Row],[link_checklist]]="","",HYPERLINK(p_ruta_base_checklists&amp;tblOrdenes[[#This Row],[link_checklist]],"abrir"))</f>
        <v/>
      </c>
      <c r="AT397" s="4" t="n"/>
      <c r="AU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5" t="n"/>
      <c r="K398" s="5" t="n"/>
      <c r="L398" s="18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Row],[fecha_inicio]]="","",tblOrdenes[[#This Row],[anio]]&amp;"-"&amp;TEXT(tblOrdenes[[#This Row],[mes]],"00"))</f>
        <v/>
      </c>
      <c r="S398" s="5">
        <f>IF(tblOrdenes[[#This Row],[fecha_inicio]]="","",INDEX(lista_dias,WEEKDAY(tblOrdenes[[#This Row],[fecha_inicio]],2)))</f>
        <v/>
      </c>
      <c r="T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5">
        <f>IF(tblOrdenes[[#This Row],[tipo_ot]]="","",_xlfn.XLOOKUP(tblOrdenes[[#This Row],[tipo_ot]],tblTiposOT[codigo],tblTiposOT[clasificacion],"sin_clasificar"))</f>
        <v/>
      </c>
      <c r="V3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5">
        <f>IF(tblOrdenes[[#This Row],[centro_costo]]="","",_xlfn.XLOOKUP(tblOrdenes[[#This Row],[centro_costo]],tblCECO[codigo],tblCECO[linea],"(sin catálogo)"))</f>
        <v/>
      </c>
      <c r="Y398" s="5">
        <f>IF(tblOrdenes[[#This Row],[centro_costo]]="","",_xlfn.XLOOKUP(tblOrdenes[[#This Row],[centro_costo]],tblCECO[codigo],tblCECO[area],"(sin catálogo)"))</f>
        <v/>
      </c>
      <c r="Z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5">
        <f>IF(tblOrdenes[[#This Row],[centro_costo]]="","",_xlfn.XLOOKUP(tblOrdenes[[#This Row],[centro_costo]],tblCECO[codigo],tblCECO[coordinador],"(sin catálogo)"))</f>
        <v/>
      </c>
      <c r="AB398" s="5">
        <f>IF(tblOrdenes[[#This Row],[puesto_trabajo]]="","",_xlfn.XLOOKUP(tblOrdenes[[#This Row],[puesto_trabajo]],tblPuestos[codigo],tblPuestos[especialidad],"(sin catálogo)"))</f>
        <v/>
      </c>
      <c r="AC398" s="5">
        <f>IF(tblOrdenes[[#This Row],[cod_actividad]]="","",_xlfn.XLOOKUP(tblOrdenes[[#This Row],[cod_actividad]],tblActividades[codigo],tblActividades[descripcion],"(sin catálogo)"))</f>
        <v/>
      </c>
      <c r="AD398" s="23">
        <f>IF(tblOrdenes[[#This Row],[fecha_inicio]]="","",TODAY()-tblOrdenes[[#This Row],[fecha_inicio]])</f>
        <v/>
      </c>
      <c r="AE3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5">
        <f>IF(tblOrdenes[[#This Row],[backlog_habiles]]="","",IF(tblOrdenes[[#This Row],[backlog_habiles]]&lt;0,"FUTURO",IF(tblOrdenes[[#This Row],[backlog_habiles]]&gt;p_dias_backlog_max,"BACKLOG","MES CORRIENTE")))</f>
        <v/>
      </c>
      <c r="AG398" s="5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18">
        <f>IF(tblOrdenes[[#This Row],[orden]]="","",_xlfn.XLOOKUP(tblOrdenes[[#This Row],[id_operacion]],tblEjecucion[id_operacion],tblEjecucion[precio],0))</f>
        <v/>
      </c>
      <c r="AM398" s="18">
        <f>IF(tblOrdenes[[#This Row],[orden]]="","",MAX(0,_xlfn.XLOOKUP(tblOrdenes[[#This Row],[id_operacion]],tblEjecucion[id_operacion],tblEjecucion[costo_plan_total],0)-tblOrdenes[[#This Row],[costo_servicio]]))</f>
        <v/>
      </c>
      <c r="AN398" s="18">
        <f>IF(tblOrdenes[[#This Row],[orden]]="","",tblOrdenes[[#This Row],[costo_servicio]]+tblOrdenes[[#This Row],[costo_materiales]])</f>
        <v/>
      </c>
      <c r="AO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5">
        <f>IF(tblOrdenes[[#This Row],[link_checklist]]="","",HYPERLINK(p_ruta_base_checklists&amp;tblOrdenes[[#This Row],[link_checklist]],"abrir"))</f>
        <v/>
      </c>
      <c r="AT398" s="4" t="n"/>
      <c r="AU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5" t="n"/>
      <c r="K399" s="5" t="n"/>
      <c r="L399" s="18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Row],[fecha_inicio]]="","",tblOrdenes[[#This Row],[anio]]&amp;"-"&amp;TEXT(tblOrdenes[[#This Row],[mes]],"00"))</f>
        <v/>
      </c>
      <c r="S399" s="5">
        <f>IF(tblOrdenes[[#This Row],[fecha_inicio]]="","",INDEX(lista_dias,WEEKDAY(tblOrdenes[[#This Row],[fecha_inicio]],2)))</f>
        <v/>
      </c>
      <c r="T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5">
        <f>IF(tblOrdenes[[#This Row],[tipo_ot]]="","",_xlfn.XLOOKUP(tblOrdenes[[#This Row],[tipo_ot]],tblTiposOT[codigo],tblTiposOT[clasificacion],"sin_clasificar"))</f>
        <v/>
      </c>
      <c r="V3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5">
        <f>IF(tblOrdenes[[#This Row],[centro_costo]]="","",_xlfn.XLOOKUP(tblOrdenes[[#This Row],[centro_costo]],tblCECO[codigo],tblCECO[linea],"(sin catálogo)"))</f>
        <v/>
      </c>
      <c r="Y399" s="5">
        <f>IF(tblOrdenes[[#This Row],[centro_costo]]="","",_xlfn.XLOOKUP(tblOrdenes[[#This Row],[centro_costo]],tblCECO[codigo],tblCECO[area],"(sin catálogo)"))</f>
        <v/>
      </c>
      <c r="Z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5">
        <f>IF(tblOrdenes[[#This Row],[centro_costo]]="","",_xlfn.XLOOKUP(tblOrdenes[[#This Row],[centro_costo]],tblCECO[codigo],tblCECO[coordinador],"(sin catálogo)"))</f>
        <v/>
      </c>
      <c r="AB399" s="5">
        <f>IF(tblOrdenes[[#This Row],[puesto_trabajo]]="","",_xlfn.XLOOKUP(tblOrdenes[[#This Row],[puesto_trabajo]],tblPuestos[codigo],tblPuestos[especialidad],"(sin catálogo)"))</f>
        <v/>
      </c>
      <c r="AC399" s="5">
        <f>IF(tblOrdenes[[#This Row],[cod_actividad]]="","",_xlfn.XLOOKUP(tblOrdenes[[#This Row],[cod_actividad]],tblActividades[codigo],tblActividades[descripcion],"(sin catálogo)"))</f>
        <v/>
      </c>
      <c r="AD399" s="23">
        <f>IF(tblOrdenes[[#This Row],[fecha_inicio]]="","",TODAY()-tblOrdenes[[#This Row],[fecha_inicio]])</f>
        <v/>
      </c>
      <c r="AE3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5">
        <f>IF(tblOrdenes[[#This Row],[backlog_habiles]]="","",IF(tblOrdenes[[#This Row],[backlog_habiles]]&lt;0,"FUTURO",IF(tblOrdenes[[#This Row],[backlog_habiles]]&gt;p_dias_backlog_max,"BACKLOG","MES CORRIENTE")))</f>
        <v/>
      </c>
      <c r="AG399" s="5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18">
        <f>IF(tblOrdenes[[#This Row],[orden]]="","",_xlfn.XLOOKUP(tblOrdenes[[#This Row],[id_operacion]],tblEjecucion[id_operacion],tblEjecucion[precio],0))</f>
        <v/>
      </c>
      <c r="AM399" s="18">
        <f>IF(tblOrdenes[[#This Row],[orden]]="","",MAX(0,_xlfn.XLOOKUP(tblOrdenes[[#This Row],[id_operacion]],tblEjecucion[id_operacion],tblEjecucion[costo_plan_total],0)-tblOrdenes[[#This Row],[costo_servicio]]))</f>
        <v/>
      </c>
      <c r="AN399" s="18">
        <f>IF(tblOrdenes[[#This Row],[orden]]="","",tblOrdenes[[#This Row],[costo_servicio]]+tblOrdenes[[#This Row],[costo_materiales]])</f>
        <v/>
      </c>
      <c r="AO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5">
        <f>IF(tblOrdenes[[#This Row],[link_checklist]]="","",HYPERLINK(p_ruta_base_checklists&amp;tblOrdenes[[#This Row],[link_checklist]],"abrir"))</f>
        <v/>
      </c>
      <c r="AT399" s="4" t="n"/>
      <c r="AU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5" t="n"/>
      <c r="K400" s="5" t="n"/>
      <c r="L400" s="18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Row],[fecha_inicio]]="","",tblOrdenes[[#This Row],[anio]]&amp;"-"&amp;TEXT(tblOrdenes[[#This Row],[mes]],"00"))</f>
        <v/>
      </c>
      <c r="S400" s="5">
        <f>IF(tblOrdenes[[#This Row],[fecha_inicio]]="","",INDEX(lista_dias,WEEKDAY(tblOrdenes[[#This Row],[fecha_inicio]],2)))</f>
        <v/>
      </c>
      <c r="T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5">
        <f>IF(tblOrdenes[[#This Row],[tipo_ot]]="","",_xlfn.XLOOKUP(tblOrdenes[[#This Row],[tipo_ot]],tblTiposOT[codigo],tblTiposOT[clasificacion],"sin_clasificar"))</f>
        <v/>
      </c>
      <c r="V4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5">
        <f>IF(tblOrdenes[[#This Row],[centro_costo]]="","",_xlfn.XLOOKUP(tblOrdenes[[#This Row],[centro_costo]],tblCECO[codigo],tblCECO[linea],"(sin catálogo)"))</f>
        <v/>
      </c>
      <c r="Y400" s="5">
        <f>IF(tblOrdenes[[#This Row],[centro_costo]]="","",_xlfn.XLOOKUP(tblOrdenes[[#This Row],[centro_costo]],tblCECO[codigo],tblCECO[area],"(sin catálogo)"))</f>
        <v/>
      </c>
      <c r="Z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5">
        <f>IF(tblOrdenes[[#This Row],[centro_costo]]="","",_xlfn.XLOOKUP(tblOrdenes[[#This Row],[centro_costo]],tblCECO[codigo],tblCECO[coordinador],"(sin catálogo)"))</f>
        <v/>
      </c>
      <c r="AB400" s="5">
        <f>IF(tblOrdenes[[#This Row],[puesto_trabajo]]="","",_xlfn.XLOOKUP(tblOrdenes[[#This Row],[puesto_trabajo]],tblPuestos[codigo],tblPuestos[especialidad],"(sin catálogo)"))</f>
        <v/>
      </c>
      <c r="AC400" s="5">
        <f>IF(tblOrdenes[[#This Row],[cod_actividad]]="","",_xlfn.XLOOKUP(tblOrdenes[[#This Row],[cod_actividad]],tblActividades[codigo],tblActividades[descripcion],"(sin catálogo)"))</f>
        <v/>
      </c>
      <c r="AD400" s="23">
        <f>IF(tblOrdenes[[#This Row],[fecha_inicio]]="","",TODAY()-tblOrdenes[[#This Row],[fecha_inicio]])</f>
        <v/>
      </c>
      <c r="AE4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5">
        <f>IF(tblOrdenes[[#This Row],[backlog_habiles]]="","",IF(tblOrdenes[[#This Row],[backlog_habiles]]&lt;0,"FUTURO",IF(tblOrdenes[[#This Row],[backlog_habiles]]&gt;p_dias_backlog_max,"BACKLOG","MES CORRIENTE")))</f>
        <v/>
      </c>
      <c r="AG400" s="5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18">
        <f>IF(tblOrdenes[[#This Row],[orden]]="","",_xlfn.XLOOKUP(tblOrdenes[[#This Row],[id_operacion]],tblEjecucion[id_operacion],tblEjecucion[precio],0))</f>
        <v/>
      </c>
      <c r="AM400" s="18">
        <f>IF(tblOrdenes[[#This Row],[orden]]="","",MAX(0,_xlfn.XLOOKUP(tblOrdenes[[#This Row],[id_operacion]],tblEjecucion[id_operacion],tblEjecucion[costo_plan_total],0)-tblOrdenes[[#This Row],[costo_servicio]]))</f>
        <v/>
      </c>
      <c r="AN400" s="18">
        <f>IF(tblOrdenes[[#This Row],[orden]]="","",tblOrdenes[[#This Row],[costo_servicio]]+tblOrdenes[[#This Row],[costo_materiales]])</f>
        <v/>
      </c>
      <c r="AO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5">
        <f>IF(tblOrdenes[[#This Row],[link_checklist]]="","",HYPERLINK(p_ruta_base_checklists&amp;tblOrdenes[[#This Row],[link_checklist]],"abrir"))</f>
        <v/>
      </c>
      <c r="AT400" s="4" t="n"/>
      <c r="AU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5" t="n"/>
      <c r="K401" s="5" t="n"/>
      <c r="L401" s="18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Row],[fecha_inicio]]="","",tblOrdenes[[#This Row],[anio]]&amp;"-"&amp;TEXT(tblOrdenes[[#This Row],[mes]],"00"))</f>
        <v/>
      </c>
      <c r="S401" s="5">
        <f>IF(tblOrdenes[[#This Row],[fecha_inicio]]="","",INDEX(lista_dias,WEEKDAY(tblOrdenes[[#This Row],[fecha_inicio]],2)))</f>
        <v/>
      </c>
      <c r="T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5">
        <f>IF(tblOrdenes[[#This Row],[tipo_ot]]="","",_xlfn.XLOOKUP(tblOrdenes[[#This Row],[tipo_ot]],tblTiposOT[codigo],tblTiposOT[clasificacion],"sin_clasificar"))</f>
        <v/>
      </c>
      <c r="V4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5">
        <f>IF(tblOrdenes[[#This Row],[centro_costo]]="","",_xlfn.XLOOKUP(tblOrdenes[[#This Row],[centro_costo]],tblCECO[codigo],tblCECO[linea],"(sin catálogo)"))</f>
        <v/>
      </c>
      <c r="Y401" s="5">
        <f>IF(tblOrdenes[[#This Row],[centro_costo]]="","",_xlfn.XLOOKUP(tblOrdenes[[#This Row],[centro_costo]],tblCECO[codigo],tblCECO[area],"(sin catálogo)"))</f>
        <v/>
      </c>
      <c r="Z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5">
        <f>IF(tblOrdenes[[#This Row],[centro_costo]]="","",_xlfn.XLOOKUP(tblOrdenes[[#This Row],[centro_costo]],tblCECO[codigo],tblCECO[coordinador],"(sin catálogo)"))</f>
        <v/>
      </c>
      <c r="AB401" s="5">
        <f>IF(tblOrdenes[[#This Row],[puesto_trabajo]]="","",_xlfn.XLOOKUP(tblOrdenes[[#This Row],[puesto_trabajo]],tblPuestos[codigo],tblPuestos[especialidad],"(sin catálogo)"))</f>
        <v/>
      </c>
      <c r="AC401" s="5">
        <f>IF(tblOrdenes[[#This Row],[cod_actividad]]="","",_xlfn.XLOOKUP(tblOrdenes[[#This Row],[cod_actividad]],tblActividades[codigo],tblActividades[descripcion],"(sin catálogo)"))</f>
        <v/>
      </c>
      <c r="AD401" s="23">
        <f>IF(tblOrdenes[[#This Row],[fecha_inicio]]="","",TODAY()-tblOrdenes[[#This Row],[fecha_inicio]])</f>
        <v/>
      </c>
      <c r="AE4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5">
        <f>IF(tblOrdenes[[#This Row],[backlog_habiles]]="","",IF(tblOrdenes[[#This Row],[backlog_habiles]]&lt;0,"FUTURO",IF(tblOrdenes[[#This Row],[backlog_habiles]]&gt;p_dias_backlog_max,"BACKLOG","MES CORRIENTE")))</f>
        <v/>
      </c>
      <c r="AG401" s="5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18">
        <f>IF(tblOrdenes[[#This Row],[orden]]="","",_xlfn.XLOOKUP(tblOrdenes[[#This Row],[id_operacion]],tblEjecucion[id_operacion],tblEjecucion[precio],0))</f>
        <v/>
      </c>
      <c r="AM401" s="18">
        <f>IF(tblOrdenes[[#This Row],[orden]]="","",MAX(0,_xlfn.XLOOKUP(tblOrdenes[[#This Row],[id_operacion]],tblEjecucion[id_operacion],tblEjecucion[costo_plan_total],0)-tblOrdenes[[#This Row],[costo_servicio]]))</f>
        <v/>
      </c>
      <c r="AN401" s="18">
        <f>IF(tblOrdenes[[#This Row],[orden]]="","",tblOrdenes[[#This Row],[costo_servicio]]+tblOrdenes[[#This Row],[costo_materiales]])</f>
        <v/>
      </c>
      <c r="AO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5">
        <f>IF(tblOrdenes[[#This Row],[link_checklist]]="","",HYPERLINK(p_ruta_base_checklists&amp;tblOrdenes[[#This Row],[link_checklist]],"abrir"))</f>
        <v/>
      </c>
      <c r="AT401" s="4" t="n"/>
      <c r="AU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5" t="n"/>
      <c r="K402" s="5" t="n"/>
      <c r="L402" s="18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Row],[fecha_inicio]]="","",tblOrdenes[[#This Row],[anio]]&amp;"-"&amp;TEXT(tblOrdenes[[#This Row],[mes]],"00"))</f>
        <v/>
      </c>
      <c r="S402" s="5">
        <f>IF(tblOrdenes[[#This Row],[fecha_inicio]]="","",INDEX(lista_dias,WEEKDAY(tblOrdenes[[#This Row],[fecha_inicio]],2)))</f>
        <v/>
      </c>
      <c r="T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5">
        <f>IF(tblOrdenes[[#This Row],[tipo_ot]]="","",_xlfn.XLOOKUP(tblOrdenes[[#This Row],[tipo_ot]],tblTiposOT[codigo],tblTiposOT[clasificacion],"sin_clasificar"))</f>
        <v/>
      </c>
      <c r="V4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5">
        <f>IF(tblOrdenes[[#This Row],[centro_costo]]="","",_xlfn.XLOOKUP(tblOrdenes[[#This Row],[centro_costo]],tblCECO[codigo],tblCECO[linea],"(sin catálogo)"))</f>
        <v/>
      </c>
      <c r="Y402" s="5">
        <f>IF(tblOrdenes[[#This Row],[centro_costo]]="","",_xlfn.XLOOKUP(tblOrdenes[[#This Row],[centro_costo]],tblCECO[codigo],tblCECO[area],"(sin catálogo)"))</f>
        <v/>
      </c>
      <c r="Z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5">
        <f>IF(tblOrdenes[[#This Row],[centro_costo]]="","",_xlfn.XLOOKUP(tblOrdenes[[#This Row],[centro_costo]],tblCECO[codigo],tblCECO[coordinador],"(sin catálogo)"))</f>
        <v/>
      </c>
      <c r="AB402" s="5">
        <f>IF(tblOrdenes[[#This Row],[puesto_trabajo]]="","",_xlfn.XLOOKUP(tblOrdenes[[#This Row],[puesto_trabajo]],tblPuestos[codigo],tblPuestos[especialidad],"(sin catálogo)"))</f>
        <v/>
      </c>
      <c r="AC402" s="5">
        <f>IF(tblOrdenes[[#This Row],[cod_actividad]]="","",_xlfn.XLOOKUP(tblOrdenes[[#This Row],[cod_actividad]],tblActividades[codigo],tblActividades[descripcion],"(sin catálogo)"))</f>
        <v/>
      </c>
      <c r="AD402" s="23">
        <f>IF(tblOrdenes[[#This Row],[fecha_inicio]]="","",TODAY()-tblOrdenes[[#This Row],[fecha_inicio]])</f>
        <v/>
      </c>
      <c r="AE4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5">
        <f>IF(tblOrdenes[[#This Row],[backlog_habiles]]="","",IF(tblOrdenes[[#This Row],[backlog_habiles]]&lt;0,"FUTURO",IF(tblOrdenes[[#This Row],[backlog_habiles]]&gt;p_dias_backlog_max,"BACKLOG","MES CORRIENTE")))</f>
        <v/>
      </c>
      <c r="AG402" s="5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18">
        <f>IF(tblOrdenes[[#This Row],[orden]]="","",_xlfn.XLOOKUP(tblOrdenes[[#This Row],[id_operacion]],tblEjecucion[id_operacion],tblEjecucion[precio],0))</f>
        <v/>
      </c>
      <c r="AM402" s="18">
        <f>IF(tblOrdenes[[#This Row],[orden]]="","",MAX(0,_xlfn.XLOOKUP(tblOrdenes[[#This Row],[id_operacion]],tblEjecucion[id_operacion],tblEjecucion[costo_plan_total],0)-tblOrdenes[[#This Row],[costo_servicio]]))</f>
        <v/>
      </c>
      <c r="AN402" s="18">
        <f>IF(tblOrdenes[[#This Row],[orden]]="","",tblOrdenes[[#This Row],[costo_servicio]]+tblOrdenes[[#This Row],[costo_materiales]])</f>
        <v/>
      </c>
      <c r="AO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5">
        <f>IF(tblOrdenes[[#This Row],[link_checklist]]="","",HYPERLINK(p_ruta_base_checklists&amp;tblOrdenes[[#This Row],[link_checklist]],"abrir"))</f>
        <v/>
      </c>
      <c r="AT402" s="4" t="n"/>
      <c r="AU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5" t="n"/>
      <c r="K403" s="5" t="n"/>
      <c r="L403" s="18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Row],[fecha_inicio]]="","",tblOrdenes[[#This Row],[anio]]&amp;"-"&amp;TEXT(tblOrdenes[[#This Row],[mes]],"00"))</f>
        <v/>
      </c>
      <c r="S403" s="5">
        <f>IF(tblOrdenes[[#This Row],[fecha_inicio]]="","",INDEX(lista_dias,WEEKDAY(tblOrdenes[[#This Row],[fecha_inicio]],2)))</f>
        <v/>
      </c>
      <c r="T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5">
        <f>IF(tblOrdenes[[#This Row],[tipo_ot]]="","",_xlfn.XLOOKUP(tblOrdenes[[#This Row],[tipo_ot]],tblTiposOT[codigo],tblTiposOT[clasificacion],"sin_clasificar"))</f>
        <v/>
      </c>
      <c r="V4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5">
        <f>IF(tblOrdenes[[#This Row],[centro_costo]]="","",_xlfn.XLOOKUP(tblOrdenes[[#This Row],[centro_costo]],tblCECO[codigo],tblCECO[linea],"(sin catálogo)"))</f>
        <v/>
      </c>
      <c r="Y403" s="5">
        <f>IF(tblOrdenes[[#This Row],[centro_costo]]="","",_xlfn.XLOOKUP(tblOrdenes[[#This Row],[centro_costo]],tblCECO[codigo],tblCECO[area],"(sin catálogo)"))</f>
        <v/>
      </c>
      <c r="Z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5">
        <f>IF(tblOrdenes[[#This Row],[centro_costo]]="","",_xlfn.XLOOKUP(tblOrdenes[[#This Row],[centro_costo]],tblCECO[codigo],tblCECO[coordinador],"(sin catálogo)"))</f>
        <v/>
      </c>
      <c r="AB403" s="5">
        <f>IF(tblOrdenes[[#This Row],[puesto_trabajo]]="","",_xlfn.XLOOKUP(tblOrdenes[[#This Row],[puesto_trabajo]],tblPuestos[codigo],tblPuestos[especialidad],"(sin catálogo)"))</f>
        <v/>
      </c>
      <c r="AC403" s="5">
        <f>IF(tblOrdenes[[#This Row],[cod_actividad]]="","",_xlfn.XLOOKUP(tblOrdenes[[#This Row],[cod_actividad]],tblActividades[codigo],tblActividades[descripcion],"(sin catálogo)"))</f>
        <v/>
      </c>
      <c r="AD403" s="23">
        <f>IF(tblOrdenes[[#This Row],[fecha_inicio]]="","",TODAY()-tblOrdenes[[#This Row],[fecha_inicio]])</f>
        <v/>
      </c>
      <c r="AE4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5">
        <f>IF(tblOrdenes[[#This Row],[backlog_habiles]]="","",IF(tblOrdenes[[#This Row],[backlog_habiles]]&lt;0,"FUTURO",IF(tblOrdenes[[#This Row],[backlog_habiles]]&gt;p_dias_backlog_max,"BACKLOG","MES CORRIENTE")))</f>
        <v/>
      </c>
      <c r="AG403" s="5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18">
        <f>IF(tblOrdenes[[#This Row],[orden]]="","",_xlfn.XLOOKUP(tblOrdenes[[#This Row],[id_operacion]],tblEjecucion[id_operacion],tblEjecucion[precio],0))</f>
        <v/>
      </c>
      <c r="AM403" s="18">
        <f>IF(tblOrdenes[[#This Row],[orden]]="","",MAX(0,_xlfn.XLOOKUP(tblOrdenes[[#This Row],[id_operacion]],tblEjecucion[id_operacion],tblEjecucion[costo_plan_total],0)-tblOrdenes[[#This Row],[costo_servicio]]))</f>
        <v/>
      </c>
      <c r="AN403" s="18">
        <f>IF(tblOrdenes[[#This Row],[orden]]="","",tblOrdenes[[#This Row],[costo_servicio]]+tblOrdenes[[#This Row],[costo_materiales]])</f>
        <v/>
      </c>
      <c r="AO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5">
        <f>IF(tblOrdenes[[#This Row],[link_checklist]]="","",HYPERLINK(p_ruta_base_checklists&amp;tblOrdenes[[#This Row],[link_checklist]],"abrir"))</f>
        <v/>
      </c>
      <c r="AT403" s="4" t="n"/>
      <c r="AU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5" t="n"/>
      <c r="K404" s="5" t="n"/>
      <c r="L404" s="18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Row],[fecha_inicio]]="","",tblOrdenes[[#This Row],[anio]]&amp;"-"&amp;TEXT(tblOrdenes[[#This Row],[mes]],"00"))</f>
        <v/>
      </c>
      <c r="S404" s="5">
        <f>IF(tblOrdenes[[#This Row],[fecha_inicio]]="","",INDEX(lista_dias,WEEKDAY(tblOrdenes[[#This Row],[fecha_inicio]],2)))</f>
        <v/>
      </c>
      <c r="T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5">
        <f>IF(tblOrdenes[[#This Row],[tipo_ot]]="","",_xlfn.XLOOKUP(tblOrdenes[[#This Row],[tipo_ot]],tblTiposOT[codigo],tblTiposOT[clasificacion],"sin_clasificar"))</f>
        <v/>
      </c>
      <c r="V4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5">
        <f>IF(tblOrdenes[[#This Row],[centro_costo]]="","",_xlfn.XLOOKUP(tblOrdenes[[#This Row],[centro_costo]],tblCECO[codigo],tblCECO[linea],"(sin catálogo)"))</f>
        <v/>
      </c>
      <c r="Y404" s="5">
        <f>IF(tblOrdenes[[#This Row],[centro_costo]]="","",_xlfn.XLOOKUP(tblOrdenes[[#This Row],[centro_costo]],tblCECO[codigo],tblCECO[area],"(sin catálogo)"))</f>
        <v/>
      </c>
      <c r="Z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5">
        <f>IF(tblOrdenes[[#This Row],[centro_costo]]="","",_xlfn.XLOOKUP(tblOrdenes[[#This Row],[centro_costo]],tblCECO[codigo],tblCECO[coordinador],"(sin catálogo)"))</f>
        <v/>
      </c>
      <c r="AB404" s="5">
        <f>IF(tblOrdenes[[#This Row],[puesto_trabajo]]="","",_xlfn.XLOOKUP(tblOrdenes[[#This Row],[puesto_trabajo]],tblPuestos[codigo],tblPuestos[especialidad],"(sin catálogo)"))</f>
        <v/>
      </c>
      <c r="AC404" s="5">
        <f>IF(tblOrdenes[[#This Row],[cod_actividad]]="","",_xlfn.XLOOKUP(tblOrdenes[[#This Row],[cod_actividad]],tblActividades[codigo],tblActividades[descripcion],"(sin catálogo)"))</f>
        <v/>
      </c>
      <c r="AD404" s="23">
        <f>IF(tblOrdenes[[#This Row],[fecha_inicio]]="","",TODAY()-tblOrdenes[[#This Row],[fecha_inicio]])</f>
        <v/>
      </c>
      <c r="AE4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5">
        <f>IF(tblOrdenes[[#This Row],[backlog_habiles]]="","",IF(tblOrdenes[[#This Row],[backlog_habiles]]&lt;0,"FUTURO",IF(tblOrdenes[[#This Row],[backlog_habiles]]&gt;p_dias_backlog_max,"BACKLOG","MES CORRIENTE")))</f>
        <v/>
      </c>
      <c r="AG404" s="5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18">
        <f>IF(tblOrdenes[[#This Row],[orden]]="","",_xlfn.XLOOKUP(tblOrdenes[[#This Row],[id_operacion]],tblEjecucion[id_operacion],tblEjecucion[precio],0))</f>
        <v/>
      </c>
      <c r="AM404" s="18">
        <f>IF(tblOrdenes[[#This Row],[orden]]="","",MAX(0,_xlfn.XLOOKUP(tblOrdenes[[#This Row],[id_operacion]],tblEjecucion[id_operacion],tblEjecucion[costo_plan_total],0)-tblOrdenes[[#This Row],[costo_servicio]]))</f>
        <v/>
      </c>
      <c r="AN404" s="18">
        <f>IF(tblOrdenes[[#This Row],[orden]]="","",tblOrdenes[[#This Row],[costo_servicio]]+tblOrdenes[[#This Row],[costo_materiales]])</f>
        <v/>
      </c>
      <c r="AO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5">
        <f>IF(tblOrdenes[[#This Row],[link_checklist]]="","",HYPERLINK(p_ruta_base_checklists&amp;tblOrdenes[[#This Row],[link_checklist]],"abrir"))</f>
        <v/>
      </c>
      <c r="AT404" s="4" t="n"/>
      <c r="AU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5" t="n"/>
      <c r="K405" s="5" t="n"/>
      <c r="L405" s="18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Row],[fecha_inicio]]="","",tblOrdenes[[#This Row],[anio]]&amp;"-"&amp;TEXT(tblOrdenes[[#This Row],[mes]],"00"))</f>
        <v/>
      </c>
      <c r="S405" s="5">
        <f>IF(tblOrdenes[[#This Row],[fecha_inicio]]="","",INDEX(lista_dias,WEEKDAY(tblOrdenes[[#This Row],[fecha_inicio]],2)))</f>
        <v/>
      </c>
      <c r="T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5">
        <f>IF(tblOrdenes[[#This Row],[tipo_ot]]="","",_xlfn.XLOOKUP(tblOrdenes[[#This Row],[tipo_ot]],tblTiposOT[codigo],tblTiposOT[clasificacion],"sin_clasificar"))</f>
        <v/>
      </c>
      <c r="V4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5">
        <f>IF(tblOrdenes[[#This Row],[centro_costo]]="","",_xlfn.XLOOKUP(tblOrdenes[[#This Row],[centro_costo]],tblCECO[codigo],tblCECO[linea],"(sin catálogo)"))</f>
        <v/>
      </c>
      <c r="Y405" s="5">
        <f>IF(tblOrdenes[[#This Row],[centro_costo]]="","",_xlfn.XLOOKUP(tblOrdenes[[#This Row],[centro_costo]],tblCECO[codigo],tblCECO[area],"(sin catálogo)"))</f>
        <v/>
      </c>
      <c r="Z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5">
        <f>IF(tblOrdenes[[#This Row],[centro_costo]]="","",_xlfn.XLOOKUP(tblOrdenes[[#This Row],[centro_costo]],tblCECO[codigo],tblCECO[coordinador],"(sin catálogo)"))</f>
        <v/>
      </c>
      <c r="AB405" s="5">
        <f>IF(tblOrdenes[[#This Row],[puesto_trabajo]]="","",_xlfn.XLOOKUP(tblOrdenes[[#This Row],[puesto_trabajo]],tblPuestos[codigo],tblPuestos[especialidad],"(sin catálogo)"))</f>
        <v/>
      </c>
      <c r="AC405" s="5">
        <f>IF(tblOrdenes[[#This Row],[cod_actividad]]="","",_xlfn.XLOOKUP(tblOrdenes[[#This Row],[cod_actividad]],tblActividades[codigo],tblActividades[descripcion],"(sin catálogo)"))</f>
        <v/>
      </c>
      <c r="AD405" s="23">
        <f>IF(tblOrdenes[[#This Row],[fecha_inicio]]="","",TODAY()-tblOrdenes[[#This Row],[fecha_inicio]])</f>
        <v/>
      </c>
      <c r="AE4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5">
        <f>IF(tblOrdenes[[#This Row],[backlog_habiles]]="","",IF(tblOrdenes[[#This Row],[backlog_habiles]]&lt;0,"FUTURO",IF(tblOrdenes[[#This Row],[backlog_habiles]]&gt;p_dias_backlog_max,"BACKLOG","MES CORRIENTE")))</f>
        <v/>
      </c>
      <c r="AG405" s="5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18">
        <f>IF(tblOrdenes[[#This Row],[orden]]="","",_xlfn.XLOOKUP(tblOrdenes[[#This Row],[id_operacion]],tblEjecucion[id_operacion],tblEjecucion[precio],0))</f>
        <v/>
      </c>
      <c r="AM405" s="18">
        <f>IF(tblOrdenes[[#This Row],[orden]]="","",MAX(0,_xlfn.XLOOKUP(tblOrdenes[[#This Row],[id_operacion]],tblEjecucion[id_operacion],tblEjecucion[costo_plan_total],0)-tblOrdenes[[#This Row],[costo_servicio]]))</f>
        <v/>
      </c>
      <c r="AN405" s="18">
        <f>IF(tblOrdenes[[#This Row],[orden]]="","",tblOrdenes[[#This Row],[costo_servicio]]+tblOrdenes[[#This Row],[costo_materiales]])</f>
        <v/>
      </c>
      <c r="AO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5">
        <f>IF(tblOrdenes[[#This Row],[link_checklist]]="","",HYPERLINK(p_ruta_base_checklists&amp;tblOrdenes[[#This Row],[link_checklist]],"abrir"))</f>
        <v/>
      </c>
      <c r="AT405" s="4" t="n"/>
      <c r="AU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5" t="n"/>
      <c r="K406" s="5" t="n"/>
      <c r="L406" s="18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Row],[fecha_inicio]]="","",tblOrdenes[[#This Row],[anio]]&amp;"-"&amp;TEXT(tblOrdenes[[#This Row],[mes]],"00"))</f>
        <v/>
      </c>
      <c r="S406" s="5">
        <f>IF(tblOrdenes[[#This Row],[fecha_inicio]]="","",INDEX(lista_dias,WEEKDAY(tblOrdenes[[#This Row],[fecha_inicio]],2)))</f>
        <v/>
      </c>
      <c r="T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5">
        <f>IF(tblOrdenes[[#This Row],[tipo_ot]]="","",_xlfn.XLOOKUP(tblOrdenes[[#This Row],[tipo_ot]],tblTiposOT[codigo],tblTiposOT[clasificacion],"sin_clasificar"))</f>
        <v/>
      </c>
      <c r="V4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5">
        <f>IF(tblOrdenes[[#This Row],[centro_costo]]="","",_xlfn.XLOOKUP(tblOrdenes[[#This Row],[centro_costo]],tblCECO[codigo],tblCECO[linea],"(sin catálogo)"))</f>
        <v/>
      </c>
      <c r="Y406" s="5">
        <f>IF(tblOrdenes[[#This Row],[centro_costo]]="","",_xlfn.XLOOKUP(tblOrdenes[[#This Row],[centro_costo]],tblCECO[codigo],tblCECO[area],"(sin catálogo)"))</f>
        <v/>
      </c>
      <c r="Z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5">
        <f>IF(tblOrdenes[[#This Row],[centro_costo]]="","",_xlfn.XLOOKUP(tblOrdenes[[#This Row],[centro_costo]],tblCECO[codigo],tblCECO[coordinador],"(sin catálogo)"))</f>
        <v/>
      </c>
      <c r="AB406" s="5">
        <f>IF(tblOrdenes[[#This Row],[puesto_trabajo]]="","",_xlfn.XLOOKUP(tblOrdenes[[#This Row],[puesto_trabajo]],tblPuestos[codigo],tblPuestos[especialidad],"(sin catálogo)"))</f>
        <v/>
      </c>
      <c r="AC406" s="5">
        <f>IF(tblOrdenes[[#This Row],[cod_actividad]]="","",_xlfn.XLOOKUP(tblOrdenes[[#This Row],[cod_actividad]],tblActividades[codigo],tblActividades[descripcion],"(sin catálogo)"))</f>
        <v/>
      </c>
      <c r="AD406" s="23">
        <f>IF(tblOrdenes[[#This Row],[fecha_inicio]]="","",TODAY()-tblOrdenes[[#This Row],[fecha_inicio]])</f>
        <v/>
      </c>
      <c r="AE4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5">
        <f>IF(tblOrdenes[[#This Row],[backlog_habiles]]="","",IF(tblOrdenes[[#This Row],[backlog_habiles]]&lt;0,"FUTURO",IF(tblOrdenes[[#This Row],[backlog_habiles]]&gt;p_dias_backlog_max,"BACKLOG","MES CORRIENTE")))</f>
        <v/>
      </c>
      <c r="AG406" s="5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18">
        <f>IF(tblOrdenes[[#This Row],[orden]]="","",_xlfn.XLOOKUP(tblOrdenes[[#This Row],[id_operacion]],tblEjecucion[id_operacion],tblEjecucion[precio],0))</f>
        <v/>
      </c>
      <c r="AM406" s="18">
        <f>IF(tblOrdenes[[#This Row],[orden]]="","",MAX(0,_xlfn.XLOOKUP(tblOrdenes[[#This Row],[id_operacion]],tblEjecucion[id_operacion],tblEjecucion[costo_plan_total],0)-tblOrdenes[[#This Row],[costo_servicio]]))</f>
        <v/>
      </c>
      <c r="AN406" s="18">
        <f>IF(tblOrdenes[[#This Row],[orden]]="","",tblOrdenes[[#This Row],[costo_servicio]]+tblOrdenes[[#This Row],[costo_materiales]])</f>
        <v/>
      </c>
      <c r="AO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5">
        <f>IF(tblOrdenes[[#This Row],[link_checklist]]="","",HYPERLINK(p_ruta_base_checklists&amp;tblOrdenes[[#This Row],[link_checklist]],"abrir"))</f>
        <v/>
      </c>
      <c r="AT406" s="4" t="n"/>
      <c r="AU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5" t="n"/>
      <c r="K407" s="5" t="n"/>
      <c r="L407" s="18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Row],[fecha_inicio]]="","",tblOrdenes[[#This Row],[anio]]&amp;"-"&amp;TEXT(tblOrdenes[[#This Row],[mes]],"00"))</f>
        <v/>
      </c>
      <c r="S407" s="5">
        <f>IF(tblOrdenes[[#This Row],[fecha_inicio]]="","",INDEX(lista_dias,WEEKDAY(tblOrdenes[[#This Row],[fecha_inicio]],2)))</f>
        <v/>
      </c>
      <c r="T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5">
        <f>IF(tblOrdenes[[#This Row],[tipo_ot]]="","",_xlfn.XLOOKUP(tblOrdenes[[#This Row],[tipo_ot]],tblTiposOT[codigo],tblTiposOT[clasificacion],"sin_clasificar"))</f>
        <v/>
      </c>
      <c r="V4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5">
        <f>IF(tblOrdenes[[#This Row],[centro_costo]]="","",_xlfn.XLOOKUP(tblOrdenes[[#This Row],[centro_costo]],tblCECO[codigo],tblCECO[linea],"(sin catálogo)"))</f>
        <v/>
      </c>
      <c r="Y407" s="5">
        <f>IF(tblOrdenes[[#This Row],[centro_costo]]="","",_xlfn.XLOOKUP(tblOrdenes[[#This Row],[centro_costo]],tblCECO[codigo],tblCECO[area],"(sin catálogo)"))</f>
        <v/>
      </c>
      <c r="Z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5">
        <f>IF(tblOrdenes[[#This Row],[centro_costo]]="","",_xlfn.XLOOKUP(tblOrdenes[[#This Row],[centro_costo]],tblCECO[codigo],tblCECO[coordinador],"(sin catálogo)"))</f>
        <v/>
      </c>
      <c r="AB407" s="5">
        <f>IF(tblOrdenes[[#This Row],[puesto_trabajo]]="","",_xlfn.XLOOKUP(tblOrdenes[[#This Row],[puesto_trabajo]],tblPuestos[codigo],tblPuestos[especialidad],"(sin catálogo)"))</f>
        <v/>
      </c>
      <c r="AC407" s="5">
        <f>IF(tblOrdenes[[#This Row],[cod_actividad]]="","",_xlfn.XLOOKUP(tblOrdenes[[#This Row],[cod_actividad]],tblActividades[codigo],tblActividades[descripcion],"(sin catálogo)"))</f>
        <v/>
      </c>
      <c r="AD407" s="23">
        <f>IF(tblOrdenes[[#This Row],[fecha_inicio]]="","",TODAY()-tblOrdenes[[#This Row],[fecha_inicio]])</f>
        <v/>
      </c>
      <c r="AE4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5">
        <f>IF(tblOrdenes[[#This Row],[backlog_habiles]]="","",IF(tblOrdenes[[#This Row],[backlog_habiles]]&lt;0,"FUTURO",IF(tblOrdenes[[#This Row],[backlog_habiles]]&gt;p_dias_backlog_max,"BACKLOG","MES CORRIENTE")))</f>
        <v/>
      </c>
      <c r="AG407" s="5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18">
        <f>IF(tblOrdenes[[#This Row],[orden]]="","",_xlfn.XLOOKUP(tblOrdenes[[#This Row],[id_operacion]],tblEjecucion[id_operacion],tblEjecucion[precio],0))</f>
        <v/>
      </c>
      <c r="AM407" s="18">
        <f>IF(tblOrdenes[[#This Row],[orden]]="","",MAX(0,_xlfn.XLOOKUP(tblOrdenes[[#This Row],[id_operacion]],tblEjecucion[id_operacion],tblEjecucion[costo_plan_total],0)-tblOrdenes[[#This Row],[costo_servicio]]))</f>
        <v/>
      </c>
      <c r="AN407" s="18">
        <f>IF(tblOrdenes[[#This Row],[orden]]="","",tblOrdenes[[#This Row],[costo_servicio]]+tblOrdenes[[#This Row],[costo_materiales]])</f>
        <v/>
      </c>
      <c r="AO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5">
        <f>IF(tblOrdenes[[#This Row],[link_checklist]]="","",HYPERLINK(p_ruta_base_checklists&amp;tblOrdenes[[#This Row],[link_checklist]],"abrir"))</f>
        <v/>
      </c>
      <c r="AT407" s="4" t="n"/>
      <c r="AU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5" t="n"/>
      <c r="K408" s="5" t="n"/>
      <c r="L408" s="18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Row],[fecha_inicio]]="","",tblOrdenes[[#This Row],[anio]]&amp;"-"&amp;TEXT(tblOrdenes[[#This Row],[mes]],"00"))</f>
        <v/>
      </c>
      <c r="S408" s="5">
        <f>IF(tblOrdenes[[#This Row],[fecha_inicio]]="","",INDEX(lista_dias,WEEKDAY(tblOrdenes[[#This Row],[fecha_inicio]],2)))</f>
        <v/>
      </c>
      <c r="T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5">
        <f>IF(tblOrdenes[[#This Row],[tipo_ot]]="","",_xlfn.XLOOKUP(tblOrdenes[[#This Row],[tipo_ot]],tblTiposOT[codigo],tblTiposOT[clasificacion],"sin_clasificar"))</f>
        <v/>
      </c>
      <c r="V4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5">
        <f>IF(tblOrdenes[[#This Row],[centro_costo]]="","",_xlfn.XLOOKUP(tblOrdenes[[#This Row],[centro_costo]],tblCECO[codigo],tblCECO[linea],"(sin catálogo)"))</f>
        <v/>
      </c>
      <c r="Y408" s="5">
        <f>IF(tblOrdenes[[#This Row],[centro_costo]]="","",_xlfn.XLOOKUP(tblOrdenes[[#This Row],[centro_costo]],tblCECO[codigo],tblCECO[area],"(sin catálogo)"))</f>
        <v/>
      </c>
      <c r="Z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5">
        <f>IF(tblOrdenes[[#This Row],[centro_costo]]="","",_xlfn.XLOOKUP(tblOrdenes[[#This Row],[centro_costo]],tblCECO[codigo],tblCECO[coordinador],"(sin catálogo)"))</f>
        <v/>
      </c>
      <c r="AB408" s="5">
        <f>IF(tblOrdenes[[#This Row],[puesto_trabajo]]="","",_xlfn.XLOOKUP(tblOrdenes[[#This Row],[puesto_trabajo]],tblPuestos[codigo],tblPuestos[especialidad],"(sin catálogo)"))</f>
        <v/>
      </c>
      <c r="AC408" s="5">
        <f>IF(tblOrdenes[[#This Row],[cod_actividad]]="","",_xlfn.XLOOKUP(tblOrdenes[[#This Row],[cod_actividad]],tblActividades[codigo],tblActividades[descripcion],"(sin catálogo)"))</f>
        <v/>
      </c>
      <c r="AD408" s="23">
        <f>IF(tblOrdenes[[#This Row],[fecha_inicio]]="","",TODAY()-tblOrdenes[[#This Row],[fecha_inicio]])</f>
        <v/>
      </c>
      <c r="AE4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5">
        <f>IF(tblOrdenes[[#This Row],[backlog_habiles]]="","",IF(tblOrdenes[[#This Row],[backlog_habiles]]&lt;0,"FUTURO",IF(tblOrdenes[[#This Row],[backlog_habiles]]&gt;p_dias_backlog_max,"BACKLOG","MES CORRIENTE")))</f>
        <v/>
      </c>
      <c r="AG408" s="5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18">
        <f>IF(tblOrdenes[[#This Row],[orden]]="","",_xlfn.XLOOKUP(tblOrdenes[[#This Row],[id_operacion]],tblEjecucion[id_operacion],tblEjecucion[precio],0))</f>
        <v/>
      </c>
      <c r="AM408" s="18">
        <f>IF(tblOrdenes[[#This Row],[orden]]="","",MAX(0,_xlfn.XLOOKUP(tblOrdenes[[#This Row],[id_operacion]],tblEjecucion[id_operacion],tblEjecucion[costo_plan_total],0)-tblOrdenes[[#This Row],[costo_servicio]]))</f>
        <v/>
      </c>
      <c r="AN408" s="18">
        <f>IF(tblOrdenes[[#This Row],[orden]]="","",tblOrdenes[[#This Row],[costo_servicio]]+tblOrdenes[[#This Row],[costo_materiales]])</f>
        <v/>
      </c>
      <c r="AO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5">
        <f>IF(tblOrdenes[[#This Row],[link_checklist]]="","",HYPERLINK(p_ruta_base_checklists&amp;tblOrdenes[[#This Row],[link_checklist]],"abrir"))</f>
        <v/>
      </c>
      <c r="AT408" s="4" t="n"/>
      <c r="AU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5" t="n"/>
      <c r="K409" s="5" t="n"/>
      <c r="L409" s="18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Row],[fecha_inicio]]="","",tblOrdenes[[#This Row],[anio]]&amp;"-"&amp;TEXT(tblOrdenes[[#This Row],[mes]],"00"))</f>
        <v/>
      </c>
      <c r="S409" s="5">
        <f>IF(tblOrdenes[[#This Row],[fecha_inicio]]="","",INDEX(lista_dias,WEEKDAY(tblOrdenes[[#This Row],[fecha_inicio]],2)))</f>
        <v/>
      </c>
      <c r="T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5">
        <f>IF(tblOrdenes[[#This Row],[tipo_ot]]="","",_xlfn.XLOOKUP(tblOrdenes[[#This Row],[tipo_ot]],tblTiposOT[codigo],tblTiposOT[clasificacion],"sin_clasificar"))</f>
        <v/>
      </c>
      <c r="V4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5">
        <f>IF(tblOrdenes[[#This Row],[centro_costo]]="","",_xlfn.XLOOKUP(tblOrdenes[[#This Row],[centro_costo]],tblCECO[codigo],tblCECO[linea],"(sin catálogo)"))</f>
        <v/>
      </c>
      <c r="Y409" s="5">
        <f>IF(tblOrdenes[[#This Row],[centro_costo]]="","",_xlfn.XLOOKUP(tblOrdenes[[#This Row],[centro_costo]],tblCECO[codigo],tblCECO[area],"(sin catálogo)"))</f>
        <v/>
      </c>
      <c r="Z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5">
        <f>IF(tblOrdenes[[#This Row],[centro_costo]]="","",_xlfn.XLOOKUP(tblOrdenes[[#This Row],[centro_costo]],tblCECO[codigo],tblCECO[coordinador],"(sin catálogo)"))</f>
        <v/>
      </c>
      <c r="AB409" s="5">
        <f>IF(tblOrdenes[[#This Row],[puesto_trabajo]]="","",_xlfn.XLOOKUP(tblOrdenes[[#This Row],[puesto_trabajo]],tblPuestos[codigo],tblPuestos[especialidad],"(sin catálogo)"))</f>
        <v/>
      </c>
      <c r="AC409" s="5">
        <f>IF(tblOrdenes[[#This Row],[cod_actividad]]="","",_xlfn.XLOOKUP(tblOrdenes[[#This Row],[cod_actividad]],tblActividades[codigo],tblActividades[descripcion],"(sin catálogo)"))</f>
        <v/>
      </c>
      <c r="AD409" s="23">
        <f>IF(tblOrdenes[[#This Row],[fecha_inicio]]="","",TODAY()-tblOrdenes[[#This Row],[fecha_inicio]])</f>
        <v/>
      </c>
      <c r="AE4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5">
        <f>IF(tblOrdenes[[#This Row],[backlog_habiles]]="","",IF(tblOrdenes[[#This Row],[backlog_habiles]]&lt;0,"FUTURO",IF(tblOrdenes[[#This Row],[backlog_habiles]]&gt;p_dias_backlog_max,"BACKLOG","MES CORRIENTE")))</f>
        <v/>
      </c>
      <c r="AG409" s="5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18">
        <f>IF(tblOrdenes[[#This Row],[orden]]="","",_xlfn.XLOOKUP(tblOrdenes[[#This Row],[id_operacion]],tblEjecucion[id_operacion],tblEjecucion[precio],0))</f>
        <v/>
      </c>
      <c r="AM409" s="18">
        <f>IF(tblOrdenes[[#This Row],[orden]]="","",MAX(0,_xlfn.XLOOKUP(tblOrdenes[[#This Row],[id_operacion]],tblEjecucion[id_operacion],tblEjecucion[costo_plan_total],0)-tblOrdenes[[#This Row],[costo_servicio]]))</f>
        <v/>
      </c>
      <c r="AN409" s="18">
        <f>IF(tblOrdenes[[#This Row],[orden]]="","",tblOrdenes[[#This Row],[costo_servicio]]+tblOrdenes[[#This Row],[costo_materiales]])</f>
        <v/>
      </c>
      <c r="AO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5">
        <f>IF(tblOrdenes[[#This Row],[link_checklist]]="","",HYPERLINK(p_ruta_base_checklists&amp;tblOrdenes[[#This Row],[link_checklist]],"abrir"))</f>
        <v/>
      </c>
      <c r="AT409" s="4" t="n"/>
      <c r="AU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5" t="n"/>
      <c r="K410" s="5" t="n"/>
      <c r="L410" s="18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Row],[fecha_inicio]]="","",tblOrdenes[[#This Row],[anio]]&amp;"-"&amp;TEXT(tblOrdenes[[#This Row],[mes]],"00"))</f>
        <v/>
      </c>
      <c r="S410" s="5">
        <f>IF(tblOrdenes[[#This Row],[fecha_inicio]]="","",INDEX(lista_dias,WEEKDAY(tblOrdenes[[#This Row],[fecha_inicio]],2)))</f>
        <v/>
      </c>
      <c r="T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5">
        <f>IF(tblOrdenes[[#This Row],[tipo_ot]]="","",_xlfn.XLOOKUP(tblOrdenes[[#This Row],[tipo_ot]],tblTiposOT[codigo],tblTiposOT[clasificacion],"sin_clasificar"))</f>
        <v/>
      </c>
      <c r="V4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5">
        <f>IF(tblOrdenes[[#This Row],[centro_costo]]="","",_xlfn.XLOOKUP(tblOrdenes[[#This Row],[centro_costo]],tblCECO[codigo],tblCECO[linea],"(sin catálogo)"))</f>
        <v/>
      </c>
      <c r="Y410" s="5">
        <f>IF(tblOrdenes[[#This Row],[centro_costo]]="","",_xlfn.XLOOKUP(tblOrdenes[[#This Row],[centro_costo]],tblCECO[codigo],tblCECO[area],"(sin catálogo)"))</f>
        <v/>
      </c>
      <c r="Z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5">
        <f>IF(tblOrdenes[[#This Row],[centro_costo]]="","",_xlfn.XLOOKUP(tblOrdenes[[#This Row],[centro_costo]],tblCECO[codigo],tblCECO[coordinador],"(sin catálogo)"))</f>
        <v/>
      </c>
      <c r="AB410" s="5">
        <f>IF(tblOrdenes[[#This Row],[puesto_trabajo]]="","",_xlfn.XLOOKUP(tblOrdenes[[#This Row],[puesto_trabajo]],tblPuestos[codigo],tblPuestos[especialidad],"(sin catálogo)"))</f>
        <v/>
      </c>
      <c r="AC410" s="5">
        <f>IF(tblOrdenes[[#This Row],[cod_actividad]]="","",_xlfn.XLOOKUP(tblOrdenes[[#This Row],[cod_actividad]],tblActividades[codigo],tblActividades[descripcion],"(sin catálogo)"))</f>
        <v/>
      </c>
      <c r="AD410" s="23">
        <f>IF(tblOrdenes[[#This Row],[fecha_inicio]]="","",TODAY()-tblOrdenes[[#This Row],[fecha_inicio]])</f>
        <v/>
      </c>
      <c r="AE4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5">
        <f>IF(tblOrdenes[[#This Row],[backlog_habiles]]="","",IF(tblOrdenes[[#This Row],[backlog_habiles]]&lt;0,"FUTURO",IF(tblOrdenes[[#This Row],[backlog_habiles]]&gt;p_dias_backlog_max,"BACKLOG","MES CORRIENTE")))</f>
        <v/>
      </c>
      <c r="AG410" s="5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18">
        <f>IF(tblOrdenes[[#This Row],[orden]]="","",_xlfn.XLOOKUP(tblOrdenes[[#This Row],[id_operacion]],tblEjecucion[id_operacion],tblEjecucion[precio],0))</f>
        <v/>
      </c>
      <c r="AM410" s="18">
        <f>IF(tblOrdenes[[#This Row],[orden]]="","",MAX(0,_xlfn.XLOOKUP(tblOrdenes[[#This Row],[id_operacion]],tblEjecucion[id_operacion],tblEjecucion[costo_plan_total],0)-tblOrdenes[[#This Row],[costo_servicio]]))</f>
        <v/>
      </c>
      <c r="AN410" s="18">
        <f>IF(tblOrdenes[[#This Row],[orden]]="","",tblOrdenes[[#This Row],[costo_servicio]]+tblOrdenes[[#This Row],[costo_materiales]])</f>
        <v/>
      </c>
      <c r="AO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5">
        <f>IF(tblOrdenes[[#This Row],[link_checklist]]="","",HYPERLINK(p_ruta_base_checklists&amp;tblOrdenes[[#This Row],[link_checklist]],"abrir"))</f>
        <v/>
      </c>
      <c r="AT410" s="4" t="n"/>
      <c r="AU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5" t="n"/>
      <c r="K411" s="5" t="n"/>
      <c r="L411" s="18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Row],[fecha_inicio]]="","",tblOrdenes[[#This Row],[anio]]&amp;"-"&amp;TEXT(tblOrdenes[[#This Row],[mes]],"00"))</f>
        <v/>
      </c>
      <c r="S411" s="5">
        <f>IF(tblOrdenes[[#This Row],[fecha_inicio]]="","",INDEX(lista_dias,WEEKDAY(tblOrdenes[[#This Row],[fecha_inicio]],2)))</f>
        <v/>
      </c>
      <c r="T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5">
        <f>IF(tblOrdenes[[#This Row],[tipo_ot]]="","",_xlfn.XLOOKUP(tblOrdenes[[#This Row],[tipo_ot]],tblTiposOT[codigo],tblTiposOT[clasificacion],"sin_clasificar"))</f>
        <v/>
      </c>
      <c r="V4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5">
        <f>IF(tblOrdenes[[#This Row],[centro_costo]]="","",_xlfn.XLOOKUP(tblOrdenes[[#This Row],[centro_costo]],tblCECO[codigo],tblCECO[linea],"(sin catálogo)"))</f>
        <v/>
      </c>
      <c r="Y411" s="5">
        <f>IF(tblOrdenes[[#This Row],[centro_costo]]="","",_xlfn.XLOOKUP(tblOrdenes[[#This Row],[centro_costo]],tblCECO[codigo],tblCECO[area],"(sin catálogo)"))</f>
        <v/>
      </c>
      <c r="Z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5">
        <f>IF(tblOrdenes[[#This Row],[centro_costo]]="","",_xlfn.XLOOKUP(tblOrdenes[[#This Row],[centro_costo]],tblCECO[codigo],tblCECO[coordinador],"(sin catálogo)"))</f>
        <v/>
      </c>
      <c r="AB411" s="5">
        <f>IF(tblOrdenes[[#This Row],[puesto_trabajo]]="","",_xlfn.XLOOKUP(tblOrdenes[[#This Row],[puesto_trabajo]],tblPuestos[codigo],tblPuestos[especialidad],"(sin catálogo)"))</f>
        <v/>
      </c>
      <c r="AC411" s="5">
        <f>IF(tblOrdenes[[#This Row],[cod_actividad]]="","",_xlfn.XLOOKUP(tblOrdenes[[#This Row],[cod_actividad]],tblActividades[codigo],tblActividades[descripcion],"(sin catálogo)"))</f>
        <v/>
      </c>
      <c r="AD411" s="23">
        <f>IF(tblOrdenes[[#This Row],[fecha_inicio]]="","",TODAY()-tblOrdenes[[#This Row],[fecha_inicio]])</f>
        <v/>
      </c>
      <c r="AE4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5">
        <f>IF(tblOrdenes[[#This Row],[backlog_habiles]]="","",IF(tblOrdenes[[#This Row],[backlog_habiles]]&lt;0,"FUTURO",IF(tblOrdenes[[#This Row],[backlog_habiles]]&gt;p_dias_backlog_max,"BACKLOG","MES CORRIENTE")))</f>
        <v/>
      </c>
      <c r="AG411" s="5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18">
        <f>IF(tblOrdenes[[#This Row],[orden]]="","",_xlfn.XLOOKUP(tblOrdenes[[#This Row],[id_operacion]],tblEjecucion[id_operacion],tblEjecucion[precio],0))</f>
        <v/>
      </c>
      <c r="AM411" s="18">
        <f>IF(tblOrdenes[[#This Row],[orden]]="","",MAX(0,_xlfn.XLOOKUP(tblOrdenes[[#This Row],[id_operacion]],tblEjecucion[id_operacion],tblEjecucion[costo_plan_total],0)-tblOrdenes[[#This Row],[costo_servicio]]))</f>
        <v/>
      </c>
      <c r="AN411" s="18">
        <f>IF(tblOrdenes[[#This Row],[orden]]="","",tblOrdenes[[#This Row],[costo_servicio]]+tblOrdenes[[#This Row],[costo_materiales]])</f>
        <v/>
      </c>
      <c r="AO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5">
        <f>IF(tblOrdenes[[#This Row],[link_checklist]]="","",HYPERLINK(p_ruta_base_checklists&amp;tblOrdenes[[#This Row],[link_checklist]],"abrir"))</f>
        <v/>
      </c>
      <c r="AT411" s="4" t="n"/>
      <c r="AU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5" t="n"/>
      <c r="K412" s="5" t="n"/>
      <c r="L412" s="18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Row],[fecha_inicio]]="","",tblOrdenes[[#This Row],[anio]]&amp;"-"&amp;TEXT(tblOrdenes[[#This Row],[mes]],"00"))</f>
        <v/>
      </c>
      <c r="S412" s="5">
        <f>IF(tblOrdenes[[#This Row],[fecha_inicio]]="","",INDEX(lista_dias,WEEKDAY(tblOrdenes[[#This Row],[fecha_inicio]],2)))</f>
        <v/>
      </c>
      <c r="T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5">
        <f>IF(tblOrdenes[[#This Row],[tipo_ot]]="","",_xlfn.XLOOKUP(tblOrdenes[[#This Row],[tipo_ot]],tblTiposOT[codigo],tblTiposOT[clasificacion],"sin_clasificar"))</f>
        <v/>
      </c>
      <c r="V4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5">
        <f>IF(tblOrdenes[[#This Row],[centro_costo]]="","",_xlfn.XLOOKUP(tblOrdenes[[#This Row],[centro_costo]],tblCECO[codigo],tblCECO[linea],"(sin catálogo)"))</f>
        <v/>
      </c>
      <c r="Y412" s="5">
        <f>IF(tblOrdenes[[#This Row],[centro_costo]]="","",_xlfn.XLOOKUP(tblOrdenes[[#This Row],[centro_costo]],tblCECO[codigo],tblCECO[area],"(sin catálogo)"))</f>
        <v/>
      </c>
      <c r="Z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5">
        <f>IF(tblOrdenes[[#This Row],[centro_costo]]="","",_xlfn.XLOOKUP(tblOrdenes[[#This Row],[centro_costo]],tblCECO[codigo],tblCECO[coordinador],"(sin catálogo)"))</f>
        <v/>
      </c>
      <c r="AB412" s="5">
        <f>IF(tblOrdenes[[#This Row],[puesto_trabajo]]="","",_xlfn.XLOOKUP(tblOrdenes[[#This Row],[puesto_trabajo]],tblPuestos[codigo],tblPuestos[especialidad],"(sin catálogo)"))</f>
        <v/>
      </c>
      <c r="AC412" s="5">
        <f>IF(tblOrdenes[[#This Row],[cod_actividad]]="","",_xlfn.XLOOKUP(tblOrdenes[[#This Row],[cod_actividad]],tblActividades[codigo],tblActividades[descripcion],"(sin catálogo)"))</f>
        <v/>
      </c>
      <c r="AD412" s="23">
        <f>IF(tblOrdenes[[#This Row],[fecha_inicio]]="","",TODAY()-tblOrdenes[[#This Row],[fecha_inicio]])</f>
        <v/>
      </c>
      <c r="AE4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5">
        <f>IF(tblOrdenes[[#This Row],[backlog_habiles]]="","",IF(tblOrdenes[[#This Row],[backlog_habiles]]&lt;0,"FUTURO",IF(tblOrdenes[[#This Row],[backlog_habiles]]&gt;p_dias_backlog_max,"BACKLOG","MES CORRIENTE")))</f>
        <v/>
      </c>
      <c r="AG412" s="5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18">
        <f>IF(tblOrdenes[[#This Row],[orden]]="","",_xlfn.XLOOKUP(tblOrdenes[[#This Row],[id_operacion]],tblEjecucion[id_operacion],tblEjecucion[precio],0))</f>
        <v/>
      </c>
      <c r="AM412" s="18">
        <f>IF(tblOrdenes[[#This Row],[orden]]="","",MAX(0,_xlfn.XLOOKUP(tblOrdenes[[#This Row],[id_operacion]],tblEjecucion[id_operacion],tblEjecucion[costo_plan_total],0)-tblOrdenes[[#This Row],[costo_servicio]]))</f>
        <v/>
      </c>
      <c r="AN412" s="18">
        <f>IF(tblOrdenes[[#This Row],[orden]]="","",tblOrdenes[[#This Row],[costo_servicio]]+tblOrdenes[[#This Row],[costo_materiales]])</f>
        <v/>
      </c>
      <c r="AO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5">
        <f>IF(tblOrdenes[[#This Row],[link_checklist]]="","",HYPERLINK(p_ruta_base_checklists&amp;tblOrdenes[[#This Row],[link_checklist]],"abrir"))</f>
        <v/>
      </c>
      <c r="AT412" s="4" t="n"/>
      <c r="AU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5" t="n"/>
      <c r="K413" s="5" t="n"/>
      <c r="L413" s="18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Row],[fecha_inicio]]="","",tblOrdenes[[#This Row],[anio]]&amp;"-"&amp;TEXT(tblOrdenes[[#This Row],[mes]],"00"))</f>
        <v/>
      </c>
      <c r="S413" s="5">
        <f>IF(tblOrdenes[[#This Row],[fecha_inicio]]="","",INDEX(lista_dias,WEEKDAY(tblOrdenes[[#This Row],[fecha_inicio]],2)))</f>
        <v/>
      </c>
      <c r="T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5">
        <f>IF(tblOrdenes[[#This Row],[tipo_ot]]="","",_xlfn.XLOOKUP(tblOrdenes[[#This Row],[tipo_ot]],tblTiposOT[codigo],tblTiposOT[clasificacion],"sin_clasificar"))</f>
        <v/>
      </c>
      <c r="V4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5">
        <f>IF(tblOrdenes[[#This Row],[centro_costo]]="","",_xlfn.XLOOKUP(tblOrdenes[[#This Row],[centro_costo]],tblCECO[codigo],tblCECO[linea],"(sin catálogo)"))</f>
        <v/>
      </c>
      <c r="Y413" s="5">
        <f>IF(tblOrdenes[[#This Row],[centro_costo]]="","",_xlfn.XLOOKUP(tblOrdenes[[#This Row],[centro_costo]],tblCECO[codigo],tblCECO[area],"(sin catálogo)"))</f>
        <v/>
      </c>
      <c r="Z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5">
        <f>IF(tblOrdenes[[#This Row],[centro_costo]]="","",_xlfn.XLOOKUP(tblOrdenes[[#This Row],[centro_costo]],tblCECO[codigo],tblCECO[coordinador],"(sin catálogo)"))</f>
        <v/>
      </c>
      <c r="AB413" s="5">
        <f>IF(tblOrdenes[[#This Row],[puesto_trabajo]]="","",_xlfn.XLOOKUP(tblOrdenes[[#This Row],[puesto_trabajo]],tblPuestos[codigo],tblPuestos[especialidad],"(sin catálogo)"))</f>
        <v/>
      </c>
      <c r="AC413" s="5">
        <f>IF(tblOrdenes[[#This Row],[cod_actividad]]="","",_xlfn.XLOOKUP(tblOrdenes[[#This Row],[cod_actividad]],tblActividades[codigo],tblActividades[descripcion],"(sin catálogo)"))</f>
        <v/>
      </c>
      <c r="AD413" s="23">
        <f>IF(tblOrdenes[[#This Row],[fecha_inicio]]="","",TODAY()-tblOrdenes[[#This Row],[fecha_inicio]])</f>
        <v/>
      </c>
      <c r="AE4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5">
        <f>IF(tblOrdenes[[#This Row],[backlog_habiles]]="","",IF(tblOrdenes[[#This Row],[backlog_habiles]]&lt;0,"FUTURO",IF(tblOrdenes[[#This Row],[backlog_habiles]]&gt;p_dias_backlog_max,"BACKLOG","MES CORRIENTE")))</f>
        <v/>
      </c>
      <c r="AG413" s="5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18">
        <f>IF(tblOrdenes[[#This Row],[orden]]="","",_xlfn.XLOOKUP(tblOrdenes[[#This Row],[id_operacion]],tblEjecucion[id_operacion],tblEjecucion[precio],0))</f>
        <v/>
      </c>
      <c r="AM413" s="18">
        <f>IF(tblOrdenes[[#This Row],[orden]]="","",MAX(0,_xlfn.XLOOKUP(tblOrdenes[[#This Row],[id_operacion]],tblEjecucion[id_operacion],tblEjecucion[costo_plan_total],0)-tblOrdenes[[#This Row],[costo_servicio]]))</f>
        <v/>
      </c>
      <c r="AN413" s="18">
        <f>IF(tblOrdenes[[#This Row],[orden]]="","",tblOrdenes[[#This Row],[costo_servicio]]+tblOrdenes[[#This Row],[costo_materiales]])</f>
        <v/>
      </c>
      <c r="AO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5">
        <f>IF(tblOrdenes[[#This Row],[link_checklist]]="","",HYPERLINK(p_ruta_base_checklists&amp;tblOrdenes[[#This Row],[link_checklist]],"abrir"))</f>
        <v/>
      </c>
      <c r="AT413" s="4" t="n"/>
      <c r="AU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5" t="n"/>
      <c r="K414" s="5" t="n"/>
      <c r="L414" s="18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Row],[fecha_inicio]]="","",tblOrdenes[[#This Row],[anio]]&amp;"-"&amp;TEXT(tblOrdenes[[#This Row],[mes]],"00"))</f>
        <v/>
      </c>
      <c r="S414" s="5">
        <f>IF(tblOrdenes[[#This Row],[fecha_inicio]]="","",INDEX(lista_dias,WEEKDAY(tblOrdenes[[#This Row],[fecha_inicio]],2)))</f>
        <v/>
      </c>
      <c r="T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5">
        <f>IF(tblOrdenes[[#This Row],[tipo_ot]]="","",_xlfn.XLOOKUP(tblOrdenes[[#This Row],[tipo_ot]],tblTiposOT[codigo],tblTiposOT[clasificacion],"sin_clasificar"))</f>
        <v/>
      </c>
      <c r="V4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5">
        <f>IF(tblOrdenes[[#This Row],[centro_costo]]="","",_xlfn.XLOOKUP(tblOrdenes[[#This Row],[centro_costo]],tblCECO[codigo],tblCECO[linea],"(sin catálogo)"))</f>
        <v/>
      </c>
      <c r="Y414" s="5">
        <f>IF(tblOrdenes[[#This Row],[centro_costo]]="","",_xlfn.XLOOKUP(tblOrdenes[[#This Row],[centro_costo]],tblCECO[codigo],tblCECO[area],"(sin catálogo)"))</f>
        <v/>
      </c>
      <c r="Z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5">
        <f>IF(tblOrdenes[[#This Row],[centro_costo]]="","",_xlfn.XLOOKUP(tblOrdenes[[#This Row],[centro_costo]],tblCECO[codigo],tblCECO[coordinador],"(sin catálogo)"))</f>
        <v/>
      </c>
      <c r="AB414" s="5">
        <f>IF(tblOrdenes[[#This Row],[puesto_trabajo]]="","",_xlfn.XLOOKUP(tblOrdenes[[#This Row],[puesto_trabajo]],tblPuestos[codigo],tblPuestos[especialidad],"(sin catálogo)"))</f>
        <v/>
      </c>
      <c r="AC414" s="5">
        <f>IF(tblOrdenes[[#This Row],[cod_actividad]]="","",_xlfn.XLOOKUP(tblOrdenes[[#This Row],[cod_actividad]],tblActividades[codigo],tblActividades[descripcion],"(sin catálogo)"))</f>
        <v/>
      </c>
      <c r="AD414" s="23">
        <f>IF(tblOrdenes[[#This Row],[fecha_inicio]]="","",TODAY()-tblOrdenes[[#This Row],[fecha_inicio]])</f>
        <v/>
      </c>
      <c r="AE4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5">
        <f>IF(tblOrdenes[[#This Row],[backlog_habiles]]="","",IF(tblOrdenes[[#This Row],[backlog_habiles]]&lt;0,"FUTURO",IF(tblOrdenes[[#This Row],[backlog_habiles]]&gt;p_dias_backlog_max,"BACKLOG","MES CORRIENTE")))</f>
        <v/>
      </c>
      <c r="AG414" s="5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18">
        <f>IF(tblOrdenes[[#This Row],[orden]]="","",_xlfn.XLOOKUP(tblOrdenes[[#This Row],[id_operacion]],tblEjecucion[id_operacion],tblEjecucion[precio],0))</f>
        <v/>
      </c>
      <c r="AM414" s="18">
        <f>IF(tblOrdenes[[#This Row],[orden]]="","",MAX(0,_xlfn.XLOOKUP(tblOrdenes[[#This Row],[id_operacion]],tblEjecucion[id_operacion],tblEjecucion[costo_plan_total],0)-tblOrdenes[[#This Row],[costo_servicio]]))</f>
        <v/>
      </c>
      <c r="AN414" s="18">
        <f>IF(tblOrdenes[[#This Row],[orden]]="","",tblOrdenes[[#This Row],[costo_servicio]]+tblOrdenes[[#This Row],[costo_materiales]])</f>
        <v/>
      </c>
      <c r="AO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5">
        <f>IF(tblOrdenes[[#This Row],[link_checklist]]="","",HYPERLINK(p_ruta_base_checklists&amp;tblOrdenes[[#This Row],[link_checklist]],"abrir"))</f>
        <v/>
      </c>
      <c r="AT414" s="4" t="n"/>
      <c r="AU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5" t="n"/>
      <c r="K415" s="5" t="n"/>
      <c r="L415" s="18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Row],[fecha_inicio]]="","",tblOrdenes[[#This Row],[anio]]&amp;"-"&amp;TEXT(tblOrdenes[[#This Row],[mes]],"00"))</f>
        <v/>
      </c>
      <c r="S415" s="5">
        <f>IF(tblOrdenes[[#This Row],[fecha_inicio]]="","",INDEX(lista_dias,WEEKDAY(tblOrdenes[[#This Row],[fecha_inicio]],2)))</f>
        <v/>
      </c>
      <c r="T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5">
        <f>IF(tblOrdenes[[#This Row],[tipo_ot]]="","",_xlfn.XLOOKUP(tblOrdenes[[#This Row],[tipo_ot]],tblTiposOT[codigo],tblTiposOT[clasificacion],"sin_clasificar"))</f>
        <v/>
      </c>
      <c r="V4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5">
        <f>IF(tblOrdenes[[#This Row],[centro_costo]]="","",_xlfn.XLOOKUP(tblOrdenes[[#This Row],[centro_costo]],tblCECO[codigo],tblCECO[linea],"(sin catálogo)"))</f>
        <v/>
      </c>
      <c r="Y415" s="5">
        <f>IF(tblOrdenes[[#This Row],[centro_costo]]="","",_xlfn.XLOOKUP(tblOrdenes[[#This Row],[centro_costo]],tblCECO[codigo],tblCECO[area],"(sin catálogo)"))</f>
        <v/>
      </c>
      <c r="Z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5">
        <f>IF(tblOrdenes[[#This Row],[centro_costo]]="","",_xlfn.XLOOKUP(tblOrdenes[[#This Row],[centro_costo]],tblCECO[codigo],tblCECO[coordinador],"(sin catálogo)"))</f>
        <v/>
      </c>
      <c r="AB415" s="5">
        <f>IF(tblOrdenes[[#This Row],[puesto_trabajo]]="","",_xlfn.XLOOKUP(tblOrdenes[[#This Row],[puesto_trabajo]],tblPuestos[codigo],tblPuestos[especialidad],"(sin catálogo)"))</f>
        <v/>
      </c>
      <c r="AC415" s="5">
        <f>IF(tblOrdenes[[#This Row],[cod_actividad]]="","",_xlfn.XLOOKUP(tblOrdenes[[#This Row],[cod_actividad]],tblActividades[codigo],tblActividades[descripcion],"(sin catálogo)"))</f>
        <v/>
      </c>
      <c r="AD415" s="23">
        <f>IF(tblOrdenes[[#This Row],[fecha_inicio]]="","",TODAY()-tblOrdenes[[#This Row],[fecha_inicio]])</f>
        <v/>
      </c>
      <c r="AE4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5">
        <f>IF(tblOrdenes[[#This Row],[backlog_habiles]]="","",IF(tblOrdenes[[#This Row],[backlog_habiles]]&lt;0,"FUTURO",IF(tblOrdenes[[#This Row],[backlog_habiles]]&gt;p_dias_backlog_max,"BACKLOG","MES CORRIENTE")))</f>
        <v/>
      </c>
      <c r="AG415" s="5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18">
        <f>IF(tblOrdenes[[#This Row],[orden]]="","",_xlfn.XLOOKUP(tblOrdenes[[#This Row],[id_operacion]],tblEjecucion[id_operacion],tblEjecucion[precio],0))</f>
        <v/>
      </c>
      <c r="AM415" s="18">
        <f>IF(tblOrdenes[[#This Row],[orden]]="","",MAX(0,_xlfn.XLOOKUP(tblOrdenes[[#This Row],[id_operacion]],tblEjecucion[id_operacion],tblEjecucion[costo_plan_total],0)-tblOrdenes[[#This Row],[costo_servicio]]))</f>
        <v/>
      </c>
      <c r="AN415" s="18">
        <f>IF(tblOrdenes[[#This Row],[orden]]="","",tblOrdenes[[#This Row],[costo_servicio]]+tblOrdenes[[#This Row],[costo_materiales]])</f>
        <v/>
      </c>
      <c r="AO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5">
        <f>IF(tblOrdenes[[#This Row],[link_checklist]]="","",HYPERLINK(p_ruta_base_checklists&amp;tblOrdenes[[#This Row],[link_checklist]],"abrir"))</f>
        <v/>
      </c>
      <c r="AT415" s="4" t="n"/>
      <c r="AU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5" t="n"/>
      <c r="K416" s="5" t="n"/>
      <c r="L416" s="18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Row],[fecha_inicio]]="","",tblOrdenes[[#This Row],[anio]]&amp;"-"&amp;TEXT(tblOrdenes[[#This Row],[mes]],"00"))</f>
        <v/>
      </c>
      <c r="S416" s="5">
        <f>IF(tblOrdenes[[#This Row],[fecha_inicio]]="","",INDEX(lista_dias,WEEKDAY(tblOrdenes[[#This Row],[fecha_inicio]],2)))</f>
        <v/>
      </c>
      <c r="T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5">
        <f>IF(tblOrdenes[[#This Row],[tipo_ot]]="","",_xlfn.XLOOKUP(tblOrdenes[[#This Row],[tipo_ot]],tblTiposOT[codigo],tblTiposOT[clasificacion],"sin_clasificar"))</f>
        <v/>
      </c>
      <c r="V4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5">
        <f>IF(tblOrdenes[[#This Row],[centro_costo]]="","",_xlfn.XLOOKUP(tblOrdenes[[#This Row],[centro_costo]],tblCECO[codigo],tblCECO[linea],"(sin catálogo)"))</f>
        <v/>
      </c>
      <c r="Y416" s="5">
        <f>IF(tblOrdenes[[#This Row],[centro_costo]]="","",_xlfn.XLOOKUP(tblOrdenes[[#This Row],[centro_costo]],tblCECO[codigo],tblCECO[area],"(sin catálogo)"))</f>
        <v/>
      </c>
      <c r="Z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5">
        <f>IF(tblOrdenes[[#This Row],[centro_costo]]="","",_xlfn.XLOOKUP(tblOrdenes[[#This Row],[centro_costo]],tblCECO[codigo],tblCECO[coordinador],"(sin catálogo)"))</f>
        <v/>
      </c>
      <c r="AB416" s="5">
        <f>IF(tblOrdenes[[#This Row],[puesto_trabajo]]="","",_xlfn.XLOOKUP(tblOrdenes[[#This Row],[puesto_trabajo]],tblPuestos[codigo],tblPuestos[especialidad],"(sin catálogo)"))</f>
        <v/>
      </c>
      <c r="AC416" s="5">
        <f>IF(tblOrdenes[[#This Row],[cod_actividad]]="","",_xlfn.XLOOKUP(tblOrdenes[[#This Row],[cod_actividad]],tblActividades[codigo],tblActividades[descripcion],"(sin catálogo)"))</f>
        <v/>
      </c>
      <c r="AD416" s="23">
        <f>IF(tblOrdenes[[#This Row],[fecha_inicio]]="","",TODAY()-tblOrdenes[[#This Row],[fecha_inicio]])</f>
        <v/>
      </c>
      <c r="AE4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5">
        <f>IF(tblOrdenes[[#This Row],[backlog_habiles]]="","",IF(tblOrdenes[[#This Row],[backlog_habiles]]&lt;0,"FUTURO",IF(tblOrdenes[[#This Row],[backlog_habiles]]&gt;p_dias_backlog_max,"BACKLOG","MES CORRIENTE")))</f>
        <v/>
      </c>
      <c r="AG416" s="5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18">
        <f>IF(tblOrdenes[[#This Row],[orden]]="","",_xlfn.XLOOKUP(tblOrdenes[[#This Row],[id_operacion]],tblEjecucion[id_operacion],tblEjecucion[precio],0))</f>
        <v/>
      </c>
      <c r="AM416" s="18">
        <f>IF(tblOrdenes[[#This Row],[orden]]="","",MAX(0,_xlfn.XLOOKUP(tblOrdenes[[#This Row],[id_operacion]],tblEjecucion[id_operacion],tblEjecucion[costo_plan_total],0)-tblOrdenes[[#This Row],[costo_servicio]]))</f>
        <v/>
      </c>
      <c r="AN416" s="18">
        <f>IF(tblOrdenes[[#This Row],[orden]]="","",tblOrdenes[[#This Row],[costo_servicio]]+tblOrdenes[[#This Row],[costo_materiales]])</f>
        <v/>
      </c>
      <c r="AO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5">
        <f>IF(tblOrdenes[[#This Row],[link_checklist]]="","",HYPERLINK(p_ruta_base_checklists&amp;tblOrdenes[[#This Row],[link_checklist]],"abrir"))</f>
        <v/>
      </c>
      <c r="AT416" s="4" t="n"/>
      <c r="AU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5" t="n"/>
      <c r="K417" s="5" t="n"/>
      <c r="L417" s="18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Row],[fecha_inicio]]="","",tblOrdenes[[#This Row],[anio]]&amp;"-"&amp;TEXT(tblOrdenes[[#This Row],[mes]],"00"))</f>
        <v/>
      </c>
      <c r="S417" s="5">
        <f>IF(tblOrdenes[[#This Row],[fecha_inicio]]="","",INDEX(lista_dias,WEEKDAY(tblOrdenes[[#This Row],[fecha_inicio]],2)))</f>
        <v/>
      </c>
      <c r="T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5">
        <f>IF(tblOrdenes[[#This Row],[tipo_ot]]="","",_xlfn.XLOOKUP(tblOrdenes[[#This Row],[tipo_ot]],tblTiposOT[codigo],tblTiposOT[clasificacion],"sin_clasificar"))</f>
        <v/>
      </c>
      <c r="V4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5">
        <f>IF(tblOrdenes[[#This Row],[centro_costo]]="","",_xlfn.XLOOKUP(tblOrdenes[[#This Row],[centro_costo]],tblCECO[codigo],tblCECO[linea],"(sin catálogo)"))</f>
        <v/>
      </c>
      <c r="Y417" s="5">
        <f>IF(tblOrdenes[[#This Row],[centro_costo]]="","",_xlfn.XLOOKUP(tblOrdenes[[#This Row],[centro_costo]],tblCECO[codigo],tblCECO[area],"(sin catálogo)"))</f>
        <v/>
      </c>
      <c r="Z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5">
        <f>IF(tblOrdenes[[#This Row],[centro_costo]]="","",_xlfn.XLOOKUP(tblOrdenes[[#This Row],[centro_costo]],tblCECO[codigo],tblCECO[coordinador],"(sin catálogo)"))</f>
        <v/>
      </c>
      <c r="AB417" s="5">
        <f>IF(tblOrdenes[[#This Row],[puesto_trabajo]]="","",_xlfn.XLOOKUP(tblOrdenes[[#This Row],[puesto_trabajo]],tblPuestos[codigo],tblPuestos[especialidad],"(sin catálogo)"))</f>
        <v/>
      </c>
      <c r="AC417" s="5">
        <f>IF(tblOrdenes[[#This Row],[cod_actividad]]="","",_xlfn.XLOOKUP(tblOrdenes[[#This Row],[cod_actividad]],tblActividades[codigo],tblActividades[descripcion],"(sin catálogo)"))</f>
        <v/>
      </c>
      <c r="AD417" s="23">
        <f>IF(tblOrdenes[[#This Row],[fecha_inicio]]="","",TODAY()-tblOrdenes[[#This Row],[fecha_inicio]])</f>
        <v/>
      </c>
      <c r="AE4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5">
        <f>IF(tblOrdenes[[#This Row],[backlog_habiles]]="","",IF(tblOrdenes[[#This Row],[backlog_habiles]]&lt;0,"FUTURO",IF(tblOrdenes[[#This Row],[backlog_habiles]]&gt;p_dias_backlog_max,"BACKLOG","MES CORRIENTE")))</f>
        <v/>
      </c>
      <c r="AG417" s="5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18">
        <f>IF(tblOrdenes[[#This Row],[orden]]="","",_xlfn.XLOOKUP(tblOrdenes[[#This Row],[id_operacion]],tblEjecucion[id_operacion],tblEjecucion[precio],0))</f>
        <v/>
      </c>
      <c r="AM417" s="18">
        <f>IF(tblOrdenes[[#This Row],[orden]]="","",MAX(0,_xlfn.XLOOKUP(tblOrdenes[[#This Row],[id_operacion]],tblEjecucion[id_operacion],tblEjecucion[costo_plan_total],0)-tblOrdenes[[#This Row],[costo_servicio]]))</f>
        <v/>
      </c>
      <c r="AN417" s="18">
        <f>IF(tblOrdenes[[#This Row],[orden]]="","",tblOrdenes[[#This Row],[costo_servicio]]+tblOrdenes[[#This Row],[costo_materiales]])</f>
        <v/>
      </c>
      <c r="AO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5">
        <f>IF(tblOrdenes[[#This Row],[link_checklist]]="","",HYPERLINK(p_ruta_base_checklists&amp;tblOrdenes[[#This Row],[link_checklist]],"abrir"))</f>
        <v/>
      </c>
      <c r="AT417" s="4" t="n"/>
      <c r="AU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5" t="n"/>
      <c r="K418" s="5" t="n"/>
      <c r="L418" s="18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Row],[fecha_inicio]]="","",tblOrdenes[[#This Row],[anio]]&amp;"-"&amp;TEXT(tblOrdenes[[#This Row],[mes]],"00"))</f>
        <v/>
      </c>
      <c r="S418" s="5">
        <f>IF(tblOrdenes[[#This Row],[fecha_inicio]]="","",INDEX(lista_dias,WEEKDAY(tblOrdenes[[#This Row],[fecha_inicio]],2)))</f>
        <v/>
      </c>
      <c r="T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5">
        <f>IF(tblOrdenes[[#This Row],[tipo_ot]]="","",_xlfn.XLOOKUP(tblOrdenes[[#This Row],[tipo_ot]],tblTiposOT[codigo],tblTiposOT[clasificacion],"sin_clasificar"))</f>
        <v/>
      </c>
      <c r="V4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5">
        <f>IF(tblOrdenes[[#This Row],[centro_costo]]="","",_xlfn.XLOOKUP(tblOrdenes[[#This Row],[centro_costo]],tblCECO[codigo],tblCECO[linea],"(sin catálogo)"))</f>
        <v/>
      </c>
      <c r="Y418" s="5">
        <f>IF(tblOrdenes[[#This Row],[centro_costo]]="","",_xlfn.XLOOKUP(tblOrdenes[[#This Row],[centro_costo]],tblCECO[codigo],tblCECO[area],"(sin catálogo)"))</f>
        <v/>
      </c>
      <c r="Z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5">
        <f>IF(tblOrdenes[[#This Row],[centro_costo]]="","",_xlfn.XLOOKUP(tblOrdenes[[#This Row],[centro_costo]],tblCECO[codigo],tblCECO[coordinador],"(sin catálogo)"))</f>
        <v/>
      </c>
      <c r="AB418" s="5">
        <f>IF(tblOrdenes[[#This Row],[puesto_trabajo]]="","",_xlfn.XLOOKUP(tblOrdenes[[#This Row],[puesto_trabajo]],tblPuestos[codigo],tblPuestos[especialidad],"(sin catálogo)"))</f>
        <v/>
      </c>
      <c r="AC418" s="5">
        <f>IF(tblOrdenes[[#This Row],[cod_actividad]]="","",_xlfn.XLOOKUP(tblOrdenes[[#This Row],[cod_actividad]],tblActividades[codigo],tblActividades[descripcion],"(sin catálogo)"))</f>
        <v/>
      </c>
      <c r="AD418" s="23">
        <f>IF(tblOrdenes[[#This Row],[fecha_inicio]]="","",TODAY()-tblOrdenes[[#This Row],[fecha_inicio]])</f>
        <v/>
      </c>
      <c r="AE4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5">
        <f>IF(tblOrdenes[[#This Row],[backlog_habiles]]="","",IF(tblOrdenes[[#This Row],[backlog_habiles]]&lt;0,"FUTURO",IF(tblOrdenes[[#This Row],[backlog_habiles]]&gt;p_dias_backlog_max,"BACKLOG","MES CORRIENTE")))</f>
        <v/>
      </c>
      <c r="AG418" s="5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18">
        <f>IF(tblOrdenes[[#This Row],[orden]]="","",_xlfn.XLOOKUP(tblOrdenes[[#This Row],[id_operacion]],tblEjecucion[id_operacion],tblEjecucion[precio],0))</f>
        <v/>
      </c>
      <c r="AM418" s="18">
        <f>IF(tblOrdenes[[#This Row],[orden]]="","",MAX(0,_xlfn.XLOOKUP(tblOrdenes[[#This Row],[id_operacion]],tblEjecucion[id_operacion],tblEjecucion[costo_plan_total],0)-tblOrdenes[[#This Row],[costo_servicio]]))</f>
        <v/>
      </c>
      <c r="AN418" s="18">
        <f>IF(tblOrdenes[[#This Row],[orden]]="","",tblOrdenes[[#This Row],[costo_servicio]]+tblOrdenes[[#This Row],[costo_materiales]])</f>
        <v/>
      </c>
      <c r="AO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5">
        <f>IF(tblOrdenes[[#This Row],[link_checklist]]="","",HYPERLINK(p_ruta_base_checklists&amp;tblOrdenes[[#This Row],[link_checklist]],"abrir"))</f>
        <v/>
      </c>
      <c r="AT418" s="4" t="n"/>
      <c r="AU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5" t="n"/>
      <c r="K419" s="5" t="n"/>
      <c r="L419" s="18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Row],[fecha_inicio]]="","",tblOrdenes[[#This Row],[anio]]&amp;"-"&amp;TEXT(tblOrdenes[[#This Row],[mes]],"00"))</f>
        <v/>
      </c>
      <c r="S419" s="5">
        <f>IF(tblOrdenes[[#This Row],[fecha_inicio]]="","",INDEX(lista_dias,WEEKDAY(tblOrdenes[[#This Row],[fecha_inicio]],2)))</f>
        <v/>
      </c>
      <c r="T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5">
        <f>IF(tblOrdenes[[#This Row],[tipo_ot]]="","",_xlfn.XLOOKUP(tblOrdenes[[#This Row],[tipo_ot]],tblTiposOT[codigo],tblTiposOT[clasificacion],"sin_clasificar"))</f>
        <v/>
      </c>
      <c r="V4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5">
        <f>IF(tblOrdenes[[#This Row],[centro_costo]]="","",_xlfn.XLOOKUP(tblOrdenes[[#This Row],[centro_costo]],tblCECO[codigo],tblCECO[linea],"(sin catálogo)"))</f>
        <v/>
      </c>
      <c r="Y419" s="5">
        <f>IF(tblOrdenes[[#This Row],[centro_costo]]="","",_xlfn.XLOOKUP(tblOrdenes[[#This Row],[centro_costo]],tblCECO[codigo],tblCECO[area],"(sin catálogo)"))</f>
        <v/>
      </c>
      <c r="Z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5">
        <f>IF(tblOrdenes[[#This Row],[centro_costo]]="","",_xlfn.XLOOKUP(tblOrdenes[[#This Row],[centro_costo]],tblCECO[codigo],tblCECO[coordinador],"(sin catálogo)"))</f>
        <v/>
      </c>
      <c r="AB419" s="5">
        <f>IF(tblOrdenes[[#This Row],[puesto_trabajo]]="","",_xlfn.XLOOKUP(tblOrdenes[[#This Row],[puesto_trabajo]],tblPuestos[codigo],tblPuestos[especialidad],"(sin catálogo)"))</f>
        <v/>
      </c>
      <c r="AC419" s="5">
        <f>IF(tblOrdenes[[#This Row],[cod_actividad]]="","",_xlfn.XLOOKUP(tblOrdenes[[#This Row],[cod_actividad]],tblActividades[codigo],tblActividades[descripcion],"(sin catálogo)"))</f>
        <v/>
      </c>
      <c r="AD419" s="23">
        <f>IF(tblOrdenes[[#This Row],[fecha_inicio]]="","",TODAY()-tblOrdenes[[#This Row],[fecha_inicio]])</f>
        <v/>
      </c>
      <c r="AE4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5">
        <f>IF(tblOrdenes[[#This Row],[backlog_habiles]]="","",IF(tblOrdenes[[#This Row],[backlog_habiles]]&lt;0,"FUTURO",IF(tblOrdenes[[#This Row],[backlog_habiles]]&gt;p_dias_backlog_max,"BACKLOG","MES CORRIENTE")))</f>
        <v/>
      </c>
      <c r="AG419" s="5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18">
        <f>IF(tblOrdenes[[#This Row],[orden]]="","",_xlfn.XLOOKUP(tblOrdenes[[#This Row],[id_operacion]],tblEjecucion[id_operacion],tblEjecucion[precio],0))</f>
        <v/>
      </c>
      <c r="AM419" s="18">
        <f>IF(tblOrdenes[[#This Row],[orden]]="","",MAX(0,_xlfn.XLOOKUP(tblOrdenes[[#This Row],[id_operacion]],tblEjecucion[id_operacion],tblEjecucion[costo_plan_total],0)-tblOrdenes[[#This Row],[costo_servicio]]))</f>
        <v/>
      </c>
      <c r="AN419" s="18">
        <f>IF(tblOrdenes[[#This Row],[orden]]="","",tblOrdenes[[#This Row],[costo_servicio]]+tblOrdenes[[#This Row],[costo_materiales]])</f>
        <v/>
      </c>
      <c r="AO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5">
        <f>IF(tblOrdenes[[#This Row],[link_checklist]]="","",HYPERLINK(p_ruta_base_checklists&amp;tblOrdenes[[#This Row],[link_checklist]],"abrir"))</f>
        <v/>
      </c>
      <c r="AT419" s="4" t="n"/>
      <c r="AU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5" t="n"/>
      <c r="K420" s="5" t="n"/>
      <c r="L420" s="18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Row],[fecha_inicio]]="","",tblOrdenes[[#This Row],[anio]]&amp;"-"&amp;TEXT(tblOrdenes[[#This Row],[mes]],"00"))</f>
        <v/>
      </c>
      <c r="S420" s="5">
        <f>IF(tblOrdenes[[#This Row],[fecha_inicio]]="","",INDEX(lista_dias,WEEKDAY(tblOrdenes[[#This Row],[fecha_inicio]],2)))</f>
        <v/>
      </c>
      <c r="T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5">
        <f>IF(tblOrdenes[[#This Row],[tipo_ot]]="","",_xlfn.XLOOKUP(tblOrdenes[[#This Row],[tipo_ot]],tblTiposOT[codigo],tblTiposOT[clasificacion],"sin_clasificar"))</f>
        <v/>
      </c>
      <c r="V4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5">
        <f>IF(tblOrdenes[[#This Row],[centro_costo]]="","",_xlfn.XLOOKUP(tblOrdenes[[#This Row],[centro_costo]],tblCECO[codigo],tblCECO[linea],"(sin catálogo)"))</f>
        <v/>
      </c>
      <c r="Y420" s="5">
        <f>IF(tblOrdenes[[#This Row],[centro_costo]]="","",_xlfn.XLOOKUP(tblOrdenes[[#This Row],[centro_costo]],tblCECO[codigo],tblCECO[area],"(sin catálogo)"))</f>
        <v/>
      </c>
      <c r="Z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5">
        <f>IF(tblOrdenes[[#This Row],[centro_costo]]="","",_xlfn.XLOOKUP(tblOrdenes[[#This Row],[centro_costo]],tblCECO[codigo],tblCECO[coordinador],"(sin catálogo)"))</f>
        <v/>
      </c>
      <c r="AB420" s="5">
        <f>IF(tblOrdenes[[#This Row],[puesto_trabajo]]="","",_xlfn.XLOOKUP(tblOrdenes[[#This Row],[puesto_trabajo]],tblPuestos[codigo],tblPuestos[especialidad],"(sin catálogo)"))</f>
        <v/>
      </c>
      <c r="AC420" s="5">
        <f>IF(tblOrdenes[[#This Row],[cod_actividad]]="","",_xlfn.XLOOKUP(tblOrdenes[[#This Row],[cod_actividad]],tblActividades[codigo],tblActividades[descripcion],"(sin catálogo)"))</f>
        <v/>
      </c>
      <c r="AD420" s="23">
        <f>IF(tblOrdenes[[#This Row],[fecha_inicio]]="","",TODAY()-tblOrdenes[[#This Row],[fecha_inicio]])</f>
        <v/>
      </c>
      <c r="AE4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5">
        <f>IF(tblOrdenes[[#This Row],[backlog_habiles]]="","",IF(tblOrdenes[[#This Row],[backlog_habiles]]&lt;0,"FUTURO",IF(tblOrdenes[[#This Row],[backlog_habiles]]&gt;p_dias_backlog_max,"BACKLOG","MES CORRIENTE")))</f>
        <v/>
      </c>
      <c r="AG420" s="5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18">
        <f>IF(tblOrdenes[[#This Row],[orden]]="","",_xlfn.XLOOKUP(tblOrdenes[[#This Row],[id_operacion]],tblEjecucion[id_operacion],tblEjecucion[precio],0))</f>
        <v/>
      </c>
      <c r="AM420" s="18">
        <f>IF(tblOrdenes[[#This Row],[orden]]="","",MAX(0,_xlfn.XLOOKUP(tblOrdenes[[#This Row],[id_operacion]],tblEjecucion[id_operacion],tblEjecucion[costo_plan_total],0)-tblOrdenes[[#This Row],[costo_servicio]]))</f>
        <v/>
      </c>
      <c r="AN420" s="18">
        <f>IF(tblOrdenes[[#This Row],[orden]]="","",tblOrdenes[[#This Row],[costo_servicio]]+tblOrdenes[[#This Row],[costo_materiales]])</f>
        <v/>
      </c>
      <c r="AO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5">
        <f>IF(tblOrdenes[[#This Row],[link_checklist]]="","",HYPERLINK(p_ruta_base_checklists&amp;tblOrdenes[[#This Row],[link_checklist]],"abrir"))</f>
        <v/>
      </c>
      <c r="AT420" s="4" t="n"/>
      <c r="AU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5" t="n"/>
      <c r="K421" s="5" t="n"/>
      <c r="L421" s="18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Row],[fecha_inicio]]="","",tblOrdenes[[#This Row],[anio]]&amp;"-"&amp;TEXT(tblOrdenes[[#This Row],[mes]],"00"))</f>
        <v/>
      </c>
      <c r="S421" s="5">
        <f>IF(tblOrdenes[[#This Row],[fecha_inicio]]="","",INDEX(lista_dias,WEEKDAY(tblOrdenes[[#This Row],[fecha_inicio]],2)))</f>
        <v/>
      </c>
      <c r="T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5">
        <f>IF(tblOrdenes[[#This Row],[tipo_ot]]="","",_xlfn.XLOOKUP(tblOrdenes[[#This Row],[tipo_ot]],tblTiposOT[codigo],tblTiposOT[clasificacion],"sin_clasificar"))</f>
        <v/>
      </c>
      <c r="V4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5">
        <f>IF(tblOrdenes[[#This Row],[centro_costo]]="","",_xlfn.XLOOKUP(tblOrdenes[[#This Row],[centro_costo]],tblCECO[codigo],tblCECO[linea],"(sin catálogo)"))</f>
        <v/>
      </c>
      <c r="Y421" s="5">
        <f>IF(tblOrdenes[[#This Row],[centro_costo]]="","",_xlfn.XLOOKUP(tblOrdenes[[#This Row],[centro_costo]],tblCECO[codigo],tblCECO[area],"(sin catálogo)"))</f>
        <v/>
      </c>
      <c r="Z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5">
        <f>IF(tblOrdenes[[#This Row],[centro_costo]]="","",_xlfn.XLOOKUP(tblOrdenes[[#This Row],[centro_costo]],tblCECO[codigo],tblCECO[coordinador],"(sin catálogo)"))</f>
        <v/>
      </c>
      <c r="AB421" s="5">
        <f>IF(tblOrdenes[[#This Row],[puesto_trabajo]]="","",_xlfn.XLOOKUP(tblOrdenes[[#This Row],[puesto_trabajo]],tblPuestos[codigo],tblPuestos[especialidad],"(sin catálogo)"))</f>
        <v/>
      </c>
      <c r="AC421" s="5">
        <f>IF(tblOrdenes[[#This Row],[cod_actividad]]="","",_xlfn.XLOOKUP(tblOrdenes[[#This Row],[cod_actividad]],tblActividades[codigo],tblActividades[descripcion],"(sin catálogo)"))</f>
        <v/>
      </c>
      <c r="AD421" s="23">
        <f>IF(tblOrdenes[[#This Row],[fecha_inicio]]="","",TODAY()-tblOrdenes[[#This Row],[fecha_inicio]])</f>
        <v/>
      </c>
      <c r="AE4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5">
        <f>IF(tblOrdenes[[#This Row],[backlog_habiles]]="","",IF(tblOrdenes[[#This Row],[backlog_habiles]]&lt;0,"FUTURO",IF(tblOrdenes[[#This Row],[backlog_habiles]]&gt;p_dias_backlog_max,"BACKLOG","MES CORRIENTE")))</f>
        <v/>
      </c>
      <c r="AG421" s="5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18">
        <f>IF(tblOrdenes[[#This Row],[orden]]="","",_xlfn.XLOOKUP(tblOrdenes[[#This Row],[id_operacion]],tblEjecucion[id_operacion],tblEjecucion[precio],0))</f>
        <v/>
      </c>
      <c r="AM421" s="18">
        <f>IF(tblOrdenes[[#This Row],[orden]]="","",MAX(0,_xlfn.XLOOKUP(tblOrdenes[[#This Row],[id_operacion]],tblEjecucion[id_operacion],tblEjecucion[costo_plan_total],0)-tblOrdenes[[#This Row],[costo_servicio]]))</f>
        <v/>
      </c>
      <c r="AN421" s="18">
        <f>IF(tblOrdenes[[#This Row],[orden]]="","",tblOrdenes[[#This Row],[costo_servicio]]+tblOrdenes[[#This Row],[costo_materiales]])</f>
        <v/>
      </c>
      <c r="AO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5">
        <f>IF(tblOrdenes[[#This Row],[link_checklist]]="","",HYPERLINK(p_ruta_base_checklists&amp;tblOrdenes[[#This Row],[link_checklist]],"abrir"))</f>
        <v/>
      </c>
      <c r="AT421" s="4" t="n"/>
      <c r="AU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5" t="n"/>
      <c r="K422" s="5" t="n"/>
      <c r="L422" s="18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Row],[fecha_inicio]]="","",tblOrdenes[[#This Row],[anio]]&amp;"-"&amp;TEXT(tblOrdenes[[#This Row],[mes]],"00"))</f>
        <v/>
      </c>
      <c r="S422" s="5">
        <f>IF(tblOrdenes[[#This Row],[fecha_inicio]]="","",INDEX(lista_dias,WEEKDAY(tblOrdenes[[#This Row],[fecha_inicio]],2)))</f>
        <v/>
      </c>
      <c r="T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5">
        <f>IF(tblOrdenes[[#This Row],[tipo_ot]]="","",_xlfn.XLOOKUP(tblOrdenes[[#This Row],[tipo_ot]],tblTiposOT[codigo],tblTiposOT[clasificacion],"sin_clasificar"))</f>
        <v/>
      </c>
      <c r="V4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5">
        <f>IF(tblOrdenes[[#This Row],[centro_costo]]="","",_xlfn.XLOOKUP(tblOrdenes[[#This Row],[centro_costo]],tblCECO[codigo],tblCECO[linea],"(sin catálogo)"))</f>
        <v/>
      </c>
      <c r="Y422" s="5">
        <f>IF(tblOrdenes[[#This Row],[centro_costo]]="","",_xlfn.XLOOKUP(tblOrdenes[[#This Row],[centro_costo]],tblCECO[codigo],tblCECO[area],"(sin catálogo)"))</f>
        <v/>
      </c>
      <c r="Z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5">
        <f>IF(tblOrdenes[[#This Row],[centro_costo]]="","",_xlfn.XLOOKUP(tblOrdenes[[#This Row],[centro_costo]],tblCECO[codigo],tblCECO[coordinador],"(sin catálogo)"))</f>
        <v/>
      </c>
      <c r="AB422" s="5">
        <f>IF(tblOrdenes[[#This Row],[puesto_trabajo]]="","",_xlfn.XLOOKUP(tblOrdenes[[#This Row],[puesto_trabajo]],tblPuestos[codigo],tblPuestos[especialidad],"(sin catálogo)"))</f>
        <v/>
      </c>
      <c r="AC422" s="5">
        <f>IF(tblOrdenes[[#This Row],[cod_actividad]]="","",_xlfn.XLOOKUP(tblOrdenes[[#This Row],[cod_actividad]],tblActividades[codigo],tblActividades[descripcion],"(sin catálogo)"))</f>
        <v/>
      </c>
      <c r="AD422" s="23">
        <f>IF(tblOrdenes[[#This Row],[fecha_inicio]]="","",TODAY()-tblOrdenes[[#This Row],[fecha_inicio]])</f>
        <v/>
      </c>
      <c r="AE4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5">
        <f>IF(tblOrdenes[[#This Row],[backlog_habiles]]="","",IF(tblOrdenes[[#This Row],[backlog_habiles]]&lt;0,"FUTURO",IF(tblOrdenes[[#This Row],[backlog_habiles]]&gt;p_dias_backlog_max,"BACKLOG","MES CORRIENTE")))</f>
        <v/>
      </c>
      <c r="AG422" s="5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18">
        <f>IF(tblOrdenes[[#This Row],[orden]]="","",_xlfn.XLOOKUP(tblOrdenes[[#This Row],[id_operacion]],tblEjecucion[id_operacion],tblEjecucion[precio],0))</f>
        <v/>
      </c>
      <c r="AM422" s="18">
        <f>IF(tblOrdenes[[#This Row],[orden]]="","",MAX(0,_xlfn.XLOOKUP(tblOrdenes[[#This Row],[id_operacion]],tblEjecucion[id_operacion],tblEjecucion[costo_plan_total],0)-tblOrdenes[[#This Row],[costo_servicio]]))</f>
        <v/>
      </c>
      <c r="AN422" s="18">
        <f>IF(tblOrdenes[[#This Row],[orden]]="","",tblOrdenes[[#This Row],[costo_servicio]]+tblOrdenes[[#This Row],[costo_materiales]])</f>
        <v/>
      </c>
      <c r="AO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5">
        <f>IF(tblOrdenes[[#This Row],[link_checklist]]="","",HYPERLINK(p_ruta_base_checklists&amp;tblOrdenes[[#This Row],[link_checklist]],"abrir"))</f>
        <v/>
      </c>
      <c r="AT422" s="4" t="n"/>
      <c r="AU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5" t="n"/>
      <c r="K423" s="5" t="n"/>
      <c r="L423" s="18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Row],[fecha_inicio]]="","",tblOrdenes[[#This Row],[anio]]&amp;"-"&amp;TEXT(tblOrdenes[[#This Row],[mes]],"00"))</f>
        <v/>
      </c>
      <c r="S423" s="5">
        <f>IF(tblOrdenes[[#This Row],[fecha_inicio]]="","",INDEX(lista_dias,WEEKDAY(tblOrdenes[[#This Row],[fecha_inicio]],2)))</f>
        <v/>
      </c>
      <c r="T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5">
        <f>IF(tblOrdenes[[#This Row],[tipo_ot]]="","",_xlfn.XLOOKUP(tblOrdenes[[#This Row],[tipo_ot]],tblTiposOT[codigo],tblTiposOT[clasificacion],"sin_clasificar"))</f>
        <v/>
      </c>
      <c r="V4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5">
        <f>IF(tblOrdenes[[#This Row],[centro_costo]]="","",_xlfn.XLOOKUP(tblOrdenes[[#This Row],[centro_costo]],tblCECO[codigo],tblCECO[linea],"(sin catálogo)"))</f>
        <v/>
      </c>
      <c r="Y423" s="5">
        <f>IF(tblOrdenes[[#This Row],[centro_costo]]="","",_xlfn.XLOOKUP(tblOrdenes[[#This Row],[centro_costo]],tblCECO[codigo],tblCECO[area],"(sin catálogo)"))</f>
        <v/>
      </c>
      <c r="Z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5">
        <f>IF(tblOrdenes[[#This Row],[centro_costo]]="","",_xlfn.XLOOKUP(tblOrdenes[[#This Row],[centro_costo]],tblCECO[codigo],tblCECO[coordinador],"(sin catálogo)"))</f>
        <v/>
      </c>
      <c r="AB423" s="5">
        <f>IF(tblOrdenes[[#This Row],[puesto_trabajo]]="","",_xlfn.XLOOKUP(tblOrdenes[[#This Row],[puesto_trabajo]],tblPuestos[codigo],tblPuestos[especialidad],"(sin catálogo)"))</f>
        <v/>
      </c>
      <c r="AC423" s="5">
        <f>IF(tblOrdenes[[#This Row],[cod_actividad]]="","",_xlfn.XLOOKUP(tblOrdenes[[#This Row],[cod_actividad]],tblActividades[codigo],tblActividades[descripcion],"(sin catálogo)"))</f>
        <v/>
      </c>
      <c r="AD423" s="23">
        <f>IF(tblOrdenes[[#This Row],[fecha_inicio]]="","",TODAY()-tblOrdenes[[#This Row],[fecha_inicio]])</f>
        <v/>
      </c>
      <c r="AE4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5">
        <f>IF(tblOrdenes[[#This Row],[backlog_habiles]]="","",IF(tblOrdenes[[#This Row],[backlog_habiles]]&lt;0,"FUTURO",IF(tblOrdenes[[#This Row],[backlog_habiles]]&gt;p_dias_backlog_max,"BACKLOG","MES CORRIENTE")))</f>
        <v/>
      </c>
      <c r="AG423" s="5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18">
        <f>IF(tblOrdenes[[#This Row],[orden]]="","",_xlfn.XLOOKUP(tblOrdenes[[#This Row],[id_operacion]],tblEjecucion[id_operacion],tblEjecucion[precio],0))</f>
        <v/>
      </c>
      <c r="AM423" s="18">
        <f>IF(tblOrdenes[[#This Row],[orden]]="","",MAX(0,_xlfn.XLOOKUP(tblOrdenes[[#This Row],[id_operacion]],tblEjecucion[id_operacion],tblEjecucion[costo_plan_total],0)-tblOrdenes[[#This Row],[costo_servicio]]))</f>
        <v/>
      </c>
      <c r="AN423" s="18">
        <f>IF(tblOrdenes[[#This Row],[orden]]="","",tblOrdenes[[#This Row],[costo_servicio]]+tblOrdenes[[#This Row],[costo_materiales]])</f>
        <v/>
      </c>
      <c r="AO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5">
        <f>IF(tblOrdenes[[#This Row],[link_checklist]]="","",HYPERLINK(p_ruta_base_checklists&amp;tblOrdenes[[#This Row],[link_checklist]],"abrir"))</f>
        <v/>
      </c>
      <c r="AT423" s="4" t="n"/>
      <c r="AU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5" t="n"/>
      <c r="K424" s="5" t="n"/>
      <c r="L424" s="18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Row],[fecha_inicio]]="","",tblOrdenes[[#This Row],[anio]]&amp;"-"&amp;TEXT(tblOrdenes[[#This Row],[mes]],"00"))</f>
        <v/>
      </c>
      <c r="S424" s="5">
        <f>IF(tblOrdenes[[#This Row],[fecha_inicio]]="","",INDEX(lista_dias,WEEKDAY(tblOrdenes[[#This Row],[fecha_inicio]],2)))</f>
        <v/>
      </c>
      <c r="T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5">
        <f>IF(tblOrdenes[[#This Row],[tipo_ot]]="","",_xlfn.XLOOKUP(tblOrdenes[[#This Row],[tipo_ot]],tblTiposOT[codigo],tblTiposOT[clasificacion],"sin_clasificar"))</f>
        <v/>
      </c>
      <c r="V4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5">
        <f>IF(tblOrdenes[[#This Row],[centro_costo]]="","",_xlfn.XLOOKUP(tblOrdenes[[#This Row],[centro_costo]],tblCECO[codigo],tblCECO[linea],"(sin catálogo)"))</f>
        <v/>
      </c>
      <c r="Y424" s="5">
        <f>IF(tblOrdenes[[#This Row],[centro_costo]]="","",_xlfn.XLOOKUP(tblOrdenes[[#This Row],[centro_costo]],tblCECO[codigo],tblCECO[area],"(sin catálogo)"))</f>
        <v/>
      </c>
      <c r="Z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5">
        <f>IF(tblOrdenes[[#This Row],[centro_costo]]="","",_xlfn.XLOOKUP(tblOrdenes[[#This Row],[centro_costo]],tblCECO[codigo],tblCECO[coordinador],"(sin catálogo)"))</f>
        <v/>
      </c>
      <c r="AB424" s="5">
        <f>IF(tblOrdenes[[#This Row],[puesto_trabajo]]="","",_xlfn.XLOOKUP(tblOrdenes[[#This Row],[puesto_trabajo]],tblPuestos[codigo],tblPuestos[especialidad],"(sin catálogo)"))</f>
        <v/>
      </c>
      <c r="AC424" s="5">
        <f>IF(tblOrdenes[[#This Row],[cod_actividad]]="","",_xlfn.XLOOKUP(tblOrdenes[[#This Row],[cod_actividad]],tblActividades[codigo],tblActividades[descripcion],"(sin catálogo)"))</f>
        <v/>
      </c>
      <c r="AD424" s="23">
        <f>IF(tblOrdenes[[#This Row],[fecha_inicio]]="","",TODAY()-tblOrdenes[[#This Row],[fecha_inicio]])</f>
        <v/>
      </c>
      <c r="AE4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5">
        <f>IF(tblOrdenes[[#This Row],[backlog_habiles]]="","",IF(tblOrdenes[[#This Row],[backlog_habiles]]&lt;0,"FUTURO",IF(tblOrdenes[[#This Row],[backlog_habiles]]&gt;p_dias_backlog_max,"BACKLOG","MES CORRIENTE")))</f>
        <v/>
      </c>
      <c r="AG424" s="5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18">
        <f>IF(tblOrdenes[[#This Row],[orden]]="","",_xlfn.XLOOKUP(tblOrdenes[[#This Row],[id_operacion]],tblEjecucion[id_operacion],tblEjecucion[precio],0))</f>
        <v/>
      </c>
      <c r="AM424" s="18">
        <f>IF(tblOrdenes[[#This Row],[orden]]="","",MAX(0,_xlfn.XLOOKUP(tblOrdenes[[#This Row],[id_operacion]],tblEjecucion[id_operacion],tblEjecucion[costo_plan_total],0)-tblOrdenes[[#This Row],[costo_servicio]]))</f>
        <v/>
      </c>
      <c r="AN424" s="18">
        <f>IF(tblOrdenes[[#This Row],[orden]]="","",tblOrdenes[[#This Row],[costo_servicio]]+tblOrdenes[[#This Row],[costo_materiales]])</f>
        <v/>
      </c>
      <c r="AO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5">
        <f>IF(tblOrdenes[[#This Row],[link_checklist]]="","",HYPERLINK(p_ruta_base_checklists&amp;tblOrdenes[[#This Row],[link_checklist]],"abrir"))</f>
        <v/>
      </c>
      <c r="AT424" s="4" t="n"/>
      <c r="AU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5" t="n"/>
      <c r="K425" s="5" t="n"/>
      <c r="L425" s="18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Row],[fecha_inicio]]="","",tblOrdenes[[#This Row],[anio]]&amp;"-"&amp;TEXT(tblOrdenes[[#This Row],[mes]],"00"))</f>
        <v/>
      </c>
      <c r="S425" s="5">
        <f>IF(tblOrdenes[[#This Row],[fecha_inicio]]="","",INDEX(lista_dias,WEEKDAY(tblOrdenes[[#This Row],[fecha_inicio]],2)))</f>
        <v/>
      </c>
      <c r="T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5">
        <f>IF(tblOrdenes[[#This Row],[tipo_ot]]="","",_xlfn.XLOOKUP(tblOrdenes[[#This Row],[tipo_ot]],tblTiposOT[codigo],tblTiposOT[clasificacion],"sin_clasificar"))</f>
        <v/>
      </c>
      <c r="V4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5">
        <f>IF(tblOrdenes[[#This Row],[centro_costo]]="","",_xlfn.XLOOKUP(tblOrdenes[[#This Row],[centro_costo]],tblCECO[codigo],tblCECO[linea],"(sin catálogo)"))</f>
        <v/>
      </c>
      <c r="Y425" s="5">
        <f>IF(tblOrdenes[[#This Row],[centro_costo]]="","",_xlfn.XLOOKUP(tblOrdenes[[#This Row],[centro_costo]],tblCECO[codigo],tblCECO[area],"(sin catálogo)"))</f>
        <v/>
      </c>
      <c r="Z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5">
        <f>IF(tblOrdenes[[#This Row],[centro_costo]]="","",_xlfn.XLOOKUP(tblOrdenes[[#This Row],[centro_costo]],tblCECO[codigo],tblCECO[coordinador],"(sin catálogo)"))</f>
        <v/>
      </c>
      <c r="AB425" s="5">
        <f>IF(tblOrdenes[[#This Row],[puesto_trabajo]]="","",_xlfn.XLOOKUP(tblOrdenes[[#This Row],[puesto_trabajo]],tblPuestos[codigo],tblPuestos[especialidad],"(sin catálogo)"))</f>
        <v/>
      </c>
      <c r="AC425" s="5">
        <f>IF(tblOrdenes[[#This Row],[cod_actividad]]="","",_xlfn.XLOOKUP(tblOrdenes[[#This Row],[cod_actividad]],tblActividades[codigo],tblActividades[descripcion],"(sin catálogo)"))</f>
        <v/>
      </c>
      <c r="AD425" s="23">
        <f>IF(tblOrdenes[[#This Row],[fecha_inicio]]="","",TODAY()-tblOrdenes[[#This Row],[fecha_inicio]])</f>
        <v/>
      </c>
      <c r="AE4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5">
        <f>IF(tblOrdenes[[#This Row],[backlog_habiles]]="","",IF(tblOrdenes[[#This Row],[backlog_habiles]]&lt;0,"FUTURO",IF(tblOrdenes[[#This Row],[backlog_habiles]]&gt;p_dias_backlog_max,"BACKLOG","MES CORRIENTE")))</f>
        <v/>
      </c>
      <c r="AG425" s="5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18">
        <f>IF(tblOrdenes[[#This Row],[orden]]="","",_xlfn.XLOOKUP(tblOrdenes[[#This Row],[id_operacion]],tblEjecucion[id_operacion],tblEjecucion[precio],0))</f>
        <v/>
      </c>
      <c r="AM425" s="18">
        <f>IF(tblOrdenes[[#This Row],[orden]]="","",MAX(0,_xlfn.XLOOKUP(tblOrdenes[[#This Row],[id_operacion]],tblEjecucion[id_operacion],tblEjecucion[costo_plan_total],0)-tblOrdenes[[#This Row],[costo_servicio]]))</f>
        <v/>
      </c>
      <c r="AN425" s="18">
        <f>IF(tblOrdenes[[#This Row],[orden]]="","",tblOrdenes[[#This Row],[costo_servicio]]+tblOrdenes[[#This Row],[costo_materiales]])</f>
        <v/>
      </c>
      <c r="AO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5">
        <f>IF(tblOrdenes[[#This Row],[link_checklist]]="","",HYPERLINK(p_ruta_base_checklists&amp;tblOrdenes[[#This Row],[link_checklist]],"abrir"))</f>
        <v/>
      </c>
      <c r="AT425" s="4" t="n"/>
      <c r="AU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5" t="n"/>
      <c r="K426" s="5" t="n"/>
      <c r="L426" s="18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Row],[fecha_inicio]]="","",tblOrdenes[[#This Row],[anio]]&amp;"-"&amp;TEXT(tblOrdenes[[#This Row],[mes]],"00"))</f>
        <v/>
      </c>
      <c r="S426" s="5">
        <f>IF(tblOrdenes[[#This Row],[fecha_inicio]]="","",INDEX(lista_dias,WEEKDAY(tblOrdenes[[#This Row],[fecha_inicio]],2)))</f>
        <v/>
      </c>
      <c r="T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5">
        <f>IF(tblOrdenes[[#This Row],[tipo_ot]]="","",_xlfn.XLOOKUP(tblOrdenes[[#This Row],[tipo_ot]],tblTiposOT[codigo],tblTiposOT[clasificacion],"sin_clasificar"))</f>
        <v/>
      </c>
      <c r="V4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5">
        <f>IF(tblOrdenes[[#This Row],[centro_costo]]="","",_xlfn.XLOOKUP(tblOrdenes[[#This Row],[centro_costo]],tblCECO[codigo],tblCECO[linea],"(sin catálogo)"))</f>
        <v/>
      </c>
      <c r="Y426" s="5">
        <f>IF(tblOrdenes[[#This Row],[centro_costo]]="","",_xlfn.XLOOKUP(tblOrdenes[[#This Row],[centro_costo]],tblCECO[codigo],tblCECO[area],"(sin catálogo)"))</f>
        <v/>
      </c>
      <c r="Z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5">
        <f>IF(tblOrdenes[[#This Row],[centro_costo]]="","",_xlfn.XLOOKUP(tblOrdenes[[#This Row],[centro_costo]],tblCECO[codigo],tblCECO[coordinador],"(sin catálogo)"))</f>
        <v/>
      </c>
      <c r="AB426" s="5">
        <f>IF(tblOrdenes[[#This Row],[puesto_trabajo]]="","",_xlfn.XLOOKUP(tblOrdenes[[#This Row],[puesto_trabajo]],tblPuestos[codigo],tblPuestos[especialidad],"(sin catálogo)"))</f>
        <v/>
      </c>
      <c r="AC426" s="5">
        <f>IF(tblOrdenes[[#This Row],[cod_actividad]]="","",_xlfn.XLOOKUP(tblOrdenes[[#This Row],[cod_actividad]],tblActividades[codigo],tblActividades[descripcion],"(sin catálogo)"))</f>
        <v/>
      </c>
      <c r="AD426" s="23">
        <f>IF(tblOrdenes[[#This Row],[fecha_inicio]]="","",TODAY()-tblOrdenes[[#This Row],[fecha_inicio]])</f>
        <v/>
      </c>
      <c r="AE4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5">
        <f>IF(tblOrdenes[[#This Row],[backlog_habiles]]="","",IF(tblOrdenes[[#This Row],[backlog_habiles]]&lt;0,"FUTURO",IF(tblOrdenes[[#This Row],[backlog_habiles]]&gt;p_dias_backlog_max,"BACKLOG","MES CORRIENTE")))</f>
        <v/>
      </c>
      <c r="AG426" s="5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18">
        <f>IF(tblOrdenes[[#This Row],[orden]]="","",_xlfn.XLOOKUP(tblOrdenes[[#This Row],[id_operacion]],tblEjecucion[id_operacion],tblEjecucion[precio],0))</f>
        <v/>
      </c>
      <c r="AM426" s="18">
        <f>IF(tblOrdenes[[#This Row],[orden]]="","",MAX(0,_xlfn.XLOOKUP(tblOrdenes[[#This Row],[id_operacion]],tblEjecucion[id_operacion],tblEjecucion[costo_plan_total],0)-tblOrdenes[[#This Row],[costo_servicio]]))</f>
        <v/>
      </c>
      <c r="AN426" s="18">
        <f>IF(tblOrdenes[[#This Row],[orden]]="","",tblOrdenes[[#This Row],[costo_servicio]]+tblOrdenes[[#This Row],[costo_materiales]])</f>
        <v/>
      </c>
      <c r="AO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5">
        <f>IF(tblOrdenes[[#This Row],[link_checklist]]="","",HYPERLINK(p_ruta_base_checklists&amp;tblOrdenes[[#This Row],[link_checklist]],"abrir"))</f>
        <v/>
      </c>
      <c r="AT426" s="4" t="n"/>
      <c r="AU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5" t="n"/>
      <c r="K427" s="5" t="n"/>
      <c r="L427" s="18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Row],[fecha_inicio]]="","",tblOrdenes[[#This Row],[anio]]&amp;"-"&amp;TEXT(tblOrdenes[[#This Row],[mes]],"00"))</f>
        <v/>
      </c>
      <c r="S427" s="5">
        <f>IF(tblOrdenes[[#This Row],[fecha_inicio]]="","",INDEX(lista_dias,WEEKDAY(tblOrdenes[[#This Row],[fecha_inicio]],2)))</f>
        <v/>
      </c>
      <c r="T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5">
        <f>IF(tblOrdenes[[#This Row],[tipo_ot]]="","",_xlfn.XLOOKUP(tblOrdenes[[#This Row],[tipo_ot]],tblTiposOT[codigo],tblTiposOT[clasificacion],"sin_clasificar"))</f>
        <v/>
      </c>
      <c r="V4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5">
        <f>IF(tblOrdenes[[#This Row],[centro_costo]]="","",_xlfn.XLOOKUP(tblOrdenes[[#This Row],[centro_costo]],tblCECO[codigo],tblCECO[linea],"(sin catálogo)"))</f>
        <v/>
      </c>
      <c r="Y427" s="5">
        <f>IF(tblOrdenes[[#This Row],[centro_costo]]="","",_xlfn.XLOOKUP(tblOrdenes[[#This Row],[centro_costo]],tblCECO[codigo],tblCECO[area],"(sin catálogo)"))</f>
        <v/>
      </c>
      <c r="Z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5">
        <f>IF(tblOrdenes[[#This Row],[centro_costo]]="","",_xlfn.XLOOKUP(tblOrdenes[[#This Row],[centro_costo]],tblCECO[codigo],tblCECO[coordinador],"(sin catálogo)"))</f>
        <v/>
      </c>
      <c r="AB427" s="5">
        <f>IF(tblOrdenes[[#This Row],[puesto_trabajo]]="","",_xlfn.XLOOKUP(tblOrdenes[[#This Row],[puesto_trabajo]],tblPuestos[codigo],tblPuestos[especialidad],"(sin catálogo)"))</f>
        <v/>
      </c>
      <c r="AC427" s="5">
        <f>IF(tblOrdenes[[#This Row],[cod_actividad]]="","",_xlfn.XLOOKUP(tblOrdenes[[#This Row],[cod_actividad]],tblActividades[codigo],tblActividades[descripcion],"(sin catálogo)"))</f>
        <v/>
      </c>
      <c r="AD427" s="23">
        <f>IF(tblOrdenes[[#This Row],[fecha_inicio]]="","",TODAY()-tblOrdenes[[#This Row],[fecha_inicio]])</f>
        <v/>
      </c>
      <c r="AE4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5">
        <f>IF(tblOrdenes[[#This Row],[backlog_habiles]]="","",IF(tblOrdenes[[#This Row],[backlog_habiles]]&lt;0,"FUTURO",IF(tblOrdenes[[#This Row],[backlog_habiles]]&gt;p_dias_backlog_max,"BACKLOG","MES CORRIENTE")))</f>
        <v/>
      </c>
      <c r="AG427" s="5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18">
        <f>IF(tblOrdenes[[#This Row],[orden]]="","",_xlfn.XLOOKUP(tblOrdenes[[#This Row],[id_operacion]],tblEjecucion[id_operacion],tblEjecucion[precio],0))</f>
        <v/>
      </c>
      <c r="AM427" s="18">
        <f>IF(tblOrdenes[[#This Row],[orden]]="","",MAX(0,_xlfn.XLOOKUP(tblOrdenes[[#This Row],[id_operacion]],tblEjecucion[id_operacion],tblEjecucion[costo_plan_total],0)-tblOrdenes[[#This Row],[costo_servicio]]))</f>
        <v/>
      </c>
      <c r="AN427" s="18">
        <f>IF(tblOrdenes[[#This Row],[orden]]="","",tblOrdenes[[#This Row],[costo_servicio]]+tblOrdenes[[#This Row],[costo_materiales]])</f>
        <v/>
      </c>
      <c r="AO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5">
        <f>IF(tblOrdenes[[#This Row],[link_checklist]]="","",HYPERLINK(p_ruta_base_checklists&amp;tblOrdenes[[#This Row],[link_checklist]],"abrir"))</f>
        <v/>
      </c>
      <c r="AT427" s="4" t="n"/>
      <c r="AU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5" t="n"/>
      <c r="K428" s="5" t="n"/>
      <c r="L428" s="18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Row],[fecha_inicio]]="","",tblOrdenes[[#This Row],[anio]]&amp;"-"&amp;TEXT(tblOrdenes[[#This Row],[mes]],"00"))</f>
        <v/>
      </c>
      <c r="S428" s="5">
        <f>IF(tblOrdenes[[#This Row],[fecha_inicio]]="","",INDEX(lista_dias,WEEKDAY(tblOrdenes[[#This Row],[fecha_inicio]],2)))</f>
        <v/>
      </c>
      <c r="T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5">
        <f>IF(tblOrdenes[[#This Row],[tipo_ot]]="","",_xlfn.XLOOKUP(tblOrdenes[[#This Row],[tipo_ot]],tblTiposOT[codigo],tblTiposOT[clasificacion],"sin_clasificar"))</f>
        <v/>
      </c>
      <c r="V4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5">
        <f>IF(tblOrdenes[[#This Row],[centro_costo]]="","",_xlfn.XLOOKUP(tblOrdenes[[#This Row],[centro_costo]],tblCECO[codigo],tblCECO[linea],"(sin catálogo)"))</f>
        <v/>
      </c>
      <c r="Y428" s="5">
        <f>IF(tblOrdenes[[#This Row],[centro_costo]]="","",_xlfn.XLOOKUP(tblOrdenes[[#This Row],[centro_costo]],tblCECO[codigo],tblCECO[area],"(sin catálogo)"))</f>
        <v/>
      </c>
      <c r="Z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5">
        <f>IF(tblOrdenes[[#This Row],[centro_costo]]="","",_xlfn.XLOOKUP(tblOrdenes[[#This Row],[centro_costo]],tblCECO[codigo],tblCECO[coordinador],"(sin catálogo)"))</f>
        <v/>
      </c>
      <c r="AB428" s="5">
        <f>IF(tblOrdenes[[#This Row],[puesto_trabajo]]="","",_xlfn.XLOOKUP(tblOrdenes[[#This Row],[puesto_trabajo]],tblPuestos[codigo],tblPuestos[especialidad],"(sin catálogo)"))</f>
        <v/>
      </c>
      <c r="AC428" s="5">
        <f>IF(tblOrdenes[[#This Row],[cod_actividad]]="","",_xlfn.XLOOKUP(tblOrdenes[[#This Row],[cod_actividad]],tblActividades[codigo],tblActividades[descripcion],"(sin catálogo)"))</f>
        <v/>
      </c>
      <c r="AD428" s="23">
        <f>IF(tblOrdenes[[#This Row],[fecha_inicio]]="","",TODAY()-tblOrdenes[[#This Row],[fecha_inicio]])</f>
        <v/>
      </c>
      <c r="AE4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5">
        <f>IF(tblOrdenes[[#This Row],[backlog_habiles]]="","",IF(tblOrdenes[[#This Row],[backlog_habiles]]&lt;0,"FUTURO",IF(tblOrdenes[[#This Row],[backlog_habiles]]&gt;p_dias_backlog_max,"BACKLOG","MES CORRIENTE")))</f>
        <v/>
      </c>
      <c r="AG428" s="5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18">
        <f>IF(tblOrdenes[[#This Row],[orden]]="","",_xlfn.XLOOKUP(tblOrdenes[[#This Row],[id_operacion]],tblEjecucion[id_operacion],tblEjecucion[precio],0))</f>
        <v/>
      </c>
      <c r="AM428" s="18">
        <f>IF(tblOrdenes[[#This Row],[orden]]="","",MAX(0,_xlfn.XLOOKUP(tblOrdenes[[#This Row],[id_operacion]],tblEjecucion[id_operacion],tblEjecucion[costo_plan_total],0)-tblOrdenes[[#This Row],[costo_servicio]]))</f>
        <v/>
      </c>
      <c r="AN428" s="18">
        <f>IF(tblOrdenes[[#This Row],[orden]]="","",tblOrdenes[[#This Row],[costo_servicio]]+tblOrdenes[[#This Row],[costo_materiales]])</f>
        <v/>
      </c>
      <c r="AO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5">
        <f>IF(tblOrdenes[[#This Row],[link_checklist]]="","",HYPERLINK(p_ruta_base_checklists&amp;tblOrdenes[[#This Row],[link_checklist]],"abrir"))</f>
        <v/>
      </c>
      <c r="AT428" s="4" t="n"/>
      <c r="AU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5" t="n"/>
      <c r="K429" s="5" t="n"/>
      <c r="L429" s="18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Row],[fecha_inicio]]="","",tblOrdenes[[#This Row],[anio]]&amp;"-"&amp;TEXT(tblOrdenes[[#This Row],[mes]],"00"))</f>
        <v/>
      </c>
      <c r="S429" s="5">
        <f>IF(tblOrdenes[[#This Row],[fecha_inicio]]="","",INDEX(lista_dias,WEEKDAY(tblOrdenes[[#This Row],[fecha_inicio]],2)))</f>
        <v/>
      </c>
      <c r="T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5">
        <f>IF(tblOrdenes[[#This Row],[tipo_ot]]="","",_xlfn.XLOOKUP(tblOrdenes[[#This Row],[tipo_ot]],tblTiposOT[codigo],tblTiposOT[clasificacion],"sin_clasificar"))</f>
        <v/>
      </c>
      <c r="V4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5">
        <f>IF(tblOrdenes[[#This Row],[centro_costo]]="","",_xlfn.XLOOKUP(tblOrdenes[[#This Row],[centro_costo]],tblCECO[codigo],tblCECO[linea],"(sin catálogo)"))</f>
        <v/>
      </c>
      <c r="Y429" s="5">
        <f>IF(tblOrdenes[[#This Row],[centro_costo]]="","",_xlfn.XLOOKUP(tblOrdenes[[#This Row],[centro_costo]],tblCECO[codigo],tblCECO[area],"(sin catálogo)"))</f>
        <v/>
      </c>
      <c r="Z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5">
        <f>IF(tblOrdenes[[#This Row],[centro_costo]]="","",_xlfn.XLOOKUP(tblOrdenes[[#This Row],[centro_costo]],tblCECO[codigo],tblCECO[coordinador],"(sin catálogo)"))</f>
        <v/>
      </c>
      <c r="AB429" s="5">
        <f>IF(tblOrdenes[[#This Row],[puesto_trabajo]]="","",_xlfn.XLOOKUP(tblOrdenes[[#This Row],[puesto_trabajo]],tblPuestos[codigo],tblPuestos[especialidad],"(sin catálogo)"))</f>
        <v/>
      </c>
      <c r="AC429" s="5">
        <f>IF(tblOrdenes[[#This Row],[cod_actividad]]="","",_xlfn.XLOOKUP(tblOrdenes[[#This Row],[cod_actividad]],tblActividades[codigo],tblActividades[descripcion],"(sin catálogo)"))</f>
        <v/>
      </c>
      <c r="AD429" s="23">
        <f>IF(tblOrdenes[[#This Row],[fecha_inicio]]="","",TODAY()-tblOrdenes[[#This Row],[fecha_inicio]])</f>
        <v/>
      </c>
      <c r="AE4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5">
        <f>IF(tblOrdenes[[#This Row],[backlog_habiles]]="","",IF(tblOrdenes[[#This Row],[backlog_habiles]]&lt;0,"FUTURO",IF(tblOrdenes[[#This Row],[backlog_habiles]]&gt;p_dias_backlog_max,"BACKLOG","MES CORRIENTE")))</f>
        <v/>
      </c>
      <c r="AG429" s="5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18">
        <f>IF(tblOrdenes[[#This Row],[orden]]="","",_xlfn.XLOOKUP(tblOrdenes[[#This Row],[id_operacion]],tblEjecucion[id_operacion],tblEjecucion[precio],0))</f>
        <v/>
      </c>
      <c r="AM429" s="18">
        <f>IF(tblOrdenes[[#This Row],[orden]]="","",MAX(0,_xlfn.XLOOKUP(tblOrdenes[[#This Row],[id_operacion]],tblEjecucion[id_operacion],tblEjecucion[costo_plan_total],0)-tblOrdenes[[#This Row],[costo_servicio]]))</f>
        <v/>
      </c>
      <c r="AN429" s="18">
        <f>IF(tblOrdenes[[#This Row],[orden]]="","",tblOrdenes[[#This Row],[costo_servicio]]+tblOrdenes[[#This Row],[costo_materiales]])</f>
        <v/>
      </c>
      <c r="AO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5">
        <f>IF(tblOrdenes[[#This Row],[link_checklist]]="","",HYPERLINK(p_ruta_base_checklists&amp;tblOrdenes[[#This Row],[link_checklist]],"abrir"))</f>
        <v/>
      </c>
      <c r="AT429" s="4" t="n"/>
      <c r="AU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5" t="n"/>
      <c r="K430" s="5" t="n"/>
      <c r="L430" s="18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Row],[fecha_inicio]]="","",tblOrdenes[[#This Row],[anio]]&amp;"-"&amp;TEXT(tblOrdenes[[#This Row],[mes]],"00"))</f>
        <v/>
      </c>
      <c r="S430" s="5">
        <f>IF(tblOrdenes[[#This Row],[fecha_inicio]]="","",INDEX(lista_dias,WEEKDAY(tblOrdenes[[#This Row],[fecha_inicio]],2)))</f>
        <v/>
      </c>
      <c r="T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5">
        <f>IF(tblOrdenes[[#This Row],[tipo_ot]]="","",_xlfn.XLOOKUP(tblOrdenes[[#This Row],[tipo_ot]],tblTiposOT[codigo],tblTiposOT[clasificacion],"sin_clasificar"))</f>
        <v/>
      </c>
      <c r="V4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5">
        <f>IF(tblOrdenes[[#This Row],[centro_costo]]="","",_xlfn.XLOOKUP(tblOrdenes[[#This Row],[centro_costo]],tblCECO[codigo],tblCECO[linea],"(sin catálogo)"))</f>
        <v/>
      </c>
      <c r="Y430" s="5">
        <f>IF(tblOrdenes[[#This Row],[centro_costo]]="","",_xlfn.XLOOKUP(tblOrdenes[[#This Row],[centro_costo]],tblCECO[codigo],tblCECO[area],"(sin catálogo)"))</f>
        <v/>
      </c>
      <c r="Z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5">
        <f>IF(tblOrdenes[[#This Row],[centro_costo]]="","",_xlfn.XLOOKUP(tblOrdenes[[#This Row],[centro_costo]],tblCECO[codigo],tblCECO[coordinador],"(sin catálogo)"))</f>
        <v/>
      </c>
      <c r="AB430" s="5">
        <f>IF(tblOrdenes[[#This Row],[puesto_trabajo]]="","",_xlfn.XLOOKUP(tblOrdenes[[#This Row],[puesto_trabajo]],tblPuestos[codigo],tblPuestos[especialidad],"(sin catálogo)"))</f>
        <v/>
      </c>
      <c r="AC430" s="5">
        <f>IF(tblOrdenes[[#This Row],[cod_actividad]]="","",_xlfn.XLOOKUP(tblOrdenes[[#This Row],[cod_actividad]],tblActividades[codigo],tblActividades[descripcion],"(sin catálogo)"))</f>
        <v/>
      </c>
      <c r="AD430" s="23">
        <f>IF(tblOrdenes[[#This Row],[fecha_inicio]]="","",TODAY()-tblOrdenes[[#This Row],[fecha_inicio]])</f>
        <v/>
      </c>
      <c r="AE4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5">
        <f>IF(tblOrdenes[[#This Row],[backlog_habiles]]="","",IF(tblOrdenes[[#This Row],[backlog_habiles]]&lt;0,"FUTURO",IF(tblOrdenes[[#This Row],[backlog_habiles]]&gt;p_dias_backlog_max,"BACKLOG","MES CORRIENTE")))</f>
        <v/>
      </c>
      <c r="AG430" s="5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18">
        <f>IF(tblOrdenes[[#This Row],[orden]]="","",_xlfn.XLOOKUP(tblOrdenes[[#This Row],[id_operacion]],tblEjecucion[id_operacion],tblEjecucion[precio],0))</f>
        <v/>
      </c>
      <c r="AM430" s="18">
        <f>IF(tblOrdenes[[#This Row],[orden]]="","",MAX(0,_xlfn.XLOOKUP(tblOrdenes[[#This Row],[id_operacion]],tblEjecucion[id_operacion],tblEjecucion[costo_plan_total],0)-tblOrdenes[[#This Row],[costo_servicio]]))</f>
        <v/>
      </c>
      <c r="AN430" s="18">
        <f>IF(tblOrdenes[[#This Row],[orden]]="","",tblOrdenes[[#This Row],[costo_servicio]]+tblOrdenes[[#This Row],[costo_materiales]])</f>
        <v/>
      </c>
      <c r="AO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5">
        <f>IF(tblOrdenes[[#This Row],[link_checklist]]="","",HYPERLINK(p_ruta_base_checklists&amp;tblOrdenes[[#This Row],[link_checklist]],"abrir"))</f>
        <v/>
      </c>
      <c r="AT430" s="4" t="n"/>
      <c r="AU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5" t="n"/>
      <c r="K431" s="5" t="n"/>
      <c r="L431" s="18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Row],[fecha_inicio]]="","",tblOrdenes[[#This Row],[anio]]&amp;"-"&amp;TEXT(tblOrdenes[[#This Row],[mes]],"00"))</f>
        <v/>
      </c>
      <c r="S431" s="5">
        <f>IF(tblOrdenes[[#This Row],[fecha_inicio]]="","",INDEX(lista_dias,WEEKDAY(tblOrdenes[[#This Row],[fecha_inicio]],2)))</f>
        <v/>
      </c>
      <c r="T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5">
        <f>IF(tblOrdenes[[#This Row],[tipo_ot]]="","",_xlfn.XLOOKUP(tblOrdenes[[#This Row],[tipo_ot]],tblTiposOT[codigo],tblTiposOT[clasificacion],"sin_clasificar"))</f>
        <v/>
      </c>
      <c r="V4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5">
        <f>IF(tblOrdenes[[#This Row],[centro_costo]]="","",_xlfn.XLOOKUP(tblOrdenes[[#This Row],[centro_costo]],tblCECO[codigo],tblCECO[linea],"(sin catálogo)"))</f>
        <v/>
      </c>
      <c r="Y431" s="5">
        <f>IF(tblOrdenes[[#This Row],[centro_costo]]="","",_xlfn.XLOOKUP(tblOrdenes[[#This Row],[centro_costo]],tblCECO[codigo],tblCECO[area],"(sin catálogo)"))</f>
        <v/>
      </c>
      <c r="Z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5">
        <f>IF(tblOrdenes[[#This Row],[centro_costo]]="","",_xlfn.XLOOKUP(tblOrdenes[[#This Row],[centro_costo]],tblCECO[codigo],tblCECO[coordinador],"(sin catálogo)"))</f>
        <v/>
      </c>
      <c r="AB431" s="5">
        <f>IF(tblOrdenes[[#This Row],[puesto_trabajo]]="","",_xlfn.XLOOKUP(tblOrdenes[[#This Row],[puesto_trabajo]],tblPuestos[codigo],tblPuestos[especialidad],"(sin catálogo)"))</f>
        <v/>
      </c>
      <c r="AC431" s="5">
        <f>IF(tblOrdenes[[#This Row],[cod_actividad]]="","",_xlfn.XLOOKUP(tblOrdenes[[#This Row],[cod_actividad]],tblActividades[codigo],tblActividades[descripcion],"(sin catálogo)"))</f>
        <v/>
      </c>
      <c r="AD431" s="23">
        <f>IF(tblOrdenes[[#This Row],[fecha_inicio]]="","",TODAY()-tblOrdenes[[#This Row],[fecha_inicio]])</f>
        <v/>
      </c>
      <c r="AE4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5">
        <f>IF(tblOrdenes[[#This Row],[backlog_habiles]]="","",IF(tblOrdenes[[#This Row],[backlog_habiles]]&lt;0,"FUTURO",IF(tblOrdenes[[#This Row],[backlog_habiles]]&gt;p_dias_backlog_max,"BACKLOG","MES CORRIENTE")))</f>
        <v/>
      </c>
      <c r="AG431" s="5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18">
        <f>IF(tblOrdenes[[#This Row],[orden]]="","",_xlfn.XLOOKUP(tblOrdenes[[#This Row],[id_operacion]],tblEjecucion[id_operacion],tblEjecucion[precio],0))</f>
        <v/>
      </c>
      <c r="AM431" s="18">
        <f>IF(tblOrdenes[[#This Row],[orden]]="","",MAX(0,_xlfn.XLOOKUP(tblOrdenes[[#This Row],[id_operacion]],tblEjecucion[id_operacion],tblEjecucion[costo_plan_total],0)-tblOrdenes[[#This Row],[costo_servicio]]))</f>
        <v/>
      </c>
      <c r="AN431" s="18">
        <f>IF(tblOrdenes[[#This Row],[orden]]="","",tblOrdenes[[#This Row],[costo_servicio]]+tblOrdenes[[#This Row],[costo_materiales]])</f>
        <v/>
      </c>
      <c r="AO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5">
        <f>IF(tblOrdenes[[#This Row],[link_checklist]]="","",HYPERLINK(p_ruta_base_checklists&amp;tblOrdenes[[#This Row],[link_checklist]],"abrir"))</f>
        <v/>
      </c>
      <c r="AT431" s="4" t="n"/>
      <c r="AU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5" t="n"/>
      <c r="K432" s="5" t="n"/>
      <c r="L432" s="18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Row],[fecha_inicio]]="","",tblOrdenes[[#This Row],[anio]]&amp;"-"&amp;TEXT(tblOrdenes[[#This Row],[mes]],"00"))</f>
        <v/>
      </c>
      <c r="S432" s="5">
        <f>IF(tblOrdenes[[#This Row],[fecha_inicio]]="","",INDEX(lista_dias,WEEKDAY(tblOrdenes[[#This Row],[fecha_inicio]],2)))</f>
        <v/>
      </c>
      <c r="T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5">
        <f>IF(tblOrdenes[[#This Row],[tipo_ot]]="","",_xlfn.XLOOKUP(tblOrdenes[[#This Row],[tipo_ot]],tblTiposOT[codigo],tblTiposOT[clasificacion],"sin_clasificar"))</f>
        <v/>
      </c>
      <c r="V4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5">
        <f>IF(tblOrdenes[[#This Row],[centro_costo]]="","",_xlfn.XLOOKUP(tblOrdenes[[#This Row],[centro_costo]],tblCECO[codigo],tblCECO[linea],"(sin catálogo)"))</f>
        <v/>
      </c>
      <c r="Y432" s="5">
        <f>IF(tblOrdenes[[#This Row],[centro_costo]]="","",_xlfn.XLOOKUP(tblOrdenes[[#This Row],[centro_costo]],tblCECO[codigo],tblCECO[area],"(sin catálogo)"))</f>
        <v/>
      </c>
      <c r="Z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5">
        <f>IF(tblOrdenes[[#This Row],[centro_costo]]="","",_xlfn.XLOOKUP(tblOrdenes[[#This Row],[centro_costo]],tblCECO[codigo],tblCECO[coordinador],"(sin catálogo)"))</f>
        <v/>
      </c>
      <c r="AB432" s="5">
        <f>IF(tblOrdenes[[#This Row],[puesto_trabajo]]="","",_xlfn.XLOOKUP(tblOrdenes[[#This Row],[puesto_trabajo]],tblPuestos[codigo],tblPuestos[especialidad],"(sin catálogo)"))</f>
        <v/>
      </c>
      <c r="AC432" s="5">
        <f>IF(tblOrdenes[[#This Row],[cod_actividad]]="","",_xlfn.XLOOKUP(tblOrdenes[[#This Row],[cod_actividad]],tblActividades[codigo],tblActividades[descripcion],"(sin catálogo)"))</f>
        <v/>
      </c>
      <c r="AD432" s="23">
        <f>IF(tblOrdenes[[#This Row],[fecha_inicio]]="","",TODAY()-tblOrdenes[[#This Row],[fecha_inicio]])</f>
        <v/>
      </c>
      <c r="AE4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5">
        <f>IF(tblOrdenes[[#This Row],[backlog_habiles]]="","",IF(tblOrdenes[[#This Row],[backlog_habiles]]&lt;0,"FUTURO",IF(tblOrdenes[[#This Row],[backlog_habiles]]&gt;p_dias_backlog_max,"BACKLOG","MES CORRIENTE")))</f>
        <v/>
      </c>
      <c r="AG432" s="5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18">
        <f>IF(tblOrdenes[[#This Row],[orden]]="","",_xlfn.XLOOKUP(tblOrdenes[[#This Row],[id_operacion]],tblEjecucion[id_operacion],tblEjecucion[precio],0))</f>
        <v/>
      </c>
      <c r="AM432" s="18">
        <f>IF(tblOrdenes[[#This Row],[orden]]="","",MAX(0,_xlfn.XLOOKUP(tblOrdenes[[#This Row],[id_operacion]],tblEjecucion[id_operacion],tblEjecucion[costo_plan_total],0)-tblOrdenes[[#This Row],[costo_servicio]]))</f>
        <v/>
      </c>
      <c r="AN432" s="18">
        <f>IF(tblOrdenes[[#This Row],[orden]]="","",tblOrdenes[[#This Row],[costo_servicio]]+tblOrdenes[[#This Row],[costo_materiales]])</f>
        <v/>
      </c>
      <c r="AO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5">
        <f>IF(tblOrdenes[[#This Row],[link_checklist]]="","",HYPERLINK(p_ruta_base_checklists&amp;tblOrdenes[[#This Row],[link_checklist]],"abrir"))</f>
        <v/>
      </c>
      <c r="AT432" s="4" t="n"/>
      <c r="AU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5" t="n"/>
      <c r="K433" s="5" t="n"/>
      <c r="L433" s="18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Row],[fecha_inicio]]="","",tblOrdenes[[#This Row],[anio]]&amp;"-"&amp;TEXT(tblOrdenes[[#This Row],[mes]],"00"))</f>
        <v/>
      </c>
      <c r="S433" s="5">
        <f>IF(tblOrdenes[[#This Row],[fecha_inicio]]="","",INDEX(lista_dias,WEEKDAY(tblOrdenes[[#This Row],[fecha_inicio]],2)))</f>
        <v/>
      </c>
      <c r="T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5">
        <f>IF(tblOrdenes[[#This Row],[tipo_ot]]="","",_xlfn.XLOOKUP(tblOrdenes[[#This Row],[tipo_ot]],tblTiposOT[codigo],tblTiposOT[clasificacion],"sin_clasificar"))</f>
        <v/>
      </c>
      <c r="V4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5">
        <f>IF(tblOrdenes[[#This Row],[centro_costo]]="","",_xlfn.XLOOKUP(tblOrdenes[[#This Row],[centro_costo]],tblCECO[codigo],tblCECO[linea],"(sin catálogo)"))</f>
        <v/>
      </c>
      <c r="Y433" s="5">
        <f>IF(tblOrdenes[[#This Row],[centro_costo]]="","",_xlfn.XLOOKUP(tblOrdenes[[#This Row],[centro_costo]],tblCECO[codigo],tblCECO[area],"(sin catálogo)"))</f>
        <v/>
      </c>
      <c r="Z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5">
        <f>IF(tblOrdenes[[#This Row],[centro_costo]]="","",_xlfn.XLOOKUP(tblOrdenes[[#This Row],[centro_costo]],tblCECO[codigo],tblCECO[coordinador],"(sin catálogo)"))</f>
        <v/>
      </c>
      <c r="AB433" s="5">
        <f>IF(tblOrdenes[[#This Row],[puesto_trabajo]]="","",_xlfn.XLOOKUP(tblOrdenes[[#This Row],[puesto_trabajo]],tblPuestos[codigo],tblPuestos[especialidad],"(sin catálogo)"))</f>
        <v/>
      </c>
      <c r="AC433" s="5">
        <f>IF(tblOrdenes[[#This Row],[cod_actividad]]="","",_xlfn.XLOOKUP(tblOrdenes[[#This Row],[cod_actividad]],tblActividades[codigo],tblActividades[descripcion],"(sin catálogo)"))</f>
        <v/>
      </c>
      <c r="AD433" s="23">
        <f>IF(tblOrdenes[[#This Row],[fecha_inicio]]="","",TODAY()-tblOrdenes[[#This Row],[fecha_inicio]])</f>
        <v/>
      </c>
      <c r="AE4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5">
        <f>IF(tblOrdenes[[#This Row],[backlog_habiles]]="","",IF(tblOrdenes[[#This Row],[backlog_habiles]]&lt;0,"FUTURO",IF(tblOrdenes[[#This Row],[backlog_habiles]]&gt;p_dias_backlog_max,"BACKLOG","MES CORRIENTE")))</f>
        <v/>
      </c>
      <c r="AG433" s="5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18">
        <f>IF(tblOrdenes[[#This Row],[orden]]="","",_xlfn.XLOOKUP(tblOrdenes[[#This Row],[id_operacion]],tblEjecucion[id_operacion],tblEjecucion[precio],0))</f>
        <v/>
      </c>
      <c r="AM433" s="18">
        <f>IF(tblOrdenes[[#This Row],[orden]]="","",MAX(0,_xlfn.XLOOKUP(tblOrdenes[[#This Row],[id_operacion]],tblEjecucion[id_operacion],tblEjecucion[costo_plan_total],0)-tblOrdenes[[#This Row],[costo_servicio]]))</f>
        <v/>
      </c>
      <c r="AN433" s="18">
        <f>IF(tblOrdenes[[#This Row],[orden]]="","",tblOrdenes[[#This Row],[costo_servicio]]+tblOrdenes[[#This Row],[costo_materiales]])</f>
        <v/>
      </c>
      <c r="AO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5">
        <f>IF(tblOrdenes[[#This Row],[link_checklist]]="","",HYPERLINK(p_ruta_base_checklists&amp;tblOrdenes[[#This Row],[link_checklist]],"abrir"))</f>
        <v/>
      </c>
      <c r="AT433" s="4" t="n"/>
      <c r="AU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5" t="n"/>
      <c r="K434" s="5" t="n"/>
      <c r="L434" s="18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Row],[fecha_inicio]]="","",tblOrdenes[[#This Row],[anio]]&amp;"-"&amp;TEXT(tblOrdenes[[#This Row],[mes]],"00"))</f>
        <v/>
      </c>
      <c r="S434" s="5">
        <f>IF(tblOrdenes[[#This Row],[fecha_inicio]]="","",INDEX(lista_dias,WEEKDAY(tblOrdenes[[#This Row],[fecha_inicio]],2)))</f>
        <v/>
      </c>
      <c r="T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5">
        <f>IF(tblOrdenes[[#This Row],[tipo_ot]]="","",_xlfn.XLOOKUP(tblOrdenes[[#This Row],[tipo_ot]],tblTiposOT[codigo],tblTiposOT[clasificacion],"sin_clasificar"))</f>
        <v/>
      </c>
      <c r="V4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5">
        <f>IF(tblOrdenes[[#This Row],[centro_costo]]="","",_xlfn.XLOOKUP(tblOrdenes[[#This Row],[centro_costo]],tblCECO[codigo],tblCECO[linea],"(sin catálogo)"))</f>
        <v/>
      </c>
      <c r="Y434" s="5">
        <f>IF(tblOrdenes[[#This Row],[centro_costo]]="","",_xlfn.XLOOKUP(tblOrdenes[[#This Row],[centro_costo]],tblCECO[codigo],tblCECO[area],"(sin catálogo)"))</f>
        <v/>
      </c>
      <c r="Z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5">
        <f>IF(tblOrdenes[[#This Row],[centro_costo]]="","",_xlfn.XLOOKUP(tblOrdenes[[#This Row],[centro_costo]],tblCECO[codigo],tblCECO[coordinador],"(sin catálogo)"))</f>
        <v/>
      </c>
      <c r="AB434" s="5">
        <f>IF(tblOrdenes[[#This Row],[puesto_trabajo]]="","",_xlfn.XLOOKUP(tblOrdenes[[#This Row],[puesto_trabajo]],tblPuestos[codigo],tblPuestos[especialidad],"(sin catálogo)"))</f>
        <v/>
      </c>
      <c r="AC434" s="5">
        <f>IF(tblOrdenes[[#This Row],[cod_actividad]]="","",_xlfn.XLOOKUP(tblOrdenes[[#This Row],[cod_actividad]],tblActividades[codigo],tblActividades[descripcion],"(sin catálogo)"))</f>
        <v/>
      </c>
      <c r="AD434" s="23">
        <f>IF(tblOrdenes[[#This Row],[fecha_inicio]]="","",TODAY()-tblOrdenes[[#This Row],[fecha_inicio]])</f>
        <v/>
      </c>
      <c r="AE4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5">
        <f>IF(tblOrdenes[[#This Row],[backlog_habiles]]="","",IF(tblOrdenes[[#This Row],[backlog_habiles]]&lt;0,"FUTURO",IF(tblOrdenes[[#This Row],[backlog_habiles]]&gt;p_dias_backlog_max,"BACKLOG","MES CORRIENTE")))</f>
        <v/>
      </c>
      <c r="AG434" s="5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18">
        <f>IF(tblOrdenes[[#This Row],[orden]]="","",_xlfn.XLOOKUP(tblOrdenes[[#This Row],[id_operacion]],tblEjecucion[id_operacion],tblEjecucion[precio],0))</f>
        <v/>
      </c>
      <c r="AM434" s="18">
        <f>IF(tblOrdenes[[#This Row],[orden]]="","",MAX(0,_xlfn.XLOOKUP(tblOrdenes[[#This Row],[id_operacion]],tblEjecucion[id_operacion],tblEjecucion[costo_plan_total],0)-tblOrdenes[[#This Row],[costo_servicio]]))</f>
        <v/>
      </c>
      <c r="AN434" s="18">
        <f>IF(tblOrdenes[[#This Row],[orden]]="","",tblOrdenes[[#This Row],[costo_servicio]]+tblOrdenes[[#This Row],[costo_materiales]])</f>
        <v/>
      </c>
      <c r="AO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5">
        <f>IF(tblOrdenes[[#This Row],[link_checklist]]="","",HYPERLINK(p_ruta_base_checklists&amp;tblOrdenes[[#This Row],[link_checklist]],"abrir"))</f>
        <v/>
      </c>
      <c r="AT434" s="4" t="n"/>
      <c r="AU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5" t="n"/>
      <c r="K435" s="5" t="n"/>
      <c r="L435" s="18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Row],[fecha_inicio]]="","",tblOrdenes[[#This Row],[anio]]&amp;"-"&amp;TEXT(tblOrdenes[[#This Row],[mes]],"00"))</f>
        <v/>
      </c>
      <c r="S435" s="5">
        <f>IF(tblOrdenes[[#This Row],[fecha_inicio]]="","",INDEX(lista_dias,WEEKDAY(tblOrdenes[[#This Row],[fecha_inicio]],2)))</f>
        <v/>
      </c>
      <c r="T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5">
        <f>IF(tblOrdenes[[#This Row],[tipo_ot]]="","",_xlfn.XLOOKUP(tblOrdenes[[#This Row],[tipo_ot]],tblTiposOT[codigo],tblTiposOT[clasificacion],"sin_clasificar"))</f>
        <v/>
      </c>
      <c r="V4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5">
        <f>IF(tblOrdenes[[#This Row],[centro_costo]]="","",_xlfn.XLOOKUP(tblOrdenes[[#This Row],[centro_costo]],tblCECO[codigo],tblCECO[linea],"(sin catálogo)"))</f>
        <v/>
      </c>
      <c r="Y435" s="5">
        <f>IF(tblOrdenes[[#This Row],[centro_costo]]="","",_xlfn.XLOOKUP(tblOrdenes[[#This Row],[centro_costo]],tblCECO[codigo],tblCECO[area],"(sin catálogo)"))</f>
        <v/>
      </c>
      <c r="Z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5">
        <f>IF(tblOrdenes[[#This Row],[centro_costo]]="","",_xlfn.XLOOKUP(tblOrdenes[[#This Row],[centro_costo]],tblCECO[codigo],tblCECO[coordinador],"(sin catálogo)"))</f>
        <v/>
      </c>
      <c r="AB435" s="5">
        <f>IF(tblOrdenes[[#This Row],[puesto_trabajo]]="","",_xlfn.XLOOKUP(tblOrdenes[[#This Row],[puesto_trabajo]],tblPuestos[codigo],tblPuestos[especialidad],"(sin catálogo)"))</f>
        <v/>
      </c>
      <c r="AC435" s="5">
        <f>IF(tblOrdenes[[#This Row],[cod_actividad]]="","",_xlfn.XLOOKUP(tblOrdenes[[#This Row],[cod_actividad]],tblActividades[codigo],tblActividades[descripcion],"(sin catálogo)"))</f>
        <v/>
      </c>
      <c r="AD435" s="23">
        <f>IF(tblOrdenes[[#This Row],[fecha_inicio]]="","",TODAY()-tblOrdenes[[#This Row],[fecha_inicio]])</f>
        <v/>
      </c>
      <c r="AE4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5">
        <f>IF(tblOrdenes[[#This Row],[backlog_habiles]]="","",IF(tblOrdenes[[#This Row],[backlog_habiles]]&lt;0,"FUTURO",IF(tblOrdenes[[#This Row],[backlog_habiles]]&gt;p_dias_backlog_max,"BACKLOG","MES CORRIENTE")))</f>
        <v/>
      </c>
      <c r="AG435" s="5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18">
        <f>IF(tblOrdenes[[#This Row],[orden]]="","",_xlfn.XLOOKUP(tblOrdenes[[#This Row],[id_operacion]],tblEjecucion[id_operacion],tblEjecucion[precio],0))</f>
        <v/>
      </c>
      <c r="AM435" s="18">
        <f>IF(tblOrdenes[[#This Row],[orden]]="","",MAX(0,_xlfn.XLOOKUP(tblOrdenes[[#This Row],[id_operacion]],tblEjecucion[id_operacion],tblEjecucion[costo_plan_total],0)-tblOrdenes[[#This Row],[costo_servicio]]))</f>
        <v/>
      </c>
      <c r="AN435" s="18">
        <f>IF(tblOrdenes[[#This Row],[orden]]="","",tblOrdenes[[#This Row],[costo_servicio]]+tblOrdenes[[#This Row],[costo_materiales]])</f>
        <v/>
      </c>
      <c r="AO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5">
        <f>IF(tblOrdenes[[#This Row],[link_checklist]]="","",HYPERLINK(p_ruta_base_checklists&amp;tblOrdenes[[#This Row],[link_checklist]],"abrir"))</f>
        <v/>
      </c>
      <c r="AT435" s="4" t="n"/>
      <c r="AU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5" t="n"/>
      <c r="K436" s="5" t="n"/>
      <c r="L436" s="18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Row],[fecha_inicio]]="","",tblOrdenes[[#This Row],[anio]]&amp;"-"&amp;TEXT(tblOrdenes[[#This Row],[mes]],"00"))</f>
        <v/>
      </c>
      <c r="S436" s="5">
        <f>IF(tblOrdenes[[#This Row],[fecha_inicio]]="","",INDEX(lista_dias,WEEKDAY(tblOrdenes[[#This Row],[fecha_inicio]],2)))</f>
        <v/>
      </c>
      <c r="T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5">
        <f>IF(tblOrdenes[[#This Row],[tipo_ot]]="","",_xlfn.XLOOKUP(tblOrdenes[[#This Row],[tipo_ot]],tblTiposOT[codigo],tblTiposOT[clasificacion],"sin_clasificar"))</f>
        <v/>
      </c>
      <c r="V4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5">
        <f>IF(tblOrdenes[[#This Row],[centro_costo]]="","",_xlfn.XLOOKUP(tblOrdenes[[#This Row],[centro_costo]],tblCECO[codigo],tblCECO[linea],"(sin catálogo)"))</f>
        <v/>
      </c>
      <c r="Y436" s="5">
        <f>IF(tblOrdenes[[#This Row],[centro_costo]]="","",_xlfn.XLOOKUP(tblOrdenes[[#This Row],[centro_costo]],tblCECO[codigo],tblCECO[area],"(sin catálogo)"))</f>
        <v/>
      </c>
      <c r="Z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5">
        <f>IF(tblOrdenes[[#This Row],[centro_costo]]="","",_xlfn.XLOOKUP(tblOrdenes[[#This Row],[centro_costo]],tblCECO[codigo],tblCECO[coordinador],"(sin catálogo)"))</f>
        <v/>
      </c>
      <c r="AB436" s="5">
        <f>IF(tblOrdenes[[#This Row],[puesto_trabajo]]="","",_xlfn.XLOOKUP(tblOrdenes[[#This Row],[puesto_trabajo]],tblPuestos[codigo],tblPuestos[especialidad],"(sin catálogo)"))</f>
        <v/>
      </c>
      <c r="AC436" s="5">
        <f>IF(tblOrdenes[[#This Row],[cod_actividad]]="","",_xlfn.XLOOKUP(tblOrdenes[[#This Row],[cod_actividad]],tblActividades[codigo],tblActividades[descripcion],"(sin catálogo)"))</f>
        <v/>
      </c>
      <c r="AD436" s="23">
        <f>IF(tblOrdenes[[#This Row],[fecha_inicio]]="","",TODAY()-tblOrdenes[[#This Row],[fecha_inicio]])</f>
        <v/>
      </c>
      <c r="AE4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5">
        <f>IF(tblOrdenes[[#This Row],[backlog_habiles]]="","",IF(tblOrdenes[[#This Row],[backlog_habiles]]&lt;0,"FUTURO",IF(tblOrdenes[[#This Row],[backlog_habiles]]&gt;p_dias_backlog_max,"BACKLOG","MES CORRIENTE")))</f>
        <v/>
      </c>
      <c r="AG436" s="5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18">
        <f>IF(tblOrdenes[[#This Row],[orden]]="","",_xlfn.XLOOKUP(tblOrdenes[[#This Row],[id_operacion]],tblEjecucion[id_operacion],tblEjecucion[precio],0))</f>
        <v/>
      </c>
      <c r="AM436" s="18">
        <f>IF(tblOrdenes[[#This Row],[orden]]="","",MAX(0,_xlfn.XLOOKUP(tblOrdenes[[#This Row],[id_operacion]],tblEjecucion[id_operacion],tblEjecucion[costo_plan_total],0)-tblOrdenes[[#This Row],[costo_servicio]]))</f>
        <v/>
      </c>
      <c r="AN436" s="18">
        <f>IF(tblOrdenes[[#This Row],[orden]]="","",tblOrdenes[[#This Row],[costo_servicio]]+tblOrdenes[[#This Row],[costo_materiales]])</f>
        <v/>
      </c>
      <c r="AO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5">
        <f>IF(tblOrdenes[[#This Row],[link_checklist]]="","",HYPERLINK(p_ruta_base_checklists&amp;tblOrdenes[[#This Row],[link_checklist]],"abrir"))</f>
        <v/>
      </c>
      <c r="AT436" s="4" t="n"/>
      <c r="AU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5" t="n"/>
      <c r="K437" s="5" t="n"/>
      <c r="L437" s="18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Row],[fecha_inicio]]="","",tblOrdenes[[#This Row],[anio]]&amp;"-"&amp;TEXT(tblOrdenes[[#This Row],[mes]],"00"))</f>
        <v/>
      </c>
      <c r="S437" s="5">
        <f>IF(tblOrdenes[[#This Row],[fecha_inicio]]="","",INDEX(lista_dias,WEEKDAY(tblOrdenes[[#This Row],[fecha_inicio]],2)))</f>
        <v/>
      </c>
      <c r="T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5">
        <f>IF(tblOrdenes[[#This Row],[tipo_ot]]="","",_xlfn.XLOOKUP(tblOrdenes[[#This Row],[tipo_ot]],tblTiposOT[codigo],tblTiposOT[clasificacion],"sin_clasificar"))</f>
        <v/>
      </c>
      <c r="V4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5">
        <f>IF(tblOrdenes[[#This Row],[centro_costo]]="","",_xlfn.XLOOKUP(tblOrdenes[[#This Row],[centro_costo]],tblCECO[codigo],tblCECO[linea],"(sin catálogo)"))</f>
        <v/>
      </c>
      <c r="Y437" s="5">
        <f>IF(tblOrdenes[[#This Row],[centro_costo]]="","",_xlfn.XLOOKUP(tblOrdenes[[#This Row],[centro_costo]],tblCECO[codigo],tblCECO[area],"(sin catálogo)"))</f>
        <v/>
      </c>
      <c r="Z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5">
        <f>IF(tblOrdenes[[#This Row],[centro_costo]]="","",_xlfn.XLOOKUP(tblOrdenes[[#This Row],[centro_costo]],tblCECO[codigo],tblCECO[coordinador],"(sin catálogo)"))</f>
        <v/>
      </c>
      <c r="AB437" s="5">
        <f>IF(tblOrdenes[[#This Row],[puesto_trabajo]]="","",_xlfn.XLOOKUP(tblOrdenes[[#This Row],[puesto_trabajo]],tblPuestos[codigo],tblPuestos[especialidad],"(sin catálogo)"))</f>
        <v/>
      </c>
      <c r="AC437" s="5">
        <f>IF(tblOrdenes[[#This Row],[cod_actividad]]="","",_xlfn.XLOOKUP(tblOrdenes[[#This Row],[cod_actividad]],tblActividades[codigo],tblActividades[descripcion],"(sin catálogo)"))</f>
        <v/>
      </c>
      <c r="AD437" s="23">
        <f>IF(tblOrdenes[[#This Row],[fecha_inicio]]="","",TODAY()-tblOrdenes[[#This Row],[fecha_inicio]])</f>
        <v/>
      </c>
      <c r="AE4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5">
        <f>IF(tblOrdenes[[#This Row],[backlog_habiles]]="","",IF(tblOrdenes[[#This Row],[backlog_habiles]]&lt;0,"FUTURO",IF(tblOrdenes[[#This Row],[backlog_habiles]]&gt;p_dias_backlog_max,"BACKLOG","MES CORRIENTE")))</f>
        <v/>
      </c>
      <c r="AG437" s="5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18">
        <f>IF(tblOrdenes[[#This Row],[orden]]="","",_xlfn.XLOOKUP(tblOrdenes[[#This Row],[id_operacion]],tblEjecucion[id_operacion],tblEjecucion[precio],0))</f>
        <v/>
      </c>
      <c r="AM437" s="18">
        <f>IF(tblOrdenes[[#This Row],[orden]]="","",MAX(0,_xlfn.XLOOKUP(tblOrdenes[[#This Row],[id_operacion]],tblEjecucion[id_operacion],tblEjecucion[costo_plan_total],0)-tblOrdenes[[#This Row],[costo_servicio]]))</f>
        <v/>
      </c>
      <c r="AN437" s="18">
        <f>IF(tblOrdenes[[#This Row],[orden]]="","",tblOrdenes[[#This Row],[costo_servicio]]+tblOrdenes[[#This Row],[costo_materiales]])</f>
        <v/>
      </c>
      <c r="AO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5">
        <f>IF(tblOrdenes[[#This Row],[link_checklist]]="","",HYPERLINK(p_ruta_base_checklists&amp;tblOrdenes[[#This Row],[link_checklist]],"abrir"))</f>
        <v/>
      </c>
      <c r="AT437" s="4" t="n"/>
      <c r="AU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5" t="n"/>
      <c r="K438" s="5" t="n"/>
      <c r="L438" s="18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Row],[fecha_inicio]]="","",tblOrdenes[[#This Row],[anio]]&amp;"-"&amp;TEXT(tblOrdenes[[#This Row],[mes]],"00"))</f>
        <v/>
      </c>
      <c r="S438" s="5">
        <f>IF(tblOrdenes[[#This Row],[fecha_inicio]]="","",INDEX(lista_dias,WEEKDAY(tblOrdenes[[#This Row],[fecha_inicio]],2)))</f>
        <v/>
      </c>
      <c r="T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5">
        <f>IF(tblOrdenes[[#This Row],[tipo_ot]]="","",_xlfn.XLOOKUP(tblOrdenes[[#This Row],[tipo_ot]],tblTiposOT[codigo],tblTiposOT[clasificacion],"sin_clasificar"))</f>
        <v/>
      </c>
      <c r="V4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5">
        <f>IF(tblOrdenes[[#This Row],[centro_costo]]="","",_xlfn.XLOOKUP(tblOrdenes[[#This Row],[centro_costo]],tblCECO[codigo],tblCECO[linea],"(sin catálogo)"))</f>
        <v/>
      </c>
      <c r="Y438" s="5">
        <f>IF(tblOrdenes[[#This Row],[centro_costo]]="","",_xlfn.XLOOKUP(tblOrdenes[[#This Row],[centro_costo]],tblCECO[codigo],tblCECO[area],"(sin catálogo)"))</f>
        <v/>
      </c>
      <c r="Z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5">
        <f>IF(tblOrdenes[[#This Row],[centro_costo]]="","",_xlfn.XLOOKUP(tblOrdenes[[#This Row],[centro_costo]],tblCECO[codigo],tblCECO[coordinador],"(sin catálogo)"))</f>
        <v/>
      </c>
      <c r="AB438" s="5">
        <f>IF(tblOrdenes[[#This Row],[puesto_trabajo]]="","",_xlfn.XLOOKUP(tblOrdenes[[#This Row],[puesto_trabajo]],tblPuestos[codigo],tblPuestos[especialidad],"(sin catálogo)"))</f>
        <v/>
      </c>
      <c r="AC438" s="5">
        <f>IF(tblOrdenes[[#This Row],[cod_actividad]]="","",_xlfn.XLOOKUP(tblOrdenes[[#This Row],[cod_actividad]],tblActividades[codigo],tblActividades[descripcion],"(sin catálogo)"))</f>
        <v/>
      </c>
      <c r="AD438" s="23">
        <f>IF(tblOrdenes[[#This Row],[fecha_inicio]]="","",TODAY()-tblOrdenes[[#This Row],[fecha_inicio]])</f>
        <v/>
      </c>
      <c r="AE4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5">
        <f>IF(tblOrdenes[[#This Row],[backlog_habiles]]="","",IF(tblOrdenes[[#This Row],[backlog_habiles]]&lt;0,"FUTURO",IF(tblOrdenes[[#This Row],[backlog_habiles]]&gt;p_dias_backlog_max,"BACKLOG","MES CORRIENTE")))</f>
        <v/>
      </c>
      <c r="AG438" s="5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18">
        <f>IF(tblOrdenes[[#This Row],[orden]]="","",_xlfn.XLOOKUP(tblOrdenes[[#This Row],[id_operacion]],tblEjecucion[id_operacion],tblEjecucion[precio],0))</f>
        <v/>
      </c>
      <c r="AM438" s="18">
        <f>IF(tblOrdenes[[#This Row],[orden]]="","",MAX(0,_xlfn.XLOOKUP(tblOrdenes[[#This Row],[id_operacion]],tblEjecucion[id_operacion],tblEjecucion[costo_plan_total],0)-tblOrdenes[[#This Row],[costo_servicio]]))</f>
        <v/>
      </c>
      <c r="AN438" s="18">
        <f>IF(tblOrdenes[[#This Row],[orden]]="","",tblOrdenes[[#This Row],[costo_servicio]]+tblOrdenes[[#This Row],[costo_materiales]])</f>
        <v/>
      </c>
      <c r="AO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5">
        <f>IF(tblOrdenes[[#This Row],[link_checklist]]="","",HYPERLINK(p_ruta_base_checklists&amp;tblOrdenes[[#This Row],[link_checklist]],"abrir"))</f>
        <v/>
      </c>
      <c r="AT438" s="4" t="n"/>
      <c r="AU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5" t="n"/>
      <c r="K439" s="5" t="n"/>
      <c r="L439" s="18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Row],[fecha_inicio]]="","",tblOrdenes[[#This Row],[anio]]&amp;"-"&amp;TEXT(tblOrdenes[[#This Row],[mes]],"00"))</f>
        <v/>
      </c>
      <c r="S439" s="5">
        <f>IF(tblOrdenes[[#This Row],[fecha_inicio]]="","",INDEX(lista_dias,WEEKDAY(tblOrdenes[[#This Row],[fecha_inicio]],2)))</f>
        <v/>
      </c>
      <c r="T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5">
        <f>IF(tblOrdenes[[#This Row],[tipo_ot]]="","",_xlfn.XLOOKUP(tblOrdenes[[#This Row],[tipo_ot]],tblTiposOT[codigo],tblTiposOT[clasificacion],"sin_clasificar"))</f>
        <v/>
      </c>
      <c r="V4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5">
        <f>IF(tblOrdenes[[#This Row],[centro_costo]]="","",_xlfn.XLOOKUP(tblOrdenes[[#This Row],[centro_costo]],tblCECO[codigo],tblCECO[linea],"(sin catálogo)"))</f>
        <v/>
      </c>
      <c r="Y439" s="5">
        <f>IF(tblOrdenes[[#This Row],[centro_costo]]="","",_xlfn.XLOOKUP(tblOrdenes[[#This Row],[centro_costo]],tblCECO[codigo],tblCECO[area],"(sin catálogo)"))</f>
        <v/>
      </c>
      <c r="Z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5">
        <f>IF(tblOrdenes[[#This Row],[centro_costo]]="","",_xlfn.XLOOKUP(tblOrdenes[[#This Row],[centro_costo]],tblCECO[codigo],tblCECO[coordinador],"(sin catálogo)"))</f>
        <v/>
      </c>
      <c r="AB439" s="5">
        <f>IF(tblOrdenes[[#This Row],[puesto_trabajo]]="","",_xlfn.XLOOKUP(tblOrdenes[[#This Row],[puesto_trabajo]],tblPuestos[codigo],tblPuestos[especialidad],"(sin catálogo)"))</f>
        <v/>
      </c>
      <c r="AC439" s="5">
        <f>IF(tblOrdenes[[#This Row],[cod_actividad]]="","",_xlfn.XLOOKUP(tblOrdenes[[#This Row],[cod_actividad]],tblActividades[codigo],tblActividades[descripcion],"(sin catálogo)"))</f>
        <v/>
      </c>
      <c r="AD439" s="23">
        <f>IF(tblOrdenes[[#This Row],[fecha_inicio]]="","",TODAY()-tblOrdenes[[#This Row],[fecha_inicio]])</f>
        <v/>
      </c>
      <c r="AE4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5">
        <f>IF(tblOrdenes[[#This Row],[backlog_habiles]]="","",IF(tblOrdenes[[#This Row],[backlog_habiles]]&lt;0,"FUTURO",IF(tblOrdenes[[#This Row],[backlog_habiles]]&gt;p_dias_backlog_max,"BACKLOG","MES CORRIENTE")))</f>
        <v/>
      </c>
      <c r="AG439" s="5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18">
        <f>IF(tblOrdenes[[#This Row],[orden]]="","",_xlfn.XLOOKUP(tblOrdenes[[#This Row],[id_operacion]],tblEjecucion[id_operacion],tblEjecucion[precio],0))</f>
        <v/>
      </c>
      <c r="AM439" s="18">
        <f>IF(tblOrdenes[[#This Row],[orden]]="","",MAX(0,_xlfn.XLOOKUP(tblOrdenes[[#This Row],[id_operacion]],tblEjecucion[id_operacion],tblEjecucion[costo_plan_total],0)-tblOrdenes[[#This Row],[costo_servicio]]))</f>
        <v/>
      </c>
      <c r="AN439" s="18">
        <f>IF(tblOrdenes[[#This Row],[orden]]="","",tblOrdenes[[#This Row],[costo_servicio]]+tblOrdenes[[#This Row],[costo_materiales]])</f>
        <v/>
      </c>
      <c r="AO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5">
        <f>IF(tblOrdenes[[#This Row],[link_checklist]]="","",HYPERLINK(p_ruta_base_checklists&amp;tblOrdenes[[#This Row],[link_checklist]],"abrir"))</f>
        <v/>
      </c>
      <c r="AT439" s="4" t="n"/>
      <c r="AU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5" t="n"/>
      <c r="K440" s="5" t="n"/>
      <c r="L440" s="18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Row],[fecha_inicio]]="","",tblOrdenes[[#This Row],[anio]]&amp;"-"&amp;TEXT(tblOrdenes[[#This Row],[mes]],"00"))</f>
        <v/>
      </c>
      <c r="S440" s="5">
        <f>IF(tblOrdenes[[#This Row],[fecha_inicio]]="","",INDEX(lista_dias,WEEKDAY(tblOrdenes[[#This Row],[fecha_inicio]],2)))</f>
        <v/>
      </c>
      <c r="T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5">
        <f>IF(tblOrdenes[[#This Row],[tipo_ot]]="","",_xlfn.XLOOKUP(tblOrdenes[[#This Row],[tipo_ot]],tblTiposOT[codigo],tblTiposOT[clasificacion],"sin_clasificar"))</f>
        <v/>
      </c>
      <c r="V4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5">
        <f>IF(tblOrdenes[[#This Row],[centro_costo]]="","",_xlfn.XLOOKUP(tblOrdenes[[#This Row],[centro_costo]],tblCECO[codigo],tblCECO[linea],"(sin catálogo)"))</f>
        <v/>
      </c>
      <c r="Y440" s="5">
        <f>IF(tblOrdenes[[#This Row],[centro_costo]]="","",_xlfn.XLOOKUP(tblOrdenes[[#This Row],[centro_costo]],tblCECO[codigo],tblCECO[area],"(sin catálogo)"))</f>
        <v/>
      </c>
      <c r="Z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5">
        <f>IF(tblOrdenes[[#This Row],[centro_costo]]="","",_xlfn.XLOOKUP(tblOrdenes[[#This Row],[centro_costo]],tblCECO[codigo],tblCECO[coordinador],"(sin catálogo)"))</f>
        <v/>
      </c>
      <c r="AB440" s="5">
        <f>IF(tblOrdenes[[#This Row],[puesto_trabajo]]="","",_xlfn.XLOOKUP(tblOrdenes[[#This Row],[puesto_trabajo]],tblPuestos[codigo],tblPuestos[especialidad],"(sin catálogo)"))</f>
        <v/>
      </c>
      <c r="AC440" s="5">
        <f>IF(tblOrdenes[[#This Row],[cod_actividad]]="","",_xlfn.XLOOKUP(tblOrdenes[[#This Row],[cod_actividad]],tblActividades[codigo],tblActividades[descripcion],"(sin catálogo)"))</f>
        <v/>
      </c>
      <c r="AD440" s="23">
        <f>IF(tblOrdenes[[#This Row],[fecha_inicio]]="","",TODAY()-tblOrdenes[[#This Row],[fecha_inicio]])</f>
        <v/>
      </c>
      <c r="AE4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5">
        <f>IF(tblOrdenes[[#This Row],[backlog_habiles]]="","",IF(tblOrdenes[[#This Row],[backlog_habiles]]&lt;0,"FUTURO",IF(tblOrdenes[[#This Row],[backlog_habiles]]&gt;p_dias_backlog_max,"BACKLOG","MES CORRIENTE")))</f>
        <v/>
      </c>
      <c r="AG440" s="5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18">
        <f>IF(tblOrdenes[[#This Row],[orden]]="","",_xlfn.XLOOKUP(tblOrdenes[[#This Row],[id_operacion]],tblEjecucion[id_operacion],tblEjecucion[precio],0))</f>
        <v/>
      </c>
      <c r="AM440" s="18">
        <f>IF(tblOrdenes[[#This Row],[orden]]="","",MAX(0,_xlfn.XLOOKUP(tblOrdenes[[#This Row],[id_operacion]],tblEjecucion[id_operacion],tblEjecucion[costo_plan_total],0)-tblOrdenes[[#This Row],[costo_servicio]]))</f>
        <v/>
      </c>
      <c r="AN440" s="18">
        <f>IF(tblOrdenes[[#This Row],[orden]]="","",tblOrdenes[[#This Row],[costo_servicio]]+tblOrdenes[[#This Row],[costo_materiales]])</f>
        <v/>
      </c>
      <c r="AO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5">
        <f>IF(tblOrdenes[[#This Row],[link_checklist]]="","",HYPERLINK(p_ruta_base_checklists&amp;tblOrdenes[[#This Row],[link_checklist]],"abrir"))</f>
        <v/>
      </c>
      <c r="AT440" s="4" t="n"/>
      <c r="AU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5" t="n"/>
      <c r="K441" s="5" t="n"/>
      <c r="L441" s="18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Row],[fecha_inicio]]="","",tblOrdenes[[#This Row],[anio]]&amp;"-"&amp;TEXT(tblOrdenes[[#This Row],[mes]],"00"))</f>
        <v/>
      </c>
      <c r="S441" s="5">
        <f>IF(tblOrdenes[[#This Row],[fecha_inicio]]="","",INDEX(lista_dias,WEEKDAY(tblOrdenes[[#This Row],[fecha_inicio]],2)))</f>
        <v/>
      </c>
      <c r="T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5">
        <f>IF(tblOrdenes[[#This Row],[tipo_ot]]="","",_xlfn.XLOOKUP(tblOrdenes[[#This Row],[tipo_ot]],tblTiposOT[codigo],tblTiposOT[clasificacion],"sin_clasificar"))</f>
        <v/>
      </c>
      <c r="V4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5">
        <f>IF(tblOrdenes[[#This Row],[centro_costo]]="","",_xlfn.XLOOKUP(tblOrdenes[[#This Row],[centro_costo]],tblCECO[codigo],tblCECO[linea],"(sin catálogo)"))</f>
        <v/>
      </c>
      <c r="Y441" s="5">
        <f>IF(tblOrdenes[[#This Row],[centro_costo]]="","",_xlfn.XLOOKUP(tblOrdenes[[#This Row],[centro_costo]],tblCECO[codigo],tblCECO[area],"(sin catálogo)"))</f>
        <v/>
      </c>
      <c r="Z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5">
        <f>IF(tblOrdenes[[#This Row],[centro_costo]]="","",_xlfn.XLOOKUP(tblOrdenes[[#This Row],[centro_costo]],tblCECO[codigo],tblCECO[coordinador],"(sin catálogo)"))</f>
        <v/>
      </c>
      <c r="AB441" s="5">
        <f>IF(tblOrdenes[[#This Row],[puesto_trabajo]]="","",_xlfn.XLOOKUP(tblOrdenes[[#This Row],[puesto_trabajo]],tblPuestos[codigo],tblPuestos[especialidad],"(sin catálogo)"))</f>
        <v/>
      </c>
      <c r="AC441" s="5">
        <f>IF(tblOrdenes[[#This Row],[cod_actividad]]="","",_xlfn.XLOOKUP(tblOrdenes[[#This Row],[cod_actividad]],tblActividades[codigo],tblActividades[descripcion],"(sin catálogo)"))</f>
        <v/>
      </c>
      <c r="AD441" s="23">
        <f>IF(tblOrdenes[[#This Row],[fecha_inicio]]="","",TODAY()-tblOrdenes[[#This Row],[fecha_inicio]])</f>
        <v/>
      </c>
      <c r="AE4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5">
        <f>IF(tblOrdenes[[#This Row],[backlog_habiles]]="","",IF(tblOrdenes[[#This Row],[backlog_habiles]]&lt;0,"FUTURO",IF(tblOrdenes[[#This Row],[backlog_habiles]]&gt;p_dias_backlog_max,"BACKLOG","MES CORRIENTE")))</f>
        <v/>
      </c>
      <c r="AG441" s="5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18">
        <f>IF(tblOrdenes[[#This Row],[orden]]="","",_xlfn.XLOOKUP(tblOrdenes[[#This Row],[id_operacion]],tblEjecucion[id_operacion],tblEjecucion[precio],0))</f>
        <v/>
      </c>
      <c r="AM441" s="18">
        <f>IF(tblOrdenes[[#This Row],[orden]]="","",MAX(0,_xlfn.XLOOKUP(tblOrdenes[[#This Row],[id_operacion]],tblEjecucion[id_operacion],tblEjecucion[costo_plan_total],0)-tblOrdenes[[#This Row],[costo_servicio]]))</f>
        <v/>
      </c>
      <c r="AN441" s="18">
        <f>IF(tblOrdenes[[#This Row],[orden]]="","",tblOrdenes[[#This Row],[costo_servicio]]+tblOrdenes[[#This Row],[costo_materiales]])</f>
        <v/>
      </c>
      <c r="AO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5">
        <f>IF(tblOrdenes[[#This Row],[link_checklist]]="","",HYPERLINK(p_ruta_base_checklists&amp;tblOrdenes[[#This Row],[link_checklist]],"abrir"))</f>
        <v/>
      </c>
      <c r="AT441" s="4" t="n"/>
      <c r="AU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5" t="n"/>
      <c r="K442" s="5" t="n"/>
      <c r="L442" s="18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Row],[fecha_inicio]]="","",tblOrdenes[[#This Row],[anio]]&amp;"-"&amp;TEXT(tblOrdenes[[#This Row],[mes]],"00"))</f>
        <v/>
      </c>
      <c r="S442" s="5">
        <f>IF(tblOrdenes[[#This Row],[fecha_inicio]]="","",INDEX(lista_dias,WEEKDAY(tblOrdenes[[#This Row],[fecha_inicio]],2)))</f>
        <v/>
      </c>
      <c r="T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5">
        <f>IF(tblOrdenes[[#This Row],[tipo_ot]]="","",_xlfn.XLOOKUP(tblOrdenes[[#This Row],[tipo_ot]],tblTiposOT[codigo],tblTiposOT[clasificacion],"sin_clasificar"))</f>
        <v/>
      </c>
      <c r="V4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5">
        <f>IF(tblOrdenes[[#This Row],[centro_costo]]="","",_xlfn.XLOOKUP(tblOrdenes[[#This Row],[centro_costo]],tblCECO[codigo],tblCECO[linea],"(sin catálogo)"))</f>
        <v/>
      </c>
      <c r="Y442" s="5">
        <f>IF(tblOrdenes[[#This Row],[centro_costo]]="","",_xlfn.XLOOKUP(tblOrdenes[[#This Row],[centro_costo]],tblCECO[codigo],tblCECO[area],"(sin catálogo)"))</f>
        <v/>
      </c>
      <c r="Z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5">
        <f>IF(tblOrdenes[[#This Row],[centro_costo]]="","",_xlfn.XLOOKUP(tblOrdenes[[#This Row],[centro_costo]],tblCECO[codigo],tblCECO[coordinador],"(sin catálogo)"))</f>
        <v/>
      </c>
      <c r="AB442" s="5">
        <f>IF(tblOrdenes[[#This Row],[puesto_trabajo]]="","",_xlfn.XLOOKUP(tblOrdenes[[#This Row],[puesto_trabajo]],tblPuestos[codigo],tblPuestos[especialidad],"(sin catálogo)"))</f>
        <v/>
      </c>
      <c r="AC442" s="5">
        <f>IF(tblOrdenes[[#This Row],[cod_actividad]]="","",_xlfn.XLOOKUP(tblOrdenes[[#This Row],[cod_actividad]],tblActividades[codigo],tblActividades[descripcion],"(sin catálogo)"))</f>
        <v/>
      </c>
      <c r="AD442" s="23">
        <f>IF(tblOrdenes[[#This Row],[fecha_inicio]]="","",TODAY()-tblOrdenes[[#This Row],[fecha_inicio]])</f>
        <v/>
      </c>
      <c r="AE4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5">
        <f>IF(tblOrdenes[[#This Row],[backlog_habiles]]="","",IF(tblOrdenes[[#This Row],[backlog_habiles]]&lt;0,"FUTURO",IF(tblOrdenes[[#This Row],[backlog_habiles]]&gt;p_dias_backlog_max,"BACKLOG","MES CORRIENTE")))</f>
        <v/>
      </c>
      <c r="AG442" s="5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18">
        <f>IF(tblOrdenes[[#This Row],[orden]]="","",_xlfn.XLOOKUP(tblOrdenes[[#This Row],[id_operacion]],tblEjecucion[id_operacion],tblEjecucion[precio],0))</f>
        <v/>
      </c>
      <c r="AM442" s="18">
        <f>IF(tblOrdenes[[#This Row],[orden]]="","",MAX(0,_xlfn.XLOOKUP(tblOrdenes[[#This Row],[id_operacion]],tblEjecucion[id_operacion],tblEjecucion[costo_plan_total],0)-tblOrdenes[[#This Row],[costo_servicio]]))</f>
        <v/>
      </c>
      <c r="AN442" s="18">
        <f>IF(tblOrdenes[[#This Row],[orden]]="","",tblOrdenes[[#This Row],[costo_servicio]]+tblOrdenes[[#This Row],[costo_materiales]])</f>
        <v/>
      </c>
      <c r="AO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5">
        <f>IF(tblOrdenes[[#This Row],[link_checklist]]="","",HYPERLINK(p_ruta_base_checklists&amp;tblOrdenes[[#This Row],[link_checklist]],"abrir"))</f>
        <v/>
      </c>
      <c r="AT442" s="4" t="n"/>
      <c r="AU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5" t="n"/>
      <c r="K443" s="5" t="n"/>
      <c r="L443" s="18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Row],[fecha_inicio]]="","",tblOrdenes[[#This Row],[anio]]&amp;"-"&amp;TEXT(tblOrdenes[[#This Row],[mes]],"00"))</f>
        <v/>
      </c>
      <c r="S443" s="5">
        <f>IF(tblOrdenes[[#This Row],[fecha_inicio]]="","",INDEX(lista_dias,WEEKDAY(tblOrdenes[[#This Row],[fecha_inicio]],2)))</f>
        <v/>
      </c>
      <c r="T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5">
        <f>IF(tblOrdenes[[#This Row],[tipo_ot]]="","",_xlfn.XLOOKUP(tblOrdenes[[#This Row],[tipo_ot]],tblTiposOT[codigo],tblTiposOT[clasificacion],"sin_clasificar"))</f>
        <v/>
      </c>
      <c r="V4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5">
        <f>IF(tblOrdenes[[#This Row],[centro_costo]]="","",_xlfn.XLOOKUP(tblOrdenes[[#This Row],[centro_costo]],tblCECO[codigo],tblCECO[linea],"(sin catálogo)"))</f>
        <v/>
      </c>
      <c r="Y443" s="5">
        <f>IF(tblOrdenes[[#This Row],[centro_costo]]="","",_xlfn.XLOOKUP(tblOrdenes[[#This Row],[centro_costo]],tblCECO[codigo],tblCECO[area],"(sin catálogo)"))</f>
        <v/>
      </c>
      <c r="Z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5">
        <f>IF(tblOrdenes[[#This Row],[centro_costo]]="","",_xlfn.XLOOKUP(tblOrdenes[[#This Row],[centro_costo]],tblCECO[codigo],tblCECO[coordinador],"(sin catálogo)"))</f>
        <v/>
      </c>
      <c r="AB443" s="5">
        <f>IF(tblOrdenes[[#This Row],[puesto_trabajo]]="","",_xlfn.XLOOKUP(tblOrdenes[[#This Row],[puesto_trabajo]],tblPuestos[codigo],tblPuestos[especialidad],"(sin catálogo)"))</f>
        <v/>
      </c>
      <c r="AC443" s="5">
        <f>IF(tblOrdenes[[#This Row],[cod_actividad]]="","",_xlfn.XLOOKUP(tblOrdenes[[#This Row],[cod_actividad]],tblActividades[codigo],tblActividades[descripcion],"(sin catálogo)"))</f>
        <v/>
      </c>
      <c r="AD443" s="23">
        <f>IF(tblOrdenes[[#This Row],[fecha_inicio]]="","",TODAY()-tblOrdenes[[#This Row],[fecha_inicio]])</f>
        <v/>
      </c>
      <c r="AE4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5">
        <f>IF(tblOrdenes[[#This Row],[backlog_habiles]]="","",IF(tblOrdenes[[#This Row],[backlog_habiles]]&lt;0,"FUTURO",IF(tblOrdenes[[#This Row],[backlog_habiles]]&gt;p_dias_backlog_max,"BACKLOG","MES CORRIENTE")))</f>
        <v/>
      </c>
      <c r="AG443" s="5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18">
        <f>IF(tblOrdenes[[#This Row],[orden]]="","",_xlfn.XLOOKUP(tblOrdenes[[#This Row],[id_operacion]],tblEjecucion[id_operacion],tblEjecucion[precio],0))</f>
        <v/>
      </c>
      <c r="AM443" s="18">
        <f>IF(tblOrdenes[[#This Row],[orden]]="","",MAX(0,_xlfn.XLOOKUP(tblOrdenes[[#This Row],[id_operacion]],tblEjecucion[id_operacion],tblEjecucion[costo_plan_total],0)-tblOrdenes[[#This Row],[costo_servicio]]))</f>
        <v/>
      </c>
      <c r="AN443" s="18">
        <f>IF(tblOrdenes[[#This Row],[orden]]="","",tblOrdenes[[#This Row],[costo_servicio]]+tblOrdenes[[#This Row],[costo_materiales]])</f>
        <v/>
      </c>
      <c r="AO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5">
        <f>IF(tblOrdenes[[#This Row],[link_checklist]]="","",HYPERLINK(p_ruta_base_checklists&amp;tblOrdenes[[#This Row],[link_checklist]],"abrir"))</f>
        <v/>
      </c>
      <c r="AT443" s="4" t="n"/>
      <c r="AU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5" t="n"/>
      <c r="K444" s="5" t="n"/>
      <c r="L444" s="18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Row],[fecha_inicio]]="","",tblOrdenes[[#This Row],[anio]]&amp;"-"&amp;TEXT(tblOrdenes[[#This Row],[mes]],"00"))</f>
        <v/>
      </c>
      <c r="S444" s="5">
        <f>IF(tblOrdenes[[#This Row],[fecha_inicio]]="","",INDEX(lista_dias,WEEKDAY(tblOrdenes[[#This Row],[fecha_inicio]],2)))</f>
        <v/>
      </c>
      <c r="T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5">
        <f>IF(tblOrdenes[[#This Row],[tipo_ot]]="","",_xlfn.XLOOKUP(tblOrdenes[[#This Row],[tipo_ot]],tblTiposOT[codigo],tblTiposOT[clasificacion],"sin_clasificar"))</f>
        <v/>
      </c>
      <c r="V4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5">
        <f>IF(tblOrdenes[[#This Row],[centro_costo]]="","",_xlfn.XLOOKUP(tblOrdenes[[#This Row],[centro_costo]],tblCECO[codigo],tblCECO[linea],"(sin catálogo)"))</f>
        <v/>
      </c>
      <c r="Y444" s="5">
        <f>IF(tblOrdenes[[#This Row],[centro_costo]]="","",_xlfn.XLOOKUP(tblOrdenes[[#This Row],[centro_costo]],tblCECO[codigo],tblCECO[area],"(sin catálogo)"))</f>
        <v/>
      </c>
      <c r="Z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5">
        <f>IF(tblOrdenes[[#This Row],[centro_costo]]="","",_xlfn.XLOOKUP(tblOrdenes[[#This Row],[centro_costo]],tblCECO[codigo],tblCECO[coordinador],"(sin catálogo)"))</f>
        <v/>
      </c>
      <c r="AB444" s="5">
        <f>IF(tblOrdenes[[#This Row],[puesto_trabajo]]="","",_xlfn.XLOOKUP(tblOrdenes[[#This Row],[puesto_trabajo]],tblPuestos[codigo],tblPuestos[especialidad],"(sin catálogo)"))</f>
        <v/>
      </c>
      <c r="AC444" s="5">
        <f>IF(tblOrdenes[[#This Row],[cod_actividad]]="","",_xlfn.XLOOKUP(tblOrdenes[[#This Row],[cod_actividad]],tblActividades[codigo],tblActividades[descripcion],"(sin catálogo)"))</f>
        <v/>
      </c>
      <c r="AD444" s="23">
        <f>IF(tblOrdenes[[#This Row],[fecha_inicio]]="","",TODAY()-tblOrdenes[[#This Row],[fecha_inicio]])</f>
        <v/>
      </c>
      <c r="AE4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5">
        <f>IF(tblOrdenes[[#This Row],[backlog_habiles]]="","",IF(tblOrdenes[[#This Row],[backlog_habiles]]&lt;0,"FUTURO",IF(tblOrdenes[[#This Row],[backlog_habiles]]&gt;p_dias_backlog_max,"BACKLOG","MES CORRIENTE")))</f>
        <v/>
      </c>
      <c r="AG444" s="5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18">
        <f>IF(tblOrdenes[[#This Row],[orden]]="","",_xlfn.XLOOKUP(tblOrdenes[[#This Row],[id_operacion]],tblEjecucion[id_operacion],tblEjecucion[precio],0))</f>
        <v/>
      </c>
      <c r="AM444" s="18">
        <f>IF(tblOrdenes[[#This Row],[orden]]="","",MAX(0,_xlfn.XLOOKUP(tblOrdenes[[#This Row],[id_operacion]],tblEjecucion[id_operacion],tblEjecucion[costo_plan_total],0)-tblOrdenes[[#This Row],[costo_servicio]]))</f>
        <v/>
      </c>
      <c r="AN444" s="18">
        <f>IF(tblOrdenes[[#This Row],[orden]]="","",tblOrdenes[[#This Row],[costo_servicio]]+tblOrdenes[[#This Row],[costo_materiales]])</f>
        <v/>
      </c>
      <c r="AO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5">
        <f>IF(tblOrdenes[[#This Row],[link_checklist]]="","",HYPERLINK(p_ruta_base_checklists&amp;tblOrdenes[[#This Row],[link_checklist]],"abrir"))</f>
        <v/>
      </c>
      <c r="AT444" s="4" t="n"/>
      <c r="AU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5" t="n"/>
      <c r="K445" s="5" t="n"/>
      <c r="L445" s="18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Row],[fecha_inicio]]="","",tblOrdenes[[#This Row],[anio]]&amp;"-"&amp;TEXT(tblOrdenes[[#This Row],[mes]],"00"))</f>
        <v/>
      </c>
      <c r="S445" s="5">
        <f>IF(tblOrdenes[[#This Row],[fecha_inicio]]="","",INDEX(lista_dias,WEEKDAY(tblOrdenes[[#This Row],[fecha_inicio]],2)))</f>
        <v/>
      </c>
      <c r="T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5">
        <f>IF(tblOrdenes[[#This Row],[tipo_ot]]="","",_xlfn.XLOOKUP(tblOrdenes[[#This Row],[tipo_ot]],tblTiposOT[codigo],tblTiposOT[clasificacion],"sin_clasificar"))</f>
        <v/>
      </c>
      <c r="V4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5">
        <f>IF(tblOrdenes[[#This Row],[centro_costo]]="","",_xlfn.XLOOKUP(tblOrdenes[[#This Row],[centro_costo]],tblCECO[codigo],tblCECO[linea],"(sin catálogo)"))</f>
        <v/>
      </c>
      <c r="Y445" s="5">
        <f>IF(tblOrdenes[[#This Row],[centro_costo]]="","",_xlfn.XLOOKUP(tblOrdenes[[#This Row],[centro_costo]],tblCECO[codigo],tblCECO[area],"(sin catálogo)"))</f>
        <v/>
      </c>
      <c r="Z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5">
        <f>IF(tblOrdenes[[#This Row],[centro_costo]]="","",_xlfn.XLOOKUP(tblOrdenes[[#This Row],[centro_costo]],tblCECO[codigo],tblCECO[coordinador],"(sin catálogo)"))</f>
        <v/>
      </c>
      <c r="AB445" s="5">
        <f>IF(tblOrdenes[[#This Row],[puesto_trabajo]]="","",_xlfn.XLOOKUP(tblOrdenes[[#This Row],[puesto_trabajo]],tblPuestos[codigo],tblPuestos[especialidad],"(sin catálogo)"))</f>
        <v/>
      </c>
      <c r="AC445" s="5">
        <f>IF(tblOrdenes[[#This Row],[cod_actividad]]="","",_xlfn.XLOOKUP(tblOrdenes[[#This Row],[cod_actividad]],tblActividades[codigo],tblActividades[descripcion],"(sin catálogo)"))</f>
        <v/>
      </c>
      <c r="AD445" s="23">
        <f>IF(tblOrdenes[[#This Row],[fecha_inicio]]="","",TODAY()-tblOrdenes[[#This Row],[fecha_inicio]])</f>
        <v/>
      </c>
      <c r="AE4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5">
        <f>IF(tblOrdenes[[#This Row],[backlog_habiles]]="","",IF(tblOrdenes[[#This Row],[backlog_habiles]]&lt;0,"FUTURO",IF(tblOrdenes[[#This Row],[backlog_habiles]]&gt;p_dias_backlog_max,"BACKLOG","MES CORRIENTE")))</f>
        <v/>
      </c>
      <c r="AG445" s="5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18">
        <f>IF(tblOrdenes[[#This Row],[orden]]="","",_xlfn.XLOOKUP(tblOrdenes[[#This Row],[id_operacion]],tblEjecucion[id_operacion],tblEjecucion[precio],0))</f>
        <v/>
      </c>
      <c r="AM445" s="18">
        <f>IF(tblOrdenes[[#This Row],[orden]]="","",MAX(0,_xlfn.XLOOKUP(tblOrdenes[[#This Row],[id_operacion]],tblEjecucion[id_operacion],tblEjecucion[costo_plan_total],0)-tblOrdenes[[#This Row],[costo_servicio]]))</f>
        <v/>
      </c>
      <c r="AN445" s="18">
        <f>IF(tblOrdenes[[#This Row],[orden]]="","",tblOrdenes[[#This Row],[costo_servicio]]+tblOrdenes[[#This Row],[costo_materiales]])</f>
        <v/>
      </c>
      <c r="AO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5">
        <f>IF(tblOrdenes[[#This Row],[link_checklist]]="","",HYPERLINK(p_ruta_base_checklists&amp;tblOrdenes[[#This Row],[link_checklist]],"abrir"))</f>
        <v/>
      </c>
      <c r="AT445" s="4" t="n"/>
      <c r="AU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5" t="n"/>
      <c r="K446" s="5" t="n"/>
      <c r="L446" s="18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Row],[fecha_inicio]]="","",tblOrdenes[[#This Row],[anio]]&amp;"-"&amp;TEXT(tblOrdenes[[#This Row],[mes]],"00"))</f>
        <v/>
      </c>
      <c r="S446" s="5">
        <f>IF(tblOrdenes[[#This Row],[fecha_inicio]]="","",INDEX(lista_dias,WEEKDAY(tblOrdenes[[#This Row],[fecha_inicio]],2)))</f>
        <v/>
      </c>
      <c r="T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5">
        <f>IF(tblOrdenes[[#This Row],[tipo_ot]]="","",_xlfn.XLOOKUP(tblOrdenes[[#This Row],[tipo_ot]],tblTiposOT[codigo],tblTiposOT[clasificacion],"sin_clasificar"))</f>
        <v/>
      </c>
      <c r="V4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5">
        <f>IF(tblOrdenes[[#This Row],[centro_costo]]="","",_xlfn.XLOOKUP(tblOrdenes[[#This Row],[centro_costo]],tblCECO[codigo],tblCECO[linea],"(sin catálogo)"))</f>
        <v/>
      </c>
      <c r="Y446" s="5">
        <f>IF(tblOrdenes[[#This Row],[centro_costo]]="","",_xlfn.XLOOKUP(tblOrdenes[[#This Row],[centro_costo]],tblCECO[codigo],tblCECO[area],"(sin catálogo)"))</f>
        <v/>
      </c>
      <c r="Z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5">
        <f>IF(tblOrdenes[[#This Row],[centro_costo]]="","",_xlfn.XLOOKUP(tblOrdenes[[#This Row],[centro_costo]],tblCECO[codigo],tblCECO[coordinador],"(sin catálogo)"))</f>
        <v/>
      </c>
      <c r="AB446" s="5">
        <f>IF(tblOrdenes[[#This Row],[puesto_trabajo]]="","",_xlfn.XLOOKUP(tblOrdenes[[#This Row],[puesto_trabajo]],tblPuestos[codigo],tblPuestos[especialidad],"(sin catálogo)"))</f>
        <v/>
      </c>
      <c r="AC446" s="5">
        <f>IF(tblOrdenes[[#This Row],[cod_actividad]]="","",_xlfn.XLOOKUP(tblOrdenes[[#This Row],[cod_actividad]],tblActividades[codigo],tblActividades[descripcion],"(sin catálogo)"))</f>
        <v/>
      </c>
      <c r="AD446" s="23">
        <f>IF(tblOrdenes[[#This Row],[fecha_inicio]]="","",TODAY()-tblOrdenes[[#This Row],[fecha_inicio]])</f>
        <v/>
      </c>
      <c r="AE4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5">
        <f>IF(tblOrdenes[[#This Row],[backlog_habiles]]="","",IF(tblOrdenes[[#This Row],[backlog_habiles]]&lt;0,"FUTURO",IF(tblOrdenes[[#This Row],[backlog_habiles]]&gt;p_dias_backlog_max,"BACKLOG","MES CORRIENTE")))</f>
        <v/>
      </c>
      <c r="AG446" s="5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18">
        <f>IF(tblOrdenes[[#This Row],[orden]]="","",_xlfn.XLOOKUP(tblOrdenes[[#This Row],[id_operacion]],tblEjecucion[id_operacion],tblEjecucion[precio],0))</f>
        <v/>
      </c>
      <c r="AM446" s="18">
        <f>IF(tblOrdenes[[#This Row],[orden]]="","",MAX(0,_xlfn.XLOOKUP(tblOrdenes[[#This Row],[id_operacion]],tblEjecucion[id_operacion],tblEjecucion[costo_plan_total],0)-tblOrdenes[[#This Row],[costo_servicio]]))</f>
        <v/>
      </c>
      <c r="AN446" s="18">
        <f>IF(tblOrdenes[[#This Row],[orden]]="","",tblOrdenes[[#This Row],[costo_servicio]]+tblOrdenes[[#This Row],[costo_materiales]])</f>
        <v/>
      </c>
      <c r="AO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5">
        <f>IF(tblOrdenes[[#This Row],[link_checklist]]="","",HYPERLINK(p_ruta_base_checklists&amp;tblOrdenes[[#This Row],[link_checklist]],"abrir"))</f>
        <v/>
      </c>
      <c r="AT446" s="4" t="n"/>
      <c r="AU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5" t="n"/>
      <c r="K447" s="5" t="n"/>
      <c r="L447" s="18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Row],[fecha_inicio]]="","",tblOrdenes[[#This Row],[anio]]&amp;"-"&amp;TEXT(tblOrdenes[[#This Row],[mes]],"00"))</f>
        <v/>
      </c>
      <c r="S447" s="5">
        <f>IF(tblOrdenes[[#This Row],[fecha_inicio]]="","",INDEX(lista_dias,WEEKDAY(tblOrdenes[[#This Row],[fecha_inicio]],2)))</f>
        <v/>
      </c>
      <c r="T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5">
        <f>IF(tblOrdenes[[#This Row],[tipo_ot]]="","",_xlfn.XLOOKUP(tblOrdenes[[#This Row],[tipo_ot]],tblTiposOT[codigo],tblTiposOT[clasificacion],"sin_clasificar"))</f>
        <v/>
      </c>
      <c r="V4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5">
        <f>IF(tblOrdenes[[#This Row],[centro_costo]]="","",_xlfn.XLOOKUP(tblOrdenes[[#This Row],[centro_costo]],tblCECO[codigo],tblCECO[linea],"(sin catálogo)"))</f>
        <v/>
      </c>
      <c r="Y447" s="5">
        <f>IF(tblOrdenes[[#This Row],[centro_costo]]="","",_xlfn.XLOOKUP(tblOrdenes[[#This Row],[centro_costo]],tblCECO[codigo],tblCECO[area],"(sin catálogo)"))</f>
        <v/>
      </c>
      <c r="Z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5">
        <f>IF(tblOrdenes[[#This Row],[centro_costo]]="","",_xlfn.XLOOKUP(tblOrdenes[[#This Row],[centro_costo]],tblCECO[codigo],tblCECO[coordinador],"(sin catálogo)"))</f>
        <v/>
      </c>
      <c r="AB447" s="5">
        <f>IF(tblOrdenes[[#This Row],[puesto_trabajo]]="","",_xlfn.XLOOKUP(tblOrdenes[[#This Row],[puesto_trabajo]],tblPuestos[codigo],tblPuestos[especialidad],"(sin catálogo)"))</f>
        <v/>
      </c>
      <c r="AC447" s="5">
        <f>IF(tblOrdenes[[#This Row],[cod_actividad]]="","",_xlfn.XLOOKUP(tblOrdenes[[#This Row],[cod_actividad]],tblActividades[codigo],tblActividades[descripcion],"(sin catálogo)"))</f>
        <v/>
      </c>
      <c r="AD447" s="23">
        <f>IF(tblOrdenes[[#This Row],[fecha_inicio]]="","",TODAY()-tblOrdenes[[#This Row],[fecha_inicio]])</f>
        <v/>
      </c>
      <c r="AE4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5">
        <f>IF(tblOrdenes[[#This Row],[backlog_habiles]]="","",IF(tblOrdenes[[#This Row],[backlog_habiles]]&lt;0,"FUTURO",IF(tblOrdenes[[#This Row],[backlog_habiles]]&gt;p_dias_backlog_max,"BACKLOG","MES CORRIENTE")))</f>
        <v/>
      </c>
      <c r="AG447" s="5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18">
        <f>IF(tblOrdenes[[#This Row],[orden]]="","",_xlfn.XLOOKUP(tblOrdenes[[#This Row],[id_operacion]],tblEjecucion[id_operacion],tblEjecucion[precio],0))</f>
        <v/>
      </c>
      <c r="AM447" s="18">
        <f>IF(tblOrdenes[[#This Row],[orden]]="","",MAX(0,_xlfn.XLOOKUP(tblOrdenes[[#This Row],[id_operacion]],tblEjecucion[id_operacion],tblEjecucion[costo_plan_total],0)-tblOrdenes[[#This Row],[costo_servicio]]))</f>
        <v/>
      </c>
      <c r="AN447" s="18">
        <f>IF(tblOrdenes[[#This Row],[orden]]="","",tblOrdenes[[#This Row],[costo_servicio]]+tblOrdenes[[#This Row],[costo_materiales]])</f>
        <v/>
      </c>
      <c r="AO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5">
        <f>IF(tblOrdenes[[#This Row],[link_checklist]]="","",HYPERLINK(p_ruta_base_checklists&amp;tblOrdenes[[#This Row],[link_checklist]],"abrir"))</f>
        <v/>
      </c>
      <c r="AT447" s="4" t="n"/>
      <c r="AU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5" t="n"/>
      <c r="K448" s="5" t="n"/>
      <c r="L448" s="18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Row],[fecha_inicio]]="","",tblOrdenes[[#This Row],[anio]]&amp;"-"&amp;TEXT(tblOrdenes[[#This Row],[mes]],"00"))</f>
        <v/>
      </c>
      <c r="S448" s="5">
        <f>IF(tblOrdenes[[#This Row],[fecha_inicio]]="","",INDEX(lista_dias,WEEKDAY(tblOrdenes[[#This Row],[fecha_inicio]],2)))</f>
        <v/>
      </c>
      <c r="T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5">
        <f>IF(tblOrdenes[[#This Row],[tipo_ot]]="","",_xlfn.XLOOKUP(tblOrdenes[[#This Row],[tipo_ot]],tblTiposOT[codigo],tblTiposOT[clasificacion],"sin_clasificar"))</f>
        <v/>
      </c>
      <c r="V4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5">
        <f>IF(tblOrdenes[[#This Row],[centro_costo]]="","",_xlfn.XLOOKUP(tblOrdenes[[#This Row],[centro_costo]],tblCECO[codigo],tblCECO[linea],"(sin catálogo)"))</f>
        <v/>
      </c>
      <c r="Y448" s="5">
        <f>IF(tblOrdenes[[#This Row],[centro_costo]]="","",_xlfn.XLOOKUP(tblOrdenes[[#This Row],[centro_costo]],tblCECO[codigo],tblCECO[area],"(sin catálogo)"))</f>
        <v/>
      </c>
      <c r="Z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5">
        <f>IF(tblOrdenes[[#This Row],[centro_costo]]="","",_xlfn.XLOOKUP(tblOrdenes[[#This Row],[centro_costo]],tblCECO[codigo],tblCECO[coordinador],"(sin catálogo)"))</f>
        <v/>
      </c>
      <c r="AB448" s="5">
        <f>IF(tblOrdenes[[#This Row],[puesto_trabajo]]="","",_xlfn.XLOOKUP(tblOrdenes[[#This Row],[puesto_trabajo]],tblPuestos[codigo],tblPuestos[especialidad],"(sin catálogo)"))</f>
        <v/>
      </c>
      <c r="AC448" s="5">
        <f>IF(tblOrdenes[[#This Row],[cod_actividad]]="","",_xlfn.XLOOKUP(tblOrdenes[[#This Row],[cod_actividad]],tblActividades[codigo],tblActividades[descripcion],"(sin catálogo)"))</f>
        <v/>
      </c>
      <c r="AD448" s="23">
        <f>IF(tblOrdenes[[#This Row],[fecha_inicio]]="","",TODAY()-tblOrdenes[[#This Row],[fecha_inicio]])</f>
        <v/>
      </c>
      <c r="AE4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5">
        <f>IF(tblOrdenes[[#This Row],[backlog_habiles]]="","",IF(tblOrdenes[[#This Row],[backlog_habiles]]&lt;0,"FUTURO",IF(tblOrdenes[[#This Row],[backlog_habiles]]&gt;p_dias_backlog_max,"BACKLOG","MES CORRIENTE")))</f>
        <v/>
      </c>
      <c r="AG448" s="5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18">
        <f>IF(tblOrdenes[[#This Row],[orden]]="","",_xlfn.XLOOKUP(tblOrdenes[[#This Row],[id_operacion]],tblEjecucion[id_operacion],tblEjecucion[precio],0))</f>
        <v/>
      </c>
      <c r="AM448" s="18">
        <f>IF(tblOrdenes[[#This Row],[orden]]="","",MAX(0,_xlfn.XLOOKUP(tblOrdenes[[#This Row],[id_operacion]],tblEjecucion[id_operacion],tblEjecucion[costo_plan_total],0)-tblOrdenes[[#This Row],[costo_servicio]]))</f>
        <v/>
      </c>
      <c r="AN448" s="18">
        <f>IF(tblOrdenes[[#This Row],[orden]]="","",tblOrdenes[[#This Row],[costo_servicio]]+tblOrdenes[[#This Row],[costo_materiales]])</f>
        <v/>
      </c>
      <c r="AO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5">
        <f>IF(tblOrdenes[[#This Row],[link_checklist]]="","",HYPERLINK(p_ruta_base_checklists&amp;tblOrdenes[[#This Row],[link_checklist]],"abrir"))</f>
        <v/>
      </c>
      <c r="AT448" s="4" t="n"/>
      <c r="AU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5" t="n"/>
      <c r="K449" s="5" t="n"/>
      <c r="L449" s="18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Row],[fecha_inicio]]="","",tblOrdenes[[#This Row],[anio]]&amp;"-"&amp;TEXT(tblOrdenes[[#This Row],[mes]],"00"))</f>
        <v/>
      </c>
      <c r="S449" s="5">
        <f>IF(tblOrdenes[[#This Row],[fecha_inicio]]="","",INDEX(lista_dias,WEEKDAY(tblOrdenes[[#This Row],[fecha_inicio]],2)))</f>
        <v/>
      </c>
      <c r="T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5">
        <f>IF(tblOrdenes[[#This Row],[tipo_ot]]="","",_xlfn.XLOOKUP(tblOrdenes[[#This Row],[tipo_ot]],tblTiposOT[codigo],tblTiposOT[clasificacion],"sin_clasificar"))</f>
        <v/>
      </c>
      <c r="V4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5">
        <f>IF(tblOrdenes[[#This Row],[centro_costo]]="","",_xlfn.XLOOKUP(tblOrdenes[[#This Row],[centro_costo]],tblCECO[codigo],tblCECO[linea],"(sin catálogo)"))</f>
        <v/>
      </c>
      <c r="Y449" s="5">
        <f>IF(tblOrdenes[[#This Row],[centro_costo]]="","",_xlfn.XLOOKUP(tblOrdenes[[#This Row],[centro_costo]],tblCECO[codigo],tblCECO[area],"(sin catálogo)"))</f>
        <v/>
      </c>
      <c r="Z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5">
        <f>IF(tblOrdenes[[#This Row],[centro_costo]]="","",_xlfn.XLOOKUP(tblOrdenes[[#This Row],[centro_costo]],tblCECO[codigo],tblCECO[coordinador],"(sin catálogo)"))</f>
        <v/>
      </c>
      <c r="AB449" s="5">
        <f>IF(tblOrdenes[[#This Row],[puesto_trabajo]]="","",_xlfn.XLOOKUP(tblOrdenes[[#This Row],[puesto_trabajo]],tblPuestos[codigo],tblPuestos[especialidad],"(sin catálogo)"))</f>
        <v/>
      </c>
      <c r="AC449" s="5">
        <f>IF(tblOrdenes[[#This Row],[cod_actividad]]="","",_xlfn.XLOOKUP(tblOrdenes[[#This Row],[cod_actividad]],tblActividades[codigo],tblActividades[descripcion],"(sin catálogo)"))</f>
        <v/>
      </c>
      <c r="AD449" s="23">
        <f>IF(tblOrdenes[[#This Row],[fecha_inicio]]="","",TODAY()-tblOrdenes[[#This Row],[fecha_inicio]])</f>
        <v/>
      </c>
      <c r="AE4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5">
        <f>IF(tblOrdenes[[#This Row],[backlog_habiles]]="","",IF(tblOrdenes[[#This Row],[backlog_habiles]]&lt;0,"FUTURO",IF(tblOrdenes[[#This Row],[backlog_habiles]]&gt;p_dias_backlog_max,"BACKLOG","MES CORRIENTE")))</f>
        <v/>
      </c>
      <c r="AG449" s="5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18">
        <f>IF(tblOrdenes[[#This Row],[orden]]="","",_xlfn.XLOOKUP(tblOrdenes[[#This Row],[id_operacion]],tblEjecucion[id_operacion],tblEjecucion[precio],0))</f>
        <v/>
      </c>
      <c r="AM449" s="18">
        <f>IF(tblOrdenes[[#This Row],[orden]]="","",MAX(0,_xlfn.XLOOKUP(tblOrdenes[[#This Row],[id_operacion]],tblEjecucion[id_operacion],tblEjecucion[costo_plan_total],0)-tblOrdenes[[#This Row],[costo_servicio]]))</f>
        <v/>
      </c>
      <c r="AN449" s="18">
        <f>IF(tblOrdenes[[#This Row],[orden]]="","",tblOrdenes[[#This Row],[costo_servicio]]+tblOrdenes[[#This Row],[costo_materiales]])</f>
        <v/>
      </c>
      <c r="AO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5">
        <f>IF(tblOrdenes[[#This Row],[link_checklist]]="","",HYPERLINK(p_ruta_base_checklists&amp;tblOrdenes[[#This Row],[link_checklist]],"abrir"))</f>
        <v/>
      </c>
      <c r="AT449" s="4" t="n"/>
      <c r="AU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5" t="n"/>
      <c r="K450" s="5" t="n"/>
      <c r="L450" s="18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Row],[fecha_inicio]]="","",tblOrdenes[[#This Row],[anio]]&amp;"-"&amp;TEXT(tblOrdenes[[#This Row],[mes]],"00"))</f>
        <v/>
      </c>
      <c r="S450" s="5">
        <f>IF(tblOrdenes[[#This Row],[fecha_inicio]]="","",INDEX(lista_dias,WEEKDAY(tblOrdenes[[#This Row],[fecha_inicio]],2)))</f>
        <v/>
      </c>
      <c r="T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5">
        <f>IF(tblOrdenes[[#This Row],[tipo_ot]]="","",_xlfn.XLOOKUP(tblOrdenes[[#This Row],[tipo_ot]],tblTiposOT[codigo],tblTiposOT[clasificacion],"sin_clasificar"))</f>
        <v/>
      </c>
      <c r="V4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5">
        <f>IF(tblOrdenes[[#This Row],[centro_costo]]="","",_xlfn.XLOOKUP(tblOrdenes[[#This Row],[centro_costo]],tblCECO[codigo],tblCECO[linea],"(sin catálogo)"))</f>
        <v/>
      </c>
      <c r="Y450" s="5">
        <f>IF(tblOrdenes[[#This Row],[centro_costo]]="","",_xlfn.XLOOKUP(tblOrdenes[[#This Row],[centro_costo]],tblCECO[codigo],tblCECO[area],"(sin catálogo)"))</f>
        <v/>
      </c>
      <c r="Z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5">
        <f>IF(tblOrdenes[[#This Row],[centro_costo]]="","",_xlfn.XLOOKUP(tblOrdenes[[#This Row],[centro_costo]],tblCECO[codigo],tblCECO[coordinador],"(sin catálogo)"))</f>
        <v/>
      </c>
      <c r="AB450" s="5">
        <f>IF(tblOrdenes[[#This Row],[puesto_trabajo]]="","",_xlfn.XLOOKUP(tblOrdenes[[#This Row],[puesto_trabajo]],tblPuestos[codigo],tblPuestos[especialidad],"(sin catálogo)"))</f>
        <v/>
      </c>
      <c r="AC450" s="5">
        <f>IF(tblOrdenes[[#This Row],[cod_actividad]]="","",_xlfn.XLOOKUP(tblOrdenes[[#This Row],[cod_actividad]],tblActividades[codigo],tblActividades[descripcion],"(sin catálogo)"))</f>
        <v/>
      </c>
      <c r="AD450" s="23">
        <f>IF(tblOrdenes[[#This Row],[fecha_inicio]]="","",TODAY()-tblOrdenes[[#This Row],[fecha_inicio]])</f>
        <v/>
      </c>
      <c r="AE4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5">
        <f>IF(tblOrdenes[[#This Row],[backlog_habiles]]="","",IF(tblOrdenes[[#This Row],[backlog_habiles]]&lt;0,"FUTURO",IF(tblOrdenes[[#This Row],[backlog_habiles]]&gt;p_dias_backlog_max,"BACKLOG","MES CORRIENTE")))</f>
        <v/>
      </c>
      <c r="AG450" s="5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18">
        <f>IF(tblOrdenes[[#This Row],[orden]]="","",_xlfn.XLOOKUP(tblOrdenes[[#This Row],[id_operacion]],tblEjecucion[id_operacion],tblEjecucion[precio],0))</f>
        <v/>
      </c>
      <c r="AM450" s="18">
        <f>IF(tblOrdenes[[#This Row],[orden]]="","",MAX(0,_xlfn.XLOOKUP(tblOrdenes[[#This Row],[id_operacion]],tblEjecucion[id_operacion],tblEjecucion[costo_plan_total],0)-tblOrdenes[[#This Row],[costo_servicio]]))</f>
        <v/>
      </c>
      <c r="AN450" s="18">
        <f>IF(tblOrdenes[[#This Row],[orden]]="","",tblOrdenes[[#This Row],[costo_servicio]]+tblOrdenes[[#This Row],[costo_materiales]])</f>
        <v/>
      </c>
      <c r="AO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5">
        <f>IF(tblOrdenes[[#This Row],[link_checklist]]="","",HYPERLINK(p_ruta_base_checklists&amp;tblOrdenes[[#This Row],[link_checklist]],"abrir"))</f>
        <v/>
      </c>
      <c r="AT450" s="4" t="n"/>
      <c r="AU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5" t="n"/>
      <c r="K451" s="5" t="n"/>
      <c r="L451" s="18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Row],[fecha_inicio]]="","",tblOrdenes[[#This Row],[anio]]&amp;"-"&amp;TEXT(tblOrdenes[[#This Row],[mes]],"00"))</f>
        <v/>
      </c>
      <c r="S451" s="5">
        <f>IF(tblOrdenes[[#This Row],[fecha_inicio]]="","",INDEX(lista_dias,WEEKDAY(tblOrdenes[[#This Row],[fecha_inicio]],2)))</f>
        <v/>
      </c>
      <c r="T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5">
        <f>IF(tblOrdenes[[#This Row],[tipo_ot]]="","",_xlfn.XLOOKUP(tblOrdenes[[#This Row],[tipo_ot]],tblTiposOT[codigo],tblTiposOT[clasificacion],"sin_clasificar"))</f>
        <v/>
      </c>
      <c r="V4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5">
        <f>IF(tblOrdenes[[#This Row],[centro_costo]]="","",_xlfn.XLOOKUP(tblOrdenes[[#This Row],[centro_costo]],tblCECO[codigo],tblCECO[linea],"(sin catálogo)"))</f>
        <v/>
      </c>
      <c r="Y451" s="5">
        <f>IF(tblOrdenes[[#This Row],[centro_costo]]="","",_xlfn.XLOOKUP(tblOrdenes[[#This Row],[centro_costo]],tblCECO[codigo],tblCECO[area],"(sin catálogo)"))</f>
        <v/>
      </c>
      <c r="Z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5">
        <f>IF(tblOrdenes[[#This Row],[centro_costo]]="","",_xlfn.XLOOKUP(tblOrdenes[[#This Row],[centro_costo]],tblCECO[codigo],tblCECO[coordinador],"(sin catálogo)"))</f>
        <v/>
      </c>
      <c r="AB451" s="5">
        <f>IF(tblOrdenes[[#This Row],[puesto_trabajo]]="","",_xlfn.XLOOKUP(tblOrdenes[[#This Row],[puesto_trabajo]],tblPuestos[codigo],tblPuestos[especialidad],"(sin catálogo)"))</f>
        <v/>
      </c>
      <c r="AC451" s="5">
        <f>IF(tblOrdenes[[#This Row],[cod_actividad]]="","",_xlfn.XLOOKUP(tblOrdenes[[#This Row],[cod_actividad]],tblActividades[codigo],tblActividades[descripcion],"(sin catálogo)"))</f>
        <v/>
      </c>
      <c r="AD451" s="23">
        <f>IF(tblOrdenes[[#This Row],[fecha_inicio]]="","",TODAY()-tblOrdenes[[#This Row],[fecha_inicio]])</f>
        <v/>
      </c>
      <c r="AE4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5">
        <f>IF(tblOrdenes[[#This Row],[backlog_habiles]]="","",IF(tblOrdenes[[#This Row],[backlog_habiles]]&lt;0,"FUTURO",IF(tblOrdenes[[#This Row],[backlog_habiles]]&gt;p_dias_backlog_max,"BACKLOG","MES CORRIENTE")))</f>
        <v/>
      </c>
      <c r="AG451" s="5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18">
        <f>IF(tblOrdenes[[#This Row],[orden]]="","",_xlfn.XLOOKUP(tblOrdenes[[#This Row],[id_operacion]],tblEjecucion[id_operacion],tblEjecucion[precio],0))</f>
        <v/>
      </c>
      <c r="AM451" s="18">
        <f>IF(tblOrdenes[[#This Row],[orden]]="","",MAX(0,_xlfn.XLOOKUP(tblOrdenes[[#This Row],[id_operacion]],tblEjecucion[id_operacion],tblEjecucion[costo_plan_total],0)-tblOrdenes[[#This Row],[costo_servicio]]))</f>
        <v/>
      </c>
      <c r="AN451" s="18">
        <f>IF(tblOrdenes[[#This Row],[orden]]="","",tblOrdenes[[#This Row],[costo_servicio]]+tblOrdenes[[#This Row],[costo_materiales]])</f>
        <v/>
      </c>
      <c r="AO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5">
        <f>IF(tblOrdenes[[#This Row],[link_checklist]]="","",HYPERLINK(p_ruta_base_checklists&amp;tblOrdenes[[#This Row],[link_checklist]],"abrir"))</f>
        <v/>
      </c>
      <c r="AT451" s="4" t="n"/>
      <c r="AU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5" t="n"/>
      <c r="K452" s="5" t="n"/>
      <c r="L452" s="18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Row],[fecha_inicio]]="","",tblOrdenes[[#This Row],[anio]]&amp;"-"&amp;TEXT(tblOrdenes[[#This Row],[mes]],"00"))</f>
        <v/>
      </c>
      <c r="S452" s="5">
        <f>IF(tblOrdenes[[#This Row],[fecha_inicio]]="","",INDEX(lista_dias,WEEKDAY(tblOrdenes[[#This Row],[fecha_inicio]],2)))</f>
        <v/>
      </c>
      <c r="T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5">
        <f>IF(tblOrdenes[[#This Row],[tipo_ot]]="","",_xlfn.XLOOKUP(tblOrdenes[[#This Row],[tipo_ot]],tblTiposOT[codigo],tblTiposOT[clasificacion],"sin_clasificar"))</f>
        <v/>
      </c>
      <c r="V4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5">
        <f>IF(tblOrdenes[[#This Row],[centro_costo]]="","",_xlfn.XLOOKUP(tblOrdenes[[#This Row],[centro_costo]],tblCECO[codigo],tblCECO[linea],"(sin catálogo)"))</f>
        <v/>
      </c>
      <c r="Y452" s="5">
        <f>IF(tblOrdenes[[#This Row],[centro_costo]]="","",_xlfn.XLOOKUP(tblOrdenes[[#This Row],[centro_costo]],tblCECO[codigo],tblCECO[area],"(sin catálogo)"))</f>
        <v/>
      </c>
      <c r="Z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5">
        <f>IF(tblOrdenes[[#This Row],[centro_costo]]="","",_xlfn.XLOOKUP(tblOrdenes[[#This Row],[centro_costo]],tblCECO[codigo],tblCECO[coordinador],"(sin catálogo)"))</f>
        <v/>
      </c>
      <c r="AB452" s="5">
        <f>IF(tblOrdenes[[#This Row],[puesto_trabajo]]="","",_xlfn.XLOOKUP(tblOrdenes[[#This Row],[puesto_trabajo]],tblPuestos[codigo],tblPuestos[especialidad],"(sin catálogo)"))</f>
        <v/>
      </c>
      <c r="AC452" s="5">
        <f>IF(tblOrdenes[[#This Row],[cod_actividad]]="","",_xlfn.XLOOKUP(tblOrdenes[[#This Row],[cod_actividad]],tblActividades[codigo],tblActividades[descripcion],"(sin catálogo)"))</f>
        <v/>
      </c>
      <c r="AD452" s="23">
        <f>IF(tblOrdenes[[#This Row],[fecha_inicio]]="","",TODAY()-tblOrdenes[[#This Row],[fecha_inicio]])</f>
        <v/>
      </c>
      <c r="AE4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5">
        <f>IF(tblOrdenes[[#This Row],[backlog_habiles]]="","",IF(tblOrdenes[[#This Row],[backlog_habiles]]&lt;0,"FUTURO",IF(tblOrdenes[[#This Row],[backlog_habiles]]&gt;p_dias_backlog_max,"BACKLOG","MES CORRIENTE")))</f>
        <v/>
      </c>
      <c r="AG452" s="5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18">
        <f>IF(tblOrdenes[[#This Row],[orden]]="","",_xlfn.XLOOKUP(tblOrdenes[[#This Row],[id_operacion]],tblEjecucion[id_operacion],tblEjecucion[precio],0))</f>
        <v/>
      </c>
      <c r="AM452" s="18">
        <f>IF(tblOrdenes[[#This Row],[orden]]="","",MAX(0,_xlfn.XLOOKUP(tblOrdenes[[#This Row],[id_operacion]],tblEjecucion[id_operacion],tblEjecucion[costo_plan_total],0)-tblOrdenes[[#This Row],[costo_servicio]]))</f>
        <v/>
      </c>
      <c r="AN452" s="18">
        <f>IF(tblOrdenes[[#This Row],[orden]]="","",tblOrdenes[[#This Row],[costo_servicio]]+tblOrdenes[[#This Row],[costo_materiales]])</f>
        <v/>
      </c>
      <c r="AO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5">
        <f>IF(tblOrdenes[[#This Row],[link_checklist]]="","",HYPERLINK(p_ruta_base_checklists&amp;tblOrdenes[[#This Row],[link_checklist]],"abrir"))</f>
        <v/>
      </c>
      <c r="AT452" s="4" t="n"/>
      <c r="AU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5" t="n"/>
      <c r="K453" s="5" t="n"/>
      <c r="L453" s="18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Row],[fecha_inicio]]="","",tblOrdenes[[#This Row],[anio]]&amp;"-"&amp;TEXT(tblOrdenes[[#This Row],[mes]],"00"))</f>
        <v/>
      </c>
      <c r="S453" s="5">
        <f>IF(tblOrdenes[[#This Row],[fecha_inicio]]="","",INDEX(lista_dias,WEEKDAY(tblOrdenes[[#This Row],[fecha_inicio]],2)))</f>
        <v/>
      </c>
      <c r="T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5">
        <f>IF(tblOrdenes[[#This Row],[tipo_ot]]="","",_xlfn.XLOOKUP(tblOrdenes[[#This Row],[tipo_ot]],tblTiposOT[codigo],tblTiposOT[clasificacion],"sin_clasificar"))</f>
        <v/>
      </c>
      <c r="V4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5">
        <f>IF(tblOrdenes[[#This Row],[centro_costo]]="","",_xlfn.XLOOKUP(tblOrdenes[[#This Row],[centro_costo]],tblCECO[codigo],tblCECO[linea],"(sin catálogo)"))</f>
        <v/>
      </c>
      <c r="Y453" s="5">
        <f>IF(tblOrdenes[[#This Row],[centro_costo]]="","",_xlfn.XLOOKUP(tblOrdenes[[#This Row],[centro_costo]],tblCECO[codigo],tblCECO[area],"(sin catálogo)"))</f>
        <v/>
      </c>
      <c r="Z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5">
        <f>IF(tblOrdenes[[#This Row],[centro_costo]]="","",_xlfn.XLOOKUP(tblOrdenes[[#This Row],[centro_costo]],tblCECO[codigo],tblCECO[coordinador],"(sin catálogo)"))</f>
        <v/>
      </c>
      <c r="AB453" s="5">
        <f>IF(tblOrdenes[[#This Row],[puesto_trabajo]]="","",_xlfn.XLOOKUP(tblOrdenes[[#This Row],[puesto_trabajo]],tblPuestos[codigo],tblPuestos[especialidad],"(sin catálogo)"))</f>
        <v/>
      </c>
      <c r="AC453" s="5">
        <f>IF(tblOrdenes[[#This Row],[cod_actividad]]="","",_xlfn.XLOOKUP(tblOrdenes[[#This Row],[cod_actividad]],tblActividades[codigo],tblActividades[descripcion],"(sin catálogo)"))</f>
        <v/>
      </c>
      <c r="AD453" s="23">
        <f>IF(tblOrdenes[[#This Row],[fecha_inicio]]="","",TODAY()-tblOrdenes[[#This Row],[fecha_inicio]])</f>
        <v/>
      </c>
      <c r="AE4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5">
        <f>IF(tblOrdenes[[#This Row],[backlog_habiles]]="","",IF(tblOrdenes[[#This Row],[backlog_habiles]]&lt;0,"FUTURO",IF(tblOrdenes[[#This Row],[backlog_habiles]]&gt;p_dias_backlog_max,"BACKLOG","MES CORRIENTE")))</f>
        <v/>
      </c>
      <c r="AG453" s="5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18">
        <f>IF(tblOrdenes[[#This Row],[orden]]="","",_xlfn.XLOOKUP(tblOrdenes[[#This Row],[id_operacion]],tblEjecucion[id_operacion],tblEjecucion[precio],0))</f>
        <v/>
      </c>
      <c r="AM453" s="18">
        <f>IF(tblOrdenes[[#This Row],[orden]]="","",MAX(0,_xlfn.XLOOKUP(tblOrdenes[[#This Row],[id_operacion]],tblEjecucion[id_operacion],tblEjecucion[costo_plan_total],0)-tblOrdenes[[#This Row],[costo_servicio]]))</f>
        <v/>
      </c>
      <c r="AN453" s="18">
        <f>IF(tblOrdenes[[#This Row],[orden]]="","",tblOrdenes[[#This Row],[costo_servicio]]+tblOrdenes[[#This Row],[costo_materiales]])</f>
        <v/>
      </c>
      <c r="AO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5">
        <f>IF(tblOrdenes[[#This Row],[link_checklist]]="","",HYPERLINK(p_ruta_base_checklists&amp;tblOrdenes[[#This Row],[link_checklist]],"abrir"))</f>
        <v/>
      </c>
      <c r="AT453" s="4" t="n"/>
      <c r="AU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5" t="n"/>
      <c r="K454" s="5" t="n"/>
      <c r="L454" s="18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Row],[fecha_inicio]]="","",tblOrdenes[[#This Row],[anio]]&amp;"-"&amp;TEXT(tblOrdenes[[#This Row],[mes]],"00"))</f>
        <v/>
      </c>
      <c r="S454" s="5">
        <f>IF(tblOrdenes[[#This Row],[fecha_inicio]]="","",INDEX(lista_dias,WEEKDAY(tblOrdenes[[#This Row],[fecha_inicio]],2)))</f>
        <v/>
      </c>
      <c r="T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5">
        <f>IF(tblOrdenes[[#This Row],[tipo_ot]]="","",_xlfn.XLOOKUP(tblOrdenes[[#This Row],[tipo_ot]],tblTiposOT[codigo],tblTiposOT[clasificacion],"sin_clasificar"))</f>
        <v/>
      </c>
      <c r="V4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5">
        <f>IF(tblOrdenes[[#This Row],[centro_costo]]="","",_xlfn.XLOOKUP(tblOrdenes[[#This Row],[centro_costo]],tblCECO[codigo],tblCECO[linea],"(sin catálogo)"))</f>
        <v/>
      </c>
      <c r="Y454" s="5">
        <f>IF(tblOrdenes[[#This Row],[centro_costo]]="","",_xlfn.XLOOKUP(tblOrdenes[[#This Row],[centro_costo]],tblCECO[codigo],tblCECO[area],"(sin catálogo)"))</f>
        <v/>
      </c>
      <c r="Z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5">
        <f>IF(tblOrdenes[[#This Row],[centro_costo]]="","",_xlfn.XLOOKUP(tblOrdenes[[#This Row],[centro_costo]],tblCECO[codigo],tblCECO[coordinador],"(sin catálogo)"))</f>
        <v/>
      </c>
      <c r="AB454" s="5">
        <f>IF(tblOrdenes[[#This Row],[puesto_trabajo]]="","",_xlfn.XLOOKUP(tblOrdenes[[#This Row],[puesto_trabajo]],tblPuestos[codigo],tblPuestos[especialidad],"(sin catálogo)"))</f>
        <v/>
      </c>
      <c r="AC454" s="5">
        <f>IF(tblOrdenes[[#This Row],[cod_actividad]]="","",_xlfn.XLOOKUP(tblOrdenes[[#This Row],[cod_actividad]],tblActividades[codigo],tblActividades[descripcion],"(sin catálogo)"))</f>
        <v/>
      </c>
      <c r="AD454" s="23">
        <f>IF(tblOrdenes[[#This Row],[fecha_inicio]]="","",TODAY()-tblOrdenes[[#This Row],[fecha_inicio]])</f>
        <v/>
      </c>
      <c r="AE4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5">
        <f>IF(tblOrdenes[[#This Row],[backlog_habiles]]="","",IF(tblOrdenes[[#This Row],[backlog_habiles]]&lt;0,"FUTURO",IF(tblOrdenes[[#This Row],[backlog_habiles]]&gt;p_dias_backlog_max,"BACKLOG","MES CORRIENTE")))</f>
        <v/>
      </c>
      <c r="AG454" s="5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18">
        <f>IF(tblOrdenes[[#This Row],[orden]]="","",_xlfn.XLOOKUP(tblOrdenes[[#This Row],[id_operacion]],tblEjecucion[id_operacion],tblEjecucion[precio],0))</f>
        <v/>
      </c>
      <c r="AM454" s="18">
        <f>IF(tblOrdenes[[#This Row],[orden]]="","",MAX(0,_xlfn.XLOOKUP(tblOrdenes[[#This Row],[id_operacion]],tblEjecucion[id_operacion],tblEjecucion[costo_plan_total],0)-tblOrdenes[[#This Row],[costo_servicio]]))</f>
        <v/>
      </c>
      <c r="AN454" s="18">
        <f>IF(tblOrdenes[[#This Row],[orden]]="","",tblOrdenes[[#This Row],[costo_servicio]]+tblOrdenes[[#This Row],[costo_materiales]])</f>
        <v/>
      </c>
      <c r="AO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5">
        <f>IF(tblOrdenes[[#This Row],[link_checklist]]="","",HYPERLINK(p_ruta_base_checklists&amp;tblOrdenes[[#This Row],[link_checklist]],"abrir"))</f>
        <v/>
      </c>
      <c r="AT454" s="4" t="n"/>
      <c r="AU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5" t="n"/>
      <c r="K455" s="5" t="n"/>
      <c r="L455" s="18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Row],[fecha_inicio]]="","",tblOrdenes[[#This Row],[anio]]&amp;"-"&amp;TEXT(tblOrdenes[[#This Row],[mes]],"00"))</f>
        <v/>
      </c>
      <c r="S455" s="5">
        <f>IF(tblOrdenes[[#This Row],[fecha_inicio]]="","",INDEX(lista_dias,WEEKDAY(tblOrdenes[[#This Row],[fecha_inicio]],2)))</f>
        <v/>
      </c>
      <c r="T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5">
        <f>IF(tblOrdenes[[#This Row],[tipo_ot]]="","",_xlfn.XLOOKUP(tblOrdenes[[#This Row],[tipo_ot]],tblTiposOT[codigo],tblTiposOT[clasificacion],"sin_clasificar"))</f>
        <v/>
      </c>
      <c r="V4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5">
        <f>IF(tblOrdenes[[#This Row],[centro_costo]]="","",_xlfn.XLOOKUP(tblOrdenes[[#This Row],[centro_costo]],tblCECO[codigo],tblCECO[linea],"(sin catálogo)"))</f>
        <v/>
      </c>
      <c r="Y455" s="5">
        <f>IF(tblOrdenes[[#This Row],[centro_costo]]="","",_xlfn.XLOOKUP(tblOrdenes[[#This Row],[centro_costo]],tblCECO[codigo],tblCECO[area],"(sin catálogo)"))</f>
        <v/>
      </c>
      <c r="Z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5">
        <f>IF(tblOrdenes[[#This Row],[centro_costo]]="","",_xlfn.XLOOKUP(tblOrdenes[[#This Row],[centro_costo]],tblCECO[codigo],tblCECO[coordinador],"(sin catálogo)"))</f>
        <v/>
      </c>
      <c r="AB455" s="5">
        <f>IF(tblOrdenes[[#This Row],[puesto_trabajo]]="","",_xlfn.XLOOKUP(tblOrdenes[[#This Row],[puesto_trabajo]],tblPuestos[codigo],tblPuestos[especialidad],"(sin catálogo)"))</f>
        <v/>
      </c>
      <c r="AC455" s="5">
        <f>IF(tblOrdenes[[#This Row],[cod_actividad]]="","",_xlfn.XLOOKUP(tblOrdenes[[#This Row],[cod_actividad]],tblActividades[codigo],tblActividades[descripcion],"(sin catálogo)"))</f>
        <v/>
      </c>
      <c r="AD455" s="23">
        <f>IF(tblOrdenes[[#This Row],[fecha_inicio]]="","",TODAY()-tblOrdenes[[#This Row],[fecha_inicio]])</f>
        <v/>
      </c>
      <c r="AE4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5">
        <f>IF(tblOrdenes[[#This Row],[backlog_habiles]]="","",IF(tblOrdenes[[#This Row],[backlog_habiles]]&lt;0,"FUTURO",IF(tblOrdenes[[#This Row],[backlog_habiles]]&gt;p_dias_backlog_max,"BACKLOG","MES CORRIENTE")))</f>
        <v/>
      </c>
      <c r="AG455" s="5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18">
        <f>IF(tblOrdenes[[#This Row],[orden]]="","",_xlfn.XLOOKUP(tblOrdenes[[#This Row],[id_operacion]],tblEjecucion[id_operacion],tblEjecucion[precio],0))</f>
        <v/>
      </c>
      <c r="AM455" s="18">
        <f>IF(tblOrdenes[[#This Row],[orden]]="","",MAX(0,_xlfn.XLOOKUP(tblOrdenes[[#This Row],[id_operacion]],tblEjecucion[id_operacion],tblEjecucion[costo_plan_total],0)-tblOrdenes[[#This Row],[costo_servicio]]))</f>
        <v/>
      </c>
      <c r="AN455" s="18">
        <f>IF(tblOrdenes[[#This Row],[orden]]="","",tblOrdenes[[#This Row],[costo_servicio]]+tblOrdenes[[#This Row],[costo_materiales]])</f>
        <v/>
      </c>
      <c r="AO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5">
        <f>IF(tblOrdenes[[#This Row],[link_checklist]]="","",HYPERLINK(p_ruta_base_checklists&amp;tblOrdenes[[#This Row],[link_checklist]],"abrir"))</f>
        <v/>
      </c>
      <c r="AT455" s="4" t="n"/>
      <c r="AU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5" t="n"/>
      <c r="K456" s="5" t="n"/>
      <c r="L456" s="18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Row],[fecha_inicio]]="","",tblOrdenes[[#This Row],[anio]]&amp;"-"&amp;TEXT(tblOrdenes[[#This Row],[mes]],"00"))</f>
        <v/>
      </c>
      <c r="S456" s="5">
        <f>IF(tblOrdenes[[#This Row],[fecha_inicio]]="","",INDEX(lista_dias,WEEKDAY(tblOrdenes[[#This Row],[fecha_inicio]],2)))</f>
        <v/>
      </c>
      <c r="T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5">
        <f>IF(tblOrdenes[[#This Row],[tipo_ot]]="","",_xlfn.XLOOKUP(tblOrdenes[[#This Row],[tipo_ot]],tblTiposOT[codigo],tblTiposOT[clasificacion],"sin_clasificar"))</f>
        <v/>
      </c>
      <c r="V4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5">
        <f>IF(tblOrdenes[[#This Row],[centro_costo]]="","",_xlfn.XLOOKUP(tblOrdenes[[#This Row],[centro_costo]],tblCECO[codigo],tblCECO[linea],"(sin catálogo)"))</f>
        <v/>
      </c>
      <c r="Y456" s="5">
        <f>IF(tblOrdenes[[#This Row],[centro_costo]]="","",_xlfn.XLOOKUP(tblOrdenes[[#This Row],[centro_costo]],tblCECO[codigo],tblCECO[area],"(sin catálogo)"))</f>
        <v/>
      </c>
      <c r="Z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5">
        <f>IF(tblOrdenes[[#This Row],[centro_costo]]="","",_xlfn.XLOOKUP(tblOrdenes[[#This Row],[centro_costo]],tblCECO[codigo],tblCECO[coordinador],"(sin catálogo)"))</f>
        <v/>
      </c>
      <c r="AB456" s="5">
        <f>IF(tblOrdenes[[#This Row],[puesto_trabajo]]="","",_xlfn.XLOOKUP(tblOrdenes[[#This Row],[puesto_trabajo]],tblPuestos[codigo],tblPuestos[especialidad],"(sin catálogo)"))</f>
        <v/>
      </c>
      <c r="AC456" s="5">
        <f>IF(tblOrdenes[[#This Row],[cod_actividad]]="","",_xlfn.XLOOKUP(tblOrdenes[[#This Row],[cod_actividad]],tblActividades[codigo],tblActividades[descripcion],"(sin catálogo)"))</f>
        <v/>
      </c>
      <c r="AD456" s="23">
        <f>IF(tblOrdenes[[#This Row],[fecha_inicio]]="","",TODAY()-tblOrdenes[[#This Row],[fecha_inicio]])</f>
        <v/>
      </c>
      <c r="AE4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5">
        <f>IF(tblOrdenes[[#This Row],[backlog_habiles]]="","",IF(tblOrdenes[[#This Row],[backlog_habiles]]&lt;0,"FUTURO",IF(tblOrdenes[[#This Row],[backlog_habiles]]&gt;p_dias_backlog_max,"BACKLOG","MES CORRIENTE")))</f>
        <v/>
      </c>
      <c r="AG456" s="5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18">
        <f>IF(tblOrdenes[[#This Row],[orden]]="","",_xlfn.XLOOKUP(tblOrdenes[[#This Row],[id_operacion]],tblEjecucion[id_operacion],tblEjecucion[precio],0))</f>
        <v/>
      </c>
      <c r="AM456" s="18">
        <f>IF(tblOrdenes[[#This Row],[orden]]="","",MAX(0,_xlfn.XLOOKUP(tblOrdenes[[#This Row],[id_operacion]],tblEjecucion[id_operacion],tblEjecucion[costo_plan_total],0)-tblOrdenes[[#This Row],[costo_servicio]]))</f>
        <v/>
      </c>
      <c r="AN456" s="18">
        <f>IF(tblOrdenes[[#This Row],[orden]]="","",tblOrdenes[[#This Row],[costo_servicio]]+tblOrdenes[[#This Row],[costo_materiales]])</f>
        <v/>
      </c>
      <c r="AO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5">
        <f>IF(tblOrdenes[[#This Row],[link_checklist]]="","",HYPERLINK(p_ruta_base_checklists&amp;tblOrdenes[[#This Row],[link_checklist]],"abrir"))</f>
        <v/>
      </c>
      <c r="AT456" s="4" t="n"/>
      <c r="AU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5" t="n"/>
      <c r="K457" s="5" t="n"/>
      <c r="L457" s="18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Row],[fecha_inicio]]="","",tblOrdenes[[#This Row],[anio]]&amp;"-"&amp;TEXT(tblOrdenes[[#This Row],[mes]],"00"))</f>
        <v/>
      </c>
      <c r="S457" s="5">
        <f>IF(tblOrdenes[[#This Row],[fecha_inicio]]="","",INDEX(lista_dias,WEEKDAY(tblOrdenes[[#This Row],[fecha_inicio]],2)))</f>
        <v/>
      </c>
      <c r="T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5">
        <f>IF(tblOrdenes[[#This Row],[tipo_ot]]="","",_xlfn.XLOOKUP(tblOrdenes[[#This Row],[tipo_ot]],tblTiposOT[codigo],tblTiposOT[clasificacion],"sin_clasificar"))</f>
        <v/>
      </c>
      <c r="V4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5">
        <f>IF(tblOrdenes[[#This Row],[centro_costo]]="","",_xlfn.XLOOKUP(tblOrdenes[[#This Row],[centro_costo]],tblCECO[codigo],tblCECO[linea],"(sin catálogo)"))</f>
        <v/>
      </c>
      <c r="Y457" s="5">
        <f>IF(tblOrdenes[[#This Row],[centro_costo]]="","",_xlfn.XLOOKUP(tblOrdenes[[#This Row],[centro_costo]],tblCECO[codigo],tblCECO[area],"(sin catálogo)"))</f>
        <v/>
      </c>
      <c r="Z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5">
        <f>IF(tblOrdenes[[#This Row],[centro_costo]]="","",_xlfn.XLOOKUP(tblOrdenes[[#This Row],[centro_costo]],tblCECO[codigo],tblCECO[coordinador],"(sin catálogo)"))</f>
        <v/>
      </c>
      <c r="AB457" s="5">
        <f>IF(tblOrdenes[[#This Row],[puesto_trabajo]]="","",_xlfn.XLOOKUP(tblOrdenes[[#This Row],[puesto_trabajo]],tblPuestos[codigo],tblPuestos[especialidad],"(sin catálogo)"))</f>
        <v/>
      </c>
      <c r="AC457" s="5">
        <f>IF(tblOrdenes[[#This Row],[cod_actividad]]="","",_xlfn.XLOOKUP(tblOrdenes[[#This Row],[cod_actividad]],tblActividades[codigo],tblActividades[descripcion],"(sin catálogo)"))</f>
        <v/>
      </c>
      <c r="AD457" s="23">
        <f>IF(tblOrdenes[[#This Row],[fecha_inicio]]="","",TODAY()-tblOrdenes[[#This Row],[fecha_inicio]])</f>
        <v/>
      </c>
      <c r="AE4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5">
        <f>IF(tblOrdenes[[#This Row],[backlog_habiles]]="","",IF(tblOrdenes[[#This Row],[backlog_habiles]]&lt;0,"FUTURO",IF(tblOrdenes[[#This Row],[backlog_habiles]]&gt;p_dias_backlog_max,"BACKLOG","MES CORRIENTE")))</f>
        <v/>
      </c>
      <c r="AG457" s="5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18">
        <f>IF(tblOrdenes[[#This Row],[orden]]="","",_xlfn.XLOOKUP(tblOrdenes[[#This Row],[id_operacion]],tblEjecucion[id_operacion],tblEjecucion[precio],0))</f>
        <v/>
      </c>
      <c r="AM457" s="18">
        <f>IF(tblOrdenes[[#This Row],[orden]]="","",MAX(0,_xlfn.XLOOKUP(tblOrdenes[[#This Row],[id_operacion]],tblEjecucion[id_operacion],tblEjecucion[costo_plan_total],0)-tblOrdenes[[#This Row],[costo_servicio]]))</f>
        <v/>
      </c>
      <c r="AN457" s="18">
        <f>IF(tblOrdenes[[#This Row],[orden]]="","",tblOrdenes[[#This Row],[costo_servicio]]+tblOrdenes[[#This Row],[costo_materiales]])</f>
        <v/>
      </c>
      <c r="AO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5">
        <f>IF(tblOrdenes[[#This Row],[link_checklist]]="","",HYPERLINK(p_ruta_base_checklists&amp;tblOrdenes[[#This Row],[link_checklist]],"abrir"))</f>
        <v/>
      </c>
      <c r="AT457" s="4" t="n"/>
      <c r="AU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5" t="n"/>
      <c r="K458" s="5" t="n"/>
      <c r="L458" s="18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Row],[fecha_inicio]]="","",tblOrdenes[[#This Row],[anio]]&amp;"-"&amp;TEXT(tblOrdenes[[#This Row],[mes]],"00"))</f>
        <v/>
      </c>
      <c r="S458" s="5">
        <f>IF(tblOrdenes[[#This Row],[fecha_inicio]]="","",INDEX(lista_dias,WEEKDAY(tblOrdenes[[#This Row],[fecha_inicio]],2)))</f>
        <v/>
      </c>
      <c r="T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5">
        <f>IF(tblOrdenes[[#This Row],[tipo_ot]]="","",_xlfn.XLOOKUP(tblOrdenes[[#This Row],[tipo_ot]],tblTiposOT[codigo],tblTiposOT[clasificacion],"sin_clasificar"))</f>
        <v/>
      </c>
      <c r="V4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5">
        <f>IF(tblOrdenes[[#This Row],[centro_costo]]="","",_xlfn.XLOOKUP(tblOrdenes[[#This Row],[centro_costo]],tblCECO[codigo],tblCECO[linea],"(sin catálogo)"))</f>
        <v/>
      </c>
      <c r="Y458" s="5">
        <f>IF(tblOrdenes[[#This Row],[centro_costo]]="","",_xlfn.XLOOKUP(tblOrdenes[[#This Row],[centro_costo]],tblCECO[codigo],tblCECO[area],"(sin catálogo)"))</f>
        <v/>
      </c>
      <c r="Z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5">
        <f>IF(tblOrdenes[[#This Row],[centro_costo]]="","",_xlfn.XLOOKUP(tblOrdenes[[#This Row],[centro_costo]],tblCECO[codigo],tblCECO[coordinador],"(sin catálogo)"))</f>
        <v/>
      </c>
      <c r="AB458" s="5">
        <f>IF(tblOrdenes[[#This Row],[puesto_trabajo]]="","",_xlfn.XLOOKUP(tblOrdenes[[#This Row],[puesto_trabajo]],tblPuestos[codigo],tblPuestos[especialidad],"(sin catálogo)"))</f>
        <v/>
      </c>
      <c r="AC458" s="5">
        <f>IF(tblOrdenes[[#This Row],[cod_actividad]]="","",_xlfn.XLOOKUP(tblOrdenes[[#This Row],[cod_actividad]],tblActividades[codigo],tblActividades[descripcion],"(sin catálogo)"))</f>
        <v/>
      </c>
      <c r="AD458" s="23">
        <f>IF(tblOrdenes[[#This Row],[fecha_inicio]]="","",TODAY()-tblOrdenes[[#This Row],[fecha_inicio]])</f>
        <v/>
      </c>
      <c r="AE4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5">
        <f>IF(tblOrdenes[[#This Row],[backlog_habiles]]="","",IF(tblOrdenes[[#This Row],[backlog_habiles]]&lt;0,"FUTURO",IF(tblOrdenes[[#This Row],[backlog_habiles]]&gt;p_dias_backlog_max,"BACKLOG","MES CORRIENTE")))</f>
        <v/>
      </c>
      <c r="AG458" s="5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18">
        <f>IF(tblOrdenes[[#This Row],[orden]]="","",_xlfn.XLOOKUP(tblOrdenes[[#This Row],[id_operacion]],tblEjecucion[id_operacion],tblEjecucion[precio],0))</f>
        <v/>
      </c>
      <c r="AM458" s="18">
        <f>IF(tblOrdenes[[#This Row],[orden]]="","",MAX(0,_xlfn.XLOOKUP(tblOrdenes[[#This Row],[id_operacion]],tblEjecucion[id_operacion],tblEjecucion[costo_plan_total],0)-tblOrdenes[[#This Row],[costo_servicio]]))</f>
        <v/>
      </c>
      <c r="AN458" s="18">
        <f>IF(tblOrdenes[[#This Row],[orden]]="","",tblOrdenes[[#This Row],[costo_servicio]]+tblOrdenes[[#This Row],[costo_materiales]])</f>
        <v/>
      </c>
      <c r="AO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5">
        <f>IF(tblOrdenes[[#This Row],[link_checklist]]="","",HYPERLINK(p_ruta_base_checklists&amp;tblOrdenes[[#This Row],[link_checklist]],"abrir"))</f>
        <v/>
      </c>
      <c r="AT458" s="4" t="n"/>
      <c r="AU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5" t="n"/>
      <c r="K459" s="5" t="n"/>
      <c r="L459" s="18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Row],[fecha_inicio]]="","",tblOrdenes[[#This Row],[anio]]&amp;"-"&amp;TEXT(tblOrdenes[[#This Row],[mes]],"00"))</f>
        <v/>
      </c>
      <c r="S459" s="5">
        <f>IF(tblOrdenes[[#This Row],[fecha_inicio]]="","",INDEX(lista_dias,WEEKDAY(tblOrdenes[[#This Row],[fecha_inicio]],2)))</f>
        <v/>
      </c>
      <c r="T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5">
        <f>IF(tblOrdenes[[#This Row],[tipo_ot]]="","",_xlfn.XLOOKUP(tblOrdenes[[#This Row],[tipo_ot]],tblTiposOT[codigo],tblTiposOT[clasificacion],"sin_clasificar"))</f>
        <v/>
      </c>
      <c r="V4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5">
        <f>IF(tblOrdenes[[#This Row],[centro_costo]]="","",_xlfn.XLOOKUP(tblOrdenes[[#This Row],[centro_costo]],tblCECO[codigo],tblCECO[linea],"(sin catálogo)"))</f>
        <v/>
      </c>
      <c r="Y459" s="5">
        <f>IF(tblOrdenes[[#This Row],[centro_costo]]="","",_xlfn.XLOOKUP(tblOrdenes[[#This Row],[centro_costo]],tblCECO[codigo],tblCECO[area],"(sin catálogo)"))</f>
        <v/>
      </c>
      <c r="Z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5">
        <f>IF(tblOrdenes[[#This Row],[centro_costo]]="","",_xlfn.XLOOKUP(tblOrdenes[[#This Row],[centro_costo]],tblCECO[codigo],tblCECO[coordinador],"(sin catálogo)"))</f>
        <v/>
      </c>
      <c r="AB459" s="5">
        <f>IF(tblOrdenes[[#This Row],[puesto_trabajo]]="","",_xlfn.XLOOKUP(tblOrdenes[[#This Row],[puesto_trabajo]],tblPuestos[codigo],tblPuestos[especialidad],"(sin catálogo)"))</f>
        <v/>
      </c>
      <c r="AC459" s="5">
        <f>IF(tblOrdenes[[#This Row],[cod_actividad]]="","",_xlfn.XLOOKUP(tblOrdenes[[#This Row],[cod_actividad]],tblActividades[codigo],tblActividades[descripcion],"(sin catálogo)"))</f>
        <v/>
      </c>
      <c r="AD459" s="23">
        <f>IF(tblOrdenes[[#This Row],[fecha_inicio]]="","",TODAY()-tblOrdenes[[#This Row],[fecha_inicio]])</f>
        <v/>
      </c>
      <c r="AE4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5">
        <f>IF(tblOrdenes[[#This Row],[backlog_habiles]]="","",IF(tblOrdenes[[#This Row],[backlog_habiles]]&lt;0,"FUTURO",IF(tblOrdenes[[#This Row],[backlog_habiles]]&gt;p_dias_backlog_max,"BACKLOG","MES CORRIENTE")))</f>
        <v/>
      </c>
      <c r="AG459" s="5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18">
        <f>IF(tblOrdenes[[#This Row],[orden]]="","",_xlfn.XLOOKUP(tblOrdenes[[#This Row],[id_operacion]],tblEjecucion[id_operacion],tblEjecucion[precio],0))</f>
        <v/>
      </c>
      <c r="AM459" s="18">
        <f>IF(tblOrdenes[[#This Row],[orden]]="","",MAX(0,_xlfn.XLOOKUP(tblOrdenes[[#This Row],[id_operacion]],tblEjecucion[id_operacion],tblEjecucion[costo_plan_total],0)-tblOrdenes[[#This Row],[costo_servicio]]))</f>
        <v/>
      </c>
      <c r="AN459" s="18">
        <f>IF(tblOrdenes[[#This Row],[orden]]="","",tblOrdenes[[#This Row],[costo_servicio]]+tblOrdenes[[#This Row],[costo_materiales]])</f>
        <v/>
      </c>
      <c r="AO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5">
        <f>IF(tblOrdenes[[#This Row],[link_checklist]]="","",HYPERLINK(p_ruta_base_checklists&amp;tblOrdenes[[#This Row],[link_checklist]],"abrir"))</f>
        <v/>
      </c>
      <c r="AT459" s="4" t="n"/>
      <c r="AU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5" t="n"/>
      <c r="K460" s="5" t="n"/>
      <c r="L460" s="18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Row],[fecha_inicio]]="","",tblOrdenes[[#This Row],[anio]]&amp;"-"&amp;TEXT(tblOrdenes[[#This Row],[mes]],"00"))</f>
        <v/>
      </c>
      <c r="S460" s="5">
        <f>IF(tblOrdenes[[#This Row],[fecha_inicio]]="","",INDEX(lista_dias,WEEKDAY(tblOrdenes[[#This Row],[fecha_inicio]],2)))</f>
        <v/>
      </c>
      <c r="T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5">
        <f>IF(tblOrdenes[[#This Row],[tipo_ot]]="","",_xlfn.XLOOKUP(tblOrdenes[[#This Row],[tipo_ot]],tblTiposOT[codigo],tblTiposOT[clasificacion],"sin_clasificar"))</f>
        <v/>
      </c>
      <c r="V4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5">
        <f>IF(tblOrdenes[[#This Row],[centro_costo]]="","",_xlfn.XLOOKUP(tblOrdenes[[#This Row],[centro_costo]],tblCECO[codigo],tblCECO[linea],"(sin catálogo)"))</f>
        <v/>
      </c>
      <c r="Y460" s="5">
        <f>IF(tblOrdenes[[#This Row],[centro_costo]]="","",_xlfn.XLOOKUP(tblOrdenes[[#This Row],[centro_costo]],tblCECO[codigo],tblCECO[area],"(sin catálogo)"))</f>
        <v/>
      </c>
      <c r="Z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5">
        <f>IF(tblOrdenes[[#This Row],[centro_costo]]="","",_xlfn.XLOOKUP(tblOrdenes[[#This Row],[centro_costo]],tblCECO[codigo],tblCECO[coordinador],"(sin catálogo)"))</f>
        <v/>
      </c>
      <c r="AB460" s="5">
        <f>IF(tblOrdenes[[#This Row],[puesto_trabajo]]="","",_xlfn.XLOOKUP(tblOrdenes[[#This Row],[puesto_trabajo]],tblPuestos[codigo],tblPuestos[especialidad],"(sin catálogo)"))</f>
        <v/>
      </c>
      <c r="AC460" s="5">
        <f>IF(tblOrdenes[[#This Row],[cod_actividad]]="","",_xlfn.XLOOKUP(tblOrdenes[[#This Row],[cod_actividad]],tblActividades[codigo],tblActividades[descripcion],"(sin catálogo)"))</f>
        <v/>
      </c>
      <c r="AD460" s="23">
        <f>IF(tblOrdenes[[#This Row],[fecha_inicio]]="","",TODAY()-tblOrdenes[[#This Row],[fecha_inicio]])</f>
        <v/>
      </c>
      <c r="AE4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5">
        <f>IF(tblOrdenes[[#This Row],[backlog_habiles]]="","",IF(tblOrdenes[[#This Row],[backlog_habiles]]&lt;0,"FUTURO",IF(tblOrdenes[[#This Row],[backlog_habiles]]&gt;p_dias_backlog_max,"BACKLOG","MES CORRIENTE")))</f>
        <v/>
      </c>
      <c r="AG460" s="5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18">
        <f>IF(tblOrdenes[[#This Row],[orden]]="","",_xlfn.XLOOKUP(tblOrdenes[[#This Row],[id_operacion]],tblEjecucion[id_operacion],tblEjecucion[precio],0))</f>
        <v/>
      </c>
      <c r="AM460" s="18">
        <f>IF(tblOrdenes[[#This Row],[orden]]="","",MAX(0,_xlfn.XLOOKUP(tblOrdenes[[#This Row],[id_operacion]],tblEjecucion[id_operacion],tblEjecucion[costo_plan_total],0)-tblOrdenes[[#This Row],[costo_servicio]]))</f>
        <v/>
      </c>
      <c r="AN460" s="18">
        <f>IF(tblOrdenes[[#This Row],[orden]]="","",tblOrdenes[[#This Row],[costo_servicio]]+tblOrdenes[[#This Row],[costo_materiales]])</f>
        <v/>
      </c>
      <c r="AO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5">
        <f>IF(tblOrdenes[[#This Row],[link_checklist]]="","",HYPERLINK(p_ruta_base_checklists&amp;tblOrdenes[[#This Row],[link_checklist]],"abrir"))</f>
        <v/>
      </c>
      <c r="AT460" s="4" t="n"/>
      <c r="AU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5" t="n"/>
      <c r="K461" s="5" t="n"/>
      <c r="L461" s="18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Row],[fecha_inicio]]="","",tblOrdenes[[#This Row],[anio]]&amp;"-"&amp;TEXT(tblOrdenes[[#This Row],[mes]],"00"))</f>
        <v/>
      </c>
      <c r="S461" s="5">
        <f>IF(tblOrdenes[[#This Row],[fecha_inicio]]="","",INDEX(lista_dias,WEEKDAY(tblOrdenes[[#This Row],[fecha_inicio]],2)))</f>
        <v/>
      </c>
      <c r="T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5">
        <f>IF(tblOrdenes[[#This Row],[tipo_ot]]="","",_xlfn.XLOOKUP(tblOrdenes[[#This Row],[tipo_ot]],tblTiposOT[codigo],tblTiposOT[clasificacion],"sin_clasificar"))</f>
        <v/>
      </c>
      <c r="V4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5">
        <f>IF(tblOrdenes[[#This Row],[centro_costo]]="","",_xlfn.XLOOKUP(tblOrdenes[[#This Row],[centro_costo]],tblCECO[codigo],tblCECO[linea],"(sin catálogo)"))</f>
        <v/>
      </c>
      <c r="Y461" s="5">
        <f>IF(tblOrdenes[[#This Row],[centro_costo]]="","",_xlfn.XLOOKUP(tblOrdenes[[#This Row],[centro_costo]],tblCECO[codigo],tblCECO[area],"(sin catálogo)"))</f>
        <v/>
      </c>
      <c r="Z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5">
        <f>IF(tblOrdenes[[#This Row],[centro_costo]]="","",_xlfn.XLOOKUP(tblOrdenes[[#This Row],[centro_costo]],tblCECO[codigo],tblCECO[coordinador],"(sin catálogo)"))</f>
        <v/>
      </c>
      <c r="AB461" s="5">
        <f>IF(tblOrdenes[[#This Row],[puesto_trabajo]]="","",_xlfn.XLOOKUP(tblOrdenes[[#This Row],[puesto_trabajo]],tblPuestos[codigo],tblPuestos[especialidad],"(sin catálogo)"))</f>
        <v/>
      </c>
      <c r="AC461" s="5">
        <f>IF(tblOrdenes[[#This Row],[cod_actividad]]="","",_xlfn.XLOOKUP(tblOrdenes[[#This Row],[cod_actividad]],tblActividades[codigo],tblActividades[descripcion],"(sin catálogo)"))</f>
        <v/>
      </c>
      <c r="AD461" s="23">
        <f>IF(tblOrdenes[[#This Row],[fecha_inicio]]="","",TODAY()-tblOrdenes[[#This Row],[fecha_inicio]])</f>
        <v/>
      </c>
      <c r="AE4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5">
        <f>IF(tblOrdenes[[#This Row],[backlog_habiles]]="","",IF(tblOrdenes[[#This Row],[backlog_habiles]]&lt;0,"FUTURO",IF(tblOrdenes[[#This Row],[backlog_habiles]]&gt;p_dias_backlog_max,"BACKLOG","MES CORRIENTE")))</f>
        <v/>
      </c>
      <c r="AG461" s="5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18">
        <f>IF(tblOrdenes[[#This Row],[orden]]="","",_xlfn.XLOOKUP(tblOrdenes[[#This Row],[id_operacion]],tblEjecucion[id_operacion],tblEjecucion[precio],0))</f>
        <v/>
      </c>
      <c r="AM461" s="18">
        <f>IF(tblOrdenes[[#This Row],[orden]]="","",MAX(0,_xlfn.XLOOKUP(tblOrdenes[[#This Row],[id_operacion]],tblEjecucion[id_operacion],tblEjecucion[costo_plan_total],0)-tblOrdenes[[#This Row],[costo_servicio]]))</f>
        <v/>
      </c>
      <c r="AN461" s="18">
        <f>IF(tblOrdenes[[#This Row],[orden]]="","",tblOrdenes[[#This Row],[costo_servicio]]+tblOrdenes[[#This Row],[costo_materiales]])</f>
        <v/>
      </c>
      <c r="AO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5">
        <f>IF(tblOrdenes[[#This Row],[link_checklist]]="","",HYPERLINK(p_ruta_base_checklists&amp;tblOrdenes[[#This Row],[link_checklist]],"abrir"))</f>
        <v/>
      </c>
      <c r="AT461" s="4" t="n"/>
      <c r="AU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5" t="n"/>
      <c r="K462" s="5" t="n"/>
      <c r="L462" s="18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Row],[fecha_inicio]]="","",tblOrdenes[[#This Row],[anio]]&amp;"-"&amp;TEXT(tblOrdenes[[#This Row],[mes]],"00"))</f>
        <v/>
      </c>
      <c r="S462" s="5">
        <f>IF(tblOrdenes[[#This Row],[fecha_inicio]]="","",INDEX(lista_dias,WEEKDAY(tblOrdenes[[#This Row],[fecha_inicio]],2)))</f>
        <v/>
      </c>
      <c r="T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5">
        <f>IF(tblOrdenes[[#This Row],[tipo_ot]]="","",_xlfn.XLOOKUP(tblOrdenes[[#This Row],[tipo_ot]],tblTiposOT[codigo],tblTiposOT[clasificacion],"sin_clasificar"))</f>
        <v/>
      </c>
      <c r="V4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5">
        <f>IF(tblOrdenes[[#This Row],[centro_costo]]="","",_xlfn.XLOOKUP(tblOrdenes[[#This Row],[centro_costo]],tblCECO[codigo],tblCECO[linea],"(sin catálogo)"))</f>
        <v/>
      </c>
      <c r="Y462" s="5">
        <f>IF(tblOrdenes[[#This Row],[centro_costo]]="","",_xlfn.XLOOKUP(tblOrdenes[[#This Row],[centro_costo]],tblCECO[codigo],tblCECO[area],"(sin catálogo)"))</f>
        <v/>
      </c>
      <c r="Z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5">
        <f>IF(tblOrdenes[[#This Row],[centro_costo]]="","",_xlfn.XLOOKUP(tblOrdenes[[#This Row],[centro_costo]],tblCECO[codigo],tblCECO[coordinador],"(sin catálogo)"))</f>
        <v/>
      </c>
      <c r="AB462" s="5">
        <f>IF(tblOrdenes[[#This Row],[puesto_trabajo]]="","",_xlfn.XLOOKUP(tblOrdenes[[#This Row],[puesto_trabajo]],tblPuestos[codigo],tblPuestos[especialidad],"(sin catálogo)"))</f>
        <v/>
      </c>
      <c r="AC462" s="5">
        <f>IF(tblOrdenes[[#This Row],[cod_actividad]]="","",_xlfn.XLOOKUP(tblOrdenes[[#This Row],[cod_actividad]],tblActividades[codigo],tblActividades[descripcion],"(sin catálogo)"))</f>
        <v/>
      </c>
      <c r="AD462" s="23">
        <f>IF(tblOrdenes[[#This Row],[fecha_inicio]]="","",TODAY()-tblOrdenes[[#This Row],[fecha_inicio]])</f>
        <v/>
      </c>
      <c r="AE4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5">
        <f>IF(tblOrdenes[[#This Row],[backlog_habiles]]="","",IF(tblOrdenes[[#This Row],[backlog_habiles]]&lt;0,"FUTURO",IF(tblOrdenes[[#This Row],[backlog_habiles]]&gt;p_dias_backlog_max,"BACKLOG","MES CORRIENTE")))</f>
        <v/>
      </c>
      <c r="AG462" s="5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18">
        <f>IF(tblOrdenes[[#This Row],[orden]]="","",_xlfn.XLOOKUP(tblOrdenes[[#This Row],[id_operacion]],tblEjecucion[id_operacion],tblEjecucion[precio],0))</f>
        <v/>
      </c>
      <c r="AM462" s="18">
        <f>IF(tblOrdenes[[#This Row],[orden]]="","",MAX(0,_xlfn.XLOOKUP(tblOrdenes[[#This Row],[id_operacion]],tblEjecucion[id_operacion],tblEjecucion[costo_plan_total],0)-tblOrdenes[[#This Row],[costo_servicio]]))</f>
        <v/>
      </c>
      <c r="AN462" s="18">
        <f>IF(tblOrdenes[[#This Row],[orden]]="","",tblOrdenes[[#This Row],[costo_servicio]]+tblOrdenes[[#This Row],[costo_materiales]])</f>
        <v/>
      </c>
      <c r="AO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5">
        <f>IF(tblOrdenes[[#This Row],[link_checklist]]="","",HYPERLINK(p_ruta_base_checklists&amp;tblOrdenes[[#This Row],[link_checklist]],"abrir"))</f>
        <v/>
      </c>
      <c r="AT462" s="4" t="n"/>
      <c r="AU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5" t="n"/>
      <c r="K463" s="5" t="n"/>
      <c r="L463" s="18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Row],[fecha_inicio]]="","",tblOrdenes[[#This Row],[anio]]&amp;"-"&amp;TEXT(tblOrdenes[[#This Row],[mes]],"00"))</f>
        <v/>
      </c>
      <c r="S463" s="5">
        <f>IF(tblOrdenes[[#This Row],[fecha_inicio]]="","",INDEX(lista_dias,WEEKDAY(tblOrdenes[[#This Row],[fecha_inicio]],2)))</f>
        <v/>
      </c>
      <c r="T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5">
        <f>IF(tblOrdenes[[#This Row],[tipo_ot]]="","",_xlfn.XLOOKUP(tblOrdenes[[#This Row],[tipo_ot]],tblTiposOT[codigo],tblTiposOT[clasificacion],"sin_clasificar"))</f>
        <v/>
      </c>
      <c r="V4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5">
        <f>IF(tblOrdenes[[#This Row],[centro_costo]]="","",_xlfn.XLOOKUP(tblOrdenes[[#This Row],[centro_costo]],tblCECO[codigo],tblCECO[linea],"(sin catálogo)"))</f>
        <v/>
      </c>
      <c r="Y463" s="5">
        <f>IF(tblOrdenes[[#This Row],[centro_costo]]="","",_xlfn.XLOOKUP(tblOrdenes[[#This Row],[centro_costo]],tblCECO[codigo],tblCECO[area],"(sin catálogo)"))</f>
        <v/>
      </c>
      <c r="Z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5">
        <f>IF(tblOrdenes[[#This Row],[centro_costo]]="","",_xlfn.XLOOKUP(tblOrdenes[[#This Row],[centro_costo]],tblCECO[codigo],tblCECO[coordinador],"(sin catálogo)"))</f>
        <v/>
      </c>
      <c r="AB463" s="5">
        <f>IF(tblOrdenes[[#This Row],[puesto_trabajo]]="","",_xlfn.XLOOKUP(tblOrdenes[[#This Row],[puesto_trabajo]],tblPuestos[codigo],tblPuestos[especialidad],"(sin catálogo)"))</f>
        <v/>
      </c>
      <c r="AC463" s="5">
        <f>IF(tblOrdenes[[#This Row],[cod_actividad]]="","",_xlfn.XLOOKUP(tblOrdenes[[#This Row],[cod_actividad]],tblActividades[codigo],tblActividades[descripcion],"(sin catálogo)"))</f>
        <v/>
      </c>
      <c r="AD463" s="23">
        <f>IF(tblOrdenes[[#This Row],[fecha_inicio]]="","",TODAY()-tblOrdenes[[#This Row],[fecha_inicio]])</f>
        <v/>
      </c>
      <c r="AE4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5">
        <f>IF(tblOrdenes[[#This Row],[backlog_habiles]]="","",IF(tblOrdenes[[#This Row],[backlog_habiles]]&lt;0,"FUTURO",IF(tblOrdenes[[#This Row],[backlog_habiles]]&gt;p_dias_backlog_max,"BACKLOG","MES CORRIENTE")))</f>
        <v/>
      </c>
      <c r="AG463" s="5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18">
        <f>IF(tblOrdenes[[#This Row],[orden]]="","",_xlfn.XLOOKUP(tblOrdenes[[#This Row],[id_operacion]],tblEjecucion[id_operacion],tblEjecucion[precio],0))</f>
        <v/>
      </c>
      <c r="AM463" s="18">
        <f>IF(tblOrdenes[[#This Row],[orden]]="","",MAX(0,_xlfn.XLOOKUP(tblOrdenes[[#This Row],[id_operacion]],tblEjecucion[id_operacion],tblEjecucion[costo_plan_total],0)-tblOrdenes[[#This Row],[costo_servicio]]))</f>
        <v/>
      </c>
      <c r="AN463" s="18">
        <f>IF(tblOrdenes[[#This Row],[orden]]="","",tblOrdenes[[#This Row],[costo_servicio]]+tblOrdenes[[#This Row],[costo_materiales]])</f>
        <v/>
      </c>
      <c r="AO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5">
        <f>IF(tblOrdenes[[#This Row],[link_checklist]]="","",HYPERLINK(p_ruta_base_checklists&amp;tblOrdenes[[#This Row],[link_checklist]],"abrir"))</f>
        <v/>
      </c>
      <c r="AT463" s="4" t="n"/>
      <c r="AU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5" t="n"/>
      <c r="K464" s="5" t="n"/>
      <c r="L464" s="18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Row],[fecha_inicio]]="","",tblOrdenes[[#This Row],[anio]]&amp;"-"&amp;TEXT(tblOrdenes[[#This Row],[mes]],"00"))</f>
        <v/>
      </c>
      <c r="S464" s="5">
        <f>IF(tblOrdenes[[#This Row],[fecha_inicio]]="","",INDEX(lista_dias,WEEKDAY(tblOrdenes[[#This Row],[fecha_inicio]],2)))</f>
        <v/>
      </c>
      <c r="T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5">
        <f>IF(tblOrdenes[[#This Row],[tipo_ot]]="","",_xlfn.XLOOKUP(tblOrdenes[[#This Row],[tipo_ot]],tblTiposOT[codigo],tblTiposOT[clasificacion],"sin_clasificar"))</f>
        <v/>
      </c>
      <c r="V4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5">
        <f>IF(tblOrdenes[[#This Row],[centro_costo]]="","",_xlfn.XLOOKUP(tblOrdenes[[#This Row],[centro_costo]],tblCECO[codigo],tblCECO[linea],"(sin catálogo)"))</f>
        <v/>
      </c>
      <c r="Y464" s="5">
        <f>IF(tblOrdenes[[#This Row],[centro_costo]]="","",_xlfn.XLOOKUP(tblOrdenes[[#This Row],[centro_costo]],tblCECO[codigo],tblCECO[area],"(sin catálogo)"))</f>
        <v/>
      </c>
      <c r="Z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5">
        <f>IF(tblOrdenes[[#This Row],[centro_costo]]="","",_xlfn.XLOOKUP(tblOrdenes[[#This Row],[centro_costo]],tblCECO[codigo],tblCECO[coordinador],"(sin catálogo)"))</f>
        <v/>
      </c>
      <c r="AB464" s="5">
        <f>IF(tblOrdenes[[#This Row],[puesto_trabajo]]="","",_xlfn.XLOOKUP(tblOrdenes[[#This Row],[puesto_trabajo]],tblPuestos[codigo],tblPuestos[especialidad],"(sin catálogo)"))</f>
        <v/>
      </c>
      <c r="AC464" s="5">
        <f>IF(tblOrdenes[[#This Row],[cod_actividad]]="","",_xlfn.XLOOKUP(tblOrdenes[[#This Row],[cod_actividad]],tblActividades[codigo],tblActividades[descripcion],"(sin catálogo)"))</f>
        <v/>
      </c>
      <c r="AD464" s="23">
        <f>IF(tblOrdenes[[#This Row],[fecha_inicio]]="","",TODAY()-tblOrdenes[[#This Row],[fecha_inicio]])</f>
        <v/>
      </c>
      <c r="AE4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5">
        <f>IF(tblOrdenes[[#This Row],[backlog_habiles]]="","",IF(tblOrdenes[[#This Row],[backlog_habiles]]&lt;0,"FUTURO",IF(tblOrdenes[[#This Row],[backlog_habiles]]&gt;p_dias_backlog_max,"BACKLOG","MES CORRIENTE")))</f>
        <v/>
      </c>
      <c r="AG464" s="5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18">
        <f>IF(tblOrdenes[[#This Row],[orden]]="","",_xlfn.XLOOKUP(tblOrdenes[[#This Row],[id_operacion]],tblEjecucion[id_operacion],tblEjecucion[precio],0))</f>
        <v/>
      </c>
      <c r="AM464" s="18">
        <f>IF(tblOrdenes[[#This Row],[orden]]="","",MAX(0,_xlfn.XLOOKUP(tblOrdenes[[#This Row],[id_operacion]],tblEjecucion[id_operacion],tblEjecucion[costo_plan_total],0)-tblOrdenes[[#This Row],[costo_servicio]]))</f>
        <v/>
      </c>
      <c r="AN464" s="18">
        <f>IF(tblOrdenes[[#This Row],[orden]]="","",tblOrdenes[[#This Row],[costo_servicio]]+tblOrdenes[[#This Row],[costo_materiales]])</f>
        <v/>
      </c>
      <c r="AO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5">
        <f>IF(tblOrdenes[[#This Row],[link_checklist]]="","",HYPERLINK(p_ruta_base_checklists&amp;tblOrdenes[[#This Row],[link_checklist]],"abrir"))</f>
        <v/>
      </c>
      <c r="AT464" s="4" t="n"/>
      <c r="AU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5" t="n"/>
      <c r="K465" s="5" t="n"/>
      <c r="L465" s="18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Row],[fecha_inicio]]="","",tblOrdenes[[#This Row],[anio]]&amp;"-"&amp;TEXT(tblOrdenes[[#This Row],[mes]],"00"))</f>
        <v/>
      </c>
      <c r="S465" s="5">
        <f>IF(tblOrdenes[[#This Row],[fecha_inicio]]="","",INDEX(lista_dias,WEEKDAY(tblOrdenes[[#This Row],[fecha_inicio]],2)))</f>
        <v/>
      </c>
      <c r="T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5">
        <f>IF(tblOrdenes[[#This Row],[tipo_ot]]="","",_xlfn.XLOOKUP(tblOrdenes[[#This Row],[tipo_ot]],tblTiposOT[codigo],tblTiposOT[clasificacion],"sin_clasificar"))</f>
        <v/>
      </c>
      <c r="V4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5">
        <f>IF(tblOrdenes[[#This Row],[centro_costo]]="","",_xlfn.XLOOKUP(tblOrdenes[[#This Row],[centro_costo]],tblCECO[codigo],tblCECO[linea],"(sin catálogo)"))</f>
        <v/>
      </c>
      <c r="Y465" s="5">
        <f>IF(tblOrdenes[[#This Row],[centro_costo]]="","",_xlfn.XLOOKUP(tblOrdenes[[#This Row],[centro_costo]],tblCECO[codigo],tblCECO[area],"(sin catálogo)"))</f>
        <v/>
      </c>
      <c r="Z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5">
        <f>IF(tblOrdenes[[#This Row],[centro_costo]]="","",_xlfn.XLOOKUP(tblOrdenes[[#This Row],[centro_costo]],tblCECO[codigo],tblCECO[coordinador],"(sin catálogo)"))</f>
        <v/>
      </c>
      <c r="AB465" s="5">
        <f>IF(tblOrdenes[[#This Row],[puesto_trabajo]]="","",_xlfn.XLOOKUP(tblOrdenes[[#This Row],[puesto_trabajo]],tblPuestos[codigo],tblPuestos[especialidad],"(sin catálogo)"))</f>
        <v/>
      </c>
      <c r="AC465" s="5">
        <f>IF(tblOrdenes[[#This Row],[cod_actividad]]="","",_xlfn.XLOOKUP(tblOrdenes[[#This Row],[cod_actividad]],tblActividades[codigo],tblActividades[descripcion],"(sin catálogo)"))</f>
        <v/>
      </c>
      <c r="AD465" s="23">
        <f>IF(tblOrdenes[[#This Row],[fecha_inicio]]="","",TODAY()-tblOrdenes[[#This Row],[fecha_inicio]])</f>
        <v/>
      </c>
      <c r="AE4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5">
        <f>IF(tblOrdenes[[#This Row],[backlog_habiles]]="","",IF(tblOrdenes[[#This Row],[backlog_habiles]]&lt;0,"FUTURO",IF(tblOrdenes[[#This Row],[backlog_habiles]]&gt;p_dias_backlog_max,"BACKLOG","MES CORRIENTE")))</f>
        <v/>
      </c>
      <c r="AG465" s="5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18">
        <f>IF(tblOrdenes[[#This Row],[orden]]="","",_xlfn.XLOOKUP(tblOrdenes[[#This Row],[id_operacion]],tblEjecucion[id_operacion],tblEjecucion[precio],0))</f>
        <v/>
      </c>
      <c r="AM465" s="18">
        <f>IF(tblOrdenes[[#This Row],[orden]]="","",MAX(0,_xlfn.XLOOKUP(tblOrdenes[[#This Row],[id_operacion]],tblEjecucion[id_operacion],tblEjecucion[costo_plan_total],0)-tblOrdenes[[#This Row],[costo_servicio]]))</f>
        <v/>
      </c>
      <c r="AN465" s="18">
        <f>IF(tblOrdenes[[#This Row],[orden]]="","",tblOrdenes[[#This Row],[costo_servicio]]+tblOrdenes[[#This Row],[costo_materiales]])</f>
        <v/>
      </c>
      <c r="AO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5">
        <f>IF(tblOrdenes[[#This Row],[link_checklist]]="","",HYPERLINK(p_ruta_base_checklists&amp;tblOrdenes[[#This Row],[link_checklist]],"abrir"))</f>
        <v/>
      </c>
      <c r="AT465" s="4" t="n"/>
      <c r="AU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5" t="n"/>
      <c r="K466" s="5" t="n"/>
      <c r="L466" s="18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Row],[fecha_inicio]]="","",tblOrdenes[[#This Row],[anio]]&amp;"-"&amp;TEXT(tblOrdenes[[#This Row],[mes]],"00"))</f>
        <v/>
      </c>
      <c r="S466" s="5">
        <f>IF(tblOrdenes[[#This Row],[fecha_inicio]]="","",INDEX(lista_dias,WEEKDAY(tblOrdenes[[#This Row],[fecha_inicio]],2)))</f>
        <v/>
      </c>
      <c r="T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5">
        <f>IF(tblOrdenes[[#This Row],[tipo_ot]]="","",_xlfn.XLOOKUP(tblOrdenes[[#This Row],[tipo_ot]],tblTiposOT[codigo],tblTiposOT[clasificacion],"sin_clasificar"))</f>
        <v/>
      </c>
      <c r="V4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5">
        <f>IF(tblOrdenes[[#This Row],[centro_costo]]="","",_xlfn.XLOOKUP(tblOrdenes[[#This Row],[centro_costo]],tblCECO[codigo],tblCECO[linea],"(sin catálogo)"))</f>
        <v/>
      </c>
      <c r="Y466" s="5">
        <f>IF(tblOrdenes[[#This Row],[centro_costo]]="","",_xlfn.XLOOKUP(tblOrdenes[[#This Row],[centro_costo]],tblCECO[codigo],tblCECO[area],"(sin catálogo)"))</f>
        <v/>
      </c>
      <c r="Z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5">
        <f>IF(tblOrdenes[[#This Row],[centro_costo]]="","",_xlfn.XLOOKUP(tblOrdenes[[#This Row],[centro_costo]],tblCECO[codigo],tblCECO[coordinador],"(sin catálogo)"))</f>
        <v/>
      </c>
      <c r="AB466" s="5">
        <f>IF(tblOrdenes[[#This Row],[puesto_trabajo]]="","",_xlfn.XLOOKUP(tblOrdenes[[#This Row],[puesto_trabajo]],tblPuestos[codigo],tblPuestos[especialidad],"(sin catálogo)"))</f>
        <v/>
      </c>
      <c r="AC466" s="5">
        <f>IF(tblOrdenes[[#This Row],[cod_actividad]]="","",_xlfn.XLOOKUP(tblOrdenes[[#This Row],[cod_actividad]],tblActividades[codigo],tblActividades[descripcion],"(sin catálogo)"))</f>
        <v/>
      </c>
      <c r="AD466" s="23">
        <f>IF(tblOrdenes[[#This Row],[fecha_inicio]]="","",TODAY()-tblOrdenes[[#This Row],[fecha_inicio]])</f>
        <v/>
      </c>
      <c r="AE4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5">
        <f>IF(tblOrdenes[[#This Row],[backlog_habiles]]="","",IF(tblOrdenes[[#This Row],[backlog_habiles]]&lt;0,"FUTURO",IF(tblOrdenes[[#This Row],[backlog_habiles]]&gt;p_dias_backlog_max,"BACKLOG","MES CORRIENTE")))</f>
        <v/>
      </c>
      <c r="AG466" s="5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18">
        <f>IF(tblOrdenes[[#This Row],[orden]]="","",_xlfn.XLOOKUP(tblOrdenes[[#This Row],[id_operacion]],tblEjecucion[id_operacion],tblEjecucion[precio],0))</f>
        <v/>
      </c>
      <c r="AM466" s="18">
        <f>IF(tblOrdenes[[#This Row],[orden]]="","",MAX(0,_xlfn.XLOOKUP(tblOrdenes[[#This Row],[id_operacion]],tblEjecucion[id_operacion],tblEjecucion[costo_plan_total],0)-tblOrdenes[[#This Row],[costo_servicio]]))</f>
        <v/>
      </c>
      <c r="AN466" s="18">
        <f>IF(tblOrdenes[[#This Row],[orden]]="","",tblOrdenes[[#This Row],[costo_servicio]]+tblOrdenes[[#This Row],[costo_materiales]])</f>
        <v/>
      </c>
      <c r="AO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5">
        <f>IF(tblOrdenes[[#This Row],[link_checklist]]="","",HYPERLINK(p_ruta_base_checklists&amp;tblOrdenes[[#This Row],[link_checklist]],"abrir"))</f>
        <v/>
      </c>
      <c r="AT466" s="4" t="n"/>
      <c r="AU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5" t="n"/>
      <c r="K467" s="5" t="n"/>
      <c r="L467" s="18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Row],[fecha_inicio]]="","",tblOrdenes[[#This Row],[anio]]&amp;"-"&amp;TEXT(tblOrdenes[[#This Row],[mes]],"00"))</f>
        <v/>
      </c>
      <c r="S467" s="5">
        <f>IF(tblOrdenes[[#This Row],[fecha_inicio]]="","",INDEX(lista_dias,WEEKDAY(tblOrdenes[[#This Row],[fecha_inicio]],2)))</f>
        <v/>
      </c>
      <c r="T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5">
        <f>IF(tblOrdenes[[#This Row],[tipo_ot]]="","",_xlfn.XLOOKUP(tblOrdenes[[#This Row],[tipo_ot]],tblTiposOT[codigo],tblTiposOT[clasificacion],"sin_clasificar"))</f>
        <v/>
      </c>
      <c r="V4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5">
        <f>IF(tblOrdenes[[#This Row],[centro_costo]]="","",_xlfn.XLOOKUP(tblOrdenes[[#This Row],[centro_costo]],tblCECO[codigo],tblCECO[linea],"(sin catálogo)"))</f>
        <v/>
      </c>
      <c r="Y467" s="5">
        <f>IF(tblOrdenes[[#This Row],[centro_costo]]="","",_xlfn.XLOOKUP(tblOrdenes[[#This Row],[centro_costo]],tblCECO[codigo],tblCECO[area],"(sin catálogo)"))</f>
        <v/>
      </c>
      <c r="Z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5">
        <f>IF(tblOrdenes[[#This Row],[centro_costo]]="","",_xlfn.XLOOKUP(tblOrdenes[[#This Row],[centro_costo]],tblCECO[codigo],tblCECO[coordinador],"(sin catálogo)"))</f>
        <v/>
      </c>
      <c r="AB467" s="5">
        <f>IF(tblOrdenes[[#This Row],[puesto_trabajo]]="","",_xlfn.XLOOKUP(tblOrdenes[[#This Row],[puesto_trabajo]],tblPuestos[codigo],tblPuestos[especialidad],"(sin catálogo)"))</f>
        <v/>
      </c>
      <c r="AC467" s="5">
        <f>IF(tblOrdenes[[#This Row],[cod_actividad]]="","",_xlfn.XLOOKUP(tblOrdenes[[#This Row],[cod_actividad]],tblActividades[codigo],tblActividades[descripcion],"(sin catálogo)"))</f>
        <v/>
      </c>
      <c r="AD467" s="23">
        <f>IF(tblOrdenes[[#This Row],[fecha_inicio]]="","",TODAY()-tblOrdenes[[#This Row],[fecha_inicio]])</f>
        <v/>
      </c>
      <c r="AE4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5">
        <f>IF(tblOrdenes[[#This Row],[backlog_habiles]]="","",IF(tblOrdenes[[#This Row],[backlog_habiles]]&lt;0,"FUTURO",IF(tblOrdenes[[#This Row],[backlog_habiles]]&gt;p_dias_backlog_max,"BACKLOG","MES CORRIENTE")))</f>
        <v/>
      </c>
      <c r="AG467" s="5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18">
        <f>IF(tblOrdenes[[#This Row],[orden]]="","",_xlfn.XLOOKUP(tblOrdenes[[#This Row],[id_operacion]],tblEjecucion[id_operacion],tblEjecucion[precio],0))</f>
        <v/>
      </c>
      <c r="AM467" s="18">
        <f>IF(tblOrdenes[[#This Row],[orden]]="","",MAX(0,_xlfn.XLOOKUP(tblOrdenes[[#This Row],[id_operacion]],tblEjecucion[id_operacion],tblEjecucion[costo_plan_total],0)-tblOrdenes[[#This Row],[costo_servicio]]))</f>
        <v/>
      </c>
      <c r="AN467" s="18">
        <f>IF(tblOrdenes[[#This Row],[orden]]="","",tblOrdenes[[#This Row],[costo_servicio]]+tblOrdenes[[#This Row],[costo_materiales]])</f>
        <v/>
      </c>
      <c r="AO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5">
        <f>IF(tblOrdenes[[#This Row],[link_checklist]]="","",HYPERLINK(p_ruta_base_checklists&amp;tblOrdenes[[#This Row],[link_checklist]],"abrir"))</f>
        <v/>
      </c>
      <c r="AT467" s="4" t="n"/>
      <c r="AU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5" t="n"/>
      <c r="K468" s="5" t="n"/>
      <c r="L468" s="18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Row],[fecha_inicio]]="","",tblOrdenes[[#This Row],[anio]]&amp;"-"&amp;TEXT(tblOrdenes[[#This Row],[mes]],"00"))</f>
        <v/>
      </c>
      <c r="S468" s="5">
        <f>IF(tblOrdenes[[#This Row],[fecha_inicio]]="","",INDEX(lista_dias,WEEKDAY(tblOrdenes[[#This Row],[fecha_inicio]],2)))</f>
        <v/>
      </c>
      <c r="T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5">
        <f>IF(tblOrdenes[[#This Row],[tipo_ot]]="","",_xlfn.XLOOKUP(tblOrdenes[[#This Row],[tipo_ot]],tblTiposOT[codigo],tblTiposOT[clasificacion],"sin_clasificar"))</f>
        <v/>
      </c>
      <c r="V4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5">
        <f>IF(tblOrdenes[[#This Row],[centro_costo]]="","",_xlfn.XLOOKUP(tblOrdenes[[#This Row],[centro_costo]],tblCECO[codigo],tblCECO[linea],"(sin catálogo)"))</f>
        <v/>
      </c>
      <c r="Y468" s="5">
        <f>IF(tblOrdenes[[#This Row],[centro_costo]]="","",_xlfn.XLOOKUP(tblOrdenes[[#This Row],[centro_costo]],tblCECO[codigo],tblCECO[area],"(sin catálogo)"))</f>
        <v/>
      </c>
      <c r="Z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5">
        <f>IF(tblOrdenes[[#This Row],[centro_costo]]="","",_xlfn.XLOOKUP(tblOrdenes[[#This Row],[centro_costo]],tblCECO[codigo],tblCECO[coordinador],"(sin catálogo)"))</f>
        <v/>
      </c>
      <c r="AB468" s="5">
        <f>IF(tblOrdenes[[#This Row],[puesto_trabajo]]="","",_xlfn.XLOOKUP(tblOrdenes[[#This Row],[puesto_trabajo]],tblPuestos[codigo],tblPuestos[especialidad],"(sin catálogo)"))</f>
        <v/>
      </c>
      <c r="AC468" s="5">
        <f>IF(tblOrdenes[[#This Row],[cod_actividad]]="","",_xlfn.XLOOKUP(tblOrdenes[[#This Row],[cod_actividad]],tblActividades[codigo],tblActividades[descripcion],"(sin catálogo)"))</f>
        <v/>
      </c>
      <c r="AD468" s="23">
        <f>IF(tblOrdenes[[#This Row],[fecha_inicio]]="","",TODAY()-tblOrdenes[[#This Row],[fecha_inicio]])</f>
        <v/>
      </c>
      <c r="AE4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5">
        <f>IF(tblOrdenes[[#This Row],[backlog_habiles]]="","",IF(tblOrdenes[[#This Row],[backlog_habiles]]&lt;0,"FUTURO",IF(tblOrdenes[[#This Row],[backlog_habiles]]&gt;p_dias_backlog_max,"BACKLOG","MES CORRIENTE")))</f>
        <v/>
      </c>
      <c r="AG468" s="5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18">
        <f>IF(tblOrdenes[[#This Row],[orden]]="","",_xlfn.XLOOKUP(tblOrdenes[[#This Row],[id_operacion]],tblEjecucion[id_operacion],tblEjecucion[precio],0))</f>
        <v/>
      </c>
      <c r="AM468" s="18">
        <f>IF(tblOrdenes[[#This Row],[orden]]="","",MAX(0,_xlfn.XLOOKUP(tblOrdenes[[#This Row],[id_operacion]],tblEjecucion[id_operacion],tblEjecucion[costo_plan_total],0)-tblOrdenes[[#This Row],[costo_servicio]]))</f>
        <v/>
      </c>
      <c r="AN468" s="18">
        <f>IF(tblOrdenes[[#This Row],[orden]]="","",tblOrdenes[[#This Row],[costo_servicio]]+tblOrdenes[[#This Row],[costo_materiales]])</f>
        <v/>
      </c>
      <c r="AO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5">
        <f>IF(tblOrdenes[[#This Row],[link_checklist]]="","",HYPERLINK(p_ruta_base_checklists&amp;tblOrdenes[[#This Row],[link_checklist]],"abrir"))</f>
        <v/>
      </c>
      <c r="AT468" s="4" t="n"/>
      <c r="AU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5" t="n"/>
      <c r="K469" s="5" t="n"/>
      <c r="L469" s="18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Row],[fecha_inicio]]="","",tblOrdenes[[#This Row],[anio]]&amp;"-"&amp;TEXT(tblOrdenes[[#This Row],[mes]],"00"))</f>
        <v/>
      </c>
      <c r="S469" s="5">
        <f>IF(tblOrdenes[[#This Row],[fecha_inicio]]="","",INDEX(lista_dias,WEEKDAY(tblOrdenes[[#This Row],[fecha_inicio]],2)))</f>
        <v/>
      </c>
      <c r="T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5">
        <f>IF(tblOrdenes[[#This Row],[tipo_ot]]="","",_xlfn.XLOOKUP(tblOrdenes[[#This Row],[tipo_ot]],tblTiposOT[codigo],tblTiposOT[clasificacion],"sin_clasificar"))</f>
        <v/>
      </c>
      <c r="V4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5">
        <f>IF(tblOrdenes[[#This Row],[centro_costo]]="","",_xlfn.XLOOKUP(tblOrdenes[[#This Row],[centro_costo]],tblCECO[codigo],tblCECO[linea],"(sin catálogo)"))</f>
        <v/>
      </c>
      <c r="Y469" s="5">
        <f>IF(tblOrdenes[[#This Row],[centro_costo]]="","",_xlfn.XLOOKUP(tblOrdenes[[#This Row],[centro_costo]],tblCECO[codigo],tblCECO[area],"(sin catálogo)"))</f>
        <v/>
      </c>
      <c r="Z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5">
        <f>IF(tblOrdenes[[#This Row],[centro_costo]]="","",_xlfn.XLOOKUP(tblOrdenes[[#This Row],[centro_costo]],tblCECO[codigo],tblCECO[coordinador],"(sin catálogo)"))</f>
        <v/>
      </c>
      <c r="AB469" s="5">
        <f>IF(tblOrdenes[[#This Row],[puesto_trabajo]]="","",_xlfn.XLOOKUP(tblOrdenes[[#This Row],[puesto_trabajo]],tblPuestos[codigo],tblPuestos[especialidad],"(sin catálogo)"))</f>
        <v/>
      </c>
      <c r="AC469" s="5">
        <f>IF(tblOrdenes[[#This Row],[cod_actividad]]="","",_xlfn.XLOOKUP(tblOrdenes[[#This Row],[cod_actividad]],tblActividades[codigo],tblActividades[descripcion],"(sin catálogo)"))</f>
        <v/>
      </c>
      <c r="AD469" s="23">
        <f>IF(tblOrdenes[[#This Row],[fecha_inicio]]="","",TODAY()-tblOrdenes[[#This Row],[fecha_inicio]])</f>
        <v/>
      </c>
      <c r="AE4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5">
        <f>IF(tblOrdenes[[#This Row],[backlog_habiles]]="","",IF(tblOrdenes[[#This Row],[backlog_habiles]]&lt;0,"FUTURO",IF(tblOrdenes[[#This Row],[backlog_habiles]]&gt;p_dias_backlog_max,"BACKLOG","MES CORRIENTE")))</f>
        <v/>
      </c>
      <c r="AG469" s="5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18">
        <f>IF(tblOrdenes[[#This Row],[orden]]="","",_xlfn.XLOOKUP(tblOrdenes[[#This Row],[id_operacion]],tblEjecucion[id_operacion],tblEjecucion[precio],0))</f>
        <v/>
      </c>
      <c r="AM469" s="18">
        <f>IF(tblOrdenes[[#This Row],[orden]]="","",MAX(0,_xlfn.XLOOKUP(tblOrdenes[[#This Row],[id_operacion]],tblEjecucion[id_operacion],tblEjecucion[costo_plan_total],0)-tblOrdenes[[#This Row],[costo_servicio]]))</f>
        <v/>
      </c>
      <c r="AN469" s="18">
        <f>IF(tblOrdenes[[#This Row],[orden]]="","",tblOrdenes[[#This Row],[costo_servicio]]+tblOrdenes[[#This Row],[costo_materiales]])</f>
        <v/>
      </c>
      <c r="AO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5">
        <f>IF(tblOrdenes[[#This Row],[link_checklist]]="","",HYPERLINK(p_ruta_base_checklists&amp;tblOrdenes[[#This Row],[link_checklist]],"abrir"))</f>
        <v/>
      </c>
      <c r="AT469" s="4" t="n"/>
      <c r="AU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5" t="n"/>
      <c r="K470" s="5" t="n"/>
      <c r="L470" s="18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Row],[fecha_inicio]]="","",tblOrdenes[[#This Row],[anio]]&amp;"-"&amp;TEXT(tblOrdenes[[#This Row],[mes]],"00"))</f>
        <v/>
      </c>
      <c r="S470" s="5">
        <f>IF(tblOrdenes[[#This Row],[fecha_inicio]]="","",INDEX(lista_dias,WEEKDAY(tblOrdenes[[#This Row],[fecha_inicio]],2)))</f>
        <v/>
      </c>
      <c r="T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5">
        <f>IF(tblOrdenes[[#This Row],[tipo_ot]]="","",_xlfn.XLOOKUP(tblOrdenes[[#This Row],[tipo_ot]],tblTiposOT[codigo],tblTiposOT[clasificacion],"sin_clasificar"))</f>
        <v/>
      </c>
      <c r="V4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5">
        <f>IF(tblOrdenes[[#This Row],[centro_costo]]="","",_xlfn.XLOOKUP(tblOrdenes[[#This Row],[centro_costo]],tblCECO[codigo],tblCECO[linea],"(sin catálogo)"))</f>
        <v/>
      </c>
      <c r="Y470" s="5">
        <f>IF(tblOrdenes[[#This Row],[centro_costo]]="","",_xlfn.XLOOKUP(tblOrdenes[[#This Row],[centro_costo]],tblCECO[codigo],tblCECO[area],"(sin catálogo)"))</f>
        <v/>
      </c>
      <c r="Z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5">
        <f>IF(tblOrdenes[[#This Row],[centro_costo]]="","",_xlfn.XLOOKUP(tblOrdenes[[#This Row],[centro_costo]],tblCECO[codigo],tblCECO[coordinador],"(sin catálogo)"))</f>
        <v/>
      </c>
      <c r="AB470" s="5">
        <f>IF(tblOrdenes[[#This Row],[puesto_trabajo]]="","",_xlfn.XLOOKUP(tblOrdenes[[#This Row],[puesto_trabajo]],tblPuestos[codigo],tblPuestos[especialidad],"(sin catálogo)"))</f>
        <v/>
      </c>
      <c r="AC470" s="5">
        <f>IF(tblOrdenes[[#This Row],[cod_actividad]]="","",_xlfn.XLOOKUP(tblOrdenes[[#This Row],[cod_actividad]],tblActividades[codigo],tblActividades[descripcion],"(sin catálogo)"))</f>
        <v/>
      </c>
      <c r="AD470" s="23">
        <f>IF(tblOrdenes[[#This Row],[fecha_inicio]]="","",TODAY()-tblOrdenes[[#This Row],[fecha_inicio]])</f>
        <v/>
      </c>
      <c r="AE4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5">
        <f>IF(tblOrdenes[[#This Row],[backlog_habiles]]="","",IF(tblOrdenes[[#This Row],[backlog_habiles]]&lt;0,"FUTURO",IF(tblOrdenes[[#This Row],[backlog_habiles]]&gt;p_dias_backlog_max,"BACKLOG","MES CORRIENTE")))</f>
        <v/>
      </c>
      <c r="AG470" s="5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18">
        <f>IF(tblOrdenes[[#This Row],[orden]]="","",_xlfn.XLOOKUP(tblOrdenes[[#This Row],[id_operacion]],tblEjecucion[id_operacion],tblEjecucion[precio],0))</f>
        <v/>
      </c>
      <c r="AM470" s="18">
        <f>IF(tblOrdenes[[#This Row],[orden]]="","",MAX(0,_xlfn.XLOOKUP(tblOrdenes[[#This Row],[id_operacion]],tblEjecucion[id_operacion],tblEjecucion[costo_plan_total],0)-tblOrdenes[[#This Row],[costo_servicio]]))</f>
        <v/>
      </c>
      <c r="AN470" s="18">
        <f>IF(tblOrdenes[[#This Row],[orden]]="","",tblOrdenes[[#This Row],[costo_servicio]]+tblOrdenes[[#This Row],[costo_materiales]])</f>
        <v/>
      </c>
      <c r="AO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5">
        <f>IF(tblOrdenes[[#This Row],[link_checklist]]="","",HYPERLINK(p_ruta_base_checklists&amp;tblOrdenes[[#This Row],[link_checklist]],"abrir"))</f>
        <v/>
      </c>
      <c r="AT470" s="4" t="n"/>
      <c r="AU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5" t="n"/>
      <c r="K471" s="5" t="n"/>
      <c r="L471" s="18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Row],[fecha_inicio]]="","",tblOrdenes[[#This Row],[anio]]&amp;"-"&amp;TEXT(tblOrdenes[[#This Row],[mes]],"00"))</f>
        <v/>
      </c>
      <c r="S471" s="5">
        <f>IF(tblOrdenes[[#This Row],[fecha_inicio]]="","",INDEX(lista_dias,WEEKDAY(tblOrdenes[[#This Row],[fecha_inicio]],2)))</f>
        <v/>
      </c>
      <c r="T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5">
        <f>IF(tblOrdenes[[#This Row],[tipo_ot]]="","",_xlfn.XLOOKUP(tblOrdenes[[#This Row],[tipo_ot]],tblTiposOT[codigo],tblTiposOT[clasificacion],"sin_clasificar"))</f>
        <v/>
      </c>
      <c r="V4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5">
        <f>IF(tblOrdenes[[#This Row],[centro_costo]]="","",_xlfn.XLOOKUP(tblOrdenes[[#This Row],[centro_costo]],tblCECO[codigo],tblCECO[linea],"(sin catálogo)"))</f>
        <v/>
      </c>
      <c r="Y471" s="5">
        <f>IF(tblOrdenes[[#This Row],[centro_costo]]="","",_xlfn.XLOOKUP(tblOrdenes[[#This Row],[centro_costo]],tblCECO[codigo],tblCECO[area],"(sin catálogo)"))</f>
        <v/>
      </c>
      <c r="Z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5">
        <f>IF(tblOrdenes[[#This Row],[centro_costo]]="","",_xlfn.XLOOKUP(tblOrdenes[[#This Row],[centro_costo]],tblCECO[codigo],tblCECO[coordinador],"(sin catálogo)"))</f>
        <v/>
      </c>
      <c r="AB471" s="5">
        <f>IF(tblOrdenes[[#This Row],[puesto_trabajo]]="","",_xlfn.XLOOKUP(tblOrdenes[[#This Row],[puesto_trabajo]],tblPuestos[codigo],tblPuestos[especialidad],"(sin catálogo)"))</f>
        <v/>
      </c>
      <c r="AC471" s="5">
        <f>IF(tblOrdenes[[#This Row],[cod_actividad]]="","",_xlfn.XLOOKUP(tblOrdenes[[#This Row],[cod_actividad]],tblActividades[codigo],tblActividades[descripcion],"(sin catálogo)"))</f>
        <v/>
      </c>
      <c r="AD471" s="23">
        <f>IF(tblOrdenes[[#This Row],[fecha_inicio]]="","",TODAY()-tblOrdenes[[#This Row],[fecha_inicio]])</f>
        <v/>
      </c>
      <c r="AE4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5">
        <f>IF(tblOrdenes[[#This Row],[backlog_habiles]]="","",IF(tblOrdenes[[#This Row],[backlog_habiles]]&lt;0,"FUTURO",IF(tblOrdenes[[#This Row],[backlog_habiles]]&gt;p_dias_backlog_max,"BACKLOG","MES CORRIENTE")))</f>
        <v/>
      </c>
      <c r="AG471" s="5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18">
        <f>IF(tblOrdenes[[#This Row],[orden]]="","",_xlfn.XLOOKUP(tblOrdenes[[#This Row],[id_operacion]],tblEjecucion[id_operacion],tblEjecucion[precio],0))</f>
        <v/>
      </c>
      <c r="AM471" s="18">
        <f>IF(tblOrdenes[[#This Row],[orden]]="","",MAX(0,_xlfn.XLOOKUP(tblOrdenes[[#This Row],[id_operacion]],tblEjecucion[id_operacion],tblEjecucion[costo_plan_total],0)-tblOrdenes[[#This Row],[costo_servicio]]))</f>
        <v/>
      </c>
      <c r="AN471" s="18">
        <f>IF(tblOrdenes[[#This Row],[orden]]="","",tblOrdenes[[#This Row],[costo_servicio]]+tblOrdenes[[#This Row],[costo_materiales]])</f>
        <v/>
      </c>
      <c r="AO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5">
        <f>IF(tblOrdenes[[#This Row],[link_checklist]]="","",HYPERLINK(p_ruta_base_checklists&amp;tblOrdenes[[#This Row],[link_checklist]],"abrir"))</f>
        <v/>
      </c>
      <c r="AT471" s="4" t="n"/>
      <c r="AU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5" t="n"/>
      <c r="K472" s="5" t="n"/>
      <c r="L472" s="18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Row],[fecha_inicio]]="","",tblOrdenes[[#This Row],[anio]]&amp;"-"&amp;TEXT(tblOrdenes[[#This Row],[mes]],"00"))</f>
        <v/>
      </c>
      <c r="S472" s="5">
        <f>IF(tblOrdenes[[#This Row],[fecha_inicio]]="","",INDEX(lista_dias,WEEKDAY(tblOrdenes[[#This Row],[fecha_inicio]],2)))</f>
        <v/>
      </c>
      <c r="T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5">
        <f>IF(tblOrdenes[[#This Row],[tipo_ot]]="","",_xlfn.XLOOKUP(tblOrdenes[[#This Row],[tipo_ot]],tblTiposOT[codigo],tblTiposOT[clasificacion],"sin_clasificar"))</f>
        <v/>
      </c>
      <c r="V4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5">
        <f>IF(tblOrdenes[[#This Row],[centro_costo]]="","",_xlfn.XLOOKUP(tblOrdenes[[#This Row],[centro_costo]],tblCECO[codigo],tblCECO[linea],"(sin catálogo)"))</f>
        <v/>
      </c>
      <c r="Y472" s="5">
        <f>IF(tblOrdenes[[#This Row],[centro_costo]]="","",_xlfn.XLOOKUP(tblOrdenes[[#This Row],[centro_costo]],tblCECO[codigo],tblCECO[area],"(sin catálogo)"))</f>
        <v/>
      </c>
      <c r="Z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5">
        <f>IF(tblOrdenes[[#This Row],[centro_costo]]="","",_xlfn.XLOOKUP(tblOrdenes[[#This Row],[centro_costo]],tblCECO[codigo],tblCECO[coordinador],"(sin catálogo)"))</f>
        <v/>
      </c>
      <c r="AB472" s="5">
        <f>IF(tblOrdenes[[#This Row],[puesto_trabajo]]="","",_xlfn.XLOOKUP(tblOrdenes[[#This Row],[puesto_trabajo]],tblPuestos[codigo],tblPuestos[especialidad],"(sin catálogo)"))</f>
        <v/>
      </c>
      <c r="AC472" s="5">
        <f>IF(tblOrdenes[[#This Row],[cod_actividad]]="","",_xlfn.XLOOKUP(tblOrdenes[[#This Row],[cod_actividad]],tblActividades[codigo],tblActividades[descripcion],"(sin catálogo)"))</f>
        <v/>
      </c>
      <c r="AD472" s="23">
        <f>IF(tblOrdenes[[#This Row],[fecha_inicio]]="","",TODAY()-tblOrdenes[[#This Row],[fecha_inicio]])</f>
        <v/>
      </c>
      <c r="AE4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5">
        <f>IF(tblOrdenes[[#This Row],[backlog_habiles]]="","",IF(tblOrdenes[[#This Row],[backlog_habiles]]&lt;0,"FUTURO",IF(tblOrdenes[[#This Row],[backlog_habiles]]&gt;p_dias_backlog_max,"BACKLOG","MES CORRIENTE")))</f>
        <v/>
      </c>
      <c r="AG472" s="5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18">
        <f>IF(tblOrdenes[[#This Row],[orden]]="","",_xlfn.XLOOKUP(tblOrdenes[[#This Row],[id_operacion]],tblEjecucion[id_operacion],tblEjecucion[precio],0))</f>
        <v/>
      </c>
      <c r="AM472" s="18">
        <f>IF(tblOrdenes[[#This Row],[orden]]="","",MAX(0,_xlfn.XLOOKUP(tblOrdenes[[#This Row],[id_operacion]],tblEjecucion[id_operacion],tblEjecucion[costo_plan_total],0)-tblOrdenes[[#This Row],[costo_servicio]]))</f>
        <v/>
      </c>
      <c r="AN472" s="18">
        <f>IF(tblOrdenes[[#This Row],[orden]]="","",tblOrdenes[[#This Row],[costo_servicio]]+tblOrdenes[[#This Row],[costo_materiales]])</f>
        <v/>
      </c>
      <c r="AO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5">
        <f>IF(tblOrdenes[[#This Row],[link_checklist]]="","",HYPERLINK(p_ruta_base_checklists&amp;tblOrdenes[[#This Row],[link_checklist]],"abrir"))</f>
        <v/>
      </c>
      <c r="AT472" s="4" t="n"/>
      <c r="AU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5" t="n"/>
      <c r="K473" s="5" t="n"/>
      <c r="L473" s="18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Row],[fecha_inicio]]="","",tblOrdenes[[#This Row],[anio]]&amp;"-"&amp;TEXT(tblOrdenes[[#This Row],[mes]],"00"))</f>
        <v/>
      </c>
      <c r="S473" s="5">
        <f>IF(tblOrdenes[[#This Row],[fecha_inicio]]="","",INDEX(lista_dias,WEEKDAY(tblOrdenes[[#This Row],[fecha_inicio]],2)))</f>
        <v/>
      </c>
      <c r="T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5">
        <f>IF(tblOrdenes[[#This Row],[tipo_ot]]="","",_xlfn.XLOOKUP(tblOrdenes[[#This Row],[tipo_ot]],tblTiposOT[codigo],tblTiposOT[clasificacion],"sin_clasificar"))</f>
        <v/>
      </c>
      <c r="V4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5">
        <f>IF(tblOrdenes[[#This Row],[centro_costo]]="","",_xlfn.XLOOKUP(tblOrdenes[[#This Row],[centro_costo]],tblCECO[codigo],tblCECO[linea],"(sin catálogo)"))</f>
        <v/>
      </c>
      <c r="Y473" s="5">
        <f>IF(tblOrdenes[[#This Row],[centro_costo]]="","",_xlfn.XLOOKUP(tblOrdenes[[#This Row],[centro_costo]],tblCECO[codigo],tblCECO[area],"(sin catálogo)"))</f>
        <v/>
      </c>
      <c r="Z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5">
        <f>IF(tblOrdenes[[#This Row],[centro_costo]]="","",_xlfn.XLOOKUP(tblOrdenes[[#This Row],[centro_costo]],tblCECO[codigo],tblCECO[coordinador],"(sin catálogo)"))</f>
        <v/>
      </c>
      <c r="AB473" s="5">
        <f>IF(tblOrdenes[[#This Row],[puesto_trabajo]]="","",_xlfn.XLOOKUP(tblOrdenes[[#This Row],[puesto_trabajo]],tblPuestos[codigo],tblPuestos[especialidad],"(sin catálogo)"))</f>
        <v/>
      </c>
      <c r="AC473" s="5">
        <f>IF(tblOrdenes[[#This Row],[cod_actividad]]="","",_xlfn.XLOOKUP(tblOrdenes[[#This Row],[cod_actividad]],tblActividades[codigo],tblActividades[descripcion],"(sin catálogo)"))</f>
        <v/>
      </c>
      <c r="AD473" s="23">
        <f>IF(tblOrdenes[[#This Row],[fecha_inicio]]="","",TODAY()-tblOrdenes[[#This Row],[fecha_inicio]])</f>
        <v/>
      </c>
      <c r="AE4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5">
        <f>IF(tblOrdenes[[#This Row],[backlog_habiles]]="","",IF(tblOrdenes[[#This Row],[backlog_habiles]]&lt;0,"FUTURO",IF(tblOrdenes[[#This Row],[backlog_habiles]]&gt;p_dias_backlog_max,"BACKLOG","MES CORRIENTE")))</f>
        <v/>
      </c>
      <c r="AG473" s="5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18">
        <f>IF(tblOrdenes[[#This Row],[orden]]="","",_xlfn.XLOOKUP(tblOrdenes[[#This Row],[id_operacion]],tblEjecucion[id_operacion],tblEjecucion[precio],0))</f>
        <v/>
      </c>
      <c r="AM473" s="18">
        <f>IF(tblOrdenes[[#This Row],[orden]]="","",MAX(0,_xlfn.XLOOKUP(tblOrdenes[[#This Row],[id_operacion]],tblEjecucion[id_operacion],tblEjecucion[costo_plan_total],0)-tblOrdenes[[#This Row],[costo_servicio]]))</f>
        <v/>
      </c>
      <c r="AN473" s="18">
        <f>IF(tblOrdenes[[#This Row],[orden]]="","",tblOrdenes[[#This Row],[costo_servicio]]+tblOrdenes[[#This Row],[costo_materiales]])</f>
        <v/>
      </c>
      <c r="AO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5">
        <f>IF(tblOrdenes[[#This Row],[link_checklist]]="","",HYPERLINK(p_ruta_base_checklists&amp;tblOrdenes[[#This Row],[link_checklist]],"abrir"))</f>
        <v/>
      </c>
      <c r="AT473" s="4" t="n"/>
      <c r="AU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5" t="n"/>
      <c r="K474" s="5" t="n"/>
      <c r="L474" s="18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Row],[fecha_inicio]]="","",tblOrdenes[[#This Row],[anio]]&amp;"-"&amp;TEXT(tblOrdenes[[#This Row],[mes]],"00"))</f>
        <v/>
      </c>
      <c r="S474" s="5">
        <f>IF(tblOrdenes[[#This Row],[fecha_inicio]]="","",INDEX(lista_dias,WEEKDAY(tblOrdenes[[#This Row],[fecha_inicio]],2)))</f>
        <v/>
      </c>
      <c r="T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5">
        <f>IF(tblOrdenes[[#This Row],[tipo_ot]]="","",_xlfn.XLOOKUP(tblOrdenes[[#This Row],[tipo_ot]],tblTiposOT[codigo],tblTiposOT[clasificacion],"sin_clasificar"))</f>
        <v/>
      </c>
      <c r="V4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5">
        <f>IF(tblOrdenes[[#This Row],[centro_costo]]="","",_xlfn.XLOOKUP(tblOrdenes[[#This Row],[centro_costo]],tblCECO[codigo],tblCECO[linea],"(sin catálogo)"))</f>
        <v/>
      </c>
      <c r="Y474" s="5">
        <f>IF(tblOrdenes[[#This Row],[centro_costo]]="","",_xlfn.XLOOKUP(tblOrdenes[[#This Row],[centro_costo]],tblCECO[codigo],tblCECO[area],"(sin catálogo)"))</f>
        <v/>
      </c>
      <c r="Z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5">
        <f>IF(tblOrdenes[[#This Row],[centro_costo]]="","",_xlfn.XLOOKUP(tblOrdenes[[#This Row],[centro_costo]],tblCECO[codigo],tblCECO[coordinador],"(sin catálogo)"))</f>
        <v/>
      </c>
      <c r="AB474" s="5">
        <f>IF(tblOrdenes[[#This Row],[puesto_trabajo]]="","",_xlfn.XLOOKUP(tblOrdenes[[#This Row],[puesto_trabajo]],tblPuestos[codigo],tblPuestos[especialidad],"(sin catálogo)"))</f>
        <v/>
      </c>
      <c r="AC474" s="5">
        <f>IF(tblOrdenes[[#This Row],[cod_actividad]]="","",_xlfn.XLOOKUP(tblOrdenes[[#This Row],[cod_actividad]],tblActividades[codigo],tblActividades[descripcion],"(sin catálogo)"))</f>
        <v/>
      </c>
      <c r="AD474" s="23">
        <f>IF(tblOrdenes[[#This Row],[fecha_inicio]]="","",TODAY()-tblOrdenes[[#This Row],[fecha_inicio]])</f>
        <v/>
      </c>
      <c r="AE4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5">
        <f>IF(tblOrdenes[[#This Row],[backlog_habiles]]="","",IF(tblOrdenes[[#This Row],[backlog_habiles]]&lt;0,"FUTURO",IF(tblOrdenes[[#This Row],[backlog_habiles]]&gt;p_dias_backlog_max,"BACKLOG","MES CORRIENTE")))</f>
        <v/>
      </c>
      <c r="AG474" s="5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18">
        <f>IF(tblOrdenes[[#This Row],[orden]]="","",_xlfn.XLOOKUP(tblOrdenes[[#This Row],[id_operacion]],tblEjecucion[id_operacion],tblEjecucion[precio],0))</f>
        <v/>
      </c>
      <c r="AM474" s="18">
        <f>IF(tblOrdenes[[#This Row],[orden]]="","",MAX(0,_xlfn.XLOOKUP(tblOrdenes[[#This Row],[id_operacion]],tblEjecucion[id_operacion],tblEjecucion[costo_plan_total],0)-tblOrdenes[[#This Row],[costo_servicio]]))</f>
        <v/>
      </c>
      <c r="AN474" s="18">
        <f>IF(tblOrdenes[[#This Row],[orden]]="","",tblOrdenes[[#This Row],[costo_servicio]]+tblOrdenes[[#This Row],[costo_materiales]])</f>
        <v/>
      </c>
      <c r="AO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5">
        <f>IF(tblOrdenes[[#This Row],[link_checklist]]="","",HYPERLINK(p_ruta_base_checklists&amp;tblOrdenes[[#This Row],[link_checklist]],"abrir"))</f>
        <v/>
      </c>
      <c r="AT474" s="4" t="n"/>
      <c r="AU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5" t="n"/>
      <c r="K475" s="5" t="n"/>
      <c r="L475" s="18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Row],[fecha_inicio]]="","",tblOrdenes[[#This Row],[anio]]&amp;"-"&amp;TEXT(tblOrdenes[[#This Row],[mes]],"00"))</f>
        <v/>
      </c>
      <c r="S475" s="5">
        <f>IF(tblOrdenes[[#This Row],[fecha_inicio]]="","",INDEX(lista_dias,WEEKDAY(tblOrdenes[[#This Row],[fecha_inicio]],2)))</f>
        <v/>
      </c>
      <c r="T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5">
        <f>IF(tblOrdenes[[#This Row],[tipo_ot]]="","",_xlfn.XLOOKUP(tblOrdenes[[#This Row],[tipo_ot]],tblTiposOT[codigo],tblTiposOT[clasificacion],"sin_clasificar"))</f>
        <v/>
      </c>
      <c r="V4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5">
        <f>IF(tblOrdenes[[#This Row],[centro_costo]]="","",_xlfn.XLOOKUP(tblOrdenes[[#This Row],[centro_costo]],tblCECO[codigo],tblCECO[linea],"(sin catálogo)"))</f>
        <v/>
      </c>
      <c r="Y475" s="5">
        <f>IF(tblOrdenes[[#This Row],[centro_costo]]="","",_xlfn.XLOOKUP(tblOrdenes[[#This Row],[centro_costo]],tblCECO[codigo],tblCECO[area],"(sin catálogo)"))</f>
        <v/>
      </c>
      <c r="Z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5">
        <f>IF(tblOrdenes[[#This Row],[centro_costo]]="","",_xlfn.XLOOKUP(tblOrdenes[[#This Row],[centro_costo]],tblCECO[codigo],tblCECO[coordinador],"(sin catálogo)"))</f>
        <v/>
      </c>
      <c r="AB475" s="5">
        <f>IF(tblOrdenes[[#This Row],[puesto_trabajo]]="","",_xlfn.XLOOKUP(tblOrdenes[[#This Row],[puesto_trabajo]],tblPuestos[codigo],tblPuestos[especialidad],"(sin catálogo)"))</f>
        <v/>
      </c>
      <c r="AC475" s="5">
        <f>IF(tblOrdenes[[#This Row],[cod_actividad]]="","",_xlfn.XLOOKUP(tblOrdenes[[#This Row],[cod_actividad]],tblActividades[codigo],tblActividades[descripcion],"(sin catálogo)"))</f>
        <v/>
      </c>
      <c r="AD475" s="23">
        <f>IF(tblOrdenes[[#This Row],[fecha_inicio]]="","",TODAY()-tblOrdenes[[#This Row],[fecha_inicio]])</f>
        <v/>
      </c>
      <c r="AE4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5">
        <f>IF(tblOrdenes[[#This Row],[backlog_habiles]]="","",IF(tblOrdenes[[#This Row],[backlog_habiles]]&lt;0,"FUTURO",IF(tblOrdenes[[#This Row],[backlog_habiles]]&gt;p_dias_backlog_max,"BACKLOG","MES CORRIENTE")))</f>
        <v/>
      </c>
      <c r="AG475" s="5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18">
        <f>IF(tblOrdenes[[#This Row],[orden]]="","",_xlfn.XLOOKUP(tblOrdenes[[#This Row],[id_operacion]],tblEjecucion[id_operacion],tblEjecucion[precio],0))</f>
        <v/>
      </c>
      <c r="AM475" s="18">
        <f>IF(tblOrdenes[[#This Row],[orden]]="","",MAX(0,_xlfn.XLOOKUP(tblOrdenes[[#This Row],[id_operacion]],tblEjecucion[id_operacion],tblEjecucion[costo_plan_total],0)-tblOrdenes[[#This Row],[costo_servicio]]))</f>
        <v/>
      </c>
      <c r="AN475" s="18">
        <f>IF(tblOrdenes[[#This Row],[orden]]="","",tblOrdenes[[#This Row],[costo_servicio]]+tblOrdenes[[#This Row],[costo_materiales]])</f>
        <v/>
      </c>
      <c r="AO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5">
        <f>IF(tblOrdenes[[#This Row],[link_checklist]]="","",HYPERLINK(p_ruta_base_checklists&amp;tblOrdenes[[#This Row],[link_checklist]],"abrir"))</f>
        <v/>
      </c>
      <c r="AT475" s="4" t="n"/>
      <c r="AU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5" t="n"/>
      <c r="K476" s="5" t="n"/>
      <c r="L476" s="18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Row],[fecha_inicio]]="","",tblOrdenes[[#This Row],[anio]]&amp;"-"&amp;TEXT(tblOrdenes[[#This Row],[mes]],"00"))</f>
        <v/>
      </c>
      <c r="S476" s="5">
        <f>IF(tblOrdenes[[#This Row],[fecha_inicio]]="","",INDEX(lista_dias,WEEKDAY(tblOrdenes[[#This Row],[fecha_inicio]],2)))</f>
        <v/>
      </c>
      <c r="T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5">
        <f>IF(tblOrdenes[[#This Row],[tipo_ot]]="","",_xlfn.XLOOKUP(tblOrdenes[[#This Row],[tipo_ot]],tblTiposOT[codigo],tblTiposOT[clasificacion],"sin_clasificar"))</f>
        <v/>
      </c>
      <c r="V4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5">
        <f>IF(tblOrdenes[[#This Row],[centro_costo]]="","",_xlfn.XLOOKUP(tblOrdenes[[#This Row],[centro_costo]],tblCECO[codigo],tblCECO[linea],"(sin catálogo)"))</f>
        <v/>
      </c>
      <c r="Y476" s="5">
        <f>IF(tblOrdenes[[#This Row],[centro_costo]]="","",_xlfn.XLOOKUP(tblOrdenes[[#This Row],[centro_costo]],tblCECO[codigo],tblCECO[area],"(sin catálogo)"))</f>
        <v/>
      </c>
      <c r="Z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5">
        <f>IF(tblOrdenes[[#This Row],[centro_costo]]="","",_xlfn.XLOOKUP(tblOrdenes[[#This Row],[centro_costo]],tblCECO[codigo],tblCECO[coordinador],"(sin catálogo)"))</f>
        <v/>
      </c>
      <c r="AB476" s="5">
        <f>IF(tblOrdenes[[#This Row],[puesto_trabajo]]="","",_xlfn.XLOOKUP(tblOrdenes[[#This Row],[puesto_trabajo]],tblPuestos[codigo],tblPuestos[especialidad],"(sin catálogo)"))</f>
        <v/>
      </c>
      <c r="AC476" s="5">
        <f>IF(tblOrdenes[[#This Row],[cod_actividad]]="","",_xlfn.XLOOKUP(tblOrdenes[[#This Row],[cod_actividad]],tblActividades[codigo],tblActividades[descripcion],"(sin catálogo)"))</f>
        <v/>
      </c>
      <c r="AD476" s="23">
        <f>IF(tblOrdenes[[#This Row],[fecha_inicio]]="","",TODAY()-tblOrdenes[[#This Row],[fecha_inicio]])</f>
        <v/>
      </c>
      <c r="AE4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5">
        <f>IF(tblOrdenes[[#This Row],[backlog_habiles]]="","",IF(tblOrdenes[[#This Row],[backlog_habiles]]&lt;0,"FUTURO",IF(tblOrdenes[[#This Row],[backlog_habiles]]&gt;p_dias_backlog_max,"BACKLOG","MES CORRIENTE")))</f>
        <v/>
      </c>
      <c r="AG476" s="5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18">
        <f>IF(tblOrdenes[[#This Row],[orden]]="","",_xlfn.XLOOKUP(tblOrdenes[[#This Row],[id_operacion]],tblEjecucion[id_operacion],tblEjecucion[precio],0))</f>
        <v/>
      </c>
      <c r="AM476" s="18">
        <f>IF(tblOrdenes[[#This Row],[orden]]="","",MAX(0,_xlfn.XLOOKUP(tblOrdenes[[#This Row],[id_operacion]],tblEjecucion[id_operacion],tblEjecucion[costo_plan_total],0)-tblOrdenes[[#This Row],[costo_servicio]]))</f>
        <v/>
      </c>
      <c r="AN476" s="18">
        <f>IF(tblOrdenes[[#This Row],[orden]]="","",tblOrdenes[[#This Row],[costo_servicio]]+tblOrdenes[[#This Row],[costo_materiales]])</f>
        <v/>
      </c>
      <c r="AO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5">
        <f>IF(tblOrdenes[[#This Row],[link_checklist]]="","",HYPERLINK(p_ruta_base_checklists&amp;tblOrdenes[[#This Row],[link_checklist]],"abrir"))</f>
        <v/>
      </c>
      <c r="AT476" s="4" t="n"/>
      <c r="AU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5" t="n"/>
      <c r="K477" s="5" t="n"/>
      <c r="L477" s="18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Row],[fecha_inicio]]="","",tblOrdenes[[#This Row],[anio]]&amp;"-"&amp;TEXT(tblOrdenes[[#This Row],[mes]],"00"))</f>
        <v/>
      </c>
      <c r="S477" s="5">
        <f>IF(tblOrdenes[[#This Row],[fecha_inicio]]="","",INDEX(lista_dias,WEEKDAY(tblOrdenes[[#This Row],[fecha_inicio]],2)))</f>
        <v/>
      </c>
      <c r="T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5">
        <f>IF(tblOrdenes[[#This Row],[tipo_ot]]="","",_xlfn.XLOOKUP(tblOrdenes[[#This Row],[tipo_ot]],tblTiposOT[codigo],tblTiposOT[clasificacion],"sin_clasificar"))</f>
        <v/>
      </c>
      <c r="V4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5">
        <f>IF(tblOrdenes[[#This Row],[centro_costo]]="","",_xlfn.XLOOKUP(tblOrdenes[[#This Row],[centro_costo]],tblCECO[codigo],tblCECO[linea],"(sin catálogo)"))</f>
        <v/>
      </c>
      <c r="Y477" s="5">
        <f>IF(tblOrdenes[[#This Row],[centro_costo]]="","",_xlfn.XLOOKUP(tblOrdenes[[#This Row],[centro_costo]],tblCECO[codigo],tblCECO[area],"(sin catálogo)"))</f>
        <v/>
      </c>
      <c r="Z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5">
        <f>IF(tblOrdenes[[#This Row],[centro_costo]]="","",_xlfn.XLOOKUP(tblOrdenes[[#This Row],[centro_costo]],tblCECO[codigo],tblCECO[coordinador],"(sin catálogo)"))</f>
        <v/>
      </c>
      <c r="AB477" s="5">
        <f>IF(tblOrdenes[[#This Row],[puesto_trabajo]]="","",_xlfn.XLOOKUP(tblOrdenes[[#This Row],[puesto_trabajo]],tblPuestos[codigo],tblPuestos[especialidad],"(sin catálogo)"))</f>
        <v/>
      </c>
      <c r="AC477" s="5">
        <f>IF(tblOrdenes[[#This Row],[cod_actividad]]="","",_xlfn.XLOOKUP(tblOrdenes[[#This Row],[cod_actividad]],tblActividades[codigo],tblActividades[descripcion],"(sin catálogo)"))</f>
        <v/>
      </c>
      <c r="AD477" s="23">
        <f>IF(tblOrdenes[[#This Row],[fecha_inicio]]="","",TODAY()-tblOrdenes[[#This Row],[fecha_inicio]])</f>
        <v/>
      </c>
      <c r="AE4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5">
        <f>IF(tblOrdenes[[#This Row],[backlog_habiles]]="","",IF(tblOrdenes[[#This Row],[backlog_habiles]]&lt;0,"FUTURO",IF(tblOrdenes[[#This Row],[backlog_habiles]]&gt;p_dias_backlog_max,"BACKLOG","MES CORRIENTE")))</f>
        <v/>
      </c>
      <c r="AG477" s="5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18">
        <f>IF(tblOrdenes[[#This Row],[orden]]="","",_xlfn.XLOOKUP(tblOrdenes[[#This Row],[id_operacion]],tblEjecucion[id_operacion],tblEjecucion[precio],0))</f>
        <v/>
      </c>
      <c r="AM477" s="18">
        <f>IF(tblOrdenes[[#This Row],[orden]]="","",MAX(0,_xlfn.XLOOKUP(tblOrdenes[[#This Row],[id_operacion]],tblEjecucion[id_operacion],tblEjecucion[costo_plan_total],0)-tblOrdenes[[#This Row],[costo_servicio]]))</f>
        <v/>
      </c>
      <c r="AN477" s="18">
        <f>IF(tblOrdenes[[#This Row],[orden]]="","",tblOrdenes[[#This Row],[costo_servicio]]+tblOrdenes[[#This Row],[costo_materiales]])</f>
        <v/>
      </c>
      <c r="AO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5">
        <f>IF(tblOrdenes[[#This Row],[link_checklist]]="","",HYPERLINK(p_ruta_base_checklists&amp;tblOrdenes[[#This Row],[link_checklist]],"abrir"))</f>
        <v/>
      </c>
      <c r="AT477" s="4" t="n"/>
      <c r="AU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5" t="n"/>
      <c r="K478" s="5" t="n"/>
      <c r="L478" s="18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Row],[fecha_inicio]]="","",tblOrdenes[[#This Row],[anio]]&amp;"-"&amp;TEXT(tblOrdenes[[#This Row],[mes]],"00"))</f>
        <v/>
      </c>
      <c r="S478" s="5">
        <f>IF(tblOrdenes[[#This Row],[fecha_inicio]]="","",INDEX(lista_dias,WEEKDAY(tblOrdenes[[#This Row],[fecha_inicio]],2)))</f>
        <v/>
      </c>
      <c r="T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5">
        <f>IF(tblOrdenes[[#This Row],[tipo_ot]]="","",_xlfn.XLOOKUP(tblOrdenes[[#This Row],[tipo_ot]],tblTiposOT[codigo],tblTiposOT[clasificacion],"sin_clasificar"))</f>
        <v/>
      </c>
      <c r="V4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5">
        <f>IF(tblOrdenes[[#This Row],[centro_costo]]="","",_xlfn.XLOOKUP(tblOrdenes[[#This Row],[centro_costo]],tblCECO[codigo],tblCECO[linea],"(sin catálogo)"))</f>
        <v/>
      </c>
      <c r="Y478" s="5">
        <f>IF(tblOrdenes[[#This Row],[centro_costo]]="","",_xlfn.XLOOKUP(tblOrdenes[[#This Row],[centro_costo]],tblCECO[codigo],tblCECO[area],"(sin catálogo)"))</f>
        <v/>
      </c>
      <c r="Z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5">
        <f>IF(tblOrdenes[[#This Row],[centro_costo]]="","",_xlfn.XLOOKUP(tblOrdenes[[#This Row],[centro_costo]],tblCECO[codigo],tblCECO[coordinador],"(sin catálogo)"))</f>
        <v/>
      </c>
      <c r="AB478" s="5">
        <f>IF(tblOrdenes[[#This Row],[puesto_trabajo]]="","",_xlfn.XLOOKUP(tblOrdenes[[#This Row],[puesto_trabajo]],tblPuestos[codigo],tblPuestos[especialidad],"(sin catálogo)"))</f>
        <v/>
      </c>
      <c r="AC478" s="5">
        <f>IF(tblOrdenes[[#This Row],[cod_actividad]]="","",_xlfn.XLOOKUP(tblOrdenes[[#This Row],[cod_actividad]],tblActividades[codigo],tblActividades[descripcion],"(sin catálogo)"))</f>
        <v/>
      </c>
      <c r="AD478" s="23">
        <f>IF(tblOrdenes[[#This Row],[fecha_inicio]]="","",TODAY()-tblOrdenes[[#This Row],[fecha_inicio]])</f>
        <v/>
      </c>
      <c r="AE4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5">
        <f>IF(tblOrdenes[[#This Row],[backlog_habiles]]="","",IF(tblOrdenes[[#This Row],[backlog_habiles]]&lt;0,"FUTURO",IF(tblOrdenes[[#This Row],[backlog_habiles]]&gt;p_dias_backlog_max,"BACKLOG","MES CORRIENTE")))</f>
        <v/>
      </c>
      <c r="AG478" s="5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18">
        <f>IF(tblOrdenes[[#This Row],[orden]]="","",_xlfn.XLOOKUP(tblOrdenes[[#This Row],[id_operacion]],tblEjecucion[id_operacion],tblEjecucion[precio],0))</f>
        <v/>
      </c>
      <c r="AM478" s="18">
        <f>IF(tblOrdenes[[#This Row],[orden]]="","",MAX(0,_xlfn.XLOOKUP(tblOrdenes[[#This Row],[id_operacion]],tblEjecucion[id_operacion],tblEjecucion[costo_plan_total],0)-tblOrdenes[[#This Row],[costo_servicio]]))</f>
        <v/>
      </c>
      <c r="AN478" s="18">
        <f>IF(tblOrdenes[[#This Row],[orden]]="","",tblOrdenes[[#This Row],[costo_servicio]]+tblOrdenes[[#This Row],[costo_materiales]])</f>
        <v/>
      </c>
      <c r="AO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5">
        <f>IF(tblOrdenes[[#This Row],[link_checklist]]="","",HYPERLINK(p_ruta_base_checklists&amp;tblOrdenes[[#This Row],[link_checklist]],"abrir"))</f>
        <v/>
      </c>
      <c r="AT478" s="4" t="n"/>
      <c r="AU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5" t="n"/>
      <c r="K479" s="5" t="n"/>
      <c r="L479" s="18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Row],[fecha_inicio]]="","",tblOrdenes[[#This Row],[anio]]&amp;"-"&amp;TEXT(tblOrdenes[[#This Row],[mes]],"00"))</f>
        <v/>
      </c>
      <c r="S479" s="5">
        <f>IF(tblOrdenes[[#This Row],[fecha_inicio]]="","",INDEX(lista_dias,WEEKDAY(tblOrdenes[[#This Row],[fecha_inicio]],2)))</f>
        <v/>
      </c>
      <c r="T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5">
        <f>IF(tblOrdenes[[#This Row],[tipo_ot]]="","",_xlfn.XLOOKUP(tblOrdenes[[#This Row],[tipo_ot]],tblTiposOT[codigo],tblTiposOT[clasificacion],"sin_clasificar"))</f>
        <v/>
      </c>
      <c r="V4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5">
        <f>IF(tblOrdenes[[#This Row],[centro_costo]]="","",_xlfn.XLOOKUP(tblOrdenes[[#This Row],[centro_costo]],tblCECO[codigo],tblCECO[linea],"(sin catálogo)"))</f>
        <v/>
      </c>
      <c r="Y479" s="5">
        <f>IF(tblOrdenes[[#This Row],[centro_costo]]="","",_xlfn.XLOOKUP(tblOrdenes[[#This Row],[centro_costo]],tblCECO[codigo],tblCECO[area],"(sin catálogo)"))</f>
        <v/>
      </c>
      <c r="Z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5">
        <f>IF(tblOrdenes[[#This Row],[centro_costo]]="","",_xlfn.XLOOKUP(tblOrdenes[[#This Row],[centro_costo]],tblCECO[codigo],tblCECO[coordinador],"(sin catálogo)"))</f>
        <v/>
      </c>
      <c r="AB479" s="5">
        <f>IF(tblOrdenes[[#This Row],[puesto_trabajo]]="","",_xlfn.XLOOKUP(tblOrdenes[[#This Row],[puesto_trabajo]],tblPuestos[codigo],tblPuestos[especialidad],"(sin catálogo)"))</f>
        <v/>
      </c>
      <c r="AC479" s="5">
        <f>IF(tblOrdenes[[#This Row],[cod_actividad]]="","",_xlfn.XLOOKUP(tblOrdenes[[#This Row],[cod_actividad]],tblActividades[codigo],tblActividades[descripcion],"(sin catálogo)"))</f>
        <v/>
      </c>
      <c r="AD479" s="23">
        <f>IF(tblOrdenes[[#This Row],[fecha_inicio]]="","",TODAY()-tblOrdenes[[#This Row],[fecha_inicio]])</f>
        <v/>
      </c>
      <c r="AE4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5">
        <f>IF(tblOrdenes[[#This Row],[backlog_habiles]]="","",IF(tblOrdenes[[#This Row],[backlog_habiles]]&lt;0,"FUTURO",IF(tblOrdenes[[#This Row],[backlog_habiles]]&gt;p_dias_backlog_max,"BACKLOG","MES CORRIENTE")))</f>
        <v/>
      </c>
      <c r="AG479" s="5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18">
        <f>IF(tblOrdenes[[#This Row],[orden]]="","",_xlfn.XLOOKUP(tblOrdenes[[#This Row],[id_operacion]],tblEjecucion[id_operacion],tblEjecucion[precio],0))</f>
        <v/>
      </c>
      <c r="AM479" s="18">
        <f>IF(tblOrdenes[[#This Row],[orden]]="","",MAX(0,_xlfn.XLOOKUP(tblOrdenes[[#This Row],[id_operacion]],tblEjecucion[id_operacion],tblEjecucion[costo_plan_total],0)-tblOrdenes[[#This Row],[costo_servicio]]))</f>
        <v/>
      </c>
      <c r="AN479" s="18">
        <f>IF(tblOrdenes[[#This Row],[orden]]="","",tblOrdenes[[#This Row],[costo_servicio]]+tblOrdenes[[#This Row],[costo_materiales]])</f>
        <v/>
      </c>
      <c r="AO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5">
        <f>IF(tblOrdenes[[#This Row],[link_checklist]]="","",HYPERLINK(p_ruta_base_checklists&amp;tblOrdenes[[#This Row],[link_checklist]],"abrir"))</f>
        <v/>
      </c>
      <c r="AT479" s="4" t="n"/>
      <c r="AU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5" t="n"/>
      <c r="K480" s="5" t="n"/>
      <c r="L480" s="18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Row],[fecha_inicio]]="","",tblOrdenes[[#This Row],[anio]]&amp;"-"&amp;TEXT(tblOrdenes[[#This Row],[mes]],"00"))</f>
        <v/>
      </c>
      <c r="S480" s="5">
        <f>IF(tblOrdenes[[#This Row],[fecha_inicio]]="","",INDEX(lista_dias,WEEKDAY(tblOrdenes[[#This Row],[fecha_inicio]],2)))</f>
        <v/>
      </c>
      <c r="T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5">
        <f>IF(tblOrdenes[[#This Row],[tipo_ot]]="","",_xlfn.XLOOKUP(tblOrdenes[[#This Row],[tipo_ot]],tblTiposOT[codigo],tblTiposOT[clasificacion],"sin_clasificar"))</f>
        <v/>
      </c>
      <c r="V4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5">
        <f>IF(tblOrdenes[[#This Row],[centro_costo]]="","",_xlfn.XLOOKUP(tblOrdenes[[#This Row],[centro_costo]],tblCECO[codigo],tblCECO[linea],"(sin catálogo)"))</f>
        <v/>
      </c>
      <c r="Y480" s="5">
        <f>IF(tblOrdenes[[#This Row],[centro_costo]]="","",_xlfn.XLOOKUP(tblOrdenes[[#This Row],[centro_costo]],tblCECO[codigo],tblCECO[area],"(sin catálogo)"))</f>
        <v/>
      </c>
      <c r="Z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5">
        <f>IF(tblOrdenes[[#This Row],[centro_costo]]="","",_xlfn.XLOOKUP(tblOrdenes[[#This Row],[centro_costo]],tblCECO[codigo],tblCECO[coordinador],"(sin catálogo)"))</f>
        <v/>
      </c>
      <c r="AB480" s="5">
        <f>IF(tblOrdenes[[#This Row],[puesto_trabajo]]="","",_xlfn.XLOOKUP(tblOrdenes[[#This Row],[puesto_trabajo]],tblPuestos[codigo],tblPuestos[especialidad],"(sin catálogo)"))</f>
        <v/>
      </c>
      <c r="AC480" s="5">
        <f>IF(tblOrdenes[[#This Row],[cod_actividad]]="","",_xlfn.XLOOKUP(tblOrdenes[[#This Row],[cod_actividad]],tblActividades[codigo],tblActividades[descripcion],"(sin catálogo)"))</f>
        <v/>
      </c>
      <c r="AD480" s="23">
        <f>IF(tblOrdenes[[#This Row],[fecha_inicio]]="","",TODAY()-tblOrdenes[[#This Row],[fecha_inicio]])</f>
        <v/>
      </c>
      <c r="AE4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5">
        <f>IF(tblOrdenes[[#This Row],[backlog_habiles]]="","",IF(tblOrdenes[[#This Row],[backlog_habiles]]&lt;0,"FUTURO",IF(tblOrdenes[[#This Row],[backlog_habiles]]&gt;p_dias_backlog_max,"BACKLOG","MES CORRIENTE")))</f>
        <v/>
      </c>
      <c r="AG480" s="5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18">
        <f>IF(tblOrdenes[[#This Row],[orden]]="","",_xlfn.XLOOKUP(tblOrdenes[[#This Row],[id_operacion]],tblEjecucion[id_operacion],tblEjecucion[precio],0))</f>
        <v/>
      </c>
      <c r="AM480" s="18">
        <f>IF(tblOrdenes[[#This Row],[orden]]="","",MAX(0,_xlfn.XLOOKUP(tblOrdenes[[#This Row],[id_operacion]],tblEjecucion[id_operacion],tblEjecucion[costo_plan_total],0)-tblOrdenes[[#This Row],[costo_servicio]]))</f>
        <v/>
      </c>
      <c r="AN480" s="18">
        <f>IF(tblOrdenes[[#This Row],[orden]]="","",tblOrdenes[[#This Row],[costo_servicio]]+tblOrdenes[[#This Row],[costo_materiales]])</f>
        <v/>
      </c>
      <c r="AO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5">
        <f>IF(tblOrdenes[[#This Row],[link_checklist]]="","",HYPERLINK(p_ruta_base_checklists&amp;tblOrdenes[[#This Row],[link_checklist]],"abrir"))</f>
        <v/>
      </c>
      <c r="AT480" s="4" t="n"/>
      <c r="AU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5" t="n"/>
      <c r="K481" s="5" t="n"/>
      <c r="L481" s="18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Row],[fecha_inicio]]="","",tblOrdenes[[#This Row],[anio]]&amp;"-"&amp;TEXT(tblOrdenes[[#This Row],[mes]],"00"))</f>
        <v/>
      </c>
      <c r="S481" s="5">
        <f>IF(tblOrdenes[[#This Row],[fecha_inicio]]="","",INDEX(lista_dias,WEEKDAY(tblOrdenes[[#This Row],[fecha_inicio]],2)))</f>
        <v/>
      </c>
      <c r="T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5">
        <f>IF(tblOrdenes[[#This Row],[tipo_ot]]="","",_xlfn.XLOOKUP(tblOrdenes[[#This Row],[tipo_ot]],tblTiposOT[codigo],tblTiposOT[clasificacion],"sin_clasificar"))</f>
        <v/>
      </c>
      <c r="V4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5">
        <f>IF(tblOrdenes[[#This Row],[centro_costo]]="","",_xlfn.XLOOKUP(tblOrdenes[[#This Row],[centro_costo]],tblCECO[codigo],tblCECO[linea],"(sin catálogo)"))</f>
        <v/>
      </c>
      <c r="Y481" s="5">
        <f>IF(tblOrdenes[[#This Row],[centro_costo]]="","",_xlfn.XLOOKUP(tblOrdenes[[#This Row],[centro_costo]],tblCECO[codigo],tblCECO[area],"(sin catálogo)"))</f>
        <v/>
      </c>
      <c r="Z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5">
        <f>IF(tblOrdenes[[#This Row],[centro_costo]]="","",_xlfn.XLOOKUP(tblOrdenes[[#This Row],[centro_costo]],tblCECO[codigo],tblCECO[coordinador],"(sin catálogo)"))</f>
        <v/>
      </c>
      <c r="AB481" s="5">
        <f>IF(tblOrdenes[[#This Row],[puesto_trabajo]]="","",_xlfn.XLOOKUP(tblOrdenes[[#This Row],[puesto_trabajo]],tblPuestos[codigo],tblPuestos[especialidad],"(sin catálogo)"))</f>
        <v/>
      </c>
      <c r="AC481" s="5">
        <f>IF(tblOrdenes[[#This Row],[cod_actividad]]="","",_xlfn.XLOOKUP(tblOrdenes[[#This Row],[cod_actividad]],tblActividades[codigo],tblActividades[descripcion],"(sin catálogo)"))</f>
        <v/>
      </c>
      <c r="AD481" s="23">
        <f>IF(tblOrdenes[[#This Row],[fecha_inicio]]="","",TODAY()-tblOrdenes[[#This Row],[fecha_inicio]])</f>
        <v/>
      </c>
      <c r="AE4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5">
        <f>IF(tblOrdenes[[#This Row],[backlog_habiles]]="","",IF(tblOrdenes[[#This Row],[backlog_habiles]]&lt;0,"FUTURO",IF(tblOrdenes[[#This Row],[backlog_habiles]]&gt;p_dias_backlog_max,"BACKLOG","MES CORRIENTE")))</f>
        <v/>
      </c>
      <c r="AG481" s="5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18">
        <f>IF(tblOrdenes[[#This Row],[orden]]="","",_xlfn.XLOOKUP(tblOrdenes[[#This Row],[id_operacion]],tblEjecucion[id_operacion],tblEjecucion[precio],0))</f>
        <v/>
      </c>
      <c r="AM481" s="18">
        <f>IF(tblOrdenes[[#This Row],[orden]]="","",MAX(0,_xlfn.XLOOKUP(tblOrdenes[[#This Row],[id_operacion]],tblEjecucion[id_operacion],tblEjecucion[costo_plan_total],0)-tblOrdenes[[#This Row],[costo_servicio]]))</f>
        <v/>
      </c>
      <c r="AN481" s="18">
        <f>IF(tblOrdenes[[#This Row],[orden]]="","",tblOrdenes[[#This Row],[costo_servicio]]+tblOrdenes[[#This Row],[costo_materiales]])</f>
        <v/>
      </c>
      <c r="AO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5">
        <f>IF(tblOrdenes[[#This Row],[link_checklist]]="","",HYPERLINK(p_ruta_base_checklists&amp;tblOrdenes[[#This Row],[link_checklist]],"abrir"))</f>
        <v/>
      </c>
      <c r="AT481" s="4" t="n"/>
      <c r="AU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5" t="n"/>
      <c r="K482" s="5" t="n"/>
      <c r="L482" s="18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Row],[fecha_inicio]]="","",tblOrdenes[[#This Row],[anio]]&amp;"-"&amp;TEXT(tblOrdenes[[#This Row],[mes]],"00"))</f>
        <v/>
      </c>
      <c r="S482" s="5">
        <f>IF(tblOrdenes[[#This Row],[fecha_inicio]]="","",INDEX(lista_dias,WEEKDAY(tblOrdenes[[#This Row],[fecha_inicio]],2)))</f>
        <v/>
      </c>
      <c r="T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5">
        <f>IF(tblOrdenes[[#This Row],[tipo_ot]]="","",_xlfn.XLOOKUP(tblOrdenes[[#This Row],[tipo_ot]],tblTiposOT[codigo],tblTiposOT[clasificacion],"sin_clasificar"))</f>
        <v/>
      </c>
      <c r="V4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5">
        <f>IF(tblOrdenes[[#This Row],[centro_costo]]="","",_xlfn.XLOOKUP(tblOrdenes[[#This Row],[centro_costo]],tblCECO[codigo],tblCECO[linea],"(sin catálogo)"))</f>
        <v/>
      </c>
      <c r="Y482" s="5">
        <f>IF(tblOrdenes[[#This Row],[centro_costo]]="","",_xlfn.XLOOKUP(tblOrdenes[[#This Row],[centro_costo]],tblCECO[codigo],tblCECO[area],"(sin catálogo)"))</f>
        <v/>
      </c>
      <c r="Z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5">
        <f>IF(tblOrdenes[[#This Row],[centro_costo]]="","",_xlfn.XLOOKUP(tblOrdenes[[#This Row],[centro_costo]],tblCECO[codigo],tblCECO[coordinador],"(sin catálogo)"))</f>
        <v/>
      </c>
      <c r="AB482" s="5">
        <f>IF(tblOrdenes[[#This Row],[puesto_trabajo]]="","",_xlfn.XLOOKUP(tblOrdenes[[#This Row],[puesto_trabajo]],tblPuestos[codigo],tblPuestos[especialidad],"(sin catálogo)"))</f>
        <v/>
      </c>
      <c r="AC482" s="5">
        <f>IF(tblOrdenes[[#This Row],[cod_actividad]]="","",_xlfn.XLOOKUP(tblOrdenes[[#This Row],[cod_actividad]],tblActividades[codigo],tblActividades[descripcion],"(sin catálogo)"))</f>
        <v/>
      </c>
      <c r="AD482" s="23">
        <f>IF(tblOrdenes[[#This Row],[fecha_inicio]]="","",TODAY()-tblOrdenes[[#This Row],[fecha_inicio]])</f>
        <v/>
      </c>
      <c r="AE4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5">
        <f>IF(tblOrdenes[[#This Row],[backlog_habiles]]="","",IF(tblOrdenes[[#This Row],[backlog_habiles]]&lt;0,"FUTURO",IF(tblOrdenes[[#This Row],[backlog_habiles]]&gt;p_dias_backlog_max,"BACKLOG","MES CORRIENTE")))</f>
        <v/>
      </c>
      <c r="AG482" s="5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18">
        <f>IF(tblOrdenes[[#This Row],[orden]]="","",_xlfn.XLOOKUP(tblOrdenes[[#This Row],[id_operacion]],tblEjecucion[id_operacion],tblEjecucion[precio],0))</f>
        <v/>
      </c>
      <c r="AM482" s="18">
        <f>IF(tblOrdenes[[#This Row],[orden]]="","",MAX(0,_xlfn.XLOOKUP(tblOrdenes[[#This Row],[id_operacion]],tblEjecucion[id_operacion],tblEjecucion[costo_plan_total],0)-tblOrdenes[[#This Row],[costo_servicio]]))</f>
        <v/>
      </c>
      <c r="AN482" s="18">
        <f>IF(tblOrdenes[[#This Row],[orden]]="","",tblOrdenes[[#This Row],[costo_servicio]]+tblOrdenes[[#This Row],[costo_materiales]])</f>
        <v/>
      </c>
      <c r="AO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5">
        <f>IF(tblOrdenes[[#This Row],[link_checklist]]="","",HYPERLINK(p_ruta_base_checklists&amp;tblOrdenes[[#This Row],[link_checklist]],"abrir"))</f>
        <v/>
      </c>
      <c r="AT482" s="4" t="n"/>
      <c r="AU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5" t="n"/>
      <c r="K483" s="5" t="n"/>
      <c r="L483" s="18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Row],[fecha_inicio]]="","",tblOrdenes[[#This Row],[anio]]&amp;"-"&amp;TEXT(tblOrdenes[[#This Row],[mes]],"00"))</f>
        <v/>
      </c>
      <c r="S483" s="5">
        <f>IF(tblOrdenes[[#This Row],[fecha_inicio]]="","",INDEX(lista_dias,WEEKDAY(tblOrdenes[[#This Row],[fecha_inicio]],2)))</f>
        <v/>
      </c>
      <c r="T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5">
        <f>IF(tblOrdenes[[#This Row],[tipo_ot]]="","",_xlfn.XLOOKUP(tblOrdenes[[#This Row],[tipo_ot]],tblTiposOT[codigo],tblTiposOT[clasificacion],"sin_clasificar"))</f>
        <v/>
      </c>
      <c r="V4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5">
        <f>IF(tblOrdenes[[#This Row],[centro_costo]]="","",_xlfn.XLOOKUP(tblOrdenes[[#This Row],[centro_costo]],tblCECO[codigo],tblCECO[linea],"(sin catálogo)"))</f>
        <v/>
      </c>
      <c r="Y483" s="5">
        <f>IF(tblOrdenes[[#This Row],[centro_costo]]="","",_xlfn.XLOOKUP(tblOrdenes[[#This Row],[centro_costo]],tblCECO[codigo],tblCECO[area],"(sin catálogo)"))</f>
        <v/>
      </c>
      <c r="Z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5">
        <f>IF(tblOrdenes[[#This Row],[centro_costo]]="","",_xlfn.XLOOKUP(tblOrdenes[[#This Row],[centro_costo]],tblCECO[codigo],tblCECO[coordinador],"(sin catálogo)"))</f>
        <v/>
      </c>
      <c r="AB483" s="5">
        <f>IF(tblOrdenes[[#This Row],[puesto_trabajo]]="","",_xlfn.XLOOKUP(tblOrdenes[[#This Row],[puesto_trabajo]],tblPuestos[codigo],tblPuestos[especialidad],"(sin catálogo)"))</f>
        <v/>
      </c>
      <c r="AC483" s="5">
        <f>IF(tblOrdenes[[#This Row],[cod_actividad]]="","",_xlfn.XLOOKUP(tblOrdenes[[#This Row],[cod_actividad]],tblActividades[codigo],tblActividades[descripcion],"(sin catálogo)"))</f>
        <v/>
      </c>
      <c r="AD483" s="23">
        <f>IF(tblOrdenes[[#This Row],[fecha_inicio]]="","",TODAY()-tblOrdenes[[#This Row],[fecha_inicio]])</f>
        <v/>
      </c>
      <c r="AE4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5">
        <f>IF(tblOrdenes[[#This Row],[backlog_habiles]]="","",IF(tblOrdenes[[#This Row],[backlog_habiles]]&lt;0,"FUTURO",IF(tblOrdenes[[#This Row],[backlog_habiles]]&gt;p_dias_backlog_max,"BACKLOG","MES CORRIENTE")))</f>
        <v/>
      </c>
      <c r="AG483" s="5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18">
        <f>IF(tblOrdenes[[#This Row],[orden]]="","",_xlfn.XLOOKUP(tblOrdenes[[#This Row],[id_operacion]],tblEjecucion[id_operacion],tblEjecucion[precio],0))</f>
        <v/>
      </c>
      <c r="AM483" s="18">
        <f>IF(tblOrdenes[[#This Row],[orden]]="","",MAX(0,_xlfn.XLOOKUP(tblOrdenes[[#This Row],[id_operacion]],tblEjecucion[id_operacion],tblEjecucion[costo_plan_total],0)-tblOrdenes[[#This Row],[costo_servicio]]))</f>
        <v/>
      </c>
      <c r="AN483" s="18">
        <f>IF(tblOrdenes[[#This Row],[orden]]="","",tblOrdenes[[#This Row],[costo_servicio]]+tblOrdenes[[#This Row],[costo_materiales]])</f>
        <v/>
      </c>
      <c r="AO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5">
        <f>IF(tblOrdenes[[#This Row],[link_checklist]]="","",HYPERLINK(p_ruta_base_checklists&amp;tblOrdenes[[#This Row],[link_checklist]],"abrir"))</f>
        <v/>
      </c>
      <c r="AT483" s="4" t="n"/>
      <c r="AU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5" t="n"/>
      <c r="K484" s="5" t="n"/>
      <c r="L484" s="18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Row],[fecha_inicio]]="","",tblOrdenes[[#This Row],[anio]]&amp;"-"&amp;TEXT(tblOrdenes[[#This Row],[mes]],"00"))</f>
        <v/>
      </c>
      <c r="S484" s="5">
        <f>IF(tblOrdenes[[#This Row],[fecha_inicio]]="","",INDEX(lista_dias,WEEKDAY(tblOrdenes[[#This Row],[fecha_inicio]],2)))</f>
        <v/>
      </c>
      <c r="T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5">
        <f>IF(tblOrdenes[[#This Row],[tipo_ot]]="","",_xlfn.XLOOKUP(tblOrdenes[[#This Row],[tipo_ot]],tblTiposOT[codigo],tblTiposOT[clasificacion],"sin_clasificar"))</f>
        <v/>
      </c>
      <c r="V4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5">
        <f>IF(tblOrdenes[[#This Row],[centro_costo]]="","",_xlfn.XLOOKUP(tblOrdenes[[#This Row],[centro_costo]],tblCECO[codigo],tblCECO[linea],"(sin catálogo)"))</f>
        <v/>
      </c>
      <c r="Y484" s="5">
        <f>IF(tblOrdenes[[#This Row],[centro_costo]]="","",_xlfn.XLOOKUP(tblOrdenes[[#This Row],[centro_costo]],tblCECO[codigo],tblCECO[area],"(sin catálogo)"))</f>
        <v/>
      </c>
      <c r="Z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5">
        <f>IF(tblOrdenes[[#This Row],[centro_costo]]="","",_xlfn.XLOOKUP(tblOrdenes[[#This Row],[centro_costo]],tblCECO[codigo],tblCECO[coordinador],"(sin catálogo)"))</f>
        <v/>
      </c>
      <c r="AB484" s="5">
        <f>IF(tblOrdenes[[#This Row],[puesto_trabajo]]="","",_xlfn.XLOOKUP(tblOrdenes[[#This Row],[puesto_trabajo]],tblPuestos[codigo],tblPuestos[especialidad],"(sin catálogo)"))</f>
        <v/>
      </c>
      <c r="AC484" s="5">
        <f>IF(tblOrdenes[[#This Row],[cod_actividad]]="","",_xlfn.XLOOKUP(tblOrdenes[[#This Row],[cod_actividad]],tblActividades[codigo],tblActividades[descripcion],"(sin catálogo)"))</f>
        <v/>
      </c>
      <c r="AD484" s="23">
        <f>IF(tblOrdenes[[#This Row],[fecha_inicio]]="","",TODAY()-tblOrdenes[[#This Row],[fecha_inicio]])</f>
        <v/>
      </c>
      <c r="AE4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5">
        <f>IF(tblOrdenes[[#This Row],[backlog_habiles]]="","",IF(tblOrdenes[[#This Row],[backlog_habiles]]&lt;0,"FUTURO",IF(tblOrdenes[[#This Row],[backlog_habiles]]&gt;p_dias_backlog_max,"BACKLOG","MES CORRIENTE")))</f>
        <v/>
      </c>
      <c r="AG484" s="5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18">
        <f>IF(tblOrdenes[[#This Row],[orden]]="","",_xlfn.XLOOKUP(tblOrdenes[[#This Row],[id_operacion]],tblEjecucion[id_operacion],tblEjecucion[precio],0))</f>
        <v/>
      </c>
      <c r="AM484" s="18">
        <f>IF(tblOrdenes[[#This Row],[orden]]="","",MAX(0,_xlfn.XLOOKUP(tblOrdenes[[#This Row],[id_operacion]],tblEjecucion[id_operacion],tblEjecucion[costo_plan_total],0)-tblOrdenes[[#This Row],[costo_servicio]]))</f>
        <v/>
      </c>
      <c r="AN484" s="18">
        <f>IF(tblOrdenes[[#This Row],[orden]]="","",tblOrdenes[[#This Row],[costo_servicio]]+tblOrdenes[[#This Row],[costo_materiales]])</f>
        <v/>
      </c>
      <c r="AO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5">
        <f>IF(tblOrdenes[[#This Row],[link_checklist]]="","",HYPERLINK(p_ruta_base_checklists&amp;tblOrdenes[[#This Row],[link_checklist]],"abrir"))</f>
        <v/>
      </c>
      <c r="AT484" s="4" t="n"/>
      <c r="AU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5" t="n"/>
      <c r="K485" s="5" t="n"/>
      <c r="L485" s="18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Row],[fecha_inicio]]="","",tblOrdenes[[#This Row],[anio]]&amp;"-"&amp;TEXT(tblOrdenes[[#This Row],[mes]],"00"))</f>
        <v/>
      </c>
      <c r="S485" s="5">
        <f>IF(tblOrdenes[[#This Row],[fecha_inicio]]="","",INDEX(lista_dias,WEEKDAY(tblOrdenes[[#This Row],[fecha_inicio]],2)))</f>
        <v/>
      </c>
      <c r="T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5">
        <f>IF(tblOrdenes[[#This Row],[tipo_ot]]="","",_xlfn.XLOOKUP(tblOrdenes[[#This Row],[tipo_ot]],tblTiposOT[codigo],tblTiposOT[clasificacion],"sin_clasificar"))</f>
        <v/>
      </c>
      <c r="V4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5">
        <f>IF(tblOrdenes[[#This Row],[centro_costo]]="","",_xlfn.XLOOKUP(tblOrdenes[[#This Row],[centro_costo]],tblCECO[codigo],tblCECO[linea],"(sin catálogo)"))</f>
        <v/>
      </c>
      <c r="Y485" s="5">
        <f>IF(tblOrdenes[[#This Row],[centro_costo]]="","",_xlfn.XLOOKUP(tblOrdenes[[#This Row],[centro_costo]],tblCECO[codigo],tblCECO[area],"(sin catálogo)"))</f>
        <v/>
      </c>
      <c r="Z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5">
        <f>IF(tblOrdenes[[#This Row],[centro_costo]]="","",_xlfn.XLOOKUP(tblOrdenes[[#This Row],[centro_costo]],tblCECO[codigo],tblCECO[coordinador],"(sin catálogo)"))</f>
        <v/>
      </c>
      <c r="AB485" s="5">
        <f>IF(tblOrdenes[[#This Row],[puesto_trabajo]]="","",_xlfn.XLOOKUP(tblOrdenes[[#This Row],[puesto_trabajo]],tblPuestos[codigo],tblPuestos[especialidad],"(sin catálogo)"))</f>
        <v/>
      </c>
      <c r="AC485" s="5">
        <f>IF(tblOrdenes[[#This Row],[cod_actividad]]="","",_xlfn.XLOOKUP(tblOrdenes[[#This Row],[cod_actividad]],tblActividades[codigo],tblActividades[descripcion],"(sin catálogo)"))</f>
        <v/>
      </c>
      <c r="AD485" s="23">
        <f>IF(tblOrdenes[[#This Row],[fecha_inicio]]="","",TODAY()-tblOrdenes[[#This Row],[fecha_inicio]])</f>
        <v/>
      </c>
      <c r="AE4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5">
        <f>IF(tblOrdenes[[#This Row],[backlog_habiles]]="","",IF(tblOrdenes[[#This Row],[backlog_habiles]]&lt;0,"FUTURO",IF(tblOrdenes[[#This Row],[backlog_habiles]]&gt;p_dias_backlog_max,"BACKLOG","MES CORRIENTE")))</f>
        <v/>
      </c>
      <c r="AG485" s="5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18">
        <f>IF(tblOrdenes[[#This Row],[orden]]="","",_xlfn.XLOOKUP(tblOrdenes[[#This Row],[id_operacion]],tblEjecucion[id_operacion],tblEjecucion[precio],0))</f>
        <v/>
      </c>
      <c r="AM485" s="18">
        <f>IF(tblOrdenes[[#This Row],[orden]]="","",MAX(0,_xlfn.XLOOKUP(tblOrdenes[[#This Row],[id_operacion]],tblEjecucion[id_operacion],tblEjecucion[costo_plan_total],0)-tblOrdenes[[#This Row],[costo_servicio]]))</f>
        <v/>
      </c>
      <c r="AN485" s="18">
        <f>IF(tblOrdenes[[#This Row],[orden]]="","",tblOrdenes[[#This Row],[costo_servicio]]+tblOrdenes[[#This Row],[costo_materiales]])</f>
        <v/>
      </c>
      <c r="AO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5">
        <f>IF(tblOrdenes[[#This Row],[link_checklist]]="","",HYPERLINK(p_ruta_base_checklists&amp;tblOrdenes[[#This Row],[link_checklist]],"abrir"))</f>
        <v/>
      </c>
      <c r="AT485" s="4" t="n"/>
      <c r="AU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5" t="n"/>
      <c r="K486" s="5" t="n"/>
      <c r="L486" s="18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Row],[fecha_inicio]]="","",tblOrdenes[[#This Row],[anio]]&amp;"-"&amp;TEXT(tblOrdenes[[#This Row],[mes]],"00"))</f>
        <v/>
      </c>
      <c r="S486" s="5">
        <f>IF(tblOrdenes[[#This Row],[fecha_inicio]]="","",INDEX(lista_dias,WEEKDAY(tblOrdenes[[#This Row],[fecha_inicio]],2)))</f>
        <v/>
      </c>
      <c r="T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5">
        <f>IF(tblOrdenes[[#This Row],[tipo_ot]]="","",_xlfn.XLOOKUP(tblOrdenes[[#This Row],[tipo_ot]],tblTiposOT[codigo],tblTiposOT[clasificacion],"sin_clasificar"))</f>
        <v/>
      </c>
      <c r="V4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5">
        <f>IF(tblOrdenes[[#This Row],[centro_costo]]="","",_xlfn.XLOOKUP(tblOrdenes[[#This Row],[centro_costo]],tblCECO[codigo],tblCECO[linea],"(sin catálogo)"))</f>
        <v/>
      </c>
      <c r="Y486" s="5">
        <f>IF(tblOrdenes[[#This Row],[centro_costo]]="","",_xlfn.XLOOKUP(tblOrdenes[[#This Row],[centro_costo]],tblCECO[codigo],tblCECO[area],"(sin catálogo)"))</f>
        <v/>
      </c>
      <c r="Z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5">
        <f>IF(tblOrdenes[[#This Row],[centro_costo]]="","",_xlfn.XLOOKUP(tblOrdenes[[#This Row],[centro_costo]],tblCECO[codigo],tblCECO[coordinador],"(sin catálogo)"))</f>
        <v/>
      </c>
      <c r="AB486" s="5">
        <f>IF(tblOrdenes[[#This Row],[puesto_trabajo]]="","",_xlfn.XLOOKUP(tblOrdenes[[#This Row],[puesto_trabajo]],tblPuestos[codigo],tblPuestos[especialidad],"(sin catálogo)"))</f>
        <v/>
      </c>
      <c r="AC486" s="5">
        <f>IF(tblOrdenes[[#This Row],[cod_actividad]]="","",_xlfn.XLOOKUP(tblOrdenes[[#This Row],[cod_actividad]],tblActividades[codigo],tblActividades[descripcion],"(sin catálogo)"))</f>
        <v/>
      </c>
      <c r="AD486" s="23">
        <f>IF(tblOrdenes[[#This Row],[fecha_inicio]]="","",TODAY()-tblOrdenes[[#This Row],[fecha_inicio]])</f>
        <v/>
      </c>
      <c r="AE4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5">
        <f>IF(tblOrdenes[[#This Row],[backlog_habiles]]="","",IF(tblOrdenes[[#This Row],[backlog_habiles]]&lt;0,"FUTURO",IF(tblOrdenes[[#This Row],[backlog_habiles]]&gt;p_dias_backlog_max,"BACKLOG","MES CORRIENTE")))</f>
        <v/>
      </c>
      <c r="AG486" s="5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18">
        <f>IF(tblOrdenes[[#This Row],[orden]]="","",_xlfn.XLOOKUP(tblOrdenes[[#This Row],[id_operacion]],tblEjecucion[id_operacion],tblEjecucion[precio],0))</f>
        <v/>
      </c>
      <c r="AM486" s="18">
        <f>IF(tblOrdenes[[#This Row],[orden]]="","",MAX(0,_xlfn.XLOOKUP(tblOrdenes[[#This Row],[id_operacion]],tblEjecucion[id_operacion],tblEjecucion[costo_plan_total],0)-tblOrdenes[[#This Row],[costo_servicio]]))</f>
        <v/>
      </c>
      <c r="AN486" s="18">
        <f>IF(tblOrdenes[[#This Row],[orden]]="","",tblOrdenes[[#This Row],[costo_servicio]]+tblOrdenes[[#This Row],[costo_materiales]])</f>
        <v/>
      </c>
      <c r="AO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5">
        <f>IF(tblOrdenes[[#This Row],[link_checklist]]="","",HYPERLINK(p_ruta_base_checklists&amp;tblOrdenes[[#This Row],[link_checklist]],"abrir"))</f>
        <v/>
      </c>
      <c r="AT486" s="4" t="n"/>
      <c r="AU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5" t="n"/>
      <c r="K487" s="5" t="n"/>
      <c r="L487" s="18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Row],[fecha_inicio]]="","",tblOrdenes[[#This Row],[anio]]&amp;"-"&amp;TEXT(tblOrdenes[[#This Row],[mes]],"00"))</f>
        <v/>
      </c>
      <c r="S487" s="5">
        <f>IF(tblOrdenes[[#This Row],[fecha_inicio]]="","",INDEX(lista_dias,WEEKDAY(tblOrdenes[[#This Row],[fecha_inicio]],2)))</f>
        <v/>
      </c>
      <c r="T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5">
        <f>IF(tblOrdenes[[#This Row],[tipo_ot]]="","",_xlfn.XLOOKUP(tblOrdenes[[#This Row],[tipo_ot]],tblTiposOT[codigo],tblTiposOT[clasificacion],"sin_clasificar"))</f>
        <v/>
      </c>
      <c r="V4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5">
        <f>IF(tblOrdenes[[#This Row],[centro_costo]]="","",_xlfn.XLOOKUP(tblOrdenes[[#This Row],[centro_costo]],tblCECO[codigo],tblCECO[linea],"(sin catálogo)"))</f>
        <v/>
      </c>
      <c r="Y487" s="5">
        <f>IF(tblOrdenes[[#This Row],[centro_costo]]="","",_xlfn.XLOOKUP(tblOrdenes[[#This Row],[centro_costo]],tblCECO[codigo],tblCECO[area],"(sin catálogo)"))</f>
        <v/>
      </c>
      <c r="Z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5">
        <f>IF(tblOrdenes[[#This Row],[centro_costo]]="","",_xlfn.XLOOKUP(tblOrdenes[[#This Row],[centro_costo]],tblCECO[codigo],tblCECO[coordinador],"(sin catálogo)"))</f>
        <v/>
      </c>
      <c r="AB487" s="5">
        <f>IF(tblOrdenes[[#This Row],[puesto_trabajo]]="","",_xlfn.XLOOKUP(tblOrdenes[[#This Row],[puesto_trabajo]],tblPuestos[codigo],tblPuestos[especialidad],"(sin catálogo)"))</f>
        <v/>
      </c>
      <c r="AC487" s="5">
        <f>IF(tblOrdenes[[#This Row],[cod_actividad]]="","",_xlfn.XLOOKUP(tblOrdenes[[#This Row],[cod_actividad]],tblActividades[codigo],tblActividades[descripcion],"(sin catálogo)"))</f>
        <v/>
      </c>
      <c r="AD487" s="23">
        <f>IF(tblOrdenes[[#This Row],[fecha_inicio]]="","",TODAY()-tblOrdenes[[#This Row],[fecha_inicio]])</f>
        <v/>
      </c>
      <c r="AE4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5">
        <f>IF(tblOrdenes[[#This Row],[backlog_habiles]]="","",IF(tblOrdenes[[#This Row],[backlog_habiles]]&lt;0,"FUTURO",IF(tblOrdenes[[#This Row],[backlog_habiles]]&gt;p_dias_backlog_max,"BACKLOG","MES CORRIENTE")))</f>
        <v/>
      </c>
      <c r="AG487" s="5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18">
        <f>IF(tblOrdenes[[#This Row],[orden]]="","",_xlfn.XLOOKUP(tblOrdenes[[#This Row],[id_operacion]],tblEjecucion[id_operacion],tblEjecucion[precio],0))</f>
        <v/>
      </c>
      <c r="AM487" s="18">
        <f>IF(tblOrdenes[[#This Row],[orden]]="","",MAX(0,_xlfn.XLOOKUP(tblOrdenes[[#This Row],[id_operacion]],tblEjecucion[id_operacion],tblEjecucion[costo_plan_total],0)-tblOrdenes[[#This Row],[costo_servicio]]))</f>
        <v/>
      </c>
      <c r="AN487" s="18">
        <f>IF(tblOrdenes[[#This Row],[orden]]="","",tblOrdenes[[#This Row],[costo_servicio]]+tblOrdenes[[#This Row],[costo_materiales]])</f>
        <v/>
      </c>
      <c r="AO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5">
        <f>IF(tblOrdenes[[#This Row],[link_checklist]]="","",HYPERLINK(p_ruta_base_checklists&amp;tblOrdenes[[#This Row],[link_checklist]],"abrir"))</f>
        <v/>
      </c>
      <c r="AT487" s="4" t="n"/>
      <c r="AU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5" t="n"/>
      <c r="K488" s="5" t="n"/>
      <c r="L488" s="18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Row],[fecha_inicio]]="","",tblOrdenes[[#This Row],[anio]]&amp;"-"&amp;TEXT(tblOrdenes[[#This Row],[mes]],"00"))</f>
        <v/>
      </c>
      <c r="S488" s="5">
        <f>IF(tblOrdenes[[#This Row],[fecha_inicio]]="","",INDEX(lista_dias,WEEKDAY(tblOrdenes[[#This Row],[fecha_inicio]],2)))</f>
        <v/>
      </c>
      <c r="T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5">
        <f>IF(tblOrdenes[[#This Row],[tipo_ot]]="","",_xlfn.XLOOKUP(tblOrdenes[[#This Row],[tipo_ot]],tblTiposOT[codigo],tblTiposOT[clasificacion],"sin_clasificar"))</f>
        <v/>
      </c>
      <c r="V4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5">
        <f>IF(tblOrdenes[[#This Row],[centro_costo]]="","",_xlfn.XLOOKUP(tblOrdenes[[#This Row],[centro_costo]],tblCECO[codigo],tblCECO[linea],"(sin catálogo)"))</f>
        <v/>
      </c>
      <c r="Y488" s="5">
        <f>IF(tblOrdenes[[#This Row],[centro_costo]]="","",_xlfn.XLOOKUP(tblOrdenes[[#This Row],[centro_costo]],tblCECO[codigo],tblCECO[area],"(sin catálogo)"))</f>
        <v/>
      </c>
      <c r="Z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5">
        <f>IF(tblOrdenes[[#This Row],[centro_costo]]="","",_xlfn.XLOOKUP(tblOrdenes[[#This Row],[centro_costo]],tblCECO[codigo],tblCECO[coordinador],"(sin catálogo)"))</f>
        <v/>
      </c>
      <c r="AB488" s="5">
        <f>IF(tblOrdenes[[#This Row],[puesto_trabajo]]="","",_xlfn.XLOOKUP(tblOrdenes[[#This Row],[puesto_trabajo]],tblPuestos[codigo],tblPuestos[especialidad],"(sin catálogo)"))</f>
        <v/>
      </c>
      <c r="AC488" s="5">
        <f>IF(tblOrdenes[[#This Row],[cod_actividad]]="","",_xlfn.XLOOKUP(tblOrdenes[[#This Row],[cod_actividad]],tblActividades[codigo],tblActividades[descripcion],"(sin catálogo)"))</f>
        <v/>
      </c>
      <c r="AD488" s="23">
        <f>IF(tblOrdenes[[#This Row],[fecha_inicio]]="","",TODAY()-tblOrdenes[[#This Row],[fecha_inicio]])</f>
        <v/>
      </c>
      <c r="AE4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5">
        <f>IF(tblOrdenes[[#This Row],[backlog_habiles]]="","",IF(tblOrdenes[[#This Row],[backlog_habiles]]&lt;0,"FUTURO",IF(tblOrdenes[[#This Row],[backlog_habiles]]&gt;p_dias_backlog_max,"BACKLOG","MES CORRIENTE")))</f>
        <v/>
      </c>
      <c r="AG488" s="5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18">
        <f>IF(tblOrdenes[[#This Row],[orden]]="","",_xlfn.XLOOKUP(tblOrdenes[[#This Row],[id_operacion]],tblEjecucion[id_operacion],tblEjecucion[precio],0))</f>
        <v/>
      </c>
      <c r="AM488" s="18">
        <f>IF(tblOrdenes[[#This Row],[orden]]="","",MAX(0,_xlfn.XLOOKUP(tblOrdenes[[#This Row],[id_operacion]],tblEjecucion[id_operacion],tblEjecucion[costo_plan_total],0)-tblOrdenes[[#This Row],[costo_servicio]]))</f>
        <v/>
      </c>
      <c r="AN488" s="18">
        <f>IF(tblOrdenes[[#This Row],[orden]]="","",tblOrdenes[[#This Row],[costo_servicio]]+tblOrdenes[[#This Row],[costo_materiales]])</f>
        <v/>
      </c>
      <c r="AO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5">
        <f>IF(tblOrdenes[[#This Row],[link_checklist]]="","",HYPERLINK(p_ruta_base_checklists&amp;tblOrdenes[[#This Row],[link_checklist]],"abrir"))</f>
        <v/>
      </c>
      <c r="AT488" s="4" t="n"/>
      <c r="AU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5" t="n"/>
      <c r="K489" s="5" t="n"/>
      <c r="L489" s="18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Row],[fecha_inicio]]="","",tblOrdenes[[#This Row],[anio]]&amp;"-"&amp;TEXT(tblOrdenes[[#This Row],[mes]],"00"))</f>
        <v/>
      </c>
      <c r="S489" s="5">
        <f>IF(tblOrdenes[[#This Row],[fecha_inicio]]="","",INDEX(lista_dias,WEEKDAY(tblOrdenes[[#This Row],[fecha_inicio]],2)))</f>
        <v/>
      </c>
      <c r="T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5">
        <f>IF(tblOrdenes[[#This Row],[tipo_ot]]="","",_xlfn.XLOOKUP(tblOrdenes[[#This Row],[tipo_ot]],tblTiposOT[codigo],tblTiposOT[clasificacion],"sin_clasificar"))</f>
        <v/>
      </c>
      <c r="V4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5">
        <f>IF(tblOrdenes[[#This Row],[centro_costo]]="","",_xlfn.XLOOKUP(tblOrdenes[[#This Row],[centro_costo]],tblCECO[codigo],tblCECO[linea],"(sin catálogo)"))</f>
        <v/>
      </c>
      <c r="Y489" s="5">
        <f>IF(tblOrdenes[[#This Row],[centro_costo]]="","",_xlfn.XLOOKUP(tblOrdenes[[#This Row],[centro_costo]],tblCECO[codigo],tblCECO[area],"(sin catálogo)"))</f>
        <v/>
      </c>
      <c r="Z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5">
        <f>IF(tblOrdenes[[#This Row],[centro_costo]]="","",_xlfn.XLOOKUP(tblOrdenes[[#This Row],[centro_costo]],tblCECO[codigo],tblCECO[coordinador],"(sin catálogo)"))</f>
        <v/>
      </c>
      <c r="AB489" s="5">
        <f>IF(tblOrdenes[[#This Row],[puesto_trabajo]]="","",_xlfn.XLOOKUP(tblOrdenes[[#This Row],[puesto_trabajo]],tblPuestos[codigo],tblPuestos[especialidad],"(sin catálogo)"))</f>
        <v/>
      </c>
      <c r="AC489" s="5">
        <f>IF(tblOrdenes[[#This Row],[cod_actividad]]="","",_xlfn.XLOOKUP(tblOrdenes[[#This Row],[cod_actividad]],tblActividades[codigo],tblActividades[descripcion],"(sin catálogo)"))</f>
        <v/>
      </c>
      <c r="AD489" s="23">
        <f>IF(tblOrdenes[[#This Row],[fecha_inicio]]="","",TODAY()-tblOrdenes[[#This Row],[fecha_inicio]])</f>
        <v/>
      </c>
      <c r="AE4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5">
        <f>IF(tblOrdenes[[#This Row],[backlog_habiles]]="","",IF(tblOrdenes[[#This Row],[backlog_habiles]]&lt;0,"FUTURO",IF(tblOrdenes[[#This Row],[backlog_habiles]]&gt;p_dias_backlog_max,"BACKLOG","MES CORRIENTE")))</f>
        <v/>
      </c>
      <c r="AG489" s="5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18">
        <f>IF(tblOrdenes[[#This Row],[orden]]="","",_xlfn.XLOOKUP(tblOrdenes[[#This Row],[id_operacion]],tblEjecucion[id_operacion],tblEjecucion[precio],0))</f>
        <v/>
      </c>
      <c r="AM489" s="18">
        <f>IF(tblOrdenes[[#This Row],[orden]]="","",MAX(0,_xlfn.XLOOKUP(tblOrdenes[[#This Row],[id_operacion]],tblEjecucion[id_operacion],tblEjecucion[costo_plan_total],0)-tblOrdenes[[#This Row],[costo_servicio]]))</f>
        <v/>
      </c>
      <c r="AN489" s="18">
        <f>IF(tblOrdenes[[#This Row],[orden]]="","",tblOrdenes[[#This Row],[costo_servicio]]+tblOrdenes[[#This Row],[costo_materiales]])</f>
        <v/>
      </c>
      <c r="AO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5">
        <f>IF(tblOrdenes[[#This Row],[link_checklist]]="","",HYPERLINK(p_ruta_base_checklists&amp;tblOrdenes[[#This Row],[link_checklist]],"abrir"))</f>
        <v/>
      </c>
      <c r="AT489" s="4" t="n"/>
      <c r="AU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5" t="n"/>
      <c r="K490" s="5" t="n"/>
      <c r="L490" s="18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Row],[fecha_inicio]]="","",tblOrdenes[[#This Row],[anio]]&amp;"-"&amp;TEXT(tblOrdenes[[#This Row],[mes]],"00"))</f>
        <v/>
      </c>
      <c r="S490" s="5">
        <f>IF(tblOrdenes[[#This Row],[fecha_inicio]]="","",INDEX(lista_dias,WEEKDAY(tblOrdenes[[#This Row],[fecha_inicio]],2)))</f>
        <v/>
      </c>
      <c r="T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5">
        <f>IF(tblOrdenes[[#This Row],[tipo_ot]]="","",_xlfn.XLOOKUP(tblOrdenes[[#This Row],[tipo_ot]],tblTiposOT[codigo],tblTiposOT[clasificacion],"sin_clasificar"))</f>
        <v/>
      </c>
      <c r="V4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5">
        <f>IF(tblOrdenes[[#This Row],[centro_costo]]="","",_xlfn.XLOOKUP(tblOrdenes[[#This Row],[centro_costo]],tblCECO[codigo],tblCECO[linea],"(sin catálogo)"))</f>
        <v/>
      </c>
      <c r="Y490" s="5">
        <f>IF(tblOrdenes[[#This Row],[centro_costo]]="","",_xlfn.XLOOKUP(tblOrdenes[[#This Row],[centro_costo]],tblCECO[codigo],tblCECO[area],"(sin catálogo)"))</f>
        <v/>
      </c>
      <c r="Z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5">
        <f>IF(tblOrdenes[[#This Row],[centro_costo]]="","",_xlfn.XLOOKUP(tblOrdenes[[#This Row],[centro_costo]],tblCECO[codigo],tblCECO[coordinador],"(sin catálogo)"))</f>
        <v/>
      </c>
      <c r="AB490" s="5">
        <f>IF(tblOrdenes[[#This Row],[puesto_trabajo]]="","",_xlfn.XLOOKUP(tblOrdenes[[#This Row],[puesto_trabajo]],tblPuestos[codigo],tblPuestos[especialidad],"(sin catálogo)"))</f>
        <v/>
      </c>
      <c r="AC490" s="5">
        <f>IF(tblOrdenes[[#This Row],[cod_actividad]]="","",_xlfn.XLOOKUP(tblOrdenes[[#This Row],[cod_actividad]],tblActividades[codigo],tblActividades[descripcion],"(sin catálogo)"))</f>
        <v/>
      </c>
      <c r="AD490" s="23">
        <f>IF(tblOrdenes[[#This Row],[fecha_inicio]]="","",TODAY()-tblOrdenes[[#This Row],[fecha_inicio]])</f>
        <v/>
      </c>
      <c r="AE4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5">
        <f>IF(tblOrdenes[[#This Row],[backlog_habiles]]="","",IF(tblOrdenes[[#This Row],[backlog_habiles]]&lt;0,"FUTURO",IF(tblOrdenes[[#This Row],[backlog_habiles]]&gt;p_dias_backlog_max,"BACKLOG","MES CORRIENTE")))</f>
        <v/>
      </c>
      <c r="AG490" s="5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18">
        <f>IF(tblOrdenes[[#This Row],[orden]]="","",_xlfn.XLOOKUP(tblOrdenes[[#This Row],[id_operacion]],tblEjecucion[id_operacion],tblEjecucion[precio],0))</f>
        <v/>
      </c>
      <c r="AM490" s="18">
        <f>IF(tblOrdenes[[#This Row],[orden]]="","",MAX(0,_xlfn.XLOOKUP(tblOrdenes[[#This Row],[id_operacion]],tblEjecucion[id_operacion],tblEjecucion[costo_plan_total],0)-tblOrdenes[[#This Row],[costo_servicio]]))</f>
        <v/>
      </c>
      <c r="AN490" s="18">
        <f>IF(tblOrdenes[[#This Row],[orden]]="","",tblOrdenes[[#This Row],[costo_servicio]]+tblOrdenes[[#This Row],[costo_materiales]])</f>
        <v/>
      </c>
      <c r="AO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5">
        <f>IF(tblOrdenes[[#This Row],[link_checklist]]="","",HYPERLINK(p_ruta_base_checklists&amp;tblOrdenes[[#This Row],[link_checklist]],"abrir"))</f>
        <v/>
      </c>
      <c r="AT490" s="4" t="n"/>
      <c r="AU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5" t="n"/>
      <c r="K491" s="5" t="n"/>
      <c r="L491" s="18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Row],[fecha_inicio]]="","",tblOrdenes[[#This Row],[anio]]&amp;"-"&amp;TEXT(tblOrdenes[[#This Row],[mes]],"00"))</f>
        <v/>
      </c>
      <c r="S491" s="5">
        <f>IF(tblOrdenes[[#This Row],[fecha_inicio]]="","",INDEX(lista_dias,WEEKDAY(tblOrdenes[[#This Row],[fecha_inicio]],2)))</f>
        <v/>
      </c>
      <c r="T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5">
        <f>IF(tblOrdenes[[#This Row],[tipo_ot]]="","",_xlfn.XLOOKUP(tblOrdenes[[#This Row],[tipo_ot]],tblTiposOT[codigo],tblTiposOT[clasificacion],"sin_clasificar"))</f>
        <v/>
      </c>
      <c r="V4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5">
        <f>IF(tblOrdenes[[#This Row],[centro_costo]]="","",_xlfn.XLOOKUP(tblOrdenes[[#This Row],[centro_costo]],tblCECO[codigo],tblCECO[linea],"(sin catálogo)"))</f>
        <v/>
      </c>
      <c r="Y491" s="5">
        <f>IF(tblOrdenes[[#This Row],[centro_costo]]="","",_xlfn.XLOOKUP(tblOrdenes[[#This Row],[centro_costo]],tblCECO[codigo],tblCECO[area],"(sin catálogo)"))</f>
        <v/>
      </c>
      <c r="Z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5">
        <f>IF(tblOrdenes[[#This Row],[centro_costo]]="","",_xlfn.XLOOKUP(tblOrdenes[[#This Row],[centro_costo]],tblCECO[codigo],tblCECO[coordinador],"(sin catálogo)"))</f>
        <v/>
      </c>
      <c r="AB491" s="5">
        <f>IF(tblOrdenes[[#This Row],[puesto_trabajo]]="","",_xlfn.XLOOKUP(tblOrdenes[[#This Row],[puesto_trabajo]],tblPuestos[codigo],tblPuestos[especialidad],"(sin catálogo)"))</f>
        <v/>
      </c>
      <c r="AC491" s="5">
        <f>IF(tblOrdenes[[#This Row],[cod_actividad]]="","",_xlfn.XLOOKUP(tblOrdenes[[#This Row],[cod_actividad]],tblActividades[codigo],tblActividades[descripcion],"(sin catálogo)"))</f>
        <v/>
      </c>
      <c r="AD491" s="23">
        <f>IF(tblOrdenes[[#This Row],[fecha_inicio]]="","",TODAY()-tblOrdenes[[#This Row],[fecha_inicio]])</f>
        <v/>
      </c>
      <c r="AE4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5">
        <f>IF(tblOrdenes[[#This Row],[backlog_habiles]]="","",IF(tblOrdenes[[#This Row],[backlog_habiles]]&lt;0,"FUTURO",IF(tblOrdenes[[#This Row],[backlog_habiles]]&gt;p_dias_backlog_max,"BACKLOG","MES CORRIENTE")))</f>
        <v/>
      </c>
      <c r="AG491" s="5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18">
        <f>IF(tblOrdenes[[#This Row],[orden]]="","",_xlfn.XLOOKUP(tblOrdenes[[#This Row],[id_operacion]],tblEjecucion[id_operacion],tblEjecucion[precio],0))</f>
        <v/>
      </c>
      <c r="AM491" s="18">
        <f>IF(tblOrdenes[[#This Row],[orden]]="","",MAX(0,_xlfn.XLOOKUP(tblOrdenes[[#This Row],[id_operacion]],tblEjecucion[id_operacion],tblEjecucion[costo_plan_total],0)-tblOrdenes[[#This Row],[costo_servicio]]))</f>
        <v/>
      </c>
      <c r="AN491" s="18">
        <f>IF(tblOrdenes[[#This Row],[orden]]="","",tblOrdenes[[#This Row],[costo_servicio]]+tblOrdenes[[#This Row],[costo_materiales]])</f>
        <v/>
      </c>
      <c r="AO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5">
        <f>IF(tblOrdenes[[#This Row],[link_checklist]]="","",HYPERLINK(p_ruta_base_checklists&amp;tblOrdenes[[#This Row],[link_checklist]],"abrir"))</f>
        <v/>
      </c>
      <c r="AT491" s="4" t="n"/>
      <c r="AU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5" t="n"/>
      <c r="K492" s="5" t="n"/>
      <c r="L492" s="18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Row],[fecha_inicio]]="","",tblOrdenes[[#This Row],[anio]]&amp;"-"&amp;TEXT(tblOrdenes[[#This Row],[mes]],"00"))</f>
        <v/>
      </c>
      <c r="S492" s="5">
        <f>IF(tblOrdenes[[#This Row],[fecha_inicio]]="","",INDEX(lista_dias,WEEKDAY(tblOrdenes[[#This Row],[fecha_inicio]],2)))</f>
        <v/>
      </c>
      <c r="T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5">
        <f>IF(tblOrdenes[[#This Row],[tipo_ot]]="","",_xlfn.XLOOKUP(tblOrdenes[[#This Row],[tipo_ot]],tblTiposOT[codigo],tblTiposOT[clasificacion],"sin_clasificar"))</f>
        <v/>
      </c>
      <c r="V4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5">
        <f>IF(tblOrdenes[[#This Row],[centro_costo]]="","",_xlfn.XLOOKUP(tblOrdenes[[#This Row],[centro_costo]],tblCECO[codigo],tblCECO[linea],"(sin catálogo)"))</f>
        <v/>
      </c>
      <c r="Y492" s="5">
        <f>IF(tblOrdenes[[#This Row],[centro_costo]]="","",_xlfn.XLOOKUP(tblOrdenes[[#This Row],[centro_costo]],tblCECO[codigo],tblCECO[area],"(sin catálogo)"))</f>
        <v/>
      </c>
      <c r="Z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5">
        <f>IF(tblOrdenes[[#This Row],[centro_costo]]="","",_xlfn.XLOOKUP(tblOrdenes[[#This Row],[centro_costo]],tblCECO[codigo],tblCECO[coordinador],"(sin catálogo)"))</f>
        <v/>
      </c>
      <c r="AB492" s="5">
        <f>IF(tblOrdenes[[#This Row],[puesto_trabajo]]="","",_xlfn.XLOOKUP(tblOrdenes[[#This Row],[puesto_trabajo]],tblPuestos[codigo],tblPuestos[especialidad],"(sin catálogo)"))</f>
        <v/>
      </c>
      <c r="AC492" s="5">
        <f>IF(tblOrdenes[[#This Row],[cod_actividad]]="","",_xlfn.XLOOKUP(tblOrdenes[[#This Row],[cod_actividad]],tblActividades[codigo],tblActividades[descripcion],"(sin catálogo)"))</f>
        <v/>
      </c>
      <c r="AD492" s="23">
        <f>IF(tblOrdenes[[#This Row],[fecha_inicio]]="","",TODAY()-tblOrdenes[[#This Row],[fecha_inicio]])</f>
        <v/>
      </c>
      <c r="AE4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5">
        <f>IF(tblOrdenes[[#This Row],[backlog_habiles]]="","",IF(tblOrdenes[[#This Row],[backlog_habiles]]&lt;0,"FUTURO",IF(tblOrdenes[[#This Row],[backlog_habiles]]&gt;p_dias_backlog_max,"BACKLOG","MES CORRIENTE")))</f>
        <v/>
      </c>
      <c r="AG492" s="5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18">
        <f>IF(tblOrdenes[[#This Row],[orden]]="","",_xlfn.XLOOKUP(tblOrdenes[[#This Row],[id_operacion]],tblEjecucion[id_operacion],tblEjecucion[precio],0))</f>
        <v/>
      </c>
      <c r="AM492" s="18">
        <f>IF(tblOrdenes[[#This Row],[orden]]="","",MAX(0,_xlfn.XLOOKUP(tblOrdenes[[#This Row],[id_operacion]],tblEjecucion[id_operacion],tblEjecucion[costo_plan_total],0)-tblOrdenes[[#This Row],[costo_servicio]]))</f>
        <v/>
      </c>
      <c r="AN492" s="18">
        <f>IF(tblOrdenes[[#This Row],[orden]]="","",tblOrdenes[[#This Row],[costo_servicio]]+tblOrdenes[[#This Row],[costo_materiales]])</f>
        <v/>
      </c>
      <c r="AO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5">
        <f>IF(tblOrdenes[[#This Row],[link_checklist]]="","",HYPERLINK(p_ruta_base_checklists&amp;tblOrdenes[[#This Row],[link_checklist]],"abrir"))</f>
        <v/>
      </c>
      <c r="AT492" s="4" t="n"/>
      <c r="AU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5" t="n"/>
      <c r="K493" s="5" t="n"/>
      <c r="L493" s="18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Row],[fecha_inicio]]="","",tblOrdenes[[#This Row],[anio]]&amp;"-"&amp;TEXT(tblOrdenes[[#This Row],[mes]],"00"))</f>
        <v/>
      </c>
      <c r="S493" s="5">
        <f>IF(tblOrdenes[[#This Row],[fecha_inicio]]="","",INDEX(lista_dias,WEEKDAY(tblOrdenes[[#This Row],[fecha_inicio]],2)))</f>
        <v/>
      </c>
      <c r="T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5">
        <f>IF(tblOrdenes[[#This Row],[tipo_ot]]="","",_xlfn.XLOOKUP(tblOrdenes[[#This Row],[tipo_ot]],tblTiposOT[codigo],tblTiposOT[clasificacion],"sin_clasificar"))</f>
        <v/>
      </c>
      <c r="V4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5">
        <f>IF(tblOrdenes[[#This Row],[centro_costo]]="","",_xlfn.XLOOKUP(tblOrdenes[[#This Row],[centro_costo]],tblCECO[codigo],tblCECO[linea],"(sin catálogo)"))</f>
        <v/>
      </c>
      <c r="Y493" s="5">
        <f>IF(tblOrdenes[[#This Row],[centro_costo]]="","",_xlfn.XLOOKUP(tblOrdenes[[#This Row],[centro_costo]],tblCECO[codigo],tblCECO[area],"(sin catálogo)"))</f>
        <v/>
      </c>
      <c r="Z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5">
        <f>IF(tblOrdenes[[#This Row],[centro_costo]]="","",_xlfn.XLOOKUP(tblOrdenes[[#This Row],[centro_costo]],tblCECO[codigo],tblCECO[coordinador],"(sin catálogo)"))</f>
        <v/>
      </c>
      <c r="AB493" s="5">
        <f>IF(tblOrdenes[[#This Row],[puesto_trabajo]]="","",_xlfn.XLOOKUP(tblOrdenes[[#This Row],[puesto_trabajo]],tblPuestos[codigo],tblPuestos[especialidad],"(sin catálogo)"))</f>
        <v/>
      </c>
      <c r="AC493" s="5">
        <f>IF(tblOrdenes[[#This Row],[cod_actividad]]="","",_xlfn.XLOOKUP(tblOrdenes[[#This Row],[cod_actividad]],tblActividades[codigo],tblActividades[descripcion],"(sin catálogo)"))</f>
        <v/>
      </c>
      <c r="AD493" s="23">
        <f>IF(tblOrdenes[[#This Row],[fecha_inicio]]="","",TODAY()-tblOrdenes[[#This Row],[fecha_inicio]])</f>
        <v/>
      </c>
      <c r="AE4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5">
        <f>IF(tblOrdenes[[#This Row],[backlog_habiles]]="","",IF(tblOrdenes[[#This Row],[backlog_habiles]]&lt;0,"FUTURO",IF(tblOrdenes[[#This Row],[backlog_habiles]]&gt;p_dias_backlog_max,"BACKLOG","MES CORRIENTE")))</f>
        <v/>
      </c>
      <c r="AG493" s="5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18">
        <f>IF(tblOrdenes[[#This Row],[orden]]="","",_xlfn.XLOOKUP(tblOrdenes[[#This Row],[id_operacion]],tblEjecucion[id_operacion],tblEjecucion[precio],0))</f>
        <v/>
      </c>
      <c r="AM493" s="18">
        <f>IF(tblOrdenes[[#This Row],[orden]]="","",MAX(0,_xlfn.XLOOKUP(tblOrdenes[[#This Row],[id_operacion]],tblEjecucion[id_operacion],tblEjecucion[costo_plan_total],0)-tblOrdenes[[#This Row],[costo_servicio]]))</f>
        <v/>
      </c>
      <c r="AN493" s="18">
        <f>IF(tblOrdenes[[#This Row],[orden]]="","",tblOrdenes[[#This Row],[costo_servicio]]+tblOrdenes[[#This Row],[costo_materiales]])</f>
        <v/>
      </c>
      <c r="AO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5">
        <f>IF(tblOrdenes[[#This Row],[link_checklist]]="","",HYPERLINK(p_ruta_base_checklists&amp;tblOrdenes[[#This Row],[link_checklist]],"abrir"))</f>
        <v/>
      </c>
      <c r="AT493" s="4" t="n"/>
      <c r="AU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5" t="n"/>
      <c r="K494" s="5" t="n"/>
      <c r="L494" s="18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Row],[fecha_inicio]]="","",tblOrdenes[[#This Row],[anio]]&amp;"-"&amp;TEXT(tblOrdenes[[#This Row],[mes]],"00"))</f>
        <v/>
      </c>
      <c r="S494" s="5">
        <f>IF(tblOrdenes[[#This Row],[fecha_inicio]]="","",INDEX(lista_dias,WEEKDAY(tblOrdenes[[#This Row],[fecha_inicio]],2)))</f>
        <v/>
      </c>
      <c r="T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5">
        <f>IF(tblOrdenes[[#This Row],[tipo_ot]]="","",_xlfn.XLOOKUP(tblOrdenes[[#This Row],[tipo_ot]],tblTiposOT[codigo],tblTiposOT[clasificacion],"sin_clasificar"))</f>
        <v/>
      </c>
      <c r="V4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5">
        <f>IF(tblOrdenes[[#This Row],[centro_costo]]="","",_xlfn.XLOOKUP(tblOrdenes[[#This Row],[centro_costo]],tblCECO[codigo],tblCECO[linea],"(sin catálogo)"))</f>
        <v/>
      </c>
      <c r="Y494" s="5">
        <f>IF(tblOrdenes[[#This Row],[centro_costo]]="","",_xlfn.XLOOKUP(tblOrdenes[[#This Row],[centro_costo]],tblCECO[codigo],tblCECO[area],"(sin catálogo)"))</f>
        <v/>
      </c>
      <c r="Z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5">
        <f>IF(tblOrdenes[[#This Row],[centro_costo]]="","",_xlfn.XLOOKUP(tblOrdenes[[#This Row],[centro_costo]],tblCECO[codigo],tblCECO[coordinador],"(sin catálogo)"))</f>
        <v/>
      </c>
      <c r="AB494" s="5">
        <f>IF(tblOrdenes[[#This Row],[puesto_trabajo]]="","",_xlfn.XLOOKUP(tblOrdenes[[#This Row],[puesto_trabajo]],tblPuestos[codigo],tblPuestos[especialidad],"(sin catálogo)"))</f>
        <v/>
      </c>
      <c r="AC494" s="5">
        <f>IF(tblOrdenes[[#This Row],[cod_actividad]]="","",_xlfn.XLOOKUP(tblOrdenes[[#This Row],[cod_actividad]],tblActividades[codigo],tblActividades[descripcion],"(sin catálogo)"))</f>
        <v/>
      </c>
      <c r="AD494" s="23">
        <f>IF(tblOrdenes[[#This Row],[fecha_inicio]]="","",TODAY()-tblOrdenes[[#This Row],[fecha_inicio]])</f>
        <v/>
      </c>
      <c r="AE4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5">
        <f>IF(tblOrdenes[[#This Row],[backlog_habiles]]="","",IF(tblOrdenes[[#This Row],[backlog_habiles]]&lt;0,"FUTURO",IF(tblOrdenes[[#This Row],[backlog_habiles]]&gt;p_dias_backlog_max,"BACKLOG","MES CORRIENTE")))</f>
        <v/>
      </c>
      <c r="AG494" s="5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18">
        <f>IF(tblOrdenes[[#This Row],[orden]]="","",_xlfn.XLOOKUP(tblOrdenes[[#This Row],[id_operacion]],tblEjecucion[id_operacion],tblEjecucion[precio],0))</f>
        <v/>
      </c>
      <c r="AM494" s="18">
        <f>IF(tblOrdenes[[#This Row],[orden]]="","",MAX(0,_xlfn.XLOOKUP(tblOrdenes[[#This Row],[id_operacion]],tblEjecucion[id_operacion],tblEjecucion[costo_plan_total],0)-tblOrdenes[[#This Row],[costo_servicio]]))</f>
        <v/>
      </c>
      <c r="AN494" s="18">
        <f>IF(tblOrdenes[[#This Row],[orden]]="","",tblOrdenes[[#This Row],[costo_servicio]]+tblOrdenes[[#This Row],[costo_materiales]])</f>
        <v/>
      </c>
      <c r="AO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5">
        <f>IF(tblOrdenes[[#This Row],[link_checklist]]="","",HYPERLINK(p_ruta_base_checklists&amp;tblOrdenes[[#This Row],[link_checklist]],"abrir"))</f>
        <v/>
      </c>
      <c r="AT494" s="4" t="n"/>
      <c r="AU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5" t="n"/>
      <c r="K495" s="5" t="n"/>
      <c r="L495" s="18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Row],[fecha_inicio]]="","",tblOrdenes[[#This Row],[anio]]&amp;"-"&amp;TEXT(tblOrdenes[[#This Row],[mes]],"00"))</f>
        <v/>
      </c>
      <c r="S495" s="5">
        <f>IF(tblOrdenes[[#This Row],[fecha_inicio]]="","",INDEX(lista_dias,WEEKDAY(tblOrdenes[[#This Row],[fecha_inicio]],2)))</f>
        <v/>
      </c>
      <c r="T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5">
        <f>IF(tblOrdenes[[#This Row],[tipo_ot]]="","",_xlfn.XLOOKUP(tblOrdenes[[#This Row],[tipo_ot]],tblTiposOT[codigo],tblTiposOT[clasificacion],"sin_clasificar"))</f>
        <v/>
      </c>
      <c r="V4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5">
        <f>IF(tblOrdenes[[#This Row],[centro_costo]]="","",_xlfn.XLOOKUP(tblOrdenes[[#This Row],[centro_costo]],tblCECO[codigo],tblCECO[linea],"(sin catálogo)"))</f>
        <v/>
      </c>
      <c r="Y495" s="5">
        <f>IF(tblOrdenes[[#This Row],[centro_costo]]="","",_xlfn.XLOOKUP(tblOrdenes[[#This Row],[centro_costo]],tblCECO[codigo],tblCECO[area],"(sin catálogo)"))</f>
        <v/>
      </c>
      <c r="Z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5">
        <f>IF(tblOrdenes[[#This Row],[centro_costo]]="","",_xlfn.XLOOKUP(tblOrdenes[[#This Row],[centro_costo]],tblCECO[codigo],tblCECO[coordinador],"(sin catálogo)"))</f>
        <v/>
      </c>
      <c r="AB495" s="5">
        <f>IF(tblOrdenes[[#This Row],[puesto_trabajo]]="","",_xlfn.XLOOKUP(tblOrdenes[[#This Row],[puesto_trabajo]],tblPuestos[codigo],tblPuestos[especialidad],"(sin catálogo)"))</f>
        <v/>
      </c>
      <c r="AC495" s="5">
        <f>IF(tblOrdenes[[#This Row],[cod_actividad]]="","",_xlfn.XLOOKUP(tblOrdenes[[#This Row],[cod_actividad]],tblActividades[codigo],tblActividades[descripcion],"(sin catálogo)"))</f>
        <v/>
      </c>
      <c r="AD495" s="23">
        <f>IF(tblOrdenes[[#This Row],[fecha_inicio]]="","",TODAY()-tblOrdenes[[#This Row],[fecha_inicio]])</f>
        <v/>
      </c>
      <c r="AE4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5">
        <f>IF(tblOrdenes[[#This Row],[backlog_habiles]]="","",IF(tblOrdenes[[#This Row],[backlog_habiles]]&lt;0,"FUTURO",IF(tblOrdenes[[#This Row],[backlog_habiles]]&gt;p_dias_backlog_max,"BACKLOG","MES CORRIENTE")))</f>
        <v/>
      </c>
      <c r="AG495" s="5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18">
        <f>IF(tblOrdenes[[#This Row],[orden]]="","",_xlfn.XLOOKUP(tblOrdenes[[#This Row],[id_operacion]],tblEjecucion[id_operacion],tblEjecucion[precio],0))</f>
        <v/>
      </c>
      <c r="AM495" s="18">
        <f>IF(tblOrdenes[[#This Row],[orden]]="","",MAX(0,_xlfn.XLOOKUP(tblOrdenes[[#This Row],[id_operacion]],tblEjecucion[id_operacion],tblEjecucion[costo_plan_total],0)-tblOrdenes[[#This Row],[costo_servicio]]))</f>
        <v/>
      </c>
      <c r="AN495" s="18">
        <f>IF(tblOrdenes[[#This Row],[orden]]="","",tblOrdenes[[#This Row],[costo_servicio]]+tblOrdenes[[#This Row],[costo_materiales]])</f>
        <v/>
      </c>
      <c r="AO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5">
        <f>IF(tblOrdenes[[#This Row],[link_checklist]]="","",HYPERLINK(p_ruta_base_checklists&amp;tblOrdenes[[#This Row],[link_checklist]],"abrir"))</f>
        <v/>
      </c>
      <c r="AT495" s="4" t="n"/>
      <c r="AU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5" t="n"/>
      <c r="K496" s="5" t="n"/>
      <c r="L496" s="18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Row],[fecha_inicio]]="","",tblOrdenes[[#This Row],[anio]]&amp;"-"&amp;TEXT(tblOrdenes[[#This Row],[mes]],"00"))</f>
        <v/>
      </c>
      <c r="S496" s="5">
        <f>IF(tblOrdenes[[#This Row],[fecha_inicio]]="","",INDEX(lista_dias,WEEKDAY(tblOrdenes[[#This Row],[fecha_inicio]],2)))</f>
        <v/>
      </c>
      <c r="T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5">
        <f>IF(tblOrdenes[[#This Row],[tipo_ot]]="","",_xlfn.XLOOKUP(tblOrdenes[[#This Row],[tipo_ot]],tblTiposOT[codigo],tblTiposOT[clasificacion],"sin_clasificar"))</f>
        <v/>
      </c>
      <c r="V4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5">
        <f>IF(tblOrdenes[[#This Row],[centro_costo]]="","",_xlfn.XLOOKUP(tblOrdenes[[#This Row],[centro_costo]],tblCECO[codigo],tblCECO[linea],"(sin catálogo)"))</f>
        <v/>
      </c>
      <c r="Y496" s="5">
        <f>IF(tblOrdenes[[#This Row],[centro_costo]]="","",_xlfn.XLOOKUP(tblOrdenes[[#This Row],[centro_costo]],tblCECO[codigo],tblCECO[area],"(sin catálogo)"))</f>
        <v/>
      </c>
      <c r="Z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5">
        <f>IF(tblOrdenes[[#This Row],[centro_costo]]="","",_xlfn.XLOOKUP(tblOrdenes[[#This Row],[centro_costo]],tblCECO[codigo],tblCECO[coordinador],"(sin catálogo)"))</f>
        <v/>
      </c>
      <c r="AB496" s="5">
        <f>IF(tblOrdenes[[#This Row],[puesto_trabajo]]="","",_xlfn.XLOOKUP(tblOrdenes[[#This Row],[puesto_trabajo]],tblPuestos[codigo],tblPuestos[especialidad],"(sin catálogo)"))</f>
        <v/>
      </c>
      <c r="AC496" s="5">
        <f>IF(tblOrdenes[[#This Row],[cod_actividad]]="","",_xlfn.XLOOKUP(tblOrdenes[[#This Row],[cod_actividad]],tblActividades[codigo],tblActividades[descripcion],"(sin catálogo)"))</f>
        <v/>
      </c>
      <c r="AD496" s="23">
        <f>IF(tblOrdenes[[#This Row],[fecha_inicio]]="","",TODAY()-tblOrdenes[[#This Row],[fecha_inicio]])</f>
        <v/>
      </c>
      <c r="AE4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5">
        <f>IF(tblOrdenes[[#This Row],[backlog_habiles]]="","",IF(tblOrdenes[[#This Row],[backlog_habiles]]&lt;0,"FUTURO",IF(tblOrdenes[[#This Row],[backlog_habiles]]&gt;p_dias_backlog_max,"BACKLOG","MES CORRIENTE")))</f>
        <v/>
      </c>
      <c r="AG496" s="5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18">
        <f>IF(tblOrdenes[[#This Row],[orden]]="","",_xlfn.XLOOKUP(tblOrdenes[[#This Row],[id_operacion]],tblEjecucion[id_operacion],tblEjecucion[precio],0))</f>
        <v/>
      </c>
      <c r="AM496" s="18">
        <f>IF(tblOrdenes[[#This Row],[orden]]="","",MAX(0,_xlfn.XLOOKUP(tblOrdenes[[#This Row],[id_operacion]],tblEjecucion[id_operacion],tblEjecucion[costo_plan_total],0)-tblOrdenes[[#This Row],[costo_servicio]]))</f>
        <v/>
      </c>
      <c r="AN496" s="18">
        <f>IF(tblOrdenes[[#This Row],[orden]]="","",tblOrdenes[[#This Row],[costo_servicio]]+tblOrdenes[[#This Row],[costo_materiales]])</f>
        <v/>
      </c>
      <c r="AO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5">
        <f>IF(tblOrdenes[[#This Row],[link_checklist]]="","",HYPERLINK(p_ruta_base_checklists&amp;tblOrdenes[[#This Row],[link_checklist]],"abrir"))</f>
        <v/>
      </c>
      <c r="AT496" s="4" t="n"/>
      <c r="AU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5" t="n"/>
      <c r="K497" s="5" t="n"/>
      <c r="L497" s="18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Row],[fecha_inicio]]="","",tblOrdenes[[#This Row],[anio]]&amp;"-"&amp;TEXT(tblOrdenes[[#This Row],[mes]],"00"))</f>
        <v/>
      </c>
      <c r="S497" s="5">
        <f>IF(tblOrdenes[[#This Row],[fecha_inicio]]="","",INDEX(lista_dias,WEEKDAY(tblOrdenes[[#This Row],[fecha_inicio]],2)))</f>
        <v/>
      </c>
      <c r="T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5">
        <f>IF(tblOrdenes[[#This Row],[tipo_ot]]="","",_xlfn.XLOOKUP(tblOrdenes[[#This Row],[tipo_ot]],tblTiposOT[codigo],tblTiposOT[clasificacion],"sin_clasificar"))</f>
        <v/>
      </c>
      <c r="V4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5">
        <f>IF(tblOrdenes[[#This Row],[centro_costo]]="","",_xlfn.XLOOKUP(tblOrdenes[[#This Row],[centro_costo]],tblCECO[codigo],tblCECO[linea],"(sin catálogo)"))</f>
        <v/>
      </c>
      <c r="Y497" s="5">
        <f>IF(tblOrdenes[[#This Row],[centro_costo]]="","",_xlfn.XLOOKUP(tblOrdenes[[#This Row],[centro_costo]],tblCECO[codigo],tblCECO[area],"(sin catálogo)"))</f>
        <v/>
      </c>
      <c r="Z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5">
        <f>IF(tblOrdenes[[#This Row],[centro_costo]]="","",_xlfn.XLOOKUP(tblOrdenes[[#This Row],[centro_costo]],tblCECO[codigo],tblCECO[coordinador],"(sin catálogo)"))</f>
        <v/>
      </c>
      <c r="AB497" s="5">
        <f>IF(tblOrdenes[[#This Row],[puesto_trabajo]]="","",_xlfn.XLOOKUP(tblOrdenes[[#This Row],[puesto_trabajo]],tblPuestos[codigo],tblPuestos[especialidad],"(sin catálogo)"))</f>
        <v/>
      </c>
      <c r="AC497" s="5">
        <f>IF(tblOrdenes[[#This Row],[cod_actividad]]="","",_xlfn.XLOOKUP(tblOrdenes[[#This Row],[cod_actividad]],tblActividades[codigo],tblActividades[descripcion],"(sin catálogo)"))</f>
        <v/>
      </c>
      <c r="AD497" s="23">
        <f>IF(tblOrdenes[[#This Row],[fecha_inicio]]="","",TODAY()-tblOrdenes[[#This Row],[fecha_inicio]])</f>
        <v/>
      </c>
      <c r="AE4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5">
        <f>IF(tblOrdenes[[#This Row],[backlog_habiles]]="","",IF(tblOrdenes[[#This Row],[backlog_habiles]]&lt;0,"FUTURO",IF(tblOrdenes[[#This Row],[backlog_habiles]]&gt;p_dias_backlog_max,"BACKLOG","MES CORRIENTE")))</f>
        <v/>
      </c>
      <c r="AG497" s="5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18">
        <f>IF(tblOrdenes[[#This Row],[orden]]="","",_xlfn.XLOOKUP(tblOrdenes[[#This Row],[id_operacion]],tblEjecucion[id_operacion],tblEjecucion[precio],0))</f>
        <v/>
      </c>
      <c r="AM497" s="18">
        <f>IF(tblOrdenes[[#This Row],[orden]]="","",MAX(0,_xlfn.XLOOKUP(tblOrdenes[[#This Row],[id_operacion]],tblEjecucion[id_operacion],tblEjecucion[costo_plan_total],0)-tblOrdenes[[#This Row],[costo_servicio]]))</f>
        <v/>
      </c>
      <c r="AN497" s="18">
        <f>IF(tblOrdenes[[#This Row],[orden]]="","",tblOrdenes[[#This Row],[costo_servicio]]+tblOrdenes[[#This Row],[costo_materiales]])</f>
        <v/>
      </c>
      <c r="AO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5">
        <f>IF(tblOrdenes[[#This Row],[link_checklist]]="","",HYPERLINK(p_ruta_base_checklists&amp;tblOrdenes[[#This Row],[link_checklist]],"abrir"))</f>
        <v/>
      </c>
      <c r="AT497" s="4" t="n"/>
      <c r="AU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5" t="n"/>
      <c r="K498" s="5" t="n"/>
      <c r="L498" s="18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Row],[fecha_inicio]]="","",tblOrdenes[[#This Row],[anio]]&amp;"-"&amp;TEXT(tblOrdenes[[#This Row],[mes]],"00"))</f>
        <v/>
      </c>
      <c r="S498" s="5">
        <f>IF(tblOrdenes[[#This Row],[fecha_inicio]]="","",INDEX(lista_dias,WEEKDAY(tblOrdenes[[#This Row],[fecha_inicio]],2)))</f>
        <v/>
      </c>
      <c r="T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5">
        <f>IF(tblOrdenes[[#This Row],[tipo_ot]]="","",_xlfn.XLOOKUP(tblOrdenes[[#This Row],[tipo_ot]],tblTiposOT[codigo],tblTiposOT[clasificacion],"sin_clasificar"))</f>
        <v/>
      </c>
      <c r="V4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5">
        <f>IF(tblOrdenes[[#This Row],[centro_costo]]="","",_xlfn.XLOOKUP(tblOrdenes[[#This Row],[centro_costo]],tblCECO[codigo],tblCECO[linea],"(sin catálogo)"))</f>
        <v/>
      </c>
      <c r="Y498" s="5">
        <f>IF(tblOrdenes[[#This Row],[centro_costo]]="","",_xlfn.XLOOKUP(tblOrdenes[[#This Row],[centro_costo]],tblCECO[codigo],tblCECO[area],"(sin catálogo)"))</f>
        <v/>
      </c>
      <c r="Z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5">
        <f>IF(tblOrdenes[[#This Row],[centro_costo]]="","",_xlfn.XLOOKUP(tblOrdenes[[#This Row],[centro_costo]],tblCECO[codigo],tblCECO[coordinador],"(sin catálogo)"))</f>
        <v/>
      </c>
      <c r="AB498" s="5">
        <f>IF(tblOrdenes[[#This Row],[puesto_trabajo]]="","",_xlfn.XLOOKUP(tblOrdenes[[#This Row],[puesto_trabajo]],tblPuestos[codigo],tblPuestos[especialidad],"(sin catálogo)"))</f>
        <v/>
      </c>
      <c r="AC498" s="5">
        <f>IF(tblOrdenes[[#This Row],[cod_actividad]]="","",_xlfn.XLOOKUP(tblOrdenes[[#This Row],[cod_actividad]],tblActividades[codigo],tblActividades[descripcion],"(sin catálogo)"))</f>
        <v/>
      </c>
      <c r="AD498" s="23">
        <f>IF(tblOrdenes[[#This Row],[fecha_inicio]]="","",TODAY()-tblOrdenes[[#This Row],[fecha_inicio]])</f>
        <v/>
      </c>
      <c r="AE4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5">
        <f>IF(tblOrdenes[[#This Row],[backlog_habiles]]="","",IF(tblOrdenes[[#This Row],[backlog_habiles]]&lt;0,"FUTURO",IF(tblOrdenes[[#This Row],[backlog_habiles]]&gt;p_dias_backlog_max,"BACKLOG","MES CORRIENTE")))</f>
        <v/>
      </c>
      <c r="AG498" s="5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18">
        <f>IF(tblOrdenes[[#This Row],[orden]]="","",_xlfn.XLOOKUP(tblOrdenes[[#This Row],[id_operacion]],tblEjecucion[id_operacion],tblEjecucion[precio],0))</f>
        <v/>
      </c>
      <c r="AM498" s="18">
        <f>IF(tblOrdenes[[#This Row],[orden]]="","",MAX(0,_xlfn.XLOOKUP(tblOrdenes[[#This Row],[id_operacion]],tblEjecucion[id_operacion],tblEjecucion[costo_plan_total],0)-tblOrdenes[[#This Row],[costo_servicio]]))</f>
        <v/>
      </c>
      <c r="AN498" s="18">
        <f>IF(tblOrdenes[[#This Row],[orden]]="","",tblOrdenes[[#This Row],[costo_servicio]]+tblOrdenes[[#This Row],[costo_materiales]])</f>
        <v/>
      </c>
      <c r="AO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5">
        <f>IF(tblOrdenes[[#This Row],[link_checklist]]="","",HYPERLINK(p_ruta_base_checklists&amp;tblOrdenes[[#This Row],[link_checklist]],"abrir"))</f>
        <v/>
      </c>
      <c r="AT498" s="4" t="n"/>
      <c r="AU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5" t="n"/>
      <c r="K499" s="5" t="n"/>
      <c r="L499" s="18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Row],[fecha_inicio]]="","",tblOrdenes[[#This Row],[anio]]&amp;"-"&amp;TEXT(tblOrdenes[[#This Row],[mes]],"00"))</f>
        <v/>
      </c>
      <c r="S499" s="5">
        <f>IF(tblOrdenes[[#This Row],[fecha_inicio]]="","",INDEX(lista_dias,WEEKDAY(tblOrdenes[[#This Row],[fecha_inicio]],2)))</f>
        <v/>
      </c>
      <c r="T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5">
        <f>IF(tblOrdenes[[#This Row],[tipo_ot]]="","",_xlfn.XLOOKUP(tblOrdenes[[#This Row],[tipo_ot]],tblTiposOT[codigo],tblTiposOT[clasificacion],"sin_clasificar"))</f>
        <v/>
      </c>
      <c r="V4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5">
        <f>IF(tblOrdenes[[#This Row],[centro_costo]]="","",_xlfn.XLOOKUP(tblOrdenes[[#This Row],[centro_costo]],tblCECO[codigo],tblCECO[linea],"(sin catálogo)"))</f>
        <v/>
      </c>
      <c r="Y499" s="5">
        <f>IF(tblOrdenes[[#This Row],[centro_costo]]="","",_xlfn.XLOOKUP(tblOrdenes[[#This Row],[centro_costo]],tblCECO[codigo],tblCECO[area],"(sin catálogo)"))</f>
        <v/>
      </c>
      <c r="Z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5">
        <f>IF(tblOrdenes[[#This Row],[centro_costo]]="","",_xlfn.XLOOKUP(tblOrdenes[[#This Row],[centro_costo]],tblCECO[codigo],tblCECO[coordinador],"(sin catálogo)"))</f>
        <v/>
      </c>
      <c r="AB499" s="5">
        <f>IF(tblOrdenes[[#This Row],[puesto_trabajo]]="","",_xlfn.XLOOKUP(tblOrdenes[[#This Row],[puesto_trabajo]],tblPuestos[codigo],tblPuestos[especialidad],"(sin catálogo)"))</f>
        <v/>
      </c>
      <c r="AC499" s="5">
        <f>IF(tblOrdenes[[#This Row],[cod_actividad]]="","",_xlfn.XLOOKUP(tblOrdenes[[#This Row],[cod_actividad]],tblActividades[codigo],tblActividades[descripcion],"(sin catálogo)"))</f>
        <v/>
      </c>
      <c r="AD499" s="23">
        <f>IF(tblOrdenes[[#This Row],[fecha_inicio]]="","",TODAY()-tblOrdenes[[#This Row],[fecha_inicio]])</f>
        <v/>
      </c>
      <c r="AE4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5">
        <f>IF(tblOrdenes[[#This Row],[backlog_habiles]]="","",IF(tblOrdenes[[#This Row],[backlog_habiles]]&lt;0,"FUTURO",IF(tblOrdenes[[#This Row],[backlog_habiles]]&gt;p_dias_backlog_max,"BACKLOG","MES CORRIENTE")))</f>
        <v/>
      </c>
      <c r="AG499" s="5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18">
        <f>IF(tblOrdenes[[#This Row],[orden]]="","",_xlfn.XLOOKUP(tblOrdenes[[#This Row],[id_operacion]],tblEjecucion[id_operacion],tblEjecucion[precio],0))</f>
        <v/>
      </c>
      <c r="AM499" s="18">
        <f>IF(tblOrdenes[[#This Row],[orden]]="","",MAX(0,_xlfn.XLOOKUP(tblOrdenes[[#This Row],[id_operacion]],tblEjecucion[id_operacion],tblEjecucion[costo_plan_total],0)-tblOrdenes[[#This Row],[costo_servicio]]))</f>
        <v/>
      </c>
      <c r="AN499" s="18">
        <f>IF(tblOrdenes[[#This Row],[orden]]="","",tblOrdenes[[#This Row],[costo_servicio]]+tblOrdenes[[#This Row],[costo_materiales]])</f>
        <v/>
      </c>
      <c r="AO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5">
        <f>IF(tblOrdenes[[#This Row],[link_checklist]]="","",HYPERLINK(p_ruta_base_checklists&amp;tblOrdenes[[#This Row],[link_checklist]],"abrir"))</f>
        <v/>
      </c>
      <c r="AT499" s="4" t="n"/>
      <c r="AU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5" t="n"/>
      <c r="K500" s="5" t="n"/>
      <c r="L500" s="18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Row],[fecha_inicio]]="","",tblOrdenes[[#This Row],[anio]]&amp;"-"&amp;TEXT(tblOrdenes[[#This Row],[mes]],"00"))</f>
        <v/>
      </c>
      <c r="S500" s="5">
        <f>IF(tblOrdenes[[#This Row],[fecha_inicio]]="","",INDEX(lista_dias,WEEKDAY(tblOrdenes[[#This Row],[fecha_inicio]],2)))</f>
        <v/>
      </c>
      <c r="T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5">
        <f>IF(tblOrdenes[[#This Row],[tipo_ot]]="","",_xlfn.XLOOKUP(tblOrdenes[[#This Row],[tipo_ot]],tblTiposOT[codigo],tblTiposOT[clasificacion],"sin_clasificar"))</f>
        <v/>
      </c>
      <c r="V5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5">
        <f>IF(tblOrdenes[[#This Row],[centro_costo]]="","",_xlfn.XLOOKUP(tblOrdenes[[#This Row],[centro_costo]],tblCECO[codigo],tblCECO[linea],"(sin catálogo)"))</f>
        <v/>
      </c>
      <c r="Y500" s="5">
        <f>IF(tblOrdenes[[#This Row],[centro_costo]]="","",_xlfn.XLOOKUP(tblOrdenes[[#This Row],[centro_costo]],tblCECO[codigo],tblCECO[area],"(sin catálogo)"))</f>
        <v/>
      </c>
      <c r="Z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5">
        <f>IF(tblOrdenes[[#This Row],[centro_costo]]="","",_xlfn.XLOOKUP(tblOrdenes[[#This Row],[centro_costo]],tblCECO[codigo],tblCECO[coordinador],"(sin catálogo)"))</f>
        <v/>
      </c>
      <c r="AB500" s="5">
        <f>IF(tblOrdenes[[#This Row],[puesto_trabajo]]="","",_xlfn.XLOOKUP(tblOrdenes[[#This Row],[puesto_trabajo]],tblPuestos[codigo],tblPuestos[especialidad],"(sin catálogo)"))</f>
        <v/>
      </c>
      <c r="AC500" s="5">
        <f>IF(tblOrdenes[[#This Row],[cod_actividad]]="","",_xlfn.XLOOKUP(tblOrdenes[[#This Row],[cod_actividad]],tblActividades[codigo],tblActividades[descripcion],"(sin catálogo)"))</f>
        <v/>
      </c>
      <c r="AD500" s="23">
        <f>IF(tblOrdenes[[#This Row],[fecha_inicio]]="","",TODAY()-tblOrdenes[[#This Row],[fecha_inicio]])</f>
        <v/>
      </c>
      <c r="AE5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5">
        <f>IF(tblOrdenes[[#This Row],[backlog_habiles]]="","",IF(tblOrdenes[[#This Row],[backlog_habiles]]&lt;0,"FUTURO",IF(tblOrdenes[[#This Row],[backlog_habiles]]&gt;p_dias_backlog_max,"BACKLOG","MES CORRIENTE")))</f>
        <v/>
      </c>
      <c r="AG500" s="5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18">
        <f>IF(tblOrdenes[[#This Row],[orden]]="","",_xlfn.XLOOKUP(tblOrdenes[[#This Row],[id_operacion]],tblEjecucion[id_operacion],tblEjecucion[precio],0))</f>
        <v/>
      </c>
      <c r="AM500" s="18">
        <f>IF(tblOrdenes[[#This Row],[orden]]="","",MAX(0,_xlfn.XLOOKUP(tblOrdenes[[#This Row],[id_operacion]],tblEjecucion[id_operacion],tblEjecucion[costo_plan_total],0)-tblOrdenes[[#This Row],[costo_servicio]]))</f>
        <v/>
      </c>
      <c r="AN500" s="18">
        <f>IF(tblOrdenes[[#This Row],[orden]]="","",tblOrdenes[[#This Row],[costo_servicio]]+tblOrdenes[[#This Row],[costo_materiales]])</f>
        <v/>
      </c>
      <c r="AO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5">
        <f>IF(tblOrdenes[[#This Row],[link_checklist]]="","",HYPERLINK(p_ruta_base_checklists&amp;tblOrdenes[[#This Row],[link_checklist]],"abrir"))</f>
        <v/>
      </c>
      <c r="AT500" s="4" t="n"/>
      <c r="AU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5" t="n"/>
      <c r="K501" s="5" t="n"/>
      <c r="L501" s="18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Row],[fecha_inicio]]="","",tblOrdenes[[#This Row],[anio]]&amp;"-"&amp;TEXT(tblOrdenes[[#This Row],[mes]],"00"))</f>
        <v/>
      </c>
      <c r="S501" s="5">
        <f>IF(tblOrdenes[[#This Row],[fecha_inicio]]="","",INDEX(lista_dias,WEEKDAY(tblOrdenes[[#This Row],[fecha_inicio]],2)))</f>
        <v/>
      </c>
      <c r="T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5">
        <f>IF(tblOrdenes[[#This Row],[tipo_ot]]="","",_xlfn.XLOOKUP(tblOrdenes[[#This Row],[tipo_ot]],tblTiposOT[codigo],tblTiposOT[clasificacion],"sin_clasificar"))</f>
        <v/>
      </c>
      <c r="V5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5">
        <f>IF(tblOrdenes[[#This Row],[centro_costo]]="","",_xlfn.XLOOKUP(tblOrdenes[[#This Row],[centro_costo]],tblCECO[codigo],tblCECO[linea],"(sin catálogo)"))</f>
        <v/>
      </c>
      <c r="Y501" s="5">
        <f>IF(tblOrdenes[[#This Row],[centro_costo]]="","",_xlfn.XLOOKUP(tblOrdenes[[#This Row],[centro_costo]],tblCECO[codigo],tblCECO[area],"(sin catálogo)"))</f>
        <v/>
      </c>
      <c r="Z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5">
        <f>IF(tblOrdenes[[#This Row],[centro_costo]]="","",_xlfn.XLOOKUP(tblOrdenes[[#This Row],[centro_costo]],tblCECO[codigo],tblCECO[coordinador],"(sin catálogo)"))</f>
        <v/>
      </c>
      <c r="AB501" s="5">
        <f>IF(tblOrdenes[[#This Row],[puesto_trabajo]]="","",_xlfn.XLOOKUP(tblOrdenes[[#This Row],[puesto_trabajo]],tblPuestos[codigo],tblPuestos[especialidad],"(sin catálogo)"))</f>
        <v/>
      </c>
      <c r="AC501" s="5">
        <f>IF(tblOrdenes[[#This Row],[cod_actividad]]="","",_xlfn.XLOOKUP(tblOrdenes[[#This Row],[cod_actividad]],tblActividades[codigo],tblActividades[descripcion],"(sin catálogo)"))</f>
        <v/>
      </c>
      <c r="AD501" s="23">
        <f>IF(tblOrdenes[[#This Row],[fecha_inicio]]="","",TODAY()-tblOrdenes[[#This Row],[fecha_inicio]])</f>
        <v/>
      </c>
      <c r="AE5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5">
        <f>IF(tblOrdenes[[#This Row],[backlog_habiles]]="","",IF(tblOrdenes[[#This Row],[backlog_habiles]]&lt;0,"FUTURO",IF(tblOrdenes[[#This Row],[backlog_habiles]]&gt;p_dias_backlog_max,"BACKLOG","MES CORRIENTE")))</f>
        <v/>
      </c>
      <c r="AG501" s="5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18">
        <f>IF(tblOrdenes[[#This Row],[orden]]="","",_xlfn.XLOOKUP(tblOrdenes[[#This Row],[id_operacion]],tblEjecucion[id_operacion],tblEjecucion[precio],0))</f>
        <v/>
      </c>
      <c r="AM501" s="18">
        <f>IF(tblOrdenes[[#This Row],[orden]]="","",MAX(0,_xlfn.XLOOKUP(tblOrdenes[[#This Row],[id_operacion]],tblEjecucion[id_operacion],tblEjecucion[costo_plan_total],0)-tblOrdenes[[#This Row],[costo_servicio]]))</f>
        <v/>
      </c>
      <c r="AN501" s="18">
        <f>IF(tblOrdenes[[#This Row],[orden]]="","",tblOrdenes[[#This Row],[costo_servicio]]+tblOrdenes[[#This Row],[costo_materiales]])</f>
        <v/>
      </c>
      <c r="AO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5">
        <f>IF(tblOrdenes[[#This Row],[link_checklist]]="","",HYPERLINK(p_ruta_base_checklists&amp;tblOrdenes[[#This Row],[link_checklist]],"abrir"))</f>
        <v/>
      </c>
      <c r="AT501" s="4" t="n"/>
      <c r="AU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5" t="n"/>
      <c r="K502" s="5" t="n"/>
      <c r="L502" s="18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Row],[fecha_inicio]]="","",tblOrdenes[[#This Row],[anio]]&amp;"-"&amp;TEXT(tblOrdenes[[#This Row],[mes]],"00"))</f>
        <v/>
      </c>
      <c r="S502" s="5">
        <f>IF(tblOrdenes[[#This Row],[fecha_inicio]]="","",INDEX(lista_dias,WEEKDAY(tblOrdenes[[#This Row],[fecha_inicio]],2)))</f>
        <v/>
      </c>
      <c r="T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5">
        <f>IF(tblOrdenes[[#This Row],[tipo_ot]]="","",_xlfn.XLOOKUP(tblOrdenes[[#This Row],[tipo_ot]],tblTiposOT[codigo],tblTiposOT[clasificacion],"sin_clasificar"))</f>
        <v/>
      </c>
      <c r="V5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5">
        <f>IF(tblOrdenes[[#This Row],[centro_costo]]="","",_xlfn.XLOOKUP(tblOrdenes[[#This Row],[centro_costo]],tblCECO[codigo],tblCECO[linea],"(sin catálogo)"))</f>
        <v/>
      </c>
      <c r="Y502" s="5">
        <f>IF(tblOrdenes[[#This Row],[centro_costo]]="","",_xlfn.XLOOKUP(tblOrdenes[[#This Row],[centro_costo]],tblCECO[codigo],tblCECO[area],"(sin catálogo)"))</f>
        <v/>
      </c>
      <c r="Z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5">
        <f>IF(tblOrdenes[[#This Row],[centro_costo]]="","",_xlfn.XLOOKUP(tblOrdenes[[#This Row],[centro_costo]],tblCECO[codigo],tblCECO[coordinador],"(sin catálogo)"))</f>
        <v/>
      </c>
      <c r="AB502" s="5">
        <f>IF(tblOrdenes[[#This Row],[puesto_trabajo]]="","",_xlfn.XLOOKUP(tblOrdenes[[#This Row],[puesto_trabajo]],tblPuestos[codigo],tblPuestos[especialidad],"(sin catálogo)"))</f>
        <v/>
      </c>
      <c r="AC502" s="5">
        <f>IF(tblOrdenes[[#This Row],[cod_actividad]]="","",_xlfn.XLOOKUP(tblOrdenes[[#This Row],[cod_actividad]],tblActividades[codigo],tblActividades[descripcion],"(sin catálogo)"))</f>
        <v/>
      </c>
      <c r="AD502" s="23">
        <f>IF(tblOrdenes[[#This Row],[fecha_inicio]]="","",TODAY()-tblOrdenes[[#This Row],[fecha_inicio]])</f>
        <v/>
      </c>
      <c r="AE5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5">
        <f>IF(tblOrdenes[[#This Row],[backlog_habiles]]="","",IF(tblOrdenes[[#This Row],[backlog_habiles]]&lt;0,"FUTURO",IF(tblOrdenes[[#This Row],[backlog_habiles]]&gt;p_dias_backlog_max,"BACKLOG","MES CORRIENTE")))</f>
        <v/>
      </c>
      <c r="AG502" s="5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18">
        <f>IF(tblOrdenes[[#This Row],[orden]]="","",_xlfn.XLOOKUP(tblOrdenes[[#This Row],[id_operacion]],tblEjecucion[id_operacion],tblEjecucion[precio],0))</f>
        <v/>
      </c>
      <c r="AM502" s="18">
        <f>IF(tblOrdenes[[#This Row],[orden]]="","",MAX(0,_xlfn.XLOOKUP(tblOrdenes[[#This Row],[id_operacion]],tblEjecucion[id_operacion],tblEjecucion[costo_plan_total],0)-tblOrdenes[[#This Row],[costo_servicio]]))</f>
        <v/>
      </c>
      <c r="AN502" s="18">
        <f>IF(tblOrdenes[[#This Row],[orden]]="","",tblOrdenes[[#This Row],[costo_servicio]]+tblOrdenes[[#This Row],[costo_materiales]])</f>
        <v/>
      </c>
      <c r="AO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5">
        <f>IF(tblOrdenes[[#This Row],[link_checklist]]="","",HYPERLINK(p_ruta_base_checklists&amp;tblOrdenes[[#This Row],[link_checklist]],"abrir"))</f>
        <v/>
      </c>
      <c r="AT502" s="4" t="n"/>
      <c r="AU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5" t="n"/>
      <c r="K503" s="5" t="n"/>
      <c r="L503" s="18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Row],[fecha_inicio]]="","",tblOrdenes[[#This Row],[anio]]&amp;"-"&amp;TEXT(tblOrdenes[[#This Row],[mes]],"00"))</f>
        <v/>
      </c>
      <c r="S503" s="5">
        <f>IF(tblOrdenes[[#This Row],[fecha_inicio]]="","",INDEX(lista_dias,WEEKDAY(tblOrdenes[[#This Row],[fecha_inicio]],2)))</f>
        <v/>
      </c>
      <c r="T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5">
        <f>IF(tblOrdenes[[#This Row],[tipo_ot]]="","",_xlfn.XLOOKUP(tblOrdenes[[#This Row],[tipo_ot]],tblTiposOT[codigo],tblTiposOT[clasificacion],"sin_clasificar"))</f>
        <v/>
      </c>
      <c r="V5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5">
        <f>IF(tblOrdenes[[#This Row],[centro_costo]]="","",_xlfn.XLOOKUP(tblOrdenes[[#This Row],[centro_costo]],tblCECO[codigo],tblCECO[linea],"(sin catálogo)"))</f>
        <v/>
      </c>
      <c r="Y503" s="5">
        <f>IF(tblOrdenes[[#This Row],[centro_costo]]="","",_xlfn.XLOOKUP(tblOrdenes[[#This Row],[centro_costo]],tblCECO[codigo],tblCECO[area],"(sin catálogo)"))</f>
        <v/>
      </c>
      <c r="Z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5">
        <f>IF(tblOrdenes[[#This Row],[centro_costo]]="","",_xlfn.XLOOKUP(tblOrdenes[[#This Row],[centro_costo]],tblCECO[codigo],tblCECO[coordinador],"(sin catálogo)"))</f>
        <v/>
      </c>
      <c r="AB503" s="5">
        <f>IF(tblOrdenes[[#This Row],[puesto_trabajo]]="","",_xlfn.XLOOKUP(tblOrdenes[[#This Row],[puesto_trabajo]],tblPuestos[codigo],tblPuestos[especialidad],"(sin catálogo)"))</f>
        <v/>
      </c>
      <c r="AC503" s="5">
        <f>IF(tblOrdenes[[#This Row],[cod_actividad]]="","",_xlfn.XLOOKUP(tblOrdenes[[#This Row],[cod_actividad]],tblActividades[codigo],tblActividades[descripcion],"(sin catálogo)"))</f>
        <v/>
      </c>
      <c r="AD503" s="23">
        <f>IF(tblOrdenes[[#This Row],[fecha_inicio]]="","",TODAY()-tblOrdenes[[#This Row],[fecha_inicio]])</f>
        <v/>
      </c>
      <c r="AE5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5">
        <f>IF(tblOrdenes[[#This Row],[backlog_habiles]]="","",IF(tblOrdenes[[#This Row],[backlog_habiles]]&lt;0,"FUTURO",IF(tblOrdenes[[#This Row],[backlog_habiles]]&gt;p_dias_backlog_max,"BACKLOG","MES CORRIENTE")))</f>
        <v/>
      </c>
      <c r="AG503" s="5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18">
        <f>IF(tblOrdenes[[#This Row],[orden]]="","",_xlfn.XLOOKUP(tblOrdenes[[#This Row],[id_operacion]],tblEjecucion[id_operacion],tblEjecucion[precio],0))</f>
        <v/>
      </c>
      <c r="AM503" s="18">
        <f>IF(tblOrdenes[[#This Row],[orden]]="","",MAX(0,_xlfn.XLOOKUP(tblOrdenes[[#This Row],[id_operacion]],tblEjecucion[id_operacion],tblEjecucion[costo_plan_total],0)-tblOrdenes[[#This Row],[costo_servicio]]))</f>
        <v/>
      </c>
      <c r="AN503" s="18">
        <f>IF(tblOrdenes[[#This Row],[orden]]="","",tblOrdenes[[#This Row],[costo_servicio]]+tblOrdenes[[#This Row],[costo_materiales]])</f>
        <v/>
      </c>
      <c r="AO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5">
        <f>IF(tblOrdenes[[#This Row],[link_checklist]]="","",HYPERLINK(p_ruta_base_checklists&amp;tblOrdenes[[#This Row],[link_checklist]],"abrir"))</f>
        <v/>
      </c>
      <c r="AT503" s="4" t="n"/>
      <c r="AU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5" t="n"/>
      <c r="K504" s="5" t="n"/>
      <c r="L504" s="18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Row],[fecha_inicio]]="","",tblOrdenes[[#This Row],[anio]]&amp;"-"&amp;TEXT(tblOrdenes[[#This Row],[mes]],"00"))</f>
        <v/>
      </c>
      <c r="S504" s="5">
        <f>IF(tblOrdenes[[#This Row],[fecha_inicio]]="","",INDEX(lista_dias,WEEKDAY(tblOrdenes[[#This Row],[fecha_inicio]],2)))</f>
        <v/>
      </c>
      <c r="T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5">
        <f>IF(tblOrdenes[[#This Row],[tipo_ot]]="","",_xlfn.XLOOKUP(tblOrdenes[[#This Row],[tipo_ot]],tblTiposOT[codigo],tblTiposOT[clasificacion],"sin_clasificar"))</f>
        <v/>
      </c>
      <c r="V5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5">
        <f>IF(tblOrdenes[[#This Row],[centro_costo]]="","",_xlfn.XLOOKUP(tblOrdenes[[#This Row],[centro_costo]],tblCECO[codigo],tblCECO[linea],"(sin catálogo)"))</f>
        <v/>
      </c>
      <c r="Y504" s="5">
        <f>IF(tblOrdenes[[#This Row],[centro_costo]]="","",_xlfn.XLOOKUP(tblOrdenes[[#This Row],[centro_costo]],tblCECO[codigo],tblCECO[area],"(sin catálogo)"))</f>
        <v/>
      </c>
      <c r="Z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5">
        <f>IF(tblOrdenes[[#This Row],[centro_costo]]="","",_xlfn.XLOOKUP(tblOrdenes[[#This Row],[centro_costo]],tblCECO[codigo],tblCECO[coordinador],"(sin catálogo)"))</f>
        <v/>
      </c>
      <c r="AB504" s="5">
        <f>IF(tblOrdenes[[#This Row],[puesto_trabajo]]="","",_xlfn.XLOOKUP(tblOrdenes[[#This Row],[puesto_trabajo]],tblPuestos[codigo],tblPuestos[especialidad],"(sin catálogo)"))</f>
        <v/>
      </c>
      <c r="AC504" s="5">
        <f>IF(tblOrdenes[[#This Row],[cod_actividad]]="","",_xlfn.XLOOKUP(tblOrdenes[[#This Row],[cod_actividad]],tblActividades[codigo],tblActividades[descripcion],"(sin catálogo)"))</f>
        <v/>
      </c>
      <c r="AD504" s="23">
        <f>IF(tblOrdenes[[#This Row],[fecha_inicio]]="","",TODAY()-tblOrdenes[[#This Row],[fecha_inicio]])</f>
        <v/>
      </c>
      <c r="AE5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5">
        <f>IF(tblOrdenes[[#This Row],[backlog_habiles]]="","",IF(tblOrdenes[[#This Row],[backlog_habiles]]&lt;0,"FUTURO",IF(tblOrdenes[[#This Row],[backlog_habiles]]&gt;p_dias_backlog_max,"BACKLOG","MES CORRIENTE")))</f>
        <v/>
      </c>
      <c r="AG504" s="5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18">
        <f>IF(tblOrdenes[[#This Row],[orden]]="","",_xlfn.XLOOKUP(tblOrdenes[[#This Row],[id_operacion]],tblEjecucion[id_operacion],tblEjecucion[precio],0))</f>
        <v/>
      </c>
      <c r="AM504" s="18">
        <f>IF(tblOrdenes[[#This Row],[orden]]="","",MAX(0,_xlfn.XLOOKUP(tblOrdenes[[#This Row],[id_operacion]],tblEjecucion[id_operacion],tblEjecucion[costo_plan_total],0)-tblOrdenes[[#This Row],[costo_servicio]]))</f>
        <v/>
      </c>
      <c r="AN504" s="18">
        <f>IF(tblOrdenes[[#This Row],[orden]]="","",tblOrdenes[[#This Row],[costo_servicio]]+tblOrdenes[[#This Row],[costo_materiales]])</f>
        <v/>
      </c>
      <c r="AO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5">
        <f>IF(tblOrdenes[[#This Row],[link_checklist]]="","",HYPERLINK(p_ruta_base_checklists&amp;tblOrdenes[[#This Row],[link_checklist]],"abrir"))</f>
        <v/>
      </c>
      <c r="AT504" s="4" t="n"/>
      <c r="AU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5" t="n"/>
      <c r="K505" s="5" t="n"/>
      <c r="L505" s="18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Row],[fecha_inicio]]="","",tblOrdenes[[#This Row],[anio]]&amp;"-"&amp;TEXT(tblOrdenes[[#This Row],[mes]],"00"))</f>
        <v/>
      </c>
      <c r="S505" s="5">
        <f>IF(tblOrdenes[[#This Row],[fecha_inicio]]="","",INDEX(lista_dias,WEEKDAY(tblOrdenes[[#This Row],[fecha_inicio]],2)))</f>
        <v/>
      </c>
      <c r="T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5">
        <f>IF(tblOrdenes[[#This Row],[tipo_ot]]="","",_xlfn.XLOOKUP(tblOrdenes[[#This Row],[tipo_ot]],tblTiposOT[codigo],tblTiposOT[clasificacion],"sin_clasificar"))</f>
        <v/>
      </c>
      <c r="V5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5">
        <f>IF(tblOrdenes[[#This Row],[centro_costo]]="","",_xlfn.XLOOKUP(tblOrdenes[[#This Row],[centro_costo]],tblCECO[codigo],tblCECO[linea],"(sin catálogo)"))</f>
        <v/>
      </c>
      <c r="Y505" s="5">
        <f>IF(tblOrdenes[[#This Row],[centro_costo]]="","",_xlfn.XLOOKUP(tblOrdenes[[#This Row],[centro_costo]],tblCECO[codigo],tblCECO[area],"(sin catálogo)"))</f>
        <v/>
      </c>
      <c r="Z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5">
        <f>IF(tblOrdenes[[#This Row],[centro_costo]]="","",_xlfn.XLOOKUP(tblOrdenes[[#This Row],[centro_costo]],tblCECO[codigo],tblCECO[coordinador],"(sin catálogo)"))</f>
        <v/>
      </c>
      <c r="AB505" s="5">
        <f>IF(tblOrdenes[[#This Row],[puesto_trabajo]]="","",_xlfn.XLOOKUP(tblOrdenes[[#This Row],[puesto_trabajo]],tblPuestos[codigo],tblPuestos[especialidad],"(sin catálogo)"))</f>
        <v/>
      </c>
      <c r="AC505" s="5">
        <f>IF(tblOrdenes[[#This Row],[cod_actividad]]="","",_xlfn.XLOOKUP(tblOrdenes[[#This Row],[cod_actividad]],tblActividades[codigo],tblActividades[descripcion],"(sin catálogo)"))</f>
        <v/>
      </c>
      <c r="AD505" s="23">
        <f>IF(tblOrdenes[[#This Row],[fecha_inicio]]="","",TODAY()-tblOrdenes[[#This Row],[fecha_inicio]])</f>
        <v/>
      </c>
      <c r="AE5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5">
        <f>IF(tblOrdenes[[#This Row],[backlog_habiles]]="","",IF(tblOrdenes[[#This Row],[backlog_habiles]]&lt;0,"FUTURO",IF(tblOrdenes[[#This Row],[backlog_habiles]]&gt;p_dias_backlog_max,"BACKLOG","MES CORRIENTE")))</f>
        <v/>
      </c>
      <c r="AG505" s="5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18">
        <f>IF(tblOrdenes[[#This Row],[orden]]="","",_xlfn.XLOOKUP(tblOrdenes[[#This Row],[id_operacion]],tblEjecucion[id_operacion],tblEjecucion[precio],0))</f>
        <v/>
      </c>
      <c r="AM505" s="18">
        <f>IF(tblOrdenes[[#This Row],[orden]]="","",MAX(0,_xlfn.XLOOKUP(tblOrdenes[[#This Row],[id_operacion]],tblEjecucion[id_operacion],tblEjecucion[costo_plan_total],0)-tblOrdenes[[#This Row],[costo_servicio]]))</f>
        <v/>
      </c>
      <c r="AN505" s="18">
        <f>IF(tblOrdenes[[#This Row],[orden]]="","",tblOrdenes[[#This Row],[costo_servicio]]+tblOrdenes[[#This Row],[costo_materiales]])</f>
        <v/>
      </c>
      <c r="AO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5">
        <f>IF(tblOrdenes[[#This Row],[link_checklist]]="","",HYPERLINK(p_ruta_base_checklists&amp;tblOrdenes[[#This Row],[link_checklist]],"abrir"))</f>
        <v/>
      </c>
      <c r="AT505" s="4" t="n"/>
      <c r="AU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5" t="n"/>
      <c r="K506" s="5" t="n"/>
      <c r="L506" s="18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Row],[fecha_inicio]]="","",tblOrdenes[[#This Row],[anio]]&amp;"-"&amp;TEXT(tblOrdenes[[#This Row],[mes]],"00"))</f>
        <v/>
      </c>
      <c r="S506" s="5">
        <f>IF(tblOrdenes[[#This Row],[fecha_inicio]]="","",INDEX(lista_dias,WEEKDAY(tblOrdenes[[#This Row],[fecha_inicio]],2)))</f>
        <v/>
      </c>
      <c r="T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5">
        <f>IF(tblOrdenes[[#This Row],[tipo_ot]]="","",_xlfn.XLOOKUP(tblOrdenes[[#This Row],[tipo_ot]],tblTiposOT[codigo],tblTiposOT[clasificacion],"sin_clasificar"))</f>
        <v/>
      </c>
      <c r="V5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5">
        <f>IF(tblOrdenes[[#This Row],[centro_costo]]="","",_xlfn.XLOOKUP(tblOrdenes[[#This Row],[centro_costo]],tblCECO[codigo],tblCECO[linea],"(sin catálogo)"))</f>
        <v/>
      </c>
      <c r="Y506" s="5">
        <f>IF(tblOrdenes[[#This Row],[centro_costo]]="","",_xlfn.XLOOKUP(tblOrdenes[[#This Row],[centro_costo]],tblCECO[codigo],tblCECO[area],"(sin catálogo)"))</f>
        <v/>
      </c>
      <c r="Z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5">
        <f>IF(tblOrdenes[[#This Row],[centro_costo]]="","",_xlfn.XLOOKUP(tblOrdenes[[#This Row],[centro_costo]],tblCECO[codigo],tblCECO[coordinador],"(sin catálogo)"))</f>
        <v/>
      </c>
      <c r="AB506" s="5">
        <f>IF(tblOrdenes[[#This Row],[puesto_trabajo]]="","",_xlfn.XLOOKUP(tblOrdenes[[#This Row],[puesto_trabajo]],tblPuestos[codigo],tblPuestos[especialidad],"(sin catálogo)"))</f>
        <v/>
      </c>
      <c r="AC506" s="5">
        <f>IF(tblOrdenes[[#This Row],[cod_actividad]]="","",_xlfn.XLOOKUP(tblOrdenes[[#This Row],[cod_actividad]],tblActividades[codigo],tblActividades[descripcion],"(sin catálogo)"))</f>
        <v/>
      </c>
      <c r="AD506" s="23">
        <f>IF(tblOrdenes[[#This Row],[fecha_inicio]]="","",TODAY()-tblOrdenes[[#This Row],[fecha_inicio]])</f>
        <v/>
      </c>
      <c r="AE5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5">
        <f>IF(tblOrdenes[[#This Row],[backlog_habiles]]="","",IF(tblOrdenes[[#This Row],[backlog_habiles]]&lt;0,"FUTURO",IF(tblOrdenes[[#This Row],[backlog_habiles]]&gt;p_dias_backlog_max,"BACKLOG","MES CORRIENTE")))</f>
        <v/>
      </c>
      <c r="AG506" s="5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18">
        <f>IF(tblOrdenes[[#This Row],[orden]]="","",_xlfn.XLOOKUP(tblOrdenes[[#This Row],[id_operacion]],tblEjecucion[id_operacion],tblEjecucion[precio],0))</f>
        <v/>
      </c>
      <c r="AM506" s="18">
        <f>IF(tblOrdenes[[#This Row],[orden]]="","",MAX(0,_xlfn.XLOOKUP(tblOrdenes[[#This Row],[id_operacion]],tblEjecucion[id_operacion],tblEjecucion[costo_plan_total],0)-tblOrdenes[[#This Row],[costo_servicio]]))</f>
        <v/>
      </c>
      <c r="AN506" s="18">
        <f>IF(tblOrdenes[[#This Row],[orden]]="","",tblOrdenes[[#This Row],[costo_servicio]]+tblOrdenes[[#This Row],[costo_materiales]])</f>
        <v/>
      </c>
      <c r="AO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5">
        <f>IF(tblOrdenes[[#This Row],[link_checklist]]="","",HYPERLINK(p_ruta_base_checklists&amp;tblOrdenes[[#This Row],[link_checklist]],"abrir"))</f>
        <v/>
      </c>
      <c r="AT506" s="4" t="n"/>
      <c r="AU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5" t="n"/>
      <c r="K507" s="5" t="n"/>
      <c r="L507" s="18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Row],[fecha_inicio]]="","",tblOrdenes[[#This Row],[anio]]&amp;"-"&amp;TEXT(tblOrdenes[[#This Row],[mes]],"00"))</f>
        <v/>
      </c>
      <c r="S507" s="5">
        <f>IF(tblOrdenes[[#This Row],[fecha_inicio]]="","",INDEX(lista_dias,WEEKDAY(tblOrdenes[[#This Row],[fecha_inicio]],2)))</f>
        <v/>
      </c>
      <c r="T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5">
        <f>IF(tblOrdenes[[#This Row],[tipo_ot]]="","",_xlfn.XLOOKUP(tblOrdenes[[#This Row],[tipo_ot]],tblTiposOT[codigo],tblTiposOT[clasificacion],"sin_clasificar"))</f>
        <v/>
      </c>
      <c r="V5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5">
        <f>IF(tblOrdenes[[#This Row],[centro_costo]]="","",_xlfn.XLOOKUP(tblOrdenes[[#This Row],[centro_costo]],tblCECO[codigo],tblCECO[linea],"(sin catálogo)"))</f>
        <v/>
      </c>
      <c r="Y507" s="5">
        <f>IF(tblOrdenes[[#This Row],[centro_costo]]="","",_xlfn.XLOOKUP(tblOrdenes[[#This Row],[centro_costo]],tblCECO[codigo],tblCECO[area],"(sin catálogo)"))</f>
        <v/>
      </c>
      <c r="Z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5">
        <f>IF(tblOrdenes[[#This Row],[centro_costo]]="","",_xlfn.XLOOKUP(tblOrdenes[[#This Row],[centro_costo]],tblCECO[codigo],tblCECO[coordinador],"(sin catálogo)"))</f>
        <v/>
      </c>
      <c r="AB507" s="5">
        <f>IF(tblOrdenes[[#This Row],[puesto_trabajo]]="","",_xlfn.XLOOKUP(tblOrdenes[[#This Row],[puesto_trabajo]],tblPuestos[codigo],tblPuestos[especialidad],"(sin catálogo)"))</f>
        <v/>
      </c>
      <c r="AC507" s="5">
        <f>IF(tblOrdenes[[#This Row],[cod_actividad]]="","",_xlfn.XLOOKUP(tblOrdenes[[#This Row],[cod_actividad]],tblActividades[codigo],tblActividades[descripcion],"(sin catálogo)"))</f>
        <v/>
      </c>
      <c r="AD507" s="23">
        <f>IF(tblOrdenes[[#This Row],[fecha_inicio]]="","",TODAY()-tblOrdenes[[#This Row],[fecha_inicio]])</f>
        <v/>
      </c>
      <c r="AE5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5">
        <f>IF(tblOrdenes[[#This Row],[backlog_habiles]]="","",IF(tblOrdenes[[#This Row],[backlog_habiles]]&lt;0,"FUTURO",IF(tblOrdenes[[#This Row],[backlog_habiles]]&gt;p_dias_backlog_max,"BACKLOG","MES CORRIENTE")))</f>
        <v/>
      </c>
      <c r="AG507" s="5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18">
        <f>IF(tblOrdenes[[#This Row],[orden]]="","",_xlfn.XLOOKUP(tblOrdenes[[#This Row],[id_operacion]],tblEjecucion[id_operacion],tblEjecucion[precio],0))</f>
        <v/>
      </c>
      <c r="AM507" s="18">
        <f>IF(tblOrdenes[[#This Row],[orden]]="","",MAX(0,_xlfn.XLOOKUP(tblOrdenes[[#This Row],[id_operacion]],tblEjecucion[id_operacion],tblEjecucion[costo_plan_total],0)-tblOrdenes[[#This Row],[costo_servicio]]))</f>
        <v/>
      </c>
      <c r="AN507" s="18">
        <f>IF(tblOrdenes[[#This Row],[orden]]="","",tblOrdenes[[#This Row],[costo_servicio]]+tblOrdenes[[#This Row],[costo_materiales]])</f>
        <v/>
      </c>
      <c r="AO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5">
        <f>IF(tblOrdenes[[#This Row],[link_checklist]]="","",HYPERLINK(p_ruta_base_checklists&amp;tblOrdenes[[#This Row],[link_checklist]],"abrir"))</f>
        <v/>
      </c>
      <c r="AT507" s="4" t="n"/>
      <c r="AU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5" t="n"/>
      <c r="K508" s="5" t="n"/>
      <c r="L508" s="18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Row],[fecha_inicio]]="","",tblOrdenes[[#This Row],[anio]]&amp;"-"&amp;TEXT(tblOrdenes[[#This Row],[mes]],"00"))</f>
        <v/>
      </c>
      <c r="S508" s="5">
        <f>IF(tblOrdenes[[#This Row],[fecha_inicio]]="","",INDEX(lista_dias,WEEKDAY(tblOrdenes[[#This Row],[fecha_inicio]],2)))</f>
        <v/>
      </c>
      <c r="T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5">
        <f>IF(tblOrdenes[[#This Row],[tipo_ot]]="","",_xlfn.XLOOKUP(tblOrdenes[[#This Row],[tipo_ot]],tblTiposOT[codigo],tblTiposOT[clasificacion],"sin_clasificar"))</f>
        <v/>
      </c>
      <c r="V5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5">
        <f>IF(tblOrdenes[[#This Row],[centro_costo]]="","",_xlfn.XLOOKUP(tblOrdenes[[#This Row],[centro_costo]],tblCECO[codigo],tblCECO[linea],"(sin catálogo)"))</f>
        <v/>
      </c>
      <c r="Y508" s="5">
        <f>IF(tblOrdenes[[#This Row],[centro_costo]]="","",_xlfn.XLOOKUP(tblOrdenes[[#This Row],[centro_costo]],tblCECO[codigo],tblCECO[area],"(sin catálogo)"))</f>
        <v/>
      </c>
      <c r="Z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5">
        <f>IF(tblOrdenes[[#This Row],[centro_costo]]="","",_xlfn.XLOOKUP(tblOrdenes[[#This Row],[centro_costo]],tblCECO[codigo],tblCECO[coordinador],"(sin catálogo)"))</f>
        <v/>
      </c>
      <c r="AB508" s="5">
        <f>IF(tblOrdenes[[#This Row],[puesto_trabajo]]="","",_xlfn.XLOOKUP(tblOrdenes[[#This Row],[puesto_trabajo]],tblPuestos[codigo],tblPuestos[especialidad],"(sin catálogo)"))</f>
        <v/>
      </c>
      <c r="AC508" s="5">
        <f>IF(tblOrdenes[[#This Row],[cod_actividad]]="","",_xlfn.XLOOKUP(tblOrdenes[[#This Row],[cod_actividad]],tblActividades[codigo],tblActividades[descripcion],"(sin catálogo)"))</f>
        <v/>
      </c>
      <c r="AD508" s="23">
        <f>IF(tblOrdenes[[#This Row],[fecha_inicio]]="","",TODAY()-tblOrdenes[[#This Row],[fecha_inicio]])</f>
        <v/>
      </c>
      <c r="AE5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5">
        <f>IF(tblOrdenes[[#This Row],[backlog_habiles]]="","",IF(tblOrdenes[[#This Row],[backlog_habiles]]&lt;0,"FUTURO",IF(tblOrdenes[[#This Row],[backlog_habiles]]&gt;p_dias_backlog_max,"BACKLOG","MES CORRIENTE")))</f>
        <v/>
      </c>
      <c r="AG508" s="5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18">
        <f>IF(tblOrdenes[[#This Row],[orden]]="","",_xlfn.XLOOKUP(tblOrdenes[[#This Row],[id_operacion]],tblEjecucion[id_operacion],tblEjecucion[precio],0))</f>
        <v/>
      </c>
      <c r="AM508" s="18">
        <f>IF(tblOrdenes[[#This Row],[orden]]="","",MAX(0,_xlfn.XLOOKUP(tblOrdenes[[#This Row],[id_operacion]],tblEjecucion[id_operacion],tblEjecucion[costo_plan_total],0)-tblOrdenes[[#This Row],[costo_servicio]]))</f>
        <v/>
      </c>
      <c r="AN508" s="18">
        <f>IF(tblOrdenes[[#This Row],[orden]]="","",tblOrdenes[[#This Row],[costo_servicio]]+tblOrdenes[[#This Row],[costo_materiales]])</f>
        <v/>
      </c>
      <c r="AO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5">
        <f>IF(tblOrdenes[[#This Row],[link_checklist]]="","",HYPERLINK(p_ruta_base_checklists&amp;tblOrdenes[[#This Row],[link_checklist]],"abrir"))</f>
        <v/>
      </c>
      <c r="AT508" s="4" t="n"/>
      <c r="AU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5" t="n"/>
      <c r="K509" s="5" t="n"/>
      <c r="L509" s="18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Row],[fecha_inicio]]="","",tblOrdenes[[#This Row],[anio]]&amp;"-"&amp;TEXT(tblOrdenes[[#This Row],[mes]],"00"))</f>
        <v/>
      </c>
      <c r="S509" s="5">
        <f>IF(tblOrdenes[[#This Row],[fecha_inicio]]="","",INDEX(lista_dias,WEEKDAY(tblOrdenes[[#This Row],[fecha_inicio]],2)))</f>
        <v/>
      </c>
      <c r="T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5">
        <f>IF(tblOrdenes[[#This Row],[tipo_ot]]="","",_xlfn.XLOOKUP(tblOrdenes[[#This Row],[tipo_ot]],tblTiposOT[codigo],tblTiposOT[clasificacion],"sin_clasificar"))</f>
        <v/>
      </c>
      <c r="V5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5">
        <f>IF(tblOrdenes[[#This Row],[centro_costo]]="","",_xlfn.XLOOKUP(tblOrdenes[[#This Row],[centro_costo]],tblCECO[codigo],tblCECO[linea],"(sin catálogo)"))</f>
        <v/>
      </c>
      <c r="Y509" s="5">
        <f>IF(tblOrdenes[[#This Row],[centro_costo]]="","",_xlfn.XLOOKUP(tblOrdenes[[#This Row],[centro_costo]],tblCECO[codigo],tblCECO[area],"(sin catálogo)"))</f>
        <v/>
      </c>
      <c r="Z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5">
        <f>IF(tblOrdenes[[#This Row],[centro_costo]]="","",_xlfn.XLOOKUP(tblOrdenes[[#This Row],[centro_costo]],tblCECO[codigo],tblCECO[coordinador],"(sin catálogo)"))</f>
        <v/>
      </c>
      <c r="AB509" s="5">
        <f>IF(tblOrdenes[[#This Row],[puesto_trabajo]]="","",_xlfn.XLOOKUP(tblOrdenes[[#This Row],[puesto_trabajo]],tblPuestos[codigo],tblPuestos[especialidad],"(sin catálogo)"))</f>
        <v/>
      </c>
      <c r="AC509" s="5">
        <f>IF(tblOrdenes[[#This Row],[cod_actividad]]="","",_xlfn.XLOOKUP(tblOrdenes[[#This Row],[cod_actividad]],tblActividades[codigo],tblActividades[descripcion],"(sin catálogo)"))</f>
        <v/>
      </c>
      <c r="AD509" s="23">
        <f>IF(tblOrdenes[[#This Row],[fecha_inicio]]="","",TODAY()-tblOrdenes[[#This Row],[fecha_inicio]])</f>
        <v/>
      </c>
      <c r="AE5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5">
        <f>IF(tblOrdenes[[#This Row],[backlog_habiles]]="","",IF(tblOrdenes[[#This Row],[backlog_habiles]]&lt;0,"FUTURO",IF(tblOrdenes[[#This Row],[backlog_habiles]]&gt;p_dias_backlog_max,"BACKLOG","MES CORRIENTE")))</f>
        <v/>
      </c>
      <c r="AG509" s="5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18">
        <f>IF(tblOrdenes[[#This Row],[orden]]="","",_xlfn.XLOOKUP(tblOrdenes[[#This Row],[id_operacion]],tblEjecucion[id_operacion],tblEjecucion[precio],0))</f>
        <v/>
      </c>
      <c r="AM509" s="18">
        <f>IF(tblOrdenes[[#This Row],[orden]]="","",MAX(0,_xlfn.XLOOKUP(tblOrdenes[[#This Row],[id_operacion]],tblEjecucion[id_operacion],tblEjecucion[costo_plan_total],0)-tblOrdenes[[#This Row],[costo_servicio]]))</f>
        <v/>
      </c>
      <c r="AN509" s="18">
        <f>IF(tblOrdenes[[#This Row],[orden]]="","",tblOrdenes[[#This Row],[costo_servicio]]+tblOrdenes[[#This Row],[costo_materiales]])</f>
        <v/>
      </c>
      <c r="AO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5">
        <f>IF(tblOrdenes[[#This Row],[link_checklist]]="","",HYPERLINK(p_ruta_base_checklists&amp;tblOrdenes[[#This Row],[link_checklist]],"abrir"))</f>
        <v/>
      </c>
      <c r="AT509" s="4" t="n"/>
      <c r="AU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5" t="n"/>
      <c r="K510" s="5" t="n"/>
      <c r="L510" s="18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Row],[fecha_inicio]]="","",tblOrdenes[[#This Row],[anio]]&amp;"-"&amp;TEXT(tblOrdenes[[#This Row],[mes]],"00"))</f>
        <v/>
      </c>
      <c r="S510" s="5">
        <f>IF(tblOrdenes[[#This Row],[fecha_inicio]]="","",INDEX(lista_dias,WEEKDAY(tblOrdenes[[#This Row],[fecha_inicio]],2)))</f>
        <v/>
      </c>
      <c r="T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5">
        <f>IF(tblOrdenes[[#This Row],[tipo_ot]]="","",_xlfn.XLOOKUP(tblOrdenes[[#This Row],[tipo_ot]],tblTiposOT[codigo],tblTiposOT[clasificacion],"sin_clasificar"))</f>
        <v/>
      </c>
      <c r="V5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5">
        <f>IF(tblOrdenes[[#This Row],[centro_costo]]="","",_xlfn.XLOOKUP(tblOrdenes[[#This Row],[centro_costo]],tblCECO[codigo],tblCECO[linea],"(sin catálogo)"))</f>
        <v/>
      </c>
      <c r="Y510" s="5">
        <f>IF(tblOrdenes[[#This Row],[centro_costo]]="","",_xlfn.XLOOKUP(tblOrdenes[[#This Row],[centro_costo]],tblCECO[codigo],tblCECO[area],"(sin catálogo)"))</f>
        <v/>
      </c>
      <c r="Z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5">
        <f>IF(tblOrdenes[[#This Row],[centro_costo]]="","",_xlfn.XLOOKUP(tblOrdenes[[#This Row],[centro_costo]],tblCECO[codigo],tblCECO[coordinador],"(sin catálogo)"))</f>
        <v/>
      </c>
      <c r="AB510" s="5">
        <f>IF(tblOrdenes[[#This Row],[puesto_trabajo]]="","",_xlfn.XLOOKUP(tblOrdenes[[#This Row],[puesto_trabajo]],tblPuestos[codigo],tblPuestos[especialidad],"(sin catálogo)"))</f>
        <v/>
      </c>
      <c r="AC510" s="5">
        <f>IF(tblOrdenes[[#This Row],[cod_actividad]]="","",_xlfn.XLOOKUP(tblOrdenes[[#This Row],[cod_actividad]],tblActividades[codigo],tblActividades[descripcion],"(sin catálogo)"))</f>
        <v/>
      </c>
      <c r="AD510" s="23">
        <f>IF(tblOrdenes[[#This Row],[fecha_inicio]]="","",TODAY()-tblOrdenes[[#This Row],[fecha_inicio]])</f>
        <v/>
      </c>
      <c r="AE5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5">
        <f>IF(tblOrdenes[[#This Row],[backlog_habiles]]="","",IF(tblOrdenes[[#This Row],[backlog_habiles]]&lt;0,"FUTURO",IF(tblOrdenes[[#This Row],[backlog_habiles]]&gt;p_dias_backlog_max,"BACKLOG","MES CORRIENTE")))</f>
        <v/>
      </c>
      <c r="AG510" s="5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18">
        <f>IF(tblOrdenes[[#This Row],[orden]]="","",_xlfn.XLOOKUP(tblOrdenes[[#This Row],[id_operacion]],tblEjecucion[id_operacion],tblEjecucion[precio],0))</f>
        <v/>
      </c>
      <c r="AM510" s="18">
        <f>IF(tblOrdenes[[#This Row],[orden]]="","",MAX(0,_xlfn.XLOOKUP(tblOrdenes[[#This Row],[id_operacion]],tblEjecucion[id_operacion],tblEjecucion[costo_plan_total],0)-tblOrdenes[[#This Row],[costo_servicio]]))</f>
        <v/>
      </c>
      <c r="AN510" s="18">
        <f>IF(tblOrdenes[[#This Row],[orden]]="","",tblOrdenes[[#This Row],[costo_servicio]]+tblOrdenes[[#This Row],[costo_materiales]])</f>
        <v/>
      </c>
      <c r="AO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5">
        <f>IF(tblOrdenes[[#This Row],[link_checklist]]="","",HYPERLINK(p_ruta_base_checklists&amp;tblOrdenes[[#This Row],[link_checklist]],"abrir"))</f>
        <v/>
      </c>
      <c r="AT510" s="4" t="n"/>
      <c r="AU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5" t="n"/>
      <c r="K511" s="5" t="n"/>
      <c r="L511" s="18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Row],[fecha_inicio]]="","",tblOrdenes[[#This Row],[anio]]&amp;"-"&amp;TEXT(tblOrdenes[[#This Row],[mes]],"00"))</f>
        <v/>
      </c>
      <c r="S511" s="5">
        <f>IF(tblOrdenes[[#This Row],[fecha_inicio]]="","",INDEX(lista_dias,WEEKDAY(tblOrdenes[[#This Row],[fecha_inicio]],2)))</f>
        <v/>
      </c>
      <c r="T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5">
        <f>IF(tblOrdenes[[#This Row],[tipo_ot]]="","",_xlfn.XLOOKUP(tblOrdenes[[#This Row],[tipo_ot]],tblTiposOT[codigo],tblTiposOT[clasificacion],"sin_clasificar"))</f>
        <v/>
      </c>
      <c r="V5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5">
        <f>IF(tblOrdenes[[#This Row],[centro_costo]]="","",_xlfn.XLOOKUP(tblOrdenes[[#This Row],[centro_costo]],tblCECO[codigo],tblCECO[linea],"(sin catálogo)"))</f>
        <v/>
      </c>
      <c r="Y511" s="5">
        <f>IF(tblOrdenes[[#This Row],[centro_costo]]="","",_xlfn.XLOOKUP(tblOrdenes[[#This Row],[centro_costo]],tblCECO[codigo],tblCECO[area],"(sin catálogo)"))</f>
        <v/>
      </c>
      <c r="Z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5">
        <f>IF(tblOrdenes[[#This Row],[centro_costo]]="","",_xlfn.XLOOKUP(tblOrdenes[[#This Row],[centro_costo]],tblCECO[codigo],tblCECO[coordinador],"(sin catálogo)"))</f>
        <v/>
      </c>
      <c r="AB511" s="5">
        <f>IF(tblOrdenes[[#This Row],[puesto_trabajo]]="","",_xlfn.XLOOKUP(tblOrdenes[[#This Row],[puesto_trabajo]],tblPuestos[codigo],tblPuestos[especialidad],"(sin catálogo)"))</f>
        <v/>
      </c>
      <c r="AC511" s="5">
        <f>IF(tblOrdenes[[#This Row],[cod_actividad]]="","",_xlfn.XLOOKUP(tblOrdenes[[#This Row],[cod_actividad]],tblActividades[codigo],tblActividades[descripcion],"(sin catálogo)"))</f>
        <v/>
      </c>
      <c r="AD511" s="23">
        <f>IF(tblOrdenes[[#This Row],[fecha_inicio]]="","",TODAY()-tblOrdenes[[#This Row],[fecha_inicio]])</f>
        <v/>
      </c>
      <c r="AE5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5">
        <f>IF(tblOrdenes[[#This Row],[backlog_habiles]]="","",IF(tblOrdenes[[#This Row],[backlog_habiles]]&lt;0,"FUTURO",IF(tblOrdenes[[#This Row],[backlog_habiles]]&gt;p_dias_backlog_max,"BACKLOG","MES CORRIENTE")))</f>
        <v/>
      </c>
      <c r="AG511" s="5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18">
        <f>IF(tblOrdenes[[#This Row],[orden]]="","",_xlfn.XLOOKUP(tblOrdenes[[#This Row],[id_operacion]],tblEjecucion[id_operacion],tblEjecucion[precio],0))</f>
        <v/>
      </c>
      <c r="AM511" s="18">
        <f>IF(tblOrdenes[[#This Row],[orden]]="","",MAX(0,_xlfn.XLOOKUP(tblOrdenes[[#This Row],[id_operacion]],tblEjecucion[id_operacion],tblEjecucion[costo_plan_total],0)-tblOrdenes[[#This Row],[costo_servicio]]))</f>
        <v/>
      </c>
      <c r="AN511" s="18">
        <f>IF(tblOrdenes[[#This Row],[orden]]="","",tblOrdenes[[#This Row],[costo_servicio]]+tblOrdenes[[#This Row],[costo_materiales]])</f>
        <v/>
      </c>
      <c r="AO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5">
        <f>IF(tblOrdenes[[#This Row],[link_checklist]]="","",HYPERLINK(p_ruta_base_checklists&amp;tblOrdenes[[#This Row],[link_checklist]],"abrir"))</f>
        <v/>
      </c>
      <c r="AT511" s="4" t="n"/>
      <c r="AU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5" t="n"/>
      <c r="K512" s="5" t="n"/>
      <c r="L512" s="18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Row],[fecha_inicio]]="","",tblOrdenes[[#This Row],[anio]]&amp;"-"&amp;TEXT(tblOrdenes[[#This Row],[mes]],"00"))</f>
        <v/>
      </c>
      <c r="S512" s="5">
        <f>IF(tblOrdenes[[#This Row],[fecha_inicio]]="","",INDEX(lista_dias,WEEKDAY(tblOrdenes[[#This Row],[fecha_inicio]],2)))</f>
        <v/>
      </c>
      <c r="T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5">
        <f>IF(tblOrdenes[[#This Row],[tipo_ot]]="","",_xlfn.XLOOKUP(tblOrdenes[[#This Row],[tipo_ot]],tblTiposOT[codigo],tblTiposOT[clasificacion],"sin_clasificar"))</f>
        <v/>
      </c>
      <c r="V5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5">
        <f>IF(tblOrdenes[[#This Row],[centro_costo]]="","",_xlfn.XLOOKUP(tblOrdenes[[#This Row],[centro_costo]],tblCECO[codigo],tblCECO[linea],"(sin catálogo)"))</f>
        <v/>
      </c>
      <c r="Y512" s="5">
        <f>IF(tblOrdenes[[#This Row],[centro_costo]]="","",_xlfn.XLOOKUP(tblOrdenes[[#This Row],[centro_costo]],tblCECO[codigo],tblCECO[area],"(sin catálogo)"))</f>
        <v/>
      </c>
      <c r="Z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5">
        <f>IF(tblOrdenes[[#This Row],[centro_costo]]="","",_xlfn.XLOOKUP(tblOrdenes[[#This Row],[centro_costo]],tblCECO[codigo],tblCECO[coordinador],"(sin catálogo)"))</f>
        <v/>
      </c>
      <c r="AB512" s="5">
        <f>IF(tblOrdenes[[#This Row],[puesto_trabajo]]="","",_xlfn.XLOOKUP(tblOrdenes[[#This Row],[puesto_trabajo]],tblPuestos[codigo],tblPuestos[especialidad],"(sin catálogo)"))</f>
        <v/>
      </c>
      <c r="AC512" s="5">
        <f>IF(tblOrdenes[[#This Row],[cod_actividad]]="","",_xlfn.XLOOKUP(tblOrdenes[[#This Row],[cod_actividad]],tblActividades[codigo],tblActividades[descripcion],"(sin catálogo)"))</f>
        <v/>
      </c>
      <c r="AD512" s="23">
        <f>IF(tblOrdenes[[#This Row],[fecha_inicio]]="","",TODAY()-tblOrdenes[[#This Row],[fecha_inicio]])</f>
        <v/>
      </c>
      <c r="AE5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5">
        <f>IF(tblOrdenes[[#This Row],[backlog_habiles]]="","",IF(tblOrdenes[[#This Row],[backlog_habiles]]&lt;0,"FUTURO",IF(tblOrdenes[[#This Row],[backlog_habiles]]&gt;p_dias_backlog_max,"BACKLOG","MES CORRIENTE")))</f>
        <v/>
      </c>
      <c r="AG512" s="5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18">
        <f>IF(tblOrdenes[[#This Row],[orden]]="","",_xlfn.XLOOKUP(tblOrdenes[[#This Row],[id_operacion]],tblEjecucion[id_operacion],tblEjecucion[precio],0))</f>
        <v/>
      </c>
      <c r="AM512" s="18">
        <f>IF(tblOrdenes[[#This Row],[orden]]="","",MAX(0,_xlfn.XLOOKUP(tblOrdenes[[#This Row],[id_operacion]],tblEjecucion[id_operacion],tblEjecucion[costo_plan_total],0)-tblOrdenes[[#This Row],[costo_servicio]]))</f>
        <v/>
      </c>
      <c r="AN512" s="18">
        <f>IF(tblOrdenes[[#This Row],[orden]]="","",tblOrdenes[[#This Row],[costo_servicio]]+tblOrdenes[[#This Row],[costo_materiales]])</f>
        <v/>
      </c>
      <c r="AO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5">
        <f>IF(tblOrdenes[[#This Row],[link_checklist]]="","",HYPERLINK(p_ruta_base_checklists&amp;tblOrdenes[[#This Row],[link_checklist]],"abrir"))</f>
        <v/>
      </c>
      <c r="AT512" s="4" t="n"/>
      <c r="AU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5" t="n"/>
      <c r="K513" s="5" t="n"/>
      <c r="L513" s="18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Row],[fecha_inicio]]="","",tblOrdenes[[#This Row],[anio]]&amp;"-"&amp;TEXT(tblOrdenes[[#This Row],[mes]],"00"))</f>
        <v/>
      </c>
      <c r="S513" s="5">
        <f>IF(tblOrdenes[[#This Row],[fecha_inicio]]="","",INDEX(lista_dias,WEEKDAY(tblOrdenes[[#This Row],[fecha_inicio]],2)))</f>
        <v/>
      </c>
      <c r="T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5">
        <f>IF(tblOrdenes[[#This Row],[tipo_ot]]="","",_xlfn.XLOOKUP(tblOrdenes[[#This Row],[tipo_ot]],tblTiposOT[codigo],tblTiposOT[clasificacion],"sin_clasificar"))</f>
        <v/>
      </c>
      <c r="V5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5">
        <f>IF(tblOrdenes[[#This Row],[centro_costo]]="","",_xlfn.XLOOKUP(tblOrdenes[[#This Row],[centro_costo]],tblCECO[codigo],tblCECO[linea],"(sin catálogo)"))</f>
        <v/>
      </c>
      <c r="Y513" s="5">
        <f>IF(tblOrdenes[[#This Row],[centro_costo]]="","",_xlfn.XLOOKUP(tblOrdenes[[#This Row],[centro_costo]],tblCECO[codigo],tblCECO[area],"(sin catálogo)"))</f>
        <v/>
      </c>
      <c r="Z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5">
        <f>IF(tblOrdenes[[#This Row],[centro_costo]]="","",_xlfn.XLOOKUP(tblOrdenes[[#This Row],[centro_costo]],tblCECO[codigo],tblCECO[coordinador],"(sin catálogo)"))</f>
        <v/>
      </c>
      <c r="AB513" s="5">
        <f>IF(tblOrdenes[[#This Row],[puesto_trabajo]]="","",_xlfn.XLOOKUP(tblOrdenes[[#This Row],[puesto_trabajo]],tblPuestos[codigo],tblPuestos[especialidad],"(sin catálogo)"))</f>
        <v/>
      </c>
      <c r="AC513" s="5">
        <f>IF(tblOrdenes[[#This Row],[cod_actividad]]="","",_xlfn.XLOOKUP(tblOrdenes[[#This Row],[cod_actividad]],tblActividades[codigo],tblActividades[descripcion],"(sin catálogo)"))</f>
        <v/>
      </c>
      <c r="AD513" s="23">
        <f>IF(tblOrdenes[[#This Row],[fecha_inicio]]="","",TODAY()-tblOrdenes[[#This Row],[fecha_inicio]])</f>
        <v/>
      </c>
      <c r="AE5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5">
        <f>IF(tblOrdenes[[#This Row],[backlog_habiles]]="","",IF(tblOrdenes[[#This Row],[backlog_habiles]]&lt;0,"FUTURO",IF(tblOrdenes[[#This Row],[backlog_habiles]]&gt;p_dias_backlog_max,"BACKLOG","MES CORRIENTE")))</f>
        <v/>
      </c>
      <c r="AG513" s="5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18">
        <f>IF(tblOrdenes[[#This Row],[orden]]="","",_xlfn.XLOOKUP(tblOrdenes[[#This Row],[id_operacion]],tblEjecucion[id_operacion],tblEjecucion[precio],0))</f>
        <v/>
      </c>
      <c r="AM513" s="18">
        <f>IF(tblOrdenes[[#This Row],[orden]]="","",MAX(0,_xlfn.XLOOKUP(tblOrdenes[[#This Row],[id_operacion]],tblEjecucion[id_operacion],tblEjecucion[costo_plan_total],0)-tblOrdenes[[#This Row],[costo_servicio]]))</f>
        <v/>
      </c>
      <c r="AN513" s="18">
        <f>IF(tblOrdenes[[#This Row],[orden]]="","",tblOrdenes[[#This Row],[costo_servicio]]+tblOrdenes[[#This Row],[costo_materiales]])</f>
        <v/>
      </c>
      <c r="AO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5">
        <f>IF(tblOrdenes[[#This Row],[link_checklist]]="","",HYPERLINK(p_ruta_base_checklists&amp;tblOrdenes[[#This Row],[link_checklist]],"abrir"))</f>
        <v/>
      </c>
      <c r="AT513" s="4" t="n"/>
      <c r="AU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5" t="n"/>
      <c r="K514" s="5" t="n"/>
      <c r="L514" s="18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Row],[fecha_inicio]]="","",tblOrdenes[[#This Row],[anio]]&amp;"-"&amp;TEXT(tblOrdenes[[#This Row],[mes]],"00"))</f>
        <v/>
      </c>
      <c r="S514" s="5">
        <f>IF(tblOrdenes[[#This Row],[fecha_inicio]]="","",INDEX(lista_dias,WEEKDAY(tblOrdenes[[#This Row],[fecha_inicio]],2)))</f>
        <v/>
      </c>
      <c r="T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5">
        <f>IF(tblOrdenes[[#This Row],[tipo_ot]]="","",_xlfn.XLOOKUP(tblOrdenes[[#This Row],[tipo_ot]],tblTiposOT[codigo],tblTiposOT[clasificacion],"sin_clasificar"))</f>
        <v/>
      </c>
      <c r="V5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5">
        <f>IF(tblOrdenes[[#This Row],[centro_costo]]="","",_xlfn.XLOOKUP(tblOrdenes[[#This Row],[centro_costo]],tblCECO[codigo],tblCECO[linea],"(sin catálogo)"))</f>
        <v/>
      </c>
      <c r="Y514" s="5">
        <f>IF(tblOrdenes[[#This Row],[centro_costo]]="","",_xlfn.XLOOKUP(tblOrdenes[[#This Row],[centro_costo]],tblCECO[codigo],tblCECO[area],"(sin catálogo)"))</f>
        <v/>
      </c>
      <c r="Z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5">
        <f>IF(tblOrdenes[[#This Row],[centro_costo]]="","",_xlfn.XLOOKUP(tblOrdenes[[#This Row],[centro_costo]],tblCECO[codigo],tblCECO[coordinador],"(sin catálogo)"))</f>
        <v/>
      </c>
      <c r="AB514" s="5">
        <f>IF(tblOrdenes[[#This Row],[puesto_trabajo]]="","",_xlfn.XLOOKUP(tblOrdenes[[#This Row],[puesto_trabajo]],tblPuestos[codigo],tblPuestos[especialidad],"(sin catálogo)"))</f>
        <v/>
      </c>
      <c r="AC514" s="5">
        <f>IF(tblOrdenes[[#This Row],[cod_actividad]]="","",_xlfn.XLOOKUP(tblOrdenes[[#This Row],[cod_actividad]],tblActividades[codigo],tblActividades[descripcion],"(sin catálogo)"))</f>
        <v/>
      </c>
      <c r="AD514" s="23">
        <f>IF(tblOrdenes[[#This Row],[fecha_inicio]]="","",TODAY()-tblOrdenes[[#This Row],[fecha_inicio]])</f>
        <v/>
      </c>
      <c r="AE5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5">
        <f>IF(tblOrdenes[[#This Row],[backlog_habiles]]="","",IF(tblOrdenes[[#This Row],[backlog_habiles]]&lt;0,"FUTURO",IF(tblOrdenes[[#This Row],[backlog_habiles]]&gt;p_dias_backlog_max,"BACKLOG","MES CORRIENTE")))</f>
        <v/>
      </c>
      <c r="AG514" s="5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18">
        <f>IF(tblOrdenes[[#This Row],[orden]]="","",_xlfn.XLOOKUP(tblOrdenes[[#This Row],[id_operacion]],tblEjecucion[id_operacion],tblEjecucion[precio],0))</f>
        <v/>
      </c>
      <c r="AM514" s="18">
        <f>IF(tblOrdenes[[#This Row],[orden]]="","",MAX(0,_xlfn.XLOOKUP(tblOrdenes[[#This Row],[id_operacion]],tblEjecucion[id_operacion],tblEjecucion[costo_plan_total],0)-tblOrdenes[[#This Row],[costo_servicio]]))</f>
        <v/>
      </c>
      <c r="AN514" s="18">
        <f>IF(tblOrdenes[[#This Row],[orden]]="","",tblOrdenes[[#This Row],[costo_servicio]]+tblOrdenes[[#This Row],[costo_materiales]])</f>
        <v/>
      </c>
      <c r="AO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5">
        <f>IF(tblOrdenes[[#This Row],[link_checklist]]="","",HYPERLINK(p_ruta_base_checklists&amp;tblOrdenes[[#This Row],[link_checklist]],"abrir"))</f>
        <v/>
      </c>
      <c r="AT514" s="4" t="n"/>
      <c r="AU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5" t="n"/>
      <c r="K515" s="5" t="n"/>
      <c r="L515" s="18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Row],[fecha_inicio]]="","",tblOrdenes[[#This Row],[anio]]&amp;"-"&amp;TEXT(tblOrdenes[[#This Row],[mes]],"00"))</f>
        <v/>
      </c>
      <c r="S515" s="5">
        <f>IF(tblOrdenes[[#This Row],[fecha_inicio]]="","",INDEX(lista_dias,WEEKDAY(tblOrdenes[[#This Row],[fecha_inicio]],2)))</f>
        <v/>
      </c>
      <c r="T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5">
        <f>IF(tblOrdenes[[#This Row],[tipo_ot]]="","",_xlfn.XLOOKUP(tblOrdenes[[#This Row],[tipo_ot]],tblTiposOT[codigo],tblTiposOT[clasificacion],"sin_clasificar"))</f>
        <v/>
      </c>
      <c r="V5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5">
        <f>IF(tblOrdenes[[#This Row],[centro_costo]]="","",_xlfn.XLOOKUP(tblOrdenes[[#This Row],[centro_costo]],tblCECO[codigo],tblCECO[linea],"(sin catálogo)"))</f>
        <v/>
      </c>
      <c r="Y515" s="5">
        <f>IF(tblOrdenes[[#This Row],[centro_costo]]="","",_xlfn.XLOOKUP(tblOrdenes[[#This Row],[centro_costo]],tblCECO[codigo],tblCECO[area],"(sin catálogo)"))</f>
        <v/>
      </c>
      <c r="Z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5">
        <f>IF(tblOrdenes[[#This Row],[centro_costo]]="","",_xlfn.XLOOKUP(tblOrdenes[[#This Row],[centro_costo]],tblCECO[codigo],tblCECO[coordinador],"(sin catálogo)"))</f>
        <v/>
      </c>
      <c r="AB515" s="5">
        <f>IF(tblOrdenes[[#This Row],[puesto_trabajo]]="","",_xlfn.XLOOKUP(tblOrdenes[[#This Row],[puesto_trabajo]],tblPuestos[codigo],tblPuestos[especialidad],"(sin catálogo)"))</f>
        <v/>
      </c>
      <c r="AC515" s="5">
        <f>IF(tblOrdenes[[#This Row],[cod_actividad]]="","",_xlfn.XLOOKUP(tblOrdenes[[#This Row],[cod_actividad]],tblActividades[codigo],tblActividades[descripcion],"(sin catálogo)"))</f>
        <v/>
      </c>
      <c r="AD515" s="23">
        <f>IF(tblOrdenes[[#This Row],[fecha_inicio]]="","",TODAY()-tblOrdenes[[#This Row],[fecha_inicio]])</f>
        <v/>
      </c>
      <c r="AE5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5">
        <f>IF(tblOrdenes[[#This Row],[backlog_habiles]]="","",IF(tblOrdenes[[#This Row],[backlog_habiles]]&lt;0,"FUTURO",IF(tblOrdenes[[#This Row],[backlog_habiles]]&gt;p_dias_backlog_max,"BACKLOG","MES CORRIENTE")))</f>
        <v/>
      </c>
      <c r="AG515" s="5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18">
        <f>IF(tblOrdenes[[#This Row],[orden]]="","",_xlfn.XLOOKUP(tblOrdenes[[#This Row],[id_operacion]],tblEjecucion[id_operacion],tblEjecucion[precio],0))</f>
        <v/>
      </c>
      <c r="AM515" s="18">
        <f>IF(tblOrdenes[[#This Row],[orden]]="","",MAX(0,_xlfn.XLOOKUP(tblOrdenes[[#This Row],[id_operacion]],tblEjecucion[id_operacion],tblEjecucion[costo_plan_total],0)-tblOrdenes[[#This Row],[costo_servicio]]))</f>
        <v/>
      </c>
      <c r="AN515" s="18">
        <f>IF(tblOrdenes[[#This Row],[orden]]="","",tblOrdenes[[#This Row],[costo_servicio]]+tblOrdenes[[#This Row],[costo_materiales]])</f>
        <v/>
      </c>
      <c r="AO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5">
        <f>IF(tblOrdenes[[#This Row],[link_checklist]]="","",HYPERLINK(p_ruta_base_checklists&amp;tblOrdenes[[#This Row],[link_checklist]],"abrir"))</f>
        <v/>
      </c>
      <c r="AT515" s="4" t="n"/>
      <c r="AU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5" t="n"/>
      <c r="K516" s="5" t="n"/>
      <c r="L516" s="18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Row],[fecha_inicio]]="","",tblOrdenes[[#This Row],[anio]]&amp;"-"&amp;TEXT(tblOrdenes[[#This Row],[mes]],"00"))</f>
        <v/>
      </c>
      <c r="S516" s="5">
        <f>IF(tblOrdenes[[#This Row],[fecha_inicio]]="","",INDEX(lista_dias,WEEKDAY(tblOrdenes[[#This Row],[fecha_inicio]],2)))</f>
        <v/>
      </c>
      <c r="T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5">
        <f>IF(tblOrdenes[[#This Row],[tipo_ot]]="","",_xlfn.XLOOKUP(tblOrdenes[[#This Row],[tipo_ot]],tblTiposOT[codigo],tblTiposOT[clasificacion],"sin_clasificar"))</f>
        <v/>
      </c>
      <c r="V5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5">
        <f>IF(tblOrdenes[[#This Row],[centro_costo]]="","",_xlfn.XLOOKUP(tblOrdenes[[#This Row],[centro_costo]],tblCECO[codigo],tblCECO[linea],"(sin catálogo)"))</f>
        <v/>
      </c>
      <c r="Y516" s="5">
        <f>IF(tblOrdenes[[#This Row],[centro_costo]]="","",_xlfn.XLOOKUP(tblOrdenes[[#This Row],[centro_costo]],tblCECO[codigo],tblCECO[area],"(sin catálogo)"))</f>
        <v/>
      </c>
      <c r="Z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5">
        <f>IF(tblOrdenes[[#This Row],[centro_costo]]="","",_xlfn.XLOOKUP(tblOrdenes[[#This Row],[centro_costo]],tblCECO[codigo],tblCECO[coordinador],"(sin catálogo)"))</f>
        <v/>
      </c>
      <c r="AB516" s="5">
        <f>IF(tblOrdenes[[#This Row],[puesto_trabajo]]="","",_xlfn.XLOOKUP(tblOrdenes[[#This Row],[puesto_trabajo]],tblPuestos[codigo],tblPuestos[especialidad],"(sin catálogo)"))</f>
        <v/>
      </c>
      <c r="AC516" s="5">
        <f>IF(tblOrdenes[[#This Row],[cod_actividad]]="","",_xlfn.XLOOKUP(tblOrdenes[[#This Row],[cod_actividad]],tblActividades[codigo],tblActividades[descripcion],"(sin catálogo)"))</f>
        <v/>
      </c>
      <c r="AD516" s="23">
        <f>IF(tblOrdenes[[#This Row],[fecha_inicio]]="","",TODAY()-tblOrdenes[[#This Row],[fecha_inicio]])</f>
        <v/>
      </c>
      <c r="AE5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5">
        <f>IF(tblOrdenes[[#This Row],[backlog_habiles]]="","",IF(tblOrdenes[[#This Row],[backlog_habiles]]&lt;0,"FUTURO",IF(tblOrdenes[[#This Row],[backlog_habiles]]&gt;p_dias_backlog_max,"BACKLOG","MES CORRIENTE")))</f>
        <v/>
      </c>
      <c r="AG516" s="5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18">
        <f>IF(tblOrdenes[[#This Row],[orden]]="","",_xlfn.XLOOKUP(tblOrdenes[[#This Row],[id_operacion]],tblEjecucion[id_operacion],tblEjecucion[precio],0))</f>
        <v/>
      </c>
      <c r="AM516" s="18">
        <f>IF(tblOrdenes[[#This Row],[orden]]="","",MAX(0,_xlfn.XLOOKUP(tblOrdenes[[#This Row],[id_operacion]],tblEjecucion[id_operacion],tblEjecucion[costo_plan_total],0)-tblOrdenes[[#This Row],[costo_servicio]]))</f>
        <v/>
      </c>
      <c r="AN516" s="18">
        <f>IF(tblOrdenes[[#This Row],[orden]]="","",tblOrdenes[[#This Row],[costo_servicio]]+tblOrdenes[[#This Row],[costo_materiales]])</f>
        <v/>
      </c>
      <c r="AO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5">
        <f>IF(tblOrdenes[[#This Row],[link_checklist]]="","",HYPERLINK(p_ruta_base_checklists&amp;tblOrdenes[[#This Row],[link_checklist]],"abrir"))</f>
        <v/>
      </c>
      <c r="AT516" s="4" t="n"/>
      <c r="AU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5" t="n"/>
      <c r="K517" s="5" t="n"/>
      <c r="L517" s="18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Row],[fecha_inicio]]="","",tblOrdenes[[#This Row],[anio]]&amp;"-"&amp;TEXT(tblOrdenes[[#This Row],[mes]],"00"))</f>
        <v/>
      </c>
      <c r="S517" s="5">
        <f>IF(tblOrdenes[[#This Row],[fecha_inicio]]="","",INDEX(lista_dias,WEEKDAY(tblOrdenes[[#This Row],[fecha_inicio]],2)))</f>
        <v/>
      </c>
      <c r="T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5">
        <f>IF(tblOrdenes[[#This Row],[tipo_ot]]="","",_xlfn.XLOOKUP(tblOrdenes[[#This Row],[tipo_ot]],tblTiposOT[codigo],tblTiposOT[clasificacion],"sin_clasificar"))</f>
        <v/>
      </c>
      <c r="V5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5">
        <f>IF(tblOrdenes[[#This Row],[centro_costo]]="","",_xlfn.XLOOKUP(tblOrdenes[[#This Row],[centro_costo]],tblCECO[codigo],tblCECO[linea],"(sin catálogo)"))</f>
        <v/>
      </c>
      <c r="Y517" s="5">
        <f>IF(tblOrdenes[[#This Row],[centro_costo]]="","",_xlfn.XLOOKUP(tblOrdenes[[#This Row],[centro_costo]],tblCECO[codigo],tblCECO[area],"(sin catálogo)"))</f>
        <v/>
      </c>
      <c r="Z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5">
        <f>IF(tblOrdenes[[#This Row],[centro_costo]]="","",_xlfn.XLOOKUP(tblOrdenes[[#This Row],[centro_costo]],tblCECO[codigo],tblCECO[coordinador],"(sin catálogo)"))</f>
        <v/>
      </c>
      <c r="AB517" s="5">
        <f>IF(tblOrdenes[[#This Row],[puesto_trabajo]]="","",_xlfn.XLOOKUP(tblOrdenes[[#This Row],[puesto_trabajo]],tblPuestos[codigo],tblPuestos[especialidad],"(sin catálogo)"))</f>
        <v/>
      </c>
      <c r="AC517" s="5">
        <f>IF(tblOrdenes[[#This Row],[cod_actividad]]="","",_xlfn.XLOOKUP(tblOrdenes[[#This Row],[cod_actividad]],tblActividades[codigo],tblActividades[descripcion],"(sin catálogo)"))</f>
        <v/>
      </c>
      <c r="AD517" s="23">
        <f>IF(tblOrdenes[[#This Row],[fecha_inicio]]="","",TODAY()-tblOrdenes[[#This Row],[fecha_inicio]])</f>
        <v/>
      </c>
      <c r="AE5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5">
        <f>IF(tblOrdenes[[#This Row],[backlog_habiles]]="","",IF(tblOrdenes[[#This Row],[backlog_habiles]]&lt;0,"FUTURO",IF(tblOrdenes[[#This Row],[backlog_habiles]]&gt;p_dias_backlog_max,"BACKLOG","MES CORRIENTE")))</f>
        <v/>
      </c>
      <c r="AG517" s="5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18">
        <f>IF(tblOrdenes[[#This Row],[orden]]="","",_xlfn.XLOOKUP(tblOrdenes[[#This Row],[id_operacion]],tblEjecucion[id_operacion],tblEjecucion[precio],0))</f>
        <v/>
      </c>
      <c r="AM517" s="18">
        <f>IF(tblOrdenes[[#This Row],[orden]]="","",MAX(0,_xlfn.XLOOKUP(tblOrdenes[[#This Row],[id_operacion]],tblEjecucion[id_operacion],tblEjecucion[costo_plan_total],0)-tblOrdenes[[#This Row],[costo_servicio]]))</f>
        <v/>
      </c>
      <c r="AN517" s="18">
        <f>IF(tblOrdenes[[#This Row],[orden]]="","",tblOrdenes[[#This Row],[costo_servicio]]+tblOrdenes[[#This Row],[costo_materiales]])</f>
        <v/>
      </c>
      <c r="AO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5">
        <f>IF(tblOrdenes[[#This Row],[link_checklist]]="","",HYPERLINK(p_ruta_base_checklists&amp;tblOrdenes[[#This Row],[link_checklist]],"abrir"))</f>
        <v/>
      </c>
      <c r="AT517" s="4" t="n"/>
      <c r="AU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5" t="n"/>
      <c r="K518" s="5" t="n"/>
      <c r="L518" s="18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Row],[fecha_inicio]]="","",tblOrdenes[[#This Row],[anio]]&amp;"-"&amp;TEXT(tblOrdenes[[#This Row],[mes]],"00"))</f>
        <v/>
      </c>
      <c r="S518" s="5">
        <f>IF(tblOrdenes[[#This Row],[fecha_inicio]]="","",INDEX(lista_dias,WEEKDAY(tblOrdenes[[#This Row],[fecha_inicio]],2)))</f>
        <v/>
      </c>
      <c r="T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5">
        <f>IF(tblOrdenes[[#This Row],[tipo_ot]]="","",_xlfn.XLOOKUP(tblOrdenes[[#This Row],[tipo_ot]],tblTiposOT[codigo],tblTiposOT[clasificacion],"sin_clasificar"))</f>
        <v/>
      </c>
      <c r="V5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5">
        <f>IF(tblOrdenes[[#This Row],[centro_costo]]="","",_xlfn.XLOOKUP(tblOrdenes[[#This Row],[centro_costo]],tblCECO[codigo],tblCECO[linea],"(sin catálogo)"))</f>
        <v/>
      </c>
      <c r="Y518" s="5">
        <f>IF(tblOrdenes[[#This Row],[centro_costo]]="","",_xlfn.XLOOKUP(tblOrdenes[[#This Row],[centro_costo]],tblCECO[codigo],tblCECO[area],"(sin catálogo)"))</f>
        <v/>
      </c>
      <c r="Z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5">
        <f>IF(tblOrdenes[[#This Row],[centro_costo]]="","",_xlfn.XLOOKUP(tblOrdenes[[#This Row],[centro_costo]],tblCECO[codigo],tblCECO[coordinador],"(sin catálogo)"))</f>
        <v/>
      </c>
      <c r="AB518" s="5">
        <f>IF(tblOrdenes[[#This Row],[puesto_trabajo]]="","",_xlfn.XLOOKUP(tblOrdenes[[#This Row],[puesto_trabajo]],tblPuestos[codigo],tblPuestos[especialidad],"(sin catálogo)"))</f>
        <v/>
      </c>
      <c r="AC518" s="5">
        <f>IF(tblOrdenes[[#This Row],[cod_actividad]]="","",_xlfn.XLOOKUP(tblOrdenes[[#This Row],[cod_actividad]],tblActividades[codigo],tblActividades[descripcion],"(sin catálogo)"))</f>
        <v/>
      </c>
      <c r="AD518" s="23">
        <f>IF(tblOrdenes[[#This Row],[fecha_inicio]]="","",TODAY()-tblOrdenes[[#This Row],[fecha_inicio]])</f>
        <v/>
      </c>
      <c r="AE5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5">
        <f>IF(tblOrdenes[[#This Row],[backlog_habiles]]="","",IF(tblOrdenes[[#This Row],[backlog_habiles]]&lt;0,"FUTURO",IF(tblOrdenes[[#This Row],[backlog_habiles]]&gt;p_dias_backlog_max,"BACKLOG","MES CORRIENTE")))</f>
        <v/>
      </c>
      <c r="AG518" s="5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18">
        <f>IF(tblOrdenes[[#This Row],[orden]]="","",_xlfn.XLOOKUP(tblOrdenes[[#This Row],[id_operacion]],tblEjecucion[id_operacion],tblEjecucion[precio],0))</f>
        <v/>
      </c>
      <c r="AM518" s="18">
        <f>IF(tblOrdenes[[#This Row],[orden]]="","",MAX(0,_xlfn.XLOOKUP(tblOrdenes[[#This Row],[id_operacion]],tblEjecucion[id_operacion],tblEjecucion[costo_plan_total],0)-tblOrdenes[[#This Row],[costo_servicio]]))</f>
        <v/>
      </c>
      <c r="AN518" s="18">
        <f>IF(tblOrdenes[[#This Row],[orden]]="","",tblOrdenes[[#This Row],[costo_servicio]]+tblOrdenes[[#This Row],[costo_materiales]])</f>
        <v/>
      </c>
      <c r="AO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5">
        <f>IF(tblOrdenes[[#This Row],[link_checklist]]="","",HYPERLINK(p_ruta_base_checklists&amp;tblOrdenes[[#This Row],[link_checklist]],"abrir"))</f>
        <v/>
      </c>
      <c r="AT518" s="4" t="n"/>
      <c r="AU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5" t="n"/>
      <c r="K519" s="5" t="n"/>
      <c r="L519" s="18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Row],[fecha_inicio]]="","",tblOrdenes[[#This Row],[anio]]&amp;"-"&amp;TEXT(tblOrdenes[[#This Row],[mes]],"00"))</f>
        <v/>
      </c>
      <c r="S519" s="5">
        <f>IF(tblOrdenes[[#This Row],[fecha_inicio]]="","",INDEX(lista_dias,WEEKDAY(tblOrdenes[[#This Row],[fecha_inicio]],2)))</f>
        <v/>
      </c>
      <c r="T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5">
        <f>IF(tblOrdenes[[#This Row],[tipo_ot]]="","",_xlfn.XLOOKUP(tblOrdenes[[#This Row],[tipo_ot]],tblTiposOT[codigo],tblTiposOT[clasificacion],"sin_clasificar"))</f>
        <v/>
      </c>
      <c r="V5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5">
        <f>IF(tblOrdenes[[#This Row],[centro_costo]]="","",_xlfn.XLOOKUP(tblOrdenes[[#This Row],[centro_costo]],tblCECO[codigo],tblCECO[linea],"(sin catálogo)"))</f>
        <v/>
      </c>
      <c r="Y519" s="5">
        <f>IF(tblOrdenes[[#This Row],[centro_costo]]="","",_xlfn.XLOOKUP(tblOrdenes[[#This Row],[centro_costo]],tblCECO[codigo],tblCECO[area],"(sin catálogo)"))</f>
        <v/>
      </c>
      <c r="Z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5">
        <f>IF(tblOrdenes[[#This Row],[centro_costo]]="","",_xlfn.XLOOKUP(tblOrdenes[[#This Row],[centro_costo]],tblCECO[codigo],tblCECO[coordinador],"(sin catálogo)"))</f>
        <v/>
      </c>
      <c r="AB519" s="5">
        <f>IF(tblOrdenes[[#This Row],[puesto_trabajo]]="","",_xlfn.XLOOKUP(tblOrdenes[[#This Row],[puesto_trabajo]],tblPuestos[codigo],tblPuestos[especialidad],"(sin catálogo)"))</f>
        <v/>
      </c>
      <c r="AC519" s="5">
        <f>IF(tblOrdenes[[#This Row],[cod_actividad]]="","",_xlfn.XLOOKUP(tblOrdenes[[#This Row],[cod_actividad]],tblActividades[codigo],tblActividades[descripcion],"(sin catálogo)"))</f>
        <v/>
      </c>
      <c r="AD519" s="23">
        <f>IF(tblOrdenes[[#This Row],[fecha_inicio]]="","",TODAY()-tblOrdenes[[#This Row],[fecha_inicio]])</f>
        <v/>
      </c>
      <c r="AE5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5">
        <f>IF(tblOrdenes[[#This Row],[backlog_habiles]]="","",IF(tblOrdenes[[#This Row],[backlog_habiles]]&lt;0,"FUTURO",IF(tblOrdenes[[#This Row],[backlog_habiles]]&gt;p_dias_backlog_max,"BACKLOG","MES CORRIENTE")))</f>
        <v/>
      </c>
      <c r="AG519" s="5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18">
        <f>IF(tblOrdenes[[#This Row],[orden]]="","",_xlfn.XLOOKUP(tblOrdenes[[#This Row],[id_operacion]],tblEjecucion[id_operacion],tblEjecucion[precio],0))</f>
        <v/>
      </c>
      <c r="AM519" s="18">
        <f>IF(tblOrdenes[[#This Row],[orden]]="","",MAX(0,_xlfn.XLOOKUP(tblOrdenes[[#This Row],[id_operacion]],tblEjecucion[id_operacion],tblEjecucion[costo_plan_total],0)-tblOrdenes[[#This Row],[costo_servicio]]))</f>
        <v/>
      </c>
      <c r="AN519" s="18">
        <f>IF(tblOrdenes[[#This Row],[orden]]="","",tblOrdenes[[#This Row],[costo_servicio]]+tblOrdenes[[#This Row],[costo_materiales]])</f>
        <v/>
      </c>
      <c r="AO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5">
        <f>IF(tblOrdenes[[#This Row],[link_checklist]]="","",HYPERLINK(p_ruta_base_checklists&amp;tblOrdenes[[#This Row],[link_checklist]],"abrir"))</f>
        <v/>
      </c>
      <c r="AT519" s="4" t="n"/>
      <c r="AU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5" t="n"/>
      <c r="K520" s="5" t="n"/>
      <c r="L520" s="18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Row],[fecha_inicio]]="","",tblOrdenes[[#This Row],[anio]]&amp;"-"&amp;TEXT(tblOrdenes[[#This Row],[mes]],"00"))</f>
        <v/>
      </c>
      <c r="S520" s="5">
        <f>IF(tblOrdenes[[#This Row],[fecha_inicio]]="","",INDEX(lista_dias,WEEKDAY(tblOrdenes[[#This Row],[fecha_inicio]],2)))</f>
        <v/>
      </c>
      <c r="T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5">
        <f>IF(tblOrdenes[[#This Row],[tipo_ot]]="","",_xlfn.XLOOKUP(tblOrdenes[[#This Row],[tipo_ot]],tblTiposOT[codigo],tblTiposOT[clasificacion],"sin_clasificar"))</f>
        <v/>
      </c>
      <c r="V5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5">
        <f>IF(tblOrdenes[[#This Row],[centro_costo]]="","",_xlfn.XLOOKUP(tblOrdenes[[#This Row],[centro_costo]],tblCECO[codigo],tblCECO[linea],"(sin catálogo)"))</f>
        <v/>
      </c>
      <c r="Y520" s="5">
        <f>IF(tblOrdenes[[#This Row],[centro_costo]]="","",_xlfn.XLOOKUP(tblOrdenes[[#This Row],[centro_costo]],tblCECO[codigo],tblCECO[area],"(sin catálogo)"))</f>
        <v/>
      </c>
      <c r="Z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5">
        <f>IF(tblOrdenes[[#This Row],[centro_costo]]="","",_xlfn.XLOOKUP(tblOrdenes[[#This Row],[centro_costo]],tblCECO[codigo],tblCECO[coordinador],"(sin catálogo)"))</f>
        <v/>
      </c>
      <c r="AB520" s="5">
        <f>IF(tblOrdenes[[#This Row],[puesto_trabajo]]="","",_xlfn.XLOOKUP(tblOrdenes[[#This Row],[puesto_trabajo]],tblPuestos[codigo],tblPuestos[especialidad],"(sin catálogo)"))</f>
        <v/>
      </c>
      <c r="AC520" s="5">
        <f>IF(tblOrdenes[[#This Row],[cod_actividad]]="","",_xlfn.XLOOKUP(tblOrdenes[[#This Row],[cod_actividad]],tblActividades[codigo],tblActividades[descripcion],"(sin catálogo)"))</f>
        <v/>
      </c>
      <c r="AD520" s="23">
        <f>IF(tblOrdenes[[#This Row],[fecha_inicio]]="","",TODAY()-tblOrdenes[[#This Row],[fecha_inicio]])</f>
        <v/>
      </c>
      <c r="AE5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5">
        <f>IF(tblOrdenes[[#This Row],[backlog_habiles]]="","",IF(tblOrdenes[[#This Row],[backlog_habiles]]&lt;0,"FUTURO",IF(tblOrdenes[[#This Row],[backlog_habiles]]&gt;p_dias_backlog_max,"BACKLOG","MES CORRIENTE")))</f>
        <v/>
      </c>
      <c r="AG520" s="5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18">
        <f>IF(tblOrdenes[[#This Row],[orden]]="","",_xlfn.XLOOKUP(tblOrdenes[[#This Row],[id_operacion]],tblEjecucion[id_operacion],tblEjecucion[precio],0))</f>
        <v/>
      </c>
      <c r="AM520" s="18">
        <f>IF(tblOrdenes[[#This Row],[orden]]="","",MAX(0,_xlfn.XLOOKUP(tblOrdenes[[#This Row],[id_operacion]],tblEjecucion[id_operacion],tblEjecucion[costo_plan_total],0)-tblOrdenes[[#This Row],[costo_servicio]]))</f>
        <v/>
      </c>
      <c r="AN520" s="18">
        <f>IF(tblOrdenes[[#This Row],[orden]]="","",tblOrdenes[[#This Row],[costo_servicio]]+tblOrdenes[[#This Row],[costo_materiales]])</f>
        <v/>
      </c>
      <c r="AO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5">
        <f>IF(tblOrdenes[[#This Row],[link_checklist]]="","",HYPERLINK(p_ruta_base_checklists&amp;tblOrdenes[[#This Row],[link_checklist]],"abrir"))</f>
        <v/>
      </c>
      <c r="AT520" s="4" t="n"/>
      <c r="AU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5" t="n"/>
      <c r="K521" s="5" t="n"/>
      <c r="L521" s="18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Row],[fecha_inicio]]="","",tblOrdenes[[#This Row],[anio]]&amp;"-"&amp;TEXT(tblOrdenes[[#This Row],[mes]],"00"))</f>
        <v/>
      </c>
      <c r="S521" s="5">
        <f>IF(tblOrdenes[[#This Row],[fecha_inicio]]="","",INDEX(lista_dias,WEEKDAY(tblOrdenes[[#This Row],[fecha_inicio]],2)))</f>
        <v/>
      </c>
      <c r="T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5">
        <f>IF(tblOrdenes[[#This Row],[tipo_ot]]="","",_xlfn.XLOOKUP(tblOrdenes[[#This Row],[tipo_ot]],tblTiposOT[codigo],tblTiposOT[clasificacion],"sin_clasificar"))</f>
        <v/>
      </c>
      <c r="V5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5">
        <f>IF(tblOrdenes[[#This Row],[centro_costo]]="","",_xlfn.XLOOKUP(tblOrdenes[[#This Row],[centro_costo]],tblCECO[codigo],tblCECO[linea],"(sin catálogo)"))</f>
        <v/>
      </c>
      <c r="Y521" s="5">
        <f>IF(tblOrdenes[[#This Row],[centro_costo]]="","",_xlfn.XLOOKUP(tblOrdenes[[#This Row],[centro_costo]],tblCECO[codigo],tblCECO[area],"(sin catálogo)"))</f>
        <v/>
      </c>
      <c r="Z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5">
        <f>IF(tblOrdenes[[#This Row],[centro_costo]]="","",_xlfn.XLOOKUP(tblOrdenes[[#This Row],[centro_costo]],tblCECO[codigo],tblCECO[coordinador],"(sin catálogo)"))</f>
        <v/>
      </c>
      <c r="AB521" s="5">
        <f>IF(tblOrdenes[[#This Row],[puesto_trabajo]]="","",_xlfn.XLOOKUP(tblOrdenes[[#This Row],[puesto_trabajo]],tblPuestos[codigo],tblPuestos[especialidad],"(sin catálogo)"))</f>
        <v/>
      </c>
      <c r="AC521" s="5">
        <f>IF(tblOrdenes[[#This Row],[cod_actividad]]="","",_xlfn.XLOOKUP(tblOrdenes[[#This Row],[cod_actividad]],tblActividades[codigo],tblActividades[descripcion],"(sin catálogo)"))</f>
        <v/>
      </c>
      <c r="AD521" s="23">
        <f>IF(tblOrdenes[[#This Row],[fecha_inicio]]="","",TODAY()-tblOrdenes[[#This Row],[fecha_inicio]])</f>
        <v/>
      </c>
      <c r="AE5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5">
        <f>IF(tblOrdenes[[#This Row],[backlog_habiles]]="","",IF(tblOrdenes[[#This Row],[backlog_habiles]]&lt;0,"FUTURO",IF(tblOrdenes[[#This Row],[backlog_habiles]]&gt;p_dias_backlog_max,"BACKLOG","MES CORRIENTE")))</f>
        <v/>
      </c>
      <c r="AG521" s="5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18">
        <f>IF(tblOrdenes[[#This Row],[orden]]="","",_xlfn.XLOOKUP(tblOrdenes[[#This Row],[id_operacion]],tblEjecucion[id_operacion],tblEjecucion[precio],0))</f>
        <v/>
      </c>
      <c r="AM521" s="18">
        <f>IF(tblOrdenes[[#This Row],[orden]]="","",MAX(0,_xlfn.XLOOKUP(tblOrdenes[[#This Row],[id_operacion]],tblEjecucion[id_operacion],tblEjecucion[costo_plan_total],0)-tblOrdenes[[#This Row],[costo_servicio]]))</f>
        <v/>
      </c>
      <c r="AN521" s="18">
        <f>IF(tblOrdenes[[#This Row],[orden]]="","",tblOrdenes[[#This Row],[costo_servicio]]+tblOrdenes[[#This Row],[costo_materiales]])</f>
        <v/>
      </c>
      <c r="AO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5">
        <f>IF(tblOrdenes[[#This Row],[link_checklist]]="","",HYPERLINK(p_ruta_base_checklists&amp;tblOrdenes[[#This Row],[link_checklist]],"abrir"))</f>
        <v/>
      </c>
      <c r="AT521" s="4" t="n"/>
      <c r="AU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5" t="n"/>
      <c r="K522" s="5" t="n"/>
      <c r="L522" s="18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Row],[fecha_inicio]]="","",tblOrdenes[[#This Row],[anio]]&amp;"-"&amp;TEXT(tblOrdenes[[#This Row],[mes]],"00"))</f>
        <v/>
      </c>
      <c r="S522" s="5">
        <f>IF(tblOrdenes[[#This Row],[fecha_inicio]]="","",INDEX(lista_dias,WEEKDAY(tblOrdenes[[#This Row],[fecha_inicio]],2)))</f>
        <v/>
      </c>
      <c r="T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5">
        <f>IF(tblOrdenes[[#This Row],[tipo_ot]]="","",_xlfn.XLOOKUP(tblOrdenes[[#This Row],[tipo_ot]],tblTiposOT[codigo],tblTiposOT[clasificacion],"sin_clasificar"))</f>
        <v/>
      </c>
      <c r="V5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5">
        <f>IF(tblOrdenes[[#This Row],[centro_costo]]="","",_xlfn.XLOOKUP(tblOrdenes[[#This Row],[centro_costo]],tblCECO[codigo],tblCECO[linea],"(sin catálogo)"))</f>
        <v/>
      </c>
      <c r="Y522" s="5">
        <f>IF(tblOrdenes[[#This Row],[centro_costo]]="","",_xlfn.XLOOKUP(tblOrdenes[[#This Row],[centro_costo]],tblCECO[codigo],tblCECO[area],"(sin catálogo)"))</f>
        <v/>
      </c>
      <c r="Z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5">
        <f>IF(tblOrdenes[[#This Row],[centro_costo]]="","",_xlfn.XLOOKUP(tblOrdenes[[#This Row],[centro_costo]],tblCECO[codigo],tblCECO[coordinador],"(sin catálogo)"))</f>
        <v/>
      </c>
      <c r="AB522" s="5">
        <f>IF(tblOrdenes[[#This Row],[puesto_trabajo]]="","",_xlfn.XLOOKUP(tblOrdenes[[#This Row],[puesto_trabajo]],tblPuestos[codigo],tblPuestos[especialidad],"(sin catálogo)"))</f>
        <v/>
      </c>
      <c r="AC522" s="5">
        <f>IF(tblOrdenes[[#This Row],[cod_actividad]]="","",_xlfn.XLOOKUP(tblOrdenes[[#This Row],[cod_actividad]],tblActividades[codigo],tblActividades[descripcion],"(sin catálogo)"))</f>
        <v/>
      </c>
      <c r="AD522" s="23">
        <f>IF(tblOrdenes[[#This Row],[fecha_inicio]]="","",TODAY()-tblOrdenes[[#This Row],[fecha_inicio]])</f>
        <v/>
      </c>
      <c r="AE5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5">
        <f>IF(tblOrdenes[[#This Row],[backlog_habiles]]="","",IF(tblOrdenes[[#This Row],[backlog_habiles]]&lt;0,"FUTURO",IF(tblOrdenes[[#This Row],[backlog_habiles]]&gt;p_dias_backlog_max,"BACKLOG","MES CORRIENTE")))</f>
        <v/>
      </c>
      <c r="AG522" s="5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18">
        <f>IF(tblOrdenes[[#This Row],[orden]]="","",_xlfn.XLOOKUP(tblOrdenes[[#This Row],[id_operacion]],tblEjecucion[id_operacion],tblEjecucion[precio],0))</f>
        <v/>
      </c>
      <c r="AM522" s="18">
        <f>IF(tblOrdenes[[#This Row],[orden]]="","",MAX(0,_xlfn.XLOOKUP(tblOrdenes[[#This Row],[id_operacion]],tblEjecucion[id_operacion],tblEjecucion[costo_plan_total],0)-tblOrdenes[[#This Row],[costo_servicio]]))</f>
        <v/>
      </c>
      <c r="AN522" s="18">
        <f>IF(tblOrdenes[[#This Row],[orden]]="","",tblOrdenes[[#This Row],[costo_servicio]]+tblOrdenes[[#This Row],[costo_materiales]])</f>
        <v/>
      </c>
      <c r="AO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5">
        <f>IF(tblOrdenes[[#This Row],[link_checklist]]="","",HYPERLINK(p_ruta_base_checklists&amp;tblOrdenes[[#This Row],[link_checklist]],"abrir"))</f>
        <v/>
      </c>
      <c r="AT522" s="4" t="n"/>
      <c r="AU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5" t="n"/>
      <c r="K523" s="5" t="n"/>
      <c r="L523" s="18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Row],[fecha_inicio]]="","",tblOrdenes[[#This Row],[anio]]&amp;"-"&amp;TEXT(tblOrdenes[[#This Row],[mes]],"00"))</f>
        <v/>
      </c>
      <c r="S523" s="5">
        <f>IF(tblOrdenes[[#This Row],[fecha_inicio]]="","",INDEX(lista_dias,WEEKDAY(tblOrdenes[[#This Row],[fecha_inicio]],2)))</f>
        <v/>
      </c>
      <c r="T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5">
        <f>IF(tblOrdenes[[#This Row],[tipo_ot]]="","",_xlfn.XLOOKUP(tblOrdenes[[#This Row],[tipo_ot]],tblTiposOT[codigo],tblTiposOT[clasificacion],"sin_clasificar"))</f>
        <v/>
      </c>
      <c r="V5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5">
        <f>IF(tblOrdenes[[#This Row],[centro_costo]]="","",_xlfn.XLOOKUP(tblOrdenes[[#This Row],[centro_costo]],tblCECO[codigo],tblCECO[linea],"(sin catálogo)"))</f>
        <v/>
      </c>
      <c r="Y523" s="5">
        <f>IF(tblOrdenes[[#This Row],[centro_costo]]="","",_xlfn.XLOOKUP(tblOrdenes[[#This Row],[centro_costo]],tblCECO[codigo],tblCECO[area],"(sin catálogo)"))</f>
        <v/>
      </c>
      <c r="Z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5">
        <f>IF(tblOrdenes[[#This Row],[centro_costo]]="","",_xlfn.XLOOKUP(tblOrdenes[[#This Row],[centro_costo]],tblCECO[codigo],tblCECO[coordinador],"(sin catálogo)"))</f>
        <v/>
      </c>
      <c r="AB523" s="5">
        <f>IF(tblOrdenes[[#This Row],[puesto_trabajo]]="","",_xlfn.XLOOKUP(tblOrdenes[[#This Row],[puesto_trabajo]],tblPuestos[codigo],tblPuestos[especialidad],"(sin catálogo)"))</f>
        <v/>
      </c>
      <c r="AC523" s="5">
        <f>IF(tblOrdenes[[#This Row],[cod_actividad]]="","",_xlfn.XLOOKUP(tblOrdenes[[#This Row],[cod_actividad]],tblActividades[codigo],tblActividades[descripcion],"(sin catálogo)"))</f>
        <v/>
      </c>
      <c r="AD523" s="23">
        <f>IF(tblOrdenes[[#This Row],[fecha_inicio]]="","",TODAY()-tblOrdenes[[#This Row],[fecha_inicio]])</f>
        <v/>
      </c>
      <c r="AE5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5">
        <f>IF(tblOrdenes[[#This Row],[backlog_habiles]]="","",IF(tblOrdenes[[#This Row],[backlog_habiles]]&lt;0,"FUTURO",IF(tblOrdenes[[#This Row],[backlog_habiles]]&gt;p_dias_backlog_max,"BACKLOG","MES CORRIENTE")))</f>
        <v/>
      </c>
      <c r="AG523" s="5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18">
        <f>IF(tblOrdenes[[#This Row],[orden]]="","",_xlfn.XLOOKUP(tblOrdenes[[#This Row],[id_operacion]],tblEjecucion[id_operacion],tblEjecucion[precio],0))</f>
        <v/>
      </c>
      <c r="AM523" s="18">
        <f>IF(tblOrdenes[[#This Row],[orden]]="","",MAX(0,_xlfn.XLOOKUP(tblOrdenes[[#This Row],[id_operacion]],tblEjecucion[id_operacion],tblEjecucion[costo_plan_total],0)-tblOrdenes[[#This Row],[costo_servicio]]))</f>
        <v/>
      </c>
      <c r="AN523" s="18">
        <f>IF(tblOrdenes[[#This Row],[orden]]="","",tblOrdenes[[#This Row],[costo_servicio]]+tblOrdenes[[#This Row],[costo_materiales]])</f>
        <v/>
      </c>
      <c r="AO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5">
        <f>IF(tblOrdenes[[#This Row],[link_checklist]]="","",HYPERLINK(p_ruta_base_checklists&amp;tblOrdenes[[#This Row],[link_checklist]],"abrir"))</f>
        <v/>
      </c>
      <c r="AT523" s="4" t="n"/>
      <c r="AU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5" t="n"/>
      <c r="K524" s="5" t="n"/>
      <c r="L524" s="18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Row],[fecha_inicio]]="","",tblOrdenes[[#This Row],[anio]]&amp;"-"&amp;TEXT(tblOrdenes[[#This Row],[mes]],"00"))</f>
        <v/>
      </c>
      <c r="S524" s="5">
        <f>IF(tblOrdenes[[#This Row],[fecha_inicio]]="","",INDEX(lista_dias,WEEKDAY(tblOrdenes[[#This Row],[fecha_inicio]],2)))</f>
        <v/>
      </c>
      <c r="T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5">
        <f>IF(tblOrdenes[[#This Row],[tipo_ot]]="","",_xlfn.XLOOKUP(tblOrdenes[[#This Row],[tipo_ot]],tblTiposOT[codigo],tblTiposOT[clasificacion],"sin_clasificar"))</f>
        <v/>
      </c>
      <c r="V5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5">
        <f>IF(tblOrdenes[[#This Row],[centro_costo]]="","",_xlfn.XLOOKUP(tblOrdenes[[#This Row],[centro_costo]],tblCECO[codigo],tblCECO[linea],"(sin catálogo)"))</f>
        <v/>
      </c>
      <c r="Y524" s="5">
        <f>IF(tblOrdenes[[#This Row],[centro_costo]]="","",_xlfn.XLOOKUP(tblOrdenes[[#This Row],[centro_costo]],tblCECO[codigo],tblCECO[area],"(sin catálogo)"))</f>
        <v/>
      </c>
      <c r="Z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5">
        <f>IF(tblOrdenes[[#This Row],[centro_costo]]="","",_xlfn.XLOOKUP(tblOrdenes[[#This Row],[centro_costo]],tblCECO[codigo],tblCECO[coordinador],"(sin catálogo)"))</f>
        <v/>
      </c>
      <c r="AB524" s="5">
        <f>IF(tblOrdenes[[#This Row],[puesto_trabajo]]="","",_xlfn.XLOOKUP(tblOrdenes[[#This Row],[puesto_trabajo]],tblPuestos[codigo],tblPuestos[especialidad],"(sin catálogo)"))</f>
        <v/>
      </c>
      <c r="AC524" s="5">
        <f>IF(tblOrdenes[[#This Row],[cod_actividad]]="","",_xlfn.XLOOKUP(tblOrdenes[[#This Row],[cod_actividad]],tblActividades[codigo],tblActividades[descripcion],"(sin catálogo)"))</f>
        <v/>
      </c>
      <c r="AD524" s="23">
        <f>IF(tblOrdenes[[#This Row],[fecha_inicio]]="","",TODAY()-tblOrdenes[[#This Row],[fecha_inicio]])</f>
        <v/>
      </c>
      <c r="AE5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5">
        <f>IF(tblOrdenes[[#This Row],[backlog_habiles]]="","",IF(tblOrdenes[[#This Row],[backlog_habiles]]&lt;0,"FUTURO",IF(tblOrdenes[[#This Row],[backlog_habiles]]&gt;p_dias_backlog_max,"BACKLOG","MES CORRIENTE")))</f>
        <v/>
      </c>
      <c r="AG524" s="5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18">
        <f>IF(tblOrdenes[[#This Row],[orden]]="","",_xlfn.XLOOKUP(tblOrdenes[[#This Row],[id_operacion]],tblEjecucion[id_operacion],tblEjecucion[precio],0))</f>
        <v/>
      </c>
      <c r="AM524" s="18">
        <f>IF(tblOrdenes[[#This Row],[orden]]="","",MAX(0,_xlfn.XLOOKUP(tblOrdenes[[#This Row],[id_operacion]],tblEjecucion[id_operacion],tblEjecucion[costo_plan_total],0)-tblOrdenes[[#This Row],[costo_servicio]]))</f>
        <v/>
      </c>
      <c r="AN524" s="18">
        <f>IF(tblOrdenes[[#This Row],[orden]]="","",tblOrdenes[[#This Row],[costo_servicio]]+tblOrdenes[[#This Row],[costo_materiales]])</f>
        <v/>
      </c>
      <c r="AO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5">
        <f>IF(tblOrdenes[[#This Row],[link_checklist]]="","",HYPERLINK(p_ruta_base_checklists&amp;tblOrdenes[[#This Row],[link_checklist]],"abrir"))</f>
        <v/>
      </c>
      <c r="AT524" s="4" t="n"/>
      <c r="AU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5" t="n"/>
      <c r="K525" s="5" t="n"/>
      <c r="L525" s="18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Row],[fecha_inicio]]="","",tblOrdenes[[#This Row],[anio]]&amp;"-"&amp;TEXT(tblOrdenes[[#This Row],[mes]],"00"))</f>
        <v/>
      </c>
      <c r="S525" s="5">
        <f>IF(tblOrdenes[[#This Row],[fecha_inicio]]="","",INDEX(lista_dias,WEEKDAY(tblOrdenes[[#This Row],[fecha_inicio]],2)))</f>
        <v/>
      </c>
      <c r="T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5">
        <f>IF(tblOrdenes[[#This Row],[tipo_ot]]="","",_xlfn.XLOOKUP(tblOrdenes[[#This Row],[tipo_ot]],tblTiposOT[codigo],tblTiposOT[clasificacion],"sin_clasificar"))</f>
        <v/>
      </c>
      <c r="V5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5">
        <f>IF(tblOrdenes[[#This Row],[centro_costo]]="","",_xlfn.XLOOKUP(tblOrdenes[[#This Row],[centro_costo]],tblCECO[codigo],tblCECO[linea],"(sin catálogo)"))</f>
        <v/>
      </c>
      <c r="Y525" s="5">
        <f>IF(tblOrdenes[[#This Row],[centro_costo]]="","",_xlfn.XLOOKUP(tblOrdenes[[#This Row],[centro_costo]],tblCECO[codigo],tblCECO[area],"(sin catálogo)"))</f>
        <v/>
      </c>
      <c r="Z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5">
        <f>IF(tblOrdenes[[#This Row],[centro_costo]]="","",_xlfn.XLOOKUP(tblOrdenes[[#This Row],[centro_costo]],tblCECO[codigo],tblCECO[coordinador],"(sin catálogo)"))</f>
        <v/>
      </c>
      <c r="AB525" s="5">
        <f>IF(tblOrdenes[[#This Row],[puesto_trabajo]]="","",_xlfn.XLOOKUP(tblOrdenes[[#This Row],[puesto_trabajo]],tblPuestos[codigo],tblPuestos[especialidad],"(sin catálogo)"))</f>
        <v/>
      </c>
      <c r="AC525" s="5">
        <f>IF(tblOrdenes[[#This Row],[cod_actividad]]="","",_xlfn.XLOOKUP(tblOrdenes[[#This Row],[cod_actividad]],tblActividades[codigo],tblActividades[descripcion],"(sin catálogo)"))</f>
        <v/>
      </c>
      <c r="AD525" s="23">
        <f>IF(tblOrdenes[[#This Row],[fecha_inicio]]="","",TODAY()-tblOrdenes[[#This Row],[fecha_inicio]])</f>
        <v/>
      </c>
      <c r="AE5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5">
        <f>IF(tblOrdenes[[#This Row],[backlog_habiles]]="","",IF(tblOrdenes[[#This Row],[backlog_habiles]]&lt;0,"FUTURO",IF(tblOrdenes[[#This Row],[backlog_habiles]]&gt;p_dias_backlog_max,"BACKLOG","MES CORRIENTE")))</f>
        <v/>
      </c>
      <c r="AG525" s="5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18">
        <f>IF(tblOrdenes[[#This Row],[orden]]="","",_xlfn.XLOOKUP(tblOrdenes[[#This Row],[id_operacion]],tblEjecucion[id_operacion],tblEjecucion[precio],0))</f>
        <v/>
      </c>
      <c r="AM525" s="18">
        <f>IF(tblOrdenes[[#This Row],[orden]]="","",MAX(0,_xlfn.XLOOKUP(tblOrdenes[[#This Row],[id_operacion]],tblEjecucion[id_operacion],tblEjecucion[costo_plan_total],0)-tblOrdenes[[#This Row],[costo_servicio]]))</f>
        <v/>
      </c>
      <c r="AN525" s="18">
        <f>IF(tblOrdenes[[#This Row],[orden]]="","",tblOrdenes[[#This Row],[costo_servicio]]+tblOrdenes[[#This Row],[costo_materiales]])</f>
        <v/>
      </c>
      <c r="AO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5">
        <f>IF(tblOrdenes[[#This Row],[link_checklist]]="","",HYPERLINK(p_ruta_base_checklists&amp;tblOrdenes[[#This Row],[link_checklist]],"abrir"))</f>
        <v/>
      </c>
      <c r="AT525" s="4" t="n"/>
      <c r="AU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5" t="n"/>
      <c r="K526" s="5" t="n"/>
      <c r="L526" s="18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Row],[fecha_inicio]]="","",tblOrdenes[[#This Row],[anio]]&amp;"-"&amp;TEXT(tblOrdenes[[#This Row],[mes]],"00"))</f>
        <v/>
      </c>
      <c r="S526" s="5">
        <f>IF(tblOrdenes[[#This Row],[fecha_inicio]]="","",INDEX(lista_dias,WEEKDAY(tblOrdenes[[#This Row],[fecha_inicio]],2)))</f>
        <v/>
      </c>
      <c r="T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5">
        <f>IF(tblOrdenes[[#This Row],[tipo_ot]]="","",_xlfn.XLOOKUP(tblOrdenes[[#This Row],[tipo_ot]],tblTiposOT[codigo],tblTiposOT[clasificacion],"sin_clasificar"))</f>
        <v/>
      </c>
      <c r="V5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5">
        <f>IF(tblOrdenes[[#This Row],[centro_costo]]="","",_xlfn.XLOOKUP(tblOrdenes[[#This Row],[centro_costo]],tblCECO[codigo],tblCECO[linea],"(sin catálogo)"))</f>
        <v/>
      </c>
      <c r="Y526" s="5">
        <f>IF(tblOrdenes[[#This Row],[centro_costo]]="","",_xlfn.XLOOKUP(tblOrdenes[[#This Row],[centro_costo]],tblCECO[codigo],tblCECO[area],"(sin catálogo)"))</f>
        <v/>
      </c>
      <c r="Z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5">
        <f>IF(tblOrdenes[[#This Row],[centro_costo]]="","",_xlfn.XLOOKUP(tblOrdenes[[#This Row],[centro_costo]],tblCECO[codigo],tblCECO[coordinador],"(sin catálogo)"))</f>
        <v/>
      </c>
      <c r="AB526" s="5">
        <f>IF(tblOrdenes[[#This Row],[puesto_trabajo]]="","",_xlfn.XLOOKUP(tblOrdenes[[#This Row],[puesto_trabajo]],tblPuestos[codigo],tblPuestos[especialidad],"(sin catálogo)"))</f>
        <v/>
      </c>
      <c r="AC526" s="5">
        <f>IF(tblOrdenes[[#This Row],[cod_actividad]]="","",_xlfn.XLOOKUP(tblOrdenes[[#This Row],[cod_actividad]],tblActividades[codigo],tblActividades[descripcion],"(sin catálogo)"))</f>
        <v/>
      </c>
      <c r="AD526" s="23">
        <f>IF(tblOrdenes[[#This Row],[fecha_inicio]]="","",TODAY()-tblOrdenes[[#This Row],[fecha_inicio]])</f>
        <v/>
      </c>
      <c r="AE5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5">
        <f>IF(tblOrdenes[[#This Row],[backlog_habiles]]="","",IF(tblOrdenes[[#This Row],[backlog_habiles]]&lt;0,"FUTURO",IF(tblOrdenes[[#This Row],[backlog_habiles]]&gt;p_dias_backlog_max,"BACKLOG","MES CORRIENTE")))</f>
        <v/>
      </c>
      <c r="AG526" s="5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18">
        <f>IF(tblOrdenes[[#This Row],[orden]]="","",_xlfn.XLOOKUP(tblOrdenes[[#This Row],[id_operacion]],tblEjecucion[id_operacion],tblEjecucion[precio],0))</f>
        <v/>
      </c>
      <c r="AM526" s="18">
        <f>IF(tblOrdenes[[#This Row],[orden]]="","",MAX(0,_xlfn.XLOOKUP(tblOrdenes[[#This Row],[id_operacion]],tblEjecucion[id_operacion],tblEjecucion[costo_plan_total],0)-tblOrdenes[[#This Row],[costo_servicio]]))</f>
        <v/>
      </c>
      <c r="AN526" s="18">
        <f>IF(tblOrdenes[[#This Row],[orden]]="","",tblOrdenes[[#This Row],[costo_servicio]]+tblOrdenes[[#This Row],[costo_materiales]])</f>
        <v/>
      </c>
      <c r="AO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5">
        <f>IF(tblOrdenes[[#This Row],[link_checklist]]="","",HYPERLINK(p_ruta_base_checklists&amp;tblOrdenes[[#This Row],[link_checklist]],"abrir"))</f>
        <v/>
      </c>
      <c r="AT526" s="4" t="n"/>
      <c r="AU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5" t="n"/>
      <c r="K527" s="5" t="n"/>
      <c r="L527" s="18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Row],[fecha_inicio]]="","",tblOrdenes[[#This Row],[anio]]&amp;"-"&amp;TEXT(tblOrdenes[[#This Row],[mes]],"00"))</f>
        <v/>
      </c>
      <c r="S527" s="5">
        <f>IF(tblOrdenes[[#This Row],[fecha_inicio]]="","",INDEX(lista_dias,WEEKDAY(tblOrdenes[[#This Row],[fecha_inicio]],2)))</f>
        <v/>
      </c>
      <c r="T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5">
        <f>IF(tblOrdenes[[#This Row],[tipo_ot]]="","",_xlfn.XLOOKUP(tblOrdenes[[#This Row],[tipo_ot]],tblTiposOT[codigo],tblTiposOT[clasificacion],"sin_clasificar"))</f>
        <v/>
      </c>
      <c r="V5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5">
        <f>IF(tblOrdenes[[#This Row],[centro_costo]]="","",_xlfn.XLOOKUP(tblOrdenes[[#This Row],[centro_costo]],tblCECO[codigo],tblCECO[linea],"(sin catálogo)"))</f>
        <v/>
      </c>
      <c r="Y527" s="5">
        <f>IF(tblOrdenes[[#This Row],[centro_costo]]="","",_xlfn.XLOOKUP(tblOrdenes[[#This Row],[centro_costo]],tblCECO[codigo],tblCECO[area],"(sin catálogo)"))</f>
        <v/>
      </c>
      <c r="Z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5">
        <f>IF(tblOrdenes[[#This Row],[centro_costo]]="","",_xlfn.XLOOKUP(tblOrdenes[[#This Row],[centro_costo]],tblCECO[codigo],tblCECO[coordinador],"(sin catálogo)"))</f>
        <v/>
      </c>
      <c r="AB527" s="5">
        <f>IF(tblOrdenes[[#This Row],[puesto_trabajo]]="","",_xlfn.XLOOKUP(tblOrdenes[[#This Row],[puesto_trabajo]],tblPuestos[codigo],tblPuestos[especialidad],"(sin catálogo)"))</f>
        <v/>
      </c>
      <c r="AC527" s="5">
        <f>IF(tblOrdenes[[#This Row],[cod_actividad]]="","",_xlfn.XLOOKUP(tblOrdenes[[#This Row],[cod_actividad]],tblActividades[codigo],tblActividades[descripcion],"(sin catálogo)"))</f>
        <v/>
      </c>
      <c r="AD527" s="23">
        <f>IF(tblOrdenes[[#This Row],[fecha_inicio]]="","",TODAY()-tblOrdenes[[#This Row],[fecha_inicio]])</f>
        <v/>
      </c>
      <c r="AE5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5">
        <f>IF(tblOrdenes[[#This Row],[backlog_habiles]]="","",IF(tblOrdenes[[#This Row],[backlog_habiles]]&lt;0,"FUTURO",IF(tblOrdenes[[#This Row],[backlog_habiles]]&gt;p_dias_backlog_max,"BACKLOG","MES CORRIENTE")))</f>
        <v/>
      </c>
      <c r="AG527" s="5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18">
        <f>IF(tblOrdenes[[#This Row],[orden]]="","",_xlfn.XLOOKUP(tblOrdenes[[#This Row],[id_operacion]],tblEjecucion[id_operacion],tblEjecucion[precio],0))</f>
        <v/>
      </c>
      <c r="AM527" s="18">
        <f>IF(tblOrdenes[[#This Row],[orden]]="","",MAX(0,_xlfn.XLOOKUP(tblOrdenes[[#This Row],[id_operacion]],tblEjecucion[id_operacion],tblEjecucion[costo_plan_total],0)-tblOrdenes[[#This Row],[costo_servicio]]))</f>
        <v/>
      </c>
      <c r="AN527" s="18">
        <f>IF(tblOrdenes[[#This Row],[orden]]="","",tblOrdenes[[#This Row],[costo_servicio]]+tblOrdenes[[#This Row],[costo_materiales]])</f>
        <v/>
      </c>
      <c r="AO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5">
        <f>IF(tblOrdenes[[#This Row],[link_checklist]]="","",HYPERLINK(p_ruta_base_checklists&amp;tblOrdenes[[#This Row],[link_checklist]],"abrir"))</f>
        <v/>
      </c>
      <c r="AT527" s="4" t="n"/>
      <c r="AU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5" t="n"/>
      <c r="K528" s="5" t="n"/>
      <c r="L528" s="18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Row],[fecha_inicio]]="","",tblOrdenes[[#This Row],[anio]]&amp;"-"&amp;TEXT(tblOrdenes[[#This Row],[mes]],"00"))</f>
        <v/>
      </c>
      <c r="S528" s="5">
        <f>IF(tblOrdenes[[#This Row],[fecha_inicio]]="","",INDEX(lista_dias,WEEKDAY(tblOrdenes[[#This Row],[fecha_inicio]],2)))</f>
        <v/>
      </c>
      <c r="T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5">
        <f>IF(tblOrdenes[[#This Row],[tipo_ot]]="","",_xlfn.XLOOKUP(tblOrdenes[[#This Row],[tipo_ot]],tblTiposOT[codigo],tblTiposOT[clasificacion],"sin_clasificar"))</f>
        <v/>
      </c>
      <c r="V5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5">
        <f>IF(tblOrdenes[[#This Row],[centro_costo]]="","",_xlfn.XLOOKUP(tblOrdenes[[#This Row],[centro_costo]],tblCECO[codigo],tblCECO[linea],"(sin catálogo)"))</f>
        <v/>
      </c>
      <c r="Y528" s="5">
        <f>IF(tblOrdenes[[#This Row],[centro_costo]]="","",_xlfn.XLOOKUP(tblOrdenes[[#This Row],[centro_costo]],tblCECO[codigo],tblCECO[area],"(sin catálogo)"))</f>
        <v/>
      </c>
      <c r="Z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5">
        <f>IF(tblOrdenes[[#This Row],[centro_costo]]="","",_xlfn.XLOOKUP(tblOrdenes[[#This Row],[centro_costo]],tblCECO[codigo],tblCECO[coordinador],"(sin catálogo)"))</f>
        <v/>
      </c>
      <c r="AB528" s="5">
        <f>IF(tblOrdenes[[#This Row],[puesto_trabajo]]="","",_xlfn.XLOOKUP(tblOrdenes[[#This Row],[puesto_trabajo]],tblPuestos[codigo],tblPuestos[especialidad],"(sin catálogo)"))</f>
        <v/>
      </c>
      <c r="AC528" s="5">
        <f>IF(tblOrdenes[[#This Row],[cod_actividad]]="","",_xlfn.XLOOKUP(tblOrdenes[[#This Row],[cod_actividad]],tblActividades[codigo],tblActividades[descripcion],"(sin catálogo)"))</f>
        <v/>
      </c>
      <c r="AD528" s="23">
        <f>IF(tblOrdenes[[#This Row],[fecha_inicio]]="","",TODAY()-tblOrdenes[[#This Row],[fecha_inicio]])</f>
        <v/>
      </c>
      <c r="AE5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5">
        <f>IF(tblOrdenes[[#This Row],[backlog_habiles]]="","",IF(tblOrdenes[[#This Row],[backlog_habiles]]&lt;0,"FUTURO",IF(tblOrdenes[[#This Row],[backlog_habiles]]&gt;p_dias_backlog_max,"BACKLOG","MES CORRIENTE")))</f>
        <v/>
      </c>
      <c r="AG528" s="5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18">
        <f>IF(tblOrdenes[[#This Row],[orden]]="","",_xlfn.XLOOKUP(tblOrdenes[[#This Row],[id_operacion]],tblEjecucion[id_operacion],tblEjecucion[precio],0))</f>
        <v/>
      </c>
      <c r="AM528" s="18">
        <f>IF(tblOrdenes[[#This Row],[orden]]="","",MAX(0,_xlfn.XLOOKUP(tblOrdenes[[#This Row],[id_operacion]],tblEjecucion[id_operacion],tblEjecucion[costo_plan_total],0)-tblOrdenes[[#This Row],[costo_servicio]]))</f>
        <v/>
      </c>
      <c r="AN528" s="18">
        <f>IF(tblOrdenes[[#This Row],[orden]]="","",tblOrdenes[[#This Row],[costo_servicio]]+tblOrdenes[[#This Row],[costo_materiales]])</f>
        <v/>
      </c>
      <c r="AO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5">
        <f>IF(tblOrdenes[[#This Row],[link_checklist]]="","",HYPERLINK(p_ruta_base_checklists&amp;tblOrdenes[[#This Row],[link_checklist]],"abrir"))</f>
        <v/>
      </c>
      <c r="AT528" s="4" t="n"/>
      <c r="AU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5" t="n"/>
      <c r="K529" s="5" t="n"/>
      <c r="L529" s="18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Row],[fecha_inicio]]="","",tblOrdenes[[#This Row],[anio]]&amp;"-"&amp;TEXT(tblOrdenes[[#This Row],[mes]],"00"))</f>
        <v/>
      </c>
      <c r="S529" s="5">
        <f>IF(tblOrdenes[[#This Row],[fecha_inicio]]="","",INDEX(lista_dias,WEEKDAY(tblOrdenes[[#This Row],[fecha_inicio]],2)))</f>
        <v/>
      </c>
      <c r="T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5">
        <f>IF(tblOrdenes[[#This Row],[tipo_ot]]="","",_xlfn.XLOOKUP(tblOrdenes[[#This Row],[tipo_ot]],tblTiposOT[codigo],tblTiposOT[clasificacion],"sin_clasificar"))</f>
        <v/>
      </c>
      <c r="V5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5">
        <f>IF(tblOrdenes[[#This Row],[centro_costo]]="","",_xlfn.XLOOKUP(tblOrdenes[[#This Row],[centro_costo]],tblCECO[codigo],tblCECO[linea],"(sin catálogo)"))</f>
        <v/>
      </c>
      <c r="Y529" s="5">
        <f>IF(tblOrdenes[[#This Row],[centro_costo]]="","",_xlfn.XLOOKUP(tblOrdenes[[#This Row],[centro_costo]],tblCECO[codigo],tblCECO[area],"(sin catálogo)"))</f>
        <v/>
      </c>
      <c r="Z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5">
        <f>IF(tblOrdenes[[#This Row],[centro_costo]]="","",_xlfn.XLOOKUP(tblOrdenes[[#This Row],[centro_costo]],tblCECO[codigo],tblCECO[coordinador],"(sin catálogo)"))</f>
        <v/>
      </c>
      <c r="AB529" s="5">
        <f>IF(tblOrdenes[[#This Row],[puesto_trabajo]]="","",_xlfn.XLOOKUP(tblOrdenes[[#This Row],[puesto_trabajo]],tblPuestos[codigo],tblPuestos[especialidad],"(sin catálogo)"))</f>
        <v/>
      </c>
      <c r="AC529" s="5">
        <f>IF(tblOrdenes[[#This Row],[cod_actividad]]="","",_xlfn.XLOOKUP(tblOrdenes[[#This Row],[cod_actividad]],tblActividades[codigo],tblActividades[descripcion],"(sin catálogo)"))</f>
        <v/>
      </c>
      <c r="AD529" s="23">
        <f>IF(tblOrdenes[[#This Row],[fecha_inicio]]="","",TODAY()-tblOrdenes[[#This Row],[fecha_inicio]])</f>
        <v/>
      </c>
      <c r="AE5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5">
        <f>IF(tblOrdenes[[#This Row],[backlog_habiles]]="","",IF(tblOrdenes[[#This Row],[backlog_habiles]]&lt;0,"FUTURO",IF(tblOrdenes[[#This Row],[backlog_habiles]]&gt;p_dias_backlog_max,"BACKLOG","MES CORRIENTE")))</f>
        <v/>
      </c>
      <c r="AG529" s="5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18">
        <f>IF(tblOrdenes[[#This Row],[orden]]="","",_xlfn.XLOOKUP(tblOrdenes[[#This Row],[id_operacion]],tblEjecucion[id_operacion],tblEjecucion[precio],0))</f>
        <v/>
      </c>
      <c r="AM529" s="18">
        <f>IF(tblOrdenes[[#This Row],[orden]]="","",MAX(0,_xlfn.XLOOKUP(tblOrdenes[[#This Row],[id_operacion]],tblEjecucion[id_operacion],tblEjecucion[costo_plan_total],0)-tblOrdenes[[#This Row],[costo_servicio]]))</f>
        <v/>
      </c>
      <c r="AN529" s="18">
        <f>IF(tblOrdenes[[#This Row],[orden]]="","",tblOrdenes[[#This Row],[costo_servicio]]+tblOrdenes[[#This Row],[costo_materiales]])</f>
        <v/>
      </c>
      <c r="AO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5">
        <f>IF(tblOrdenes[[#This Row],[link_checklist]]="","",HYPERLINK(p_ruta_base_checklists&amp;tblOrdenes[[#This Row],[link_checklist]],"abrir"))</f>
        <v/>
      </c>
      <c r="AT529" s="4" t="n"/>
      <c r="AU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5" t="n"/>
      <c r="K530" s="5" t="n"/>
      <c r="L530" s="18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Row],[fecha_inicio]]="","",tblOrdenes[[#This Row],[anio]]&amp;"-"&amp;TEXT(tblOrdenes[[#This Row],[mes]],"00"))</f>
        <v/>
      </c>
      <c r="S530" s="5">
        <f>IF(tblOrdenes[[#This Row],[fecha_inicio]]="","",INDEX(lista_dias,WEEKDAY(tblOrdenes[[#This Row],[fecha_inicio]],2)))</f>
        <v/>
      </c>
      <c r="T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5">
        <f>IF(tblOrdenes[[#This Row],[tipo_ot]]="","",_xlfn.XLOOKUP(tblOrdenes[[#This Row],[tipo_ot]],tblTiposOT[codigo],tblTiposOT[clasificacion],"sin_clasificar"))</f>
        <v/>
      </c>
      <c r="V5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5">
        <f>IF(tblOrdenes[[#This Row],[centro_costo]]="","",_xlfn.XLOOKUP(tblOrdenes[[#This Row],[centro_costo]],tblCECO[codigo],tblCECO[linea],"(sin catálogo)"))</f>
        <v/>
      </c>
      <c r="Y530" s="5">
        <f>IF(tblOrdenes[[#This Row],[centro_costo]]="","",_xlfn.XLOOKUP(tblOrdenes[[#This Row],[centro_costo]],tblCECO[codigo],tblCECO[area],"(sin catálogo)"))</f>
        <v/>
      </c>
      <c r="Z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5">
        <f>IF(tblOrdenes[[#This Row],[centro_costo]]="","",_xlfn.XLOOKUP(tblOrdenes[[#This Row],[centro_costo]],tblCECO[codigo],tblCECO[coordinador],"(sin catálogo)"))</f>
        <v/>
      </c>
      <c r="AB530" s="5">
        <f>IF(tblOrdenes[[#This Row],[puesto_trabajo]]="","",_xlfn.XLOOKUP(tblOrdenes[[#This Row],[puesto_trabajo]],tblPuestos[codigo],tblPuestos[especialidad],"(sin catálogo)"))</f>
        <v/>
      </c>
      <c r="AC530" s="5">
        <f>IF(tblOrdenes[[#This Row],[cod_actividad]]="","",_xlfn.XLOOKUP(tblOrdenes[[#This Row],[cod_actividad]],tblActividades[codigo],tblActividades[descripcion],"(sin catálogo)"))</f>
        <v/>
      </c>
      <c r="AD530" s="23">
        <f>IF(tblOrdenes[[#This Row],[fecha_inicio]]="","",TODAY()-tblOrdenes[[#This Row],[fecha_inicio]])</f>
        <v/>
      </c>
      <c r="AE5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5">
        <f>IF(tblOrdenes[[#This Row],[backlog_habiles]]="","",IF(tblOrdenes[[#This Row],[backlog_habiles]]&lt;0,"FUTURO",IF(tblOrdenes[[#This Row],[backlog_habiles]]&gt;p_dias_backlog_max,"BACKLOG","MES CORRIENTE")))</f>
        <v/>
      </c>
      <c r="AG530" s="5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18">
        <f>IF(tblOrdenes[[#This Row],[orden]]="","",_xlfn.XLOOKUP(tblOrdenes[[#This Row],[id_operacion]],tblEjecucion[id_operacion],tblEjecucion[precio],0))</f>
        <v/>
      </c>
      <c r="AM530" s="18">
        <f>IF(tblOrdenes[[#This Row],[orden]]="","",MAX(0,_xlfn.XLOOKUP(tblOrdenes[[#This Row],[id_operacion]],tblEjecucion[id_operacion],tblEjecucion[costo_plan_total],0)-tblOrdenes[[#This Row],[costo_servicio]]))</f>
        <v/>
      </c>
      <c r="AN530" s="18">
        <f>IF(tblOrdenes[[#This Row],[orden]]="","",tblOrdenes[[#This Row],[costo_servicio]]+tblOrdenes[[#This Row],[costo_materiales]])</f>
        <v/>
      </c>
      <c r="AO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5">
        <f>IF(tblOrdenes[[#This Row],[link_checklist]]="","",HYPERLINK(p_ruta_base_checklists&amp;tblOrdenes[[#This Row],[link_checklist]],"abrir"))</f>
        <v/>
      </c>
      <c r="AT530" s="4" t="n"/>
      <c r="AU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5" t="n"/>
      <c r="K531" s="5" t="n"/>
      <c r="L531" s="18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Row],[fecha_inicio]]="","",tblOrdenes[[#This Row],[anio]]&amp;"-"&amp;TEXT(tblOrdenes[[#This Row],[mes]],"00"))</f>
        <v/>
      </c>
      <c r="S531" s="5">
        <f>IF(tblOrdenes[[#This Row],[fecha_inicio]]="","",INDEX(lista_dias,WEEKDAY(tblOrdenes[[#This Row],[fecha_inicio]],2)))</f>
        <v/>
      </c>
      <c r="T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5">
        <f>IF(tblOrdenes[[#This Row],[tipo_ot]]="","",_xlfn.XLOOKUP(tblOrdenes[[#This Row],[tipo_ot]],tblTiposOT[codigo],tblTiposOT[clasificacion],"sin_clasificar"))</f>
        <v/>
      </c>
      <c r="V5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5">
        <f>IF(tblOrdenes[[#This Row],[centro_costo]]="","",_xlfn.XLOOKUP(tblOrdenes[[#This Row],[centro_costo]],tblCECO[codigo],tblCECO[linea],"(sin catálogo)"))</f>
        <v/>
      </c>
      <c r="Y531" s="5">
        <f>IF(tblOrdenes[[#This Row],[centro_costo]]="","",_xlfn.XLOOKUP(tblOrdenes[[#This Row],[centro_costo]],tblCECO[codigo],tblCECO[area],"(sin catálogo)"))</f>
        <v/>
      </c>
      <c r="Z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5">
        <f>IF(tblOrdenes[[#This Row],[centro_costo]]="","",_xlfn.XLOOKUP(tblOrdenes[[#This Row],[centro_costo]],tblCECO[codigo],tblCECO[coordinador],"(sin catálogo)"))</f>
        <v/>
      </c>
      <c r="AB531" s="5">
        <f>IF(tblOrdenes[[#This Row],[puesto_trabajo]]="","",_xlfn.XLOOKUP(tblOrdenes[[#This Row],[puesto_trabajo]],tblPuestos[codigo],tblPuestos[especialidad],"(sin catálogo)"))</f>
        <v/>
      </c>
      <c r="AC531" s="5">
        <f>IF(tblOrdenes[[#This Row],[cod_actividad]]="","",_xlfn.XLOOKUP(tblOrdenes[[#This Row],[cod_actividad]],tblActividades[codigo],tblActividades[descripcion],"(sin catálogo)"))</f>
        <v/>
      </c>
      <c r="AD531" s="23">
        <f>IF(tblOrdenes[[#This Row],[fecha_inicio]]="","",TODAY()-tblOrdenes[[#This Row],[fecha_inicio]])</f>
        <v/>
      </c>
      <c r="AE5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5">
        <f>IF(tblOrdenes[[#This Row],[backlog_habiles]]="","",IF(tblOrdenes[[#This Row],[backlog_habiles]]&lt;0,"FUTURO",IF(tblOrdenes[[#This Row],[backlog_habiles]]&gt;p_dias_backlog_max,"BACKLOG","MES CORRIENTE")))</f>
        <v/>
      </c>
      <c r="AG531" s="5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18">
        <f>IF(tblOrdenes[[#This Row],[orden]]="","",_xlfn.XLOOKUP(tblOrdenes[[#This Row],[id_operacion]],tblEjecucion[id_operacion],tblEjecucion[precio],0))</f>
        <v/>
      </c>
      <c r="AM531" s="18">
        <f>IF(tblOrdenes[[#This Row],[orden]]="","",MAX(0,_xlfn.XLOOKUP(tblOrdenes[[#This Row],[id_operacion]],tblEjecucion[id_operacion],tblEjecucion[costo_plan_total],0)-tblOrdenes[[#This Row],[costo_servicio]]))</f>
        <v/>
      </c>
      <c r="AN531" s="18">
        <f>IF(tblOrdenes[[#This Row],[orden]]="","",tblOrdenes[[#This Row],[costo_servicio]]+tblOrdenes[[#This Row],[costo_materiales]])</f>
        <v/>
      </c>
      <c r="AO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5">
        <f>IF(tblOrdenes[[#This Row],[link_checklist]]="","",HYPERLINK(p_ruta_base_checklists&amp;tblOrdenes[[#This Row],[link_checklist]],"abrir"))</f>
        <v/>
      </c>
      <c r="AT531" s="4" t="n"/>
      <c r="AU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5" t="n"/>
      <c r="K532" s="5" t="n"/>
      <c r="L532" s="18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Row],[fecha_inicio]]="","",tblOrdenes[[#This Row],[anio]]&amp;"-"&amp;TEXT(tblOrdenes[[#This Row],[mes]],"00"))</f>
        <v/>
      </c>
      <c r="S532" s="5">
        <f>IF(tblOrdenes[[#This Row],[fecha_inicio]]="","",INDEX(lista_dias,WEEKDAY(tblOrdenes[[#This Row],[fecha_inicio]],2)))</f>
        <v/>
      </c>
      <c r="T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5">
        <f>IF(tblOrdenes[[#This Row],[tipo_ot]]="","",_xlfn.XLOOKUP(tblOrdenes[[#This Row],[tipo_ot]],tblTiposOT[codigo],tblTiposOT[clasificacion],"sin_clasificar"))</f>
        <v/>
      </c>
      <c r="V5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5">
        <f>IF(tblOrdenes[[#This Row],[centro_costo]]="","",_xlfn.XLOOKUP(tblOrdenes[[#This Row],[centro_costo]],tblCECO[codigo],tblCECO[linea],"(sin catálogo)"))</f>
        <v/>
      </c>
      <c r="Y532" s="5">
        <f>IF(tblOrdenes[[#This Row],[centro_costo]]="","",_xlfn.XLOOKUP(tblOrdenes[[#This Row],[centro_costo]],tblCECO[codigo],tblCECO[area],"(sin catálogo)"))</f>
        <v/>
      </c>
      <c r="Z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5">
        <f>IF(tblOrdenes[[#This Row],[centro_costo]]="","",_xlfn.XLOOKUP(tblOrdenes[[#This Row],[centro_costo]],tblCECO[codigo],tblCECO[coordinador],"(sin catálogo)"))</f>
        <v/>
      </c>
      <c r="AB532" s="5">
        <f>IF(tblOrdenes[[#This Row],[puesto_trabajo]]="","",_xlfn.XLOOKUP(tblOrdenes[[#This Row],[puesto_trabajo]],tblPuestos[codigo],tblPuestos[especialidad],"(sin catálogo)"))</f>
        <v/>
      </c>
      <c r="AC532" s="5">
        <f>IF(tblOrdenes[[#This Row],[cod_actividad]]="","",_xlfn.XLOOKUP(tblOrdenes[[#This Row],[cod_actividad]],tblActividades[codigo],tblActividades[descripcion],"(sin catálogo)"))</f>
        <v/>
      </c>
      <c r="AD532" s="23">
        <f>IF(tblOrdenes[[#This Row],[fecha_inicio]]="","",TODAY()-tblOrdenes[[#This Row],[fecha_inicio]])</f>
        <v/>
      </c>
      <c r="AE5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5">
        <f>IF(tblOrdenes[[#This Row],[backlog_habiles]]="","",IF(tblOrdenes[[#This Row],[backlog_habiles]]&lt;0,"FUTURO",IF(tblOrdenes[[#This Row],[backlog_habiles]]&gt;p_dias_backlog_max,"BACKLOG","MES CORRIENTE")))</f>
        <v/>
      </c>
      <c r="AG532" s="5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18">
        <f>IF(tblOrdenes[[#This Row],[orden]]="","",_xlfn.XLOOKUP(tblOrdenes[[#This Row],[id_operacion]],tblEjecucion[id_operacion],tblEjecucion[precio],0))</f>
        <v/>
      </c>
      <c r="AM532" s="18">
        <f>IF(tblOrdenes[[#This Row],[orden]]="","",MAX(0,_xlfn.XLOOKUP(tblOrdenes[[#This Row],[id_operacion]],tblEjecucion[id_operacion],tblEjecucion[costo_plan_total],0)-tblOrdenes[[#This Row],[costo_servicio]]))</f>
        <v/>
      </c>
      <c r="AN532" s="18">
        <f>IF(tblOrdenes[[#This Row],[orden]]="","",tblOrdenes[[#This Row],[costo_servicio]]+tblOrdenes[[#This Row],[costo_materiales]])</f>
        <v/>
      </c>
      <c r="AO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5">
        <f>IF(tblOrdenes[[#This Row],[link_checklist]]="","",HYPERLINK(p_ruta_base_checklists&amp;tblOrdenes[[#This Row],[link_checklist]],"abrir"))</f>
        <v/>
      </c>
      <c r="AT532" s="4" t="n"/>
      <c r="AU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5" t="n"/>
      <c r="K533" s="5" t="n"/>
      <c r="L533" s="18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Row],[fecha_inicio]]="","",tblOrdenes[[#This Row],[anio]]&amp;"-"&amp;TEXT(tblOrdenes[[#This Row],[mes]],"00"))</f>
        <v/>
      </c>
      <c r="S533" s="5">
        <f>IF(tblOrdenes[[#This Row],[fecha_inicio]]="","",INDEX(lista_dias,WEEKDAY(tblOrdenes[[#This Row],[fecha_inicio]],2)))</f>
        <v/>
      </c>
      <c r="T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5">
        <f>IF(tblOrdenes[[#This Row],[tipo_ot]]="","",_xlfn.XLOOKUP(tblOrdenes[[#This Row],[tipo_ot]],tblTiposOT[codigo],tblTiposOT[clasificacion],"sin_clasificar"))</f>
        <v/>
      </c>
      <c r="V5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5">
        <f>IF(tblOrdenes[[#This Row],[centro_costo]]="","",_xlfn.XLOOKUP(tblOrdenes[[#This Row],[centro_costo]],tblCECO[codigo],tblCECO[linea],"(sin catálogo)"))</f>
        <v/>
      </c>
      <c r="Y533" s="5">
        <f>IF(tblOrdenes[[#This Row],[centro_costo]]="","",_xlfn.XLOOKUP(tblOrdenes[[#This Row],[centro_costo]],tblCECO[codigo],tblCECO[area],"(sin catálogo)"))</f>
        <v/>
      </c>
      <c r="Z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5">
        <f>IF(tblOrdenes[[#This Row],[centro_costo]]="","",_xlfn.XLOOKUP(tblOrdenes[[#This Row],[centro_costo]],tblCECO[codigo],tblCECO[coordinador],"(sin catálogo)"))</f>
        <v/>
      </c>
      <c r="AB533" s="5">
        <f>IF(tblOrdenes[[#This Row],[puesto_trabajo]]="","",_xlfn.XLOOKUP(tblOrdenes[[#This Row],[puesto_trabajo]],tblPuestos[codigo],tblPuestos[especialidad],"(sin catálogo)"))</f>
        <v/>
      </c>
      <c r="AC533" s="5">
        <f>IF(tblOrdenes[[#This Row],[cod_actividad]]="","",_xlfn.XLOOKUP(tblOrdenes[[#This Row],[cod_actividad]],tblActividades[codigo],tblActividades[descripcion],"(sin catálogo)"))</f>
        <v/>
      </c>
      <c r="AD533" s="23">
        <f>IF(tblOrdenes[[#This Row],[fecha_inicio]]="","",TODAY()-tblOrdenes[[#This Row],[fecha_inicio]])</f>
        <v/>
      </c>
      <c r="AE5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5">
        <f>IF(tblOrdenes[[#This Row],[backlog_habiles]]="","",IF(tblOrdenes[[#This Row],[backlog_habiles]]&lt;0,"FUTURO",IF(tblOrdenes[[#This Row],[backlog_habiles]]&gt;p_dias_backlog_max,"BACKLOG","MES CORRIENTE")))</f>
        <v/>
      </c>
      <c r="AG533" s="5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18">
        <f>IF(tblOrdenes[[#This Row],[orden]]="","",_xlfn.XLOOKUP(tblOrdenes[[#This Row],[id_operacion]],tblEjecucion[id_operacion],tblEjecucion[precio],0))</f>
        <v/>
      </c>
      <c r="AM533" s="18">
        <f>IF(tblOrdenes[[#This Row],[orden]]="","",MAX(0,_xlfn.XLOOKUP(tblOrdenes[[#This Row],[id_operacion]],tblEjecucion[id_operacion],tblEjecucion[costo_plan_total],0)-tblOrdenes[[#This Row],[costo_servicio]]))</f>
        <v/>
      </c>
      <c r="AN533" s="18">
        <f>IF(tblOrdenes[[#This Row],[orden]]="","",tblOrdenes[[#This Row],[costo_servicio]]+tblOrdenes[[#This Row],[costo_materiales]])</f>
        <v/>
      </c>
      <c r="AO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5">
        <f>IF(tblOrdenes[[#This Row],[link_checklist]]="","",HYPERLINK(p_ruta_base_checklists&amp;tblOrdenes[[#This Row],[link_checklist]],"abrir"))</f>
        <v/>
      </c>
      <c r="AT533" s="4" t="n"/>
      <c r="AU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5" t="n"/>
      <c r="K534" s="5" t="n"/>
      <c r="L534" s="18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Row],[fecha_inicio]]="","",tblOrdenes[[#This Row],[anio]]&amp;"-"&amp;TEXT(tblOrdenes[[#This Row],[mes]],"00"))</f>
        <v/>
      </c>
      <c r="S534" s="5">
        <f>IF(tblOrdenes[[#This Row],[fecha_inicio]]="","",INDEX(lista_dias,WEEKDAY(tblOrdenes[[#This Row],[fecha_inicio]],2)))</f>
        <v/>
      </c>
      <c r="T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5">
        <f>IF(tblOrdenes[[#This Row],[tipo_ot]]="","",_xlfn.XLOOKUP(tblOrdenes[[#This Row],[tipo_ot]],tblTiposOT[codigo],tblTiposOT[clasificacion],"sin_clasificar"))</f>
        <v/>
      </c>
      <c r="V5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5">
        <f>IF(tblOrdenes[[#This Row],[centro_costo]]="","",_xlfn.XLOOKUP(tblOrdenes[[#This Row],[centro_costo]],tblCECO[codigo],tblCECO[linea],"(sin catálogo)"))</f>
        <v/>
      </c>
      <c r="Y534" s="5">
        <f>IF(tblOrdenes[[#This Row],[centro_costo]]="","",_xlfn.XLOOKUP(tblOrdenes[[#This Row],[centro_costo]],tblCECO[codigo],tblCECO[area],"(sin catálogo)"))</f>
        <v/>
      </c>
      <c r="Z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5">
        <f>IF(tblOrdenes[[#This Row],[centro_costo]]="","",_xlfn.XLOOKUP(tblOrdenes[[#This Row],[centro_costo]],tblCECO[codigo],tblCECO[coordinador],"(sin catálogo)"))</f>
        <v/>
      </c>
      <c r="AB534" s="5">
        <f>IF(tblOrdenes[[#This Row],[puesto_trabajo]]="","",_xlfn.XLOOKUP(tblOrdenes[[#This Row],[puesto_trabajo]],tblPuestos[codigo],tblPuestos[especialidad],"(sin catálogo)"))</f>
        <v/>
      </c>
      <c r="AC534" s="5">
        <f>IF(tblOrdenes[[#This Row],[cod_actividad]]="","",_xlfn.XLOOKUP(tblOrdenes[[#This Row],[cod_actividad]],tblActividades[codigo],tblActividades[descripcion],"(sin catálogo)"))</f>
        <v/>
      </c>
      <c r="AD534" s="23">
        <f>IF(tblOrdenes[[#This Row],[fecha_inicio]]="","",TODAY()-tblOrdenes[[#This Row],[fecha_inicio]])</f>
        <v/>
      </c>
      <c r="AE5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5">
        <f>IF(tblOrdenes[[#This Row],[backlog_habiles]]="","",IF(tblOrdenes[[#This Row],[backlog_habiles]]&lt;0,"FUTURO",IF(tblOrdenes[[#This Row],[backlog_habiles]]&gt;p_dias_backlog_max,"BACKLOG","MES CORRIENTE")))</f>
        <v/>
      </c>
      <c r="AG534" s="5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18">
        <f>IF(tblOrdenes[[#This Row],[orden]]="","",_xlfn.XLOOKUP(tblOrdenes[[#This Row],[id_operacion]],tblEjecucion[id_operacion],tblEjecucion[precio],0))</f>
        <v/>
      </c>
      <c r="AM534" s="18">
        <f>IF(tblOrdenes[[#This Row],[orden]]="","",MAX(0,_xlfn.XLOOKUP(tblOrdenes[[#This Row],[id_operacion]],tblEjecucion[id_operacion],tblEjecucion[costo_plan_total],0)-tblOrdenes[[#This Row],[costo_servicio]]))</f>
        <v/>
      </c>
      <c r="AN534" s="18">
        <f>IF(tblOrdenes[[#This Row],[orden]]="","",tblOrdenes[[#This Row],[costo_servicio]]+tblOrdenes[[#This Row],[costo_materiales]])</f>
        <v/>
      </c>
      <c r="AO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5">
        <f>IF(tblOrdenes[[#This Row],[link_checklist]]="","",HYPERLINK(p_ruta_base_checklists&amp;tblOrdenes[[#This Row],[link_checklist]],"abrir"))</f>
        <v/>
      </c>
      <c r="AT534" s="4" t="n"/>
      <c r="AU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5" t="n"/>
      <c r="K535" s="5" t="n"/>
      <c r="L535" s="18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Row],[fecha_inicio]]="","",tblOrdenes[[#This Row],[anio]]&amp;"-"&amp;TEXT(tblOrdenes[[#This Row],[mes]],"00"))</f>
        <v/>
      </c>
      <c r="S535" s="5">
        <f>IF(tblOrdenes[[#This Row],[fecha_inicio]]="","",INDEX(lista_dias,WEEKDAY(tblOrdenes[[#This Row],[fecha_inicio]],2)))</f>
        <v/>
      </c>
      <c r="T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5">
        <f>IF(tblOrdenes[[#This Row],[tipo_ot]]="","",_xlfn.XLOOKUP(tblOrdenes[[#This Row],[tipo_ot]],tblTiposOT[codigo],tblTiposOT[clasificacion],"sin_clasificar"))</f>
        <v/>
      </c>
      <c r="V5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5">
        <f>IF(tblOrdenes[[#This Row],[centro_costo]]="","",_xlfn.XLOOKUP(tblOrdenes[[#This Row],[centro_costo]],tblCECO[codigo],tblCECO[linea],"(sin catálogo)"))</f>
        <v/>
      </c>
      <c r="Y535" s="5">
        <f>IF(tblOrdenes[[#This Row],[centro_costo]]="","",_xlfn.XLOOKUP(tblOrdenes[[#This Row],[centro_costo]],tblCECO[codigo],tblCECO[area],"(sin catálogo)"))</f>
        <v/>
      </c>
      <c r="Z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5">
        <f>IF(tblOrdenes[[#This Row],[centro_costo]]="","",_xlfn.XLOOKUP(tblOrdenes[[#This Row],[centro_costo]],tblCECO[codigo],tblCECO[coordinador],"(sin catálogo)"))</f>
        <v/>
      </c>
      <c r="AB535" s="5">
        <f>IF(tblOrdenes[[#This Row],[puesto_trabajo]]="","",_xlfn.XLOOKUP(tblOrdenes[[#This Row],[puesto_trabajo]],tblPuestos[codigo],tblPuestos[especialidad],"(sin catálogo)"))</f>
        <v/>
      </c>
      <c r="AC535" s="5">
        <f>IF(tblOrdenes[[#This Row],[cod_actividad]]="","",_xlfn.XLOOKUP(tblOrdenes[[#This Row],[cod_actividad]],tblActividades[codigo],tblActividades[descripcion],"(sin catálogo)"))</f>
        <v/>
      </c>
      <c r="AD535" s="23">
        <f>IF(tblOrdenes[[#This Row],[fecha_inicio]]="","",TODAY()-tblOrdenes[[#This Row],[fecha_inicio]])</f>
        <v/>
      </c>
      <c r="AE5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5">
        <f>IF(tblOrdenes[[#This Row],[backlog_habiles]]="","",IF(tblOrdenes[[#This Row],[backlog_habiles]]&lt;0,"FUTURO",IF(tblOrdenes[[#This Row],[backlog_habiles]]&gt;p_dias_backlog_max,"BACKLOG","MES CORRIENTE")))</f>
        <v/>
      </c>
      <c r="AG535" s="5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18">
        <f>IF(tblOrdenes[[#This Row],[orden]]="","",_xlfn.XLOOKUP(tblOrdenes[[#This Row],[id_operacion]],tblEjecucion[id_operacion],tblEjecucion[precio],0))</f>
        <v/>
      </c>
      <c r="AM535" s="18">
        <f>IF(tblOrdenes[[#This Row],[orden]]="","",MAX(0,_xlfn.XLOOKUP(tblOrdenes[[#This Row],[id_operacion]],tblEjecucion[id_operacion],tblEjecucion[costo_plan_total],0)-tblOrdenes[[#This Row],[costo_servicio]]))</f>
        <v/>
      </c>
      <c r="AN535" s="18">
        <f>IF(tblOrdenes[[#This Row],[orden]]="","",tblOrdenes[[#This Row],[costo_servicio]]+tblOrdenes[[#This Row],[costo_materiales]])</f>
        <v/>
      </c>
      <c r="AO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5">
        <f>IF(tblOrdenes[[#This Row],[link_checklist]]="","",HYPERLINK(p_ruta_base_checklists&amp;tblOrdenes[[#This Row],[link_checklist]],"abrir"))</f>
        <v/>
      </c>
      <c r="AT535" s="4" t="n"/>
      <c r="AU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5" t="n"/>
      <c r="K536" s="5" t="n"/>
      <c r="L536" s="18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Row],[fecha_inicio]]="","",tblOrdenes[[#This Row],[anio]]&amp;"-"&amp;TEXT(tblOrdenes[[#This Row],[mes]],"00"))</f>
        <v/>
      </c>
      <c r="S536" s="5">
        <f>IF(tblOrdenes[[#This Row],[fecha_inicio]]="","",INDEX(lista_dias,WEEKDAY(tblOrdenes[[#This Row],[fecha_inicio]],2)))</f>
        <v/>
      </c>
      <c r="T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5">
        <f>IF(tblOrdenes[[#This Row],[tipo_ot]]="","",_xlfn.XLOOKUP(tblOrdenes[[#This Row],[tipo_ot]],tblTiposOT[codigo],tblTiposOT[clasificacion],"sin_clasificar"))</f>
        <v/>
      </c>
      <c r="V5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5">
        <f>IF(tblOrdenes[[#This Row],[centro_costo]]="","",_xlfn.XLOOKUP(tblOrdenes[[#This Row],[centro_costo]],tblCECO[codigo],tblCECO[linea],"(sin catálogo)"))</f>
        <v/>
      </c>
      <c r="Y536" s="5">
        <f>IF(tblOrdenes[[#This Row],[centro_costo]]="","",_xlfn.XLOOKUP(tblOrdenes[[#This Row],[centro_costo]],tblCECO[codigo],tblCECO[area],"(sin catálogo)"))</f>
        <v/>
      </c>
      <c r="Z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5">
        <f>IF(tblOrdenes[[#This Row],[centro_costo]]="","",_xlfn.XLOOKUP(tblOrdenes[[#This Row],[centro_costo]],tblCECO[codigo],tblCECO[coordinador],"(sin catálogo)"))</f>
        <v/>
      </c>
      <c r="AB536" s="5">
        <f>IF(tblOrdenes[[#This Row],[puesto_trabajo]]="","",_xlfn.XLOOKUP(tblOrdenes[[#This Row],[puesto_trabajo]],tblPuestos[codigo],tblPuestos[especialidad],"(sin catálogo)"))</f>
        <v/>
      </c>
      <c r="AC536" s="5">
        <f>IF(tblOrdenes[[#This Row],[cod_actividad]]="","",_xlfn.XLOOKUP(tblOrdenes[[#This Row],[cod_actividad]],tblActividades[codigo],tblActividades[descripcion],"(sin catálogo)"))</f>
        <v/>
      </c>
      <c r="AD536" s="23">
        <f>IF(tblOrdenes[[#This Row],[fecha_inicio]]="","",TODAY()-tblOrdenes[[#This Row],[fecha_inicio]])</f>
        <v/>
      </c>
      <c r="AE5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5">
        <f>IF(tblOrdenes[[#This Row],[backlog_habiles]]="","",IF(tblOrdenes[[#This Row],[backlog_habiles]]&lt;0,"FUTURO",IF(tblOrdenes[[#This Row],[backlog_habiles]]&gt;p_dias_backlog_max,"BACKLOG","MES CORRIENTE")))</f>
        <v/>
      </c>
      <c r="AG536" s="5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18">
        <f>IF(tblOrdenes[[#This Row],[orden]]="","",_xlfn.XLOOKUP(tblOrdenes[[#This Row],[id_operacion]],tblEjecucion[id_operacion],tblEjecucion[precio],0))</f>
        <v/>
      </c>
      <c r="AM536" s="18">
        <f>IF(tblOrdenes[[#This Row],[orden]]="","",MAX(0,_xlfn.XLOOKUP(tblOrdenes[[#This Row],[id_operacion]],tblEjecucion[id_operacion],tblEjecucion[costo_plan_total],0)-tblOrdenes[[#This Row],[costo_servicio]]))</f>
        <v/>
      </c>
      <c r="AN536" s="18">
        <f>IF(tblOrdenes[[#This Row],[orden]]="","",tblOrdenes[[#This Row],[costo_servicio]]+tblOrdenes[[#This Row],[costo_materiales]])</f>
        <v/>
      </c>
      <c r="AO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5">
        <f>IF(tblOrdenes[[#This Row],[link_checklist]]="","",HYPERLINK(p_ruta_base_checklists&amp;tblOrdenes[[#This Row],[link_checklist]],"abrir"))</f>
        <v/>
      </c>
      <c r="AT536" s="4" t="n"/>
      <c r="AU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5" t="n"/>
      <c r="K537" s="5" t="n"/>
      <c r="L537" s="18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Row],[fecha_inicio]]="","",tblOrdenes[[#This Row],[anio]]&amp;"-"&amp;TEXT(tblOrdenes[[#This Row],[mes]],"00"))</f>
        <v/>
      </c>
      <c r="S537" s="5">
        <f>IF(tblOrdenes[[#This Row],[fecha_inicio]]="","",INDEX(lista_dias,WEEKDAY(tblOrdenes[[#This Row],[fecha_inicio]],2)))</f>
        <v/>
      </c>
      <c r="T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5">
        <f>IF(tblOrdenes[[#This Row],[tipo_ot]]="","",_xlfn.XLOOKUP(tblOrdenes[[#This Row],[tipo_ot]],tblTiposOT[codigo],tblTiposOT[clasificacion],"sin_clasificar"))</f>
        <v/>
      </c>
      <c r="V5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5">
        <f>IF(tblOrdenes[[#This Row],[centro_costo]]="","",_xlfn.XLOOKUP(tblOrdenes[[#This Row],[centro_costo]],tblCECO[codigo],tblCECO[linea],"(sin catálogo)"))</f>
        <v/>
      </c>
      <c r="Y537" s="5">
        <f>IF(tblOrdenes[[#This Row],[centro_costo]]="","",_xlfn.XLOOKUP(tblOrdenes[[#This Row],[centro_costo]],tblCECO[codigo],tblCECO[area],"(sin catálogo)"))</f>
        <v/>
      </c>
      <c r="Z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5">
        <f>IF(tblOrdenes[[#This Row],[centro_costo]]="","",_xlfn.XLOOKUP(tblOrdenes[[#This Row],[centro_costo]],tblCECO[codigo],tblCECO[coordinador],"(sin catálogo)"))</f>
        <v/>
      </c>
      <c r="AB537" s="5">
        <f>IF(tblOrdenes[[#This Row],[puesto_trabajo]]="","",_xlfn.XLOOKUP(tblOrdenes[[#This Row],[puesto_trabajo]],tblPuestos[codigo],tblPuestos[especialidad],"(sin catálogo)"))</f>
        <v/>
      </c>
      <c r="AC537" s="5">
        <f>IF(tblOrdenes[[#This Row],[cod_actividad]]="","",_xlfn.XLOOKUP(tblOrdenes[[#This Row],[cod_actividad]],tblActividades[codigo],tblActividades[descripcion],"(sin catálogo)"))</f>
        <v/>
      </c>
      <c r="AD537" s="23">
        <f>IF(tblOrdenes[[#This Row],[fecha_inicio]]="","",TODAY()-tblOrdenes[[#This Row],[fecha_inicio]])</f>
        <v/>
      </c>
      <c r="AE5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5">
        <f>IF(tblOrdenes[[#This Row],[backlog_habiles]]="","",IF(tblOrdenes[[#This Row],[backlog_habiles]]&lt;0,"FUTURO",IF(tblOrdenes[[#This Row],[backlog_habiles]]&gt;p_dias_backlog_max,"BACKLOG","MES CORRIENTE")))</f>
        <v/>
      </c>
      <c r="AG537" s="5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18">
        <f>IF(tblOrdenes[[#This Row],[orden]]="","",_xlfn.XLOOKUP(tblOrdenes[[#This Row],[id_operacion]],tblEjecucion[id_operacion],tblEjecucion[precio],0))</f>
        <v/>
      </c>
      <c r="AM537" s="18">
        <f>IF(tblOrdenes[[#This Row],[orden]]="","",MAX(0,_xlfn.XLOOKUP(tblOrdenes[[#This Row],[id_operacion]],tblEjecucion[id_operacion],tblEjecucion[costo_plan_total],0)-tblOrdenes[[#This Row],[costo_servicio]]))</f>
        <v/>
      </c>
      <c r="AN537" s="18">
        <f>IF(tblOrdenes[[#This Row],[orden]]="","",tblOrdenes[[#This Row],[costo_servicio]]+tblOrdenes[[#This Row],[costo_materiales]])</f>
        <v/>
      </c>
      <c r="AO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5">
        <f>IF(tblOrdenes[[#This Row],[link_checklist]]="","",HYPERLINK(p_ruta_base_checklists&amp;tblOrdenes[[#This Row],[link_checklist]],"abrir"))</f>
        <v/>
      </c>
      <c r="AT537" s="4" t="n"/>
      <c r="AU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5" t="n"/>
      <c r="K538" s="5" t="n"/>
      <c r="L538" s="18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Row],[fecha_inicio]]="","",tblOrdenes[[#This Row],[anio]]&amp;"-"&amp;TEXT(tblOrdenes[[#This Row],[mes]],"00"))</f>
        <v/>
      </c>
      <c r="S538" s="5">
        <f>IF(tblOrdenes[[#This Row],[fecha_inicio]]="","",INDEX(lista_dias,WEEKDAY(tblOrdenes[[#This Row],[fecha_inicio]],2)))</f>
        <v/>
      </c>
      <c r="T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5">
        <f>IF(tblOrdenes[[#This Row],[tipo_ot]]="","",_xlfn.XLOOKUP(tblOrdenes[[#This Row],[tipo_ot]],tblTiposOT[codigo],tblTiposOT[clasificacion],"sin_clasificar"))</f>
        <v/>
      </c>
      <c r="V5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5">
        <f>IF(tblOrdenes[[#This Row],[centro_costo]]="","",_xlfn.XLOOKUP(tblOrdenes[[#This Row],[centro_costo]],tblCECO[codigo],tblCECO[linea],"(sin catálogo)"))</f>
        <v/>
      </c>
      <c r="Y538" s="5">
        <f>IF(tblOrdenes[[#This Row],[centro_costo]]="","",_xlfn.XLOOKUP(tblOrdenes[[#This Row],[centro_costo]],tblCECO[codigo],tblCECO[area],"(sin catálogo)"))</f>
        <v/>
      </c>
      <c r="Z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5">
        <f>IF(tblOrdenes[[#This Row],[centro_costo]]="","",_xlfn.XLOOKUP(tblOrdenes[[#This Row],[centro_costo]],tblCECO[codigo],tblCECO[coordinador],"(sin catálogo)"))</f>
        <v/>
      </c>
      <c r="AB538" s="5">
        <f>IF(tblOrdenes[[#This Row],[puesto_trabajo]]="","",_xlfn.XLOOKUP(tblOrdenes[[#This Row],[puesto_trabajo]],tblPuestos[codigo],tblPuestos[especialidad],"(sin catálogo)"))</f>
        <v/>
      </c>
      <c r="AC538" s="5">
        <f>IF(tblOrdenes[[#This Row],[cod_actividad]]="","",_xlfn.XLOOKUP(tblOrdenes[[#This Row],[cod_actividad]],tblActividades[codigo],tblActividades[descripcion],"(sin catálogo)"))</f>
        <v/>
      </c>
      <c r="AD538" s="23">
        <f>IF(tblOrdenes[[#This Row],[fecha_inicio]]="","",TODAY()-tblOrdenes[[#This Row],[fecha_inicio]])</f>
        <v/>
      </c>
      <c r="AE5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5">
        <f>IF(tblOrdenes[[#This Row],[backlog_habiles]]="","",IF(tblOrdenes[[#This Row],[backlog_habiles]]&lt;0,"FUTURO",IF(tblOrdenes[[#This Row],[backlog_habiles]]&gt;p_dias_backlog_max,"BACKLOG","MES CORRIENTE")))</f>
        <v/>
      </c>
      <c r="AG538" s="5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18">
        <f>IF(tblOrdenes[[#This Row],[orden]]="","",_xlfn.XLOOKUP(tblOrdenes[[#This Row],[id_operacion]],tblEjecucion[id_operacion],tblEjecucion[precio],0))</f>
        <v/>
      </c>
      <c r="AM538" s="18">
        <f>IF(tblOrdenes[[#This Row],[orden]]="","",MAX(0,_xlfn.XLOOKUP(tblOrdenes[[#This Row],[id_operacion]],tblEjecucion[id_operacion],tblEjecucion[costo_plan_total],0)-tblOrdenes[[#This Row],[costo_servicio]]))</f>
        <v/>
      </c>
      <c r="AN538" s="18">
        <f>IF(tblOrdenes[[#This Row],[orden]]="","",tblOrdenes[[#This Row],[costo_servicio]]+tblOrdenes[[#This Row],[costo_materiales]])</f>
        <v/>
      </c>
      <c r="AO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5">
        <f>IF(tblOrdenes[[#This Row],[link_checklist]]="","",HYPERLINK(p_ruta_base_checklists&amp;tblOrdenes[[#This Row],[link_checklist]],"abrir"))</f>
        <v/>
      </c>
      <c r="AT538" s="4" t="n"/>
      <c r="AU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5" t="n"/>
      <c r="K539" s="5" t="n"/>
      <c r="L539" s="18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Row],[fecha_inicio]]="","",tblOrdenes[[#This Row],[anio]]&amp;"-"&amp;TEXT(tblOrdenes[[#This Row],[mes]],"00"))</f>
        <v/>
      </c>
      <c r="S539" s="5">
        <f>IF(tblOrdenes[[#This Row],[fecha_inicio]]="","",INDEX(lista_dias,WEEKDAY(tblOrdenes[[#This Row],[fecha_inicio]],2)))</f>
        <v/>
      </c>
      <c r="T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5">
        <f>IF(tblOrdenes[[#This Row],[tipo_ot]]="","",_xlfn.XLOOKUP(tblOrdenes[[#This Row],[tipo_ot]],tblTiposOT[codigo],tblTiposOT[clasificacion],"sin_clasificar"))</f>
        <v/>
      </c>
      <c r="V5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5">
        <f>IF(tblOrdenes[[#This Row],[centro_costo]]="","",_xlfn.XLOOKUP(tblOrdenes[[#This Row],[centro_costo]],tblCECO[codigo],tblCECO[linea],"(sin catálogo)"))</f>
        <v/>
      </c>
      <c r="Y539" s="5">
        <f>IF(tblOrdenes[[#This Row],[centro_costo]]="","",_xlfn.XLOOKUP(tblOrdenes[[#This Row],[centro_costo]],tblCECO[codigo],tblCECO[area],"(sin catálogo)"))</f>
        <v/>
      </c>
      <c r="Z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5">
        <f>IF(tblOrdenes[[#This Row],[centro_costo]]="","",_xlfn.XLOOKUP(tblOrdenes[[#This Row],[centro_costo]],tblCECO[codigo],tblCECO[coordinador],"(sin catálogo)"))</f>
        <v/>
      </c>
      <c r="AB539" s="5">
        <f>IF(tblOrdenes[[#This Row],[puesto_trabajo]]="","",_xlfn.XLOOKUP(tblOrdenes[[#This Row],[puesto_trabajo]],tblPuestos[codigo],tblPuestos[especialidad],"(sin catálogo)"))</f>
        <v/>
      </c>
      <c r="AC539" s="5">
        <f>IF(tblOrdenes[[#This Row],[cod_actividad]]="","",_xlfn.XLOOKUP(tblOrdenes[[#This Row],[cod_actividad]],tblActividades[codigo],tblActividades[descripcion],"(sin catálogo)"))</f>
        <v/>
      </c>
      <c r="AD539" s="23">
        <f>IF(tblOrdenes[[#This Row],[fecha_inicio]]="","",TODAY()-tblOrdenes[[#This Row],[fecha_inicio]])</f>
        <v/>
      </c>
      <c r="AE5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5">
        <f>IF(tblOrdenes[[#This Row],[backlog_habiles]]="","",IF(tblOrdenes[[#This Row],[backlog_habiles]]&lt;0,"FUTURO",IF(tblOrdenes[[#This Row],[backlog_habiles]]&gt;p_dias_backlog_max,"BACKLOG","MES CORRIENTE")))</f>
        <v/>
      </c>
      <c r="AG539" s="5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18">
        <f>IF(tblOrdenes[[#This Row],[orden]]="","",_xlfn.XLOOKUP(tblOrdenes[[#This Row],[id_operacion]],tblEjecucion[id_operacion],tblEjecucion[precio],0))</f>
        <v/>
      </c>
      <c r="AM539" s="18">
        <f>IF(tblOrdenes[[#This Row],[orden]]="","",MAX(0,_xlfn.XLOOKUP(tblOrdenes[[#This Row],[id_operacion]],tblEjecucion[id_operacion],tblEjecucion[costo_plan_total],0)-tblOrdenes[[#This Row],[costo_servicio]]))</f>
        <v/>
      </c>
      <c r="AN539" s="18">
        <f>IF(tblOrdenes[[#This Row],[orden]]="","",tblOrdenes[[#This Row],[costo_servicio]]+tblOrdenes[[#This Row],[costo_materiales]])</f>
        <v/>
      </c>
      <c r="AO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5">
        <f>IF(tblOrdenes[[#This Row],[link_checklist]]="","",HYPERLINK(p_ruta_base_checklists&amp;tblOrdenes[[#This Row],[link_checklist]],"abrir"))</f>
        <v/>
      </c>
      <c r="AT539" s="4" t="n"/>
      <c r="AU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5" t="n"/>
      <c r="K540" s="5" t="n"/>
      <c r="L540" s="18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Row],[fecha_inicio]]="","",tblOrdenes[[#This Row],[anio]]&amp;"-"&amp;TEXT(tblOrdenes[[#This Row],[mes]],"00"))</f>
        <v/>
      </c>
      <c r="S540" s="5">
        <f>IF(tblOrdenes[[#This Row],[fecha_inicio]]="","",INDEX(lista_dias,WEEKDAY(tblOrdenes[[#This Row],[fecha_inicio]],2)))</f>
        <v/>
      </c>
      <c r="T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5">
        <f>IF(tblOrdenes[[#This Row],[tipo_ot]]="","",_xlfn.XLOOKUP(tblOrdenes[[#This Row],[tipo_ot]],tblTiposOT[codigo],tblTiposOT[clasificacion],"sin_clasificar"))</f>
        <v/>
      </c>
      <c r="V5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5">
        <f>IF(tblOrdenes[[#This Row],[centro_costo]]="","",_xlfn.XLOOKUP(tblOrdenes[[#This Row],[centro_costo]],tblCECO[codigo],tblCECO[linea],"(sin catálogo)"))</f>
        <v/>
      </c>
      <c r="Y540" s="5">
        <f>IF(tblOrdenes[[#This Row],[centro_costo]]="","",_xlfn.XLOOKUP(tblOrdenes[[#This Row],[centro_costo]],tblCECO[codigo],tblCECO[area],"(sin catálogo)"))</f>
        <v/>
      </c>
      <c r="Z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5">
        <f>IF(tblOrdenes[[#This Row],[centro_costo]]="","",_xlfn.XLOOKUP(tblOrdenes[[#This Row],[centro_costo]],tblCECO[codigo],tblCECO[coordinador],"(sin catálogo)"))</f>
        <v/>
      </c>
      <c r="AB540" s="5">
        <f>IF(tblOrdenes[[#This Row],[puesto_trabajo]]="","",_xlfn.XLOOKUP(tblOrdenes[[#This Row],[puesto_trabajo]],tblPuestos[codigo],tblPuestos[especialidad],"(sin catálogo)"))</f>
        <v/>
      </c>
      <c r="AC540" s="5">
        <f>IF(tblOrdenes[[#This Row],[cod_actividad]]="","",_xlfn.XLOOKUP(tblOrdenes[[#This Row],[cod_actividad]],tblActividades[codigo],tblActividades[descripcion],"(sin catálogo)"))</f>
        <v/>
      </c>
      <c r="AD540" s="23">
        <f>IF(tblOrdenes[[#This Row],[fecha_inicio]]="","",TODAY()-tblOrdenes[[#This Row],[fecha_inicio]])</f>
        <v/>
      </c>
      <c r="AE5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5">
        <f>IF(tblOrdenes[[#This Row],[backlog_habiles]]="","",IF(tblOrdenes[[#This Row],[backlog_habiles]]&lt;0,"FUTURO",IF(tblOrdenes[[#This Row],[backlog_habiles]]&gt;p_dias_backlog_max,"BACKLOG","MES CORRIENTE")))</f>
        <v/>
      </c>
      <c r="AG540" s="5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18">
        <f>IF(tblOrdenes[[#This Row],[orden]]="","",_xlfn.XLOOKUP(tblOrdenes[[#This Row],[id_operacion]],tblEjecucion[id_operacion],tblEjecucion[precio],0))</f>
        <v/>
      </c>
      <c r="AM540" s="18">
        <f>IF(tblOrdenes[[#This Row],[orden]]="","",MAX(0,_xlfn.XLOOKUP(tblOrdenes[[#This Row],[id_operacion]],tblEjecucion[id_operacion],tblEjecucion[costo_plan_total],0)-tblOrdenes[[#This Row],[costo_servicio]]))</f>
        <v/>
      </c>
      <c r="AN540" s="18">
        <f>IF(tblOrdenes[[#This Row],[orden]]="","",tblOrdenes[[#This Row],[costo_servicio]]+tblOrdenes[[#This Row],[costo_materiales]])</f>
        <v/>
      </c>
      <c r="AO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5">
        <f>IF(tblOrdenes[[#This Row],[link_checklist]]="","",HYPERLINK(p_ruta_base_checklists&amp;tblOrdenes[[#This Row],[link_checklist]],"abrir"))</f>
        <v/>
      </c>
      <c r="AT540" s="4" t="n"/>
      <c r="AU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5" t="n"/>
      <c r="K541" s="5" t="n"/>
      <c r="L541" s="18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Row],[fecha_inicio]]="","",tblOrdenes[[#This Row],[anio]]&amp;"-"&amp;TEXT(tblOrdenes[[#This Row],[mes]],"00"))</f>
        <v/>
      </c>
      <c r="S541" s="5">
        <f>IF(tblOrdenes[[#This Row],[fecha_inicio]]="","",INDEX(lista_dias,WEEKDAY(tblOrdenes[[#This Row],[fecha_inicio]],2)))</f>
        <v/>
      </c>
      <c r="T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5">
        <f>IF(tblOrdenes[[#This Row],[tipo_ot]]="","",_xlfn.XLOOKUP(tblOrdenes[[#This Row],[tipo_ot]],tblTiposOT[codigo],tblTiposOT[clasificacion],"sin_clasificar"))</f>
        <v/>
      </c>
      <c r="V5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5">
        <f>IF(tblOrdenes[[#This Row],[centro_costo]]="","",_xlfn.XLOOKUP(tblOrdenes[[#This Row],[centro_costo]],tblCECO[codigo],tblCECO[linea],"(sin catálogo)"))</f>
        <v/>
      </c>
      <c r="Y541" s="5">
        <f>IF(tblOrdenes[[#This Row],[centro_costo]]="","",_xlfn.XLOOKUP(tblOrdenes[[#This Row],[centro_costo]],tblCECO[codigo],tblCECO[area],"(sin catálogo)"))</f>
        <v/>
      </c>
      <c r="Z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5">
        <f>IF(tblOrdenes[[#This Row],[centro_costo]]="","",_xlfn.XLOOKUP(tblOrdenes[[#This Row],[centro_costo]],tblCECO[codigo],tblCECO[coordinador],"(sin catálogo)"))</f>
        <v/>
      </c>
      <c r="AB541" s="5">
        <f>IF(tblOrdenes[[#This Row],[puesto_trabajo]]="","",_xlfn.XLOOKUP(tblOrdenes[[#This Row],[puesto_trabajo]],tblPuestos[codigo],tblPuestos[especialidad],"(sin catálogo)"))</f>
        <v/>
      </c>
      <c r="AC541" s="5">
        <f>IF(tblOrdenes[[#This Row],[cod_actividad]]="","",_xlfn.XLOOKUP(tblOrdenes[[#This Row],[cod_actividad]],tblActividades[codigo],tblActividades[descripcion],"(sin catálogo)"))</f>
        <v/>
      </c>
      <c r="AD541" s="23">
        <f>IF(tblOrdenes[[#This Row],[fecha_inicio]]="","",TODAY()-tblOrdenes[[#This Row],[fecha_inicio]])</f>
        <v/>
      </c>
      <c r="AE5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5">
        <f>IF(tblOrdenes[[#This Row],[backlog_habiles]]="","",IF(tblOrdenes[[#This Row],[backlog_habiles]]&lt;0,"FUTURO",IF(tblOrdenes[[#This Row],[backlog_habiles]]&gt;p_dias_backlog_max,"BACKLOG","MES CORRIENTE")))</f>
        <v/>
      </c>
      <c r="AG541" s="5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18">
        <f>IF(tblOrdenes[[#This Row],[orden]]="","",_xlfn.XLOOKUP(tblOrdenes[[#This Row],[id_operacion]],tblEjecucion[id_operacion],tblEjecucion[precio],0))</f>
        <v/>
      </c>
      <c r="AM541" s="18">
        <f>IF(tblOrdenes[[#This Row],[orden]]="","",MAX(0,_xlfn.XLOOKUP(tblOrdenes[[#This Row],[id_operacion]],tblEjecucion[id_operacion],tblEjecucion[costo_plan_total],0)-tblOrdenes[[#This Row],[costo_servicio]]))</f>
        <v/>
      </c>
      <c r="AN541" s="18">
        <f>IF(tblOrdenes[[#This Row],[orden]]="","",tblOrdenes[[#This Row],[costo_servicio]]+tblOrdenes[[#This Row],[costo_materiales]])</f>
        <v/>
      </c>
      <c r="AO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5">
        <f>IF(tblOrdenes[[#This Row],[link_checklist]]="","",HYPERLINK(p_ruta_base_checklists&amp;tblOrdenes[[#This Row],[link_checklist]],"abrir"))</f>
        <v/>
      </c>
      <c r="AT541" s="4" t="n"/>
      <c r="AU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5" t="n"/>
      <c r="K542" s="5" t="n"/>
      <c r="L542" s="18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Row],[fecha_inicio]]="","",tblOrdenes[[#This Row],[anio]]&amp;"-"&amp;TEXT(tblOrdenes[[#This Row],[mes]],"00"))</f>
        <v/>
      </c>
      <c r="S542" s="5">
        <f>IF(tblOrdenes[[#This Row],[fecha_inicio]]="","",INDEX(lista_dias,WEEKDAY(tblOrdenes[[#This Row],[fecha_inicio]],2)))</f>
        <v/>
      </c>
      <c r="T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5">
        <f>IF(tblOrdenes[[#This Row],[tipo_ot]]="","",_xlfn.XLOOKUP(tblOrdenes[[#This Row],[tipo_ot]],tblTiposOT[codigo],tblTiposOT[clasificacion],"sin_clasificar"))</f>
        <v/>
      </c>
      <c r="V5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5">
        <f>IF(tblOrdenes[[#This Row],[centro_costo]]="","",_xlfn.XLOOKUP(tblOrdenes[[#This Row],[centro_costo]],tblCECO[codigo],tblCECO[linea],"(sin catálogo)"))</f>
        <v/>
      </c>
      <c r="Y542" s="5">
        <f>IF(tblOrdenes[[#This Row],[centro_costo]]="","",_xlfn.XLOOKUP(tblOrdenes[[#This Row],[centro_costo]],tblCECO[codigo],tblCECO[area],"(sin catálogo)"))</f>
        <v/>
      </c>
      <c r="Z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5">
        <f>IF(tblOrdenes[[#This Row],[centro_costo]]="","",_xlfn.XLOOKUP(tblOrdenes[[#This Row],[centro_costo]],tblCECO[codigo],tblCECO[coordinador],"(sin catálogo)"))</f>
        <v/>
      </c>
      <c r="AB542" s="5">
        <f>IF(tblOrdenes[[#This Row],[puesto_trabajo]]="","",_xlfn.XLOOKUP(tblOrdenes[[#This Row],[puesto_trabajo]],tblPuestos[codigo],tblPuestos[especialidad],"(sin catálogo)"))</f>
        <v/>
      </c>
      <c r="AC542" s="5">
        <f>IF(tblOrdenes[[#This Row],[cod_actividad]]="","",_xlfn.XLOOKUP(tblOrdenes[[#This Row],[cod_actividad]],tblActividades[codigo],tblActividades[descripcion],"(sin catálogo)"))</f>
        <v/>
      </c>
      <c r="AD542" s="23">
        <f>IF(tblOrdenes[[#This Row],[fecha_inicio]]="","",TODAY()-tblOrdenes[[#This Row],[fecha_inicio]])</f>
        <v/>
      </c>
      <c r="AE5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5">
        <f>IF(tblOrdenes[[#This Row],[backlog_habiles]]="","",IF(tblOrdenes[[#This Row],[backlog_habiles]]&lt;0,"FUTURO",IF(tblOrdenes[[#This Row],[backlog_habiles]]&gt;p_dias_backlog_max,"BACKLOG","MES CORRIENTE")))</f>
        <v/>
      </c>
      <c r="AG542" s="5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18">
        <f>IF(tblOrdenes[[#This Row],[orden]]="","",_xlfn.XLOOKUP(tblOrdenes[[#This Row],[id_operacion]],tblEjecucion[id_operacion],tblEjecucion[precio],0))</f>
        <v/>
      </c>
      <c r="AM542" s="18">
        <f>IF(tblOrdenes[[#This Row],[orden]]="","",MAX(0,_xlfn.XLOOKUP(tblOrdenes[[#This Row],[id_operacion]],tblEjecucion[id_operacion],tblEjecucion[costo_plan_total],0)-tblOrdenes[[#This Row],[costo_servicio]]))</f>
        <v/>
      </c>
      <c r="AN542" s="18">
        <f>IF(tblOrdenes[[#This Row],[orden]]="","",tblOrdenes[[#This Row],[costo_servicio]]+tblOrdenes[[#This Row],[costo_materiales]])</f>
        <v/>
      </c>
      <c r="AO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5">
        <f>IF(tblOrdenes[[#This Row],[link_checklist]]="","",HYPERLINK(p_ruta_base_checklists&amp;tblOrdenes[[#This Row],[link_checklist]],"abrir"))</f>
        <v/>
      </c>
      <c r="AT542" s="4" t="n"/>
      <c r="AU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5" t="n"/>
      <c r="K543" s="5" t="n"/>
      <c r="L543" s="18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Row],[fecha_inicio]]="","",tblOrdenes[[#This Row],[anio]]&amp;"-"&amp;TEXT(tblOrdenes[[#This Row],[mes]],"00"))</f>
        <v/>
      </c>
      <c r="S543" s="5">
        <f>IF(tblOrdenes[[#This Row],[fecha_inicio]]="","",INDEX(lista_dias,WEEKDAY(tblOrdenes[[#This Row],[fecha_inicio]],2)))</f>
        <v/>
      </c>
      <c r="T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5">
        <f>IF(tblOrdenes[[#This Row],[tipo_ot]]="","",_xlfn.XLOOKUP(tblOrdenes[[#This Row],[tipo_ot]],tblTiposOT[codigo],tblTiposOT[clasificacion],"sin_clasificar"))</f>
        <v/>
      </c>
      <c r="V5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5">
        <f>IF(tblOrdenes[[#This Row],[centro_costo]]="","",_xlfn.XLOOKUP(tblOrdenes[[#This Row],[centro_costo]],tblCECO[codigo],tblCECO[linea],"(sin catálogo)"))</f>
        <v/>
      </c>
      <c r="Y543" s="5">
        <f>IF(tblOrdenes[[#This Row],[centro_costo]]="","",_xlfn.XLOOKUP(tblOrdenes[[#This Row],[centro_costo]],tblCECO[codigo],tblCECO[area],"(sin catálogo)"))</f>
        <v/>
      </c>
      <c r="Z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5">
        <f>IF(tblOrdenes[[#This Row],[centro_costo]]="","",_xlfn.XLOOKUP(tblOrdenes[[#This Row],[centro_costo]],tblCECO[codigo],tblCECO[coordinador],"(sin catálogo)"))</f>
        <v/>
      </c>
      <c r="AB543" s="5">
        <f>IF(tblOrdenes[[#This Row],[puesto_trabajo]]="","",_xlfn.XLOOKUP(tblOrdenes[[#This Row],[puesto_trabajo]],tblPuestos[codigo],tblPuestos[especialidad],"(sin catálogo)"))</f>
        <v/>
      </c>
      <c r="AC543" s="5">
        <f>IF(tblOrdenes[[#This Row],[cod_actividad]]="","",_xlfn.XLOOKUP(tblOrdenes[[#This Row],[cod_actividad]],tblActividades[codigo],tblActividades[descripcion],"(sin catálogo)"))</f>
        <v/>
      </c>
      <c r="AD543" s="23">
        <f>IF(tblOrdenes[[#This Row],[fecha_inicio]]="","",TODAY()-tblOrdenes[[#This Row],[fecha_inicio]])</f>
        <v/>
      </c>
      <c r="AE5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5">
        <f>IF(tblOrdenes[[#This Row],[backlog_habiles]]="","",IF(tblOrdenes[[#This Row],[backlog_habiles]]&lt;0,"FUTURO",IF(tblOrdenes[[#This Row],[backlog_habiles]]&gt;p_dias_backlog_max,"BACKLOG","MES CORRIENTE")))</f>
        <v/>
      </c>
      <c r="AG543" s="5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18">
        <f>IF(tblOrdenes[[#This Row],[orden]]="","",_xlfn.XLOOKUP(tblOrdenes[[#This Row],[id_operacion]],tblEjecucion[id_operacion],tblEjecucion[precio],0))</f>
        <v/>
      </c>
      <c r="AM543" s="18">
        <f>IF(tblOrdenes[[#This Row],[orden]]="","",MAX(0,_xlfn.XLOOKUP(tblOrdenes[[#This Row],[id_operacion]],tblEjecucion[id_operacion],tblEjecucion[costo_plan_total],0)-tblOrdenes[[#This Row],[costo_servicio]]))</f>
        <v/>
      </c>
      <c r="AN543" s="18">
        <f>IF(tblOrdenes[[#This Row],[orden]]="","",tblOrdenes[[#This Row],[costo_servicio]]+tblOrdenes[[#This Row],[costo_materiales]])</f>
        <v/>
      </c>
      <c r="AO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5">
        <f>IF(tblOrdenes[[#This Row],[link_checklist]]="","",HYPERLINK(p_ruta_base_checklists&amp;tblOrdenes[[#This Row],[link_checklist]],"abrir"))</f>
        <v/>
      </c>
      <c r="AT543" s="4" t="n"/>
      <c r="AU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5" t="n"/>
      <c r="K544" s="5" t="n"/>
      <c r="L544" s="18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Row],[fecha_inicio]]="","",tblOrdenes[[#This Row],[anio]]&amp;"-"&amp;TEXT(tblOrdenes[[#This Row],[mes]],"00"))</f>
        <v/>
      </c>
      <c r="S544" s="5">
        <f>IF(tblOrdenes[[#This Row],[fecha_inicio]]="","",INDEX(lista_dias,WEEKDAY(tblOrdenes[[#This Row],[fecha_inicio]],2)))</f>
        <v/>
      </c>
      <c r="T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5">
        <f>IF(tblOrdenes[[#This Row],[tipo_ot]]="","",_xlfn.XLOOKUP(tblOrdenes[[#This Row],[tipo_ot]],tblTiposOT[codigo],tblTiposOT[clasificacion],"sin_clasificar"))</f>
        <v/>
      </c>
      <c r="V5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5">
        <f>IF(tblOrdenes[[#This Row],[centro_costo]]="","",_xlfn.XLOOKUP(tblOrdenes[[#This Row],[centro_costo]],tblCECO[codigo],tblCECO[linea],"(sin catálogo)"))</f>
        <v/>
      </c>
      <c r="Y544" s="5">
        <f>IF(tblOrdenes[[#This Row],[centro_costo]]="","",_xlfn.XLOOKUP(tblOrdenes[[#This Row],[centro_costo]],tblCECO[codigo],tblCECO[area],"(sin catálogo)"))</f>
        <v/>
      </c>
      <c r="Z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5">
        <f>IF(tblOrdenes[[#This Row],[centro_costo]]="","",_xlfn.XLOOKUP(tblOrdenes[[#This Row],[centro_costo]],tblCECO[codigo],tblCECO[coordinador],"(sin catálogo)"))</f>
        <v/>
      </c>
      <c r="AB544" s="5">
        <f>IF(tblOrdenes[[#This Row],[puesto_trabajo]]="","",_xlfn.XLOOKUP(tblOrdenes[[#This Row],[puesto_trabajo]],tblPuestos[codigo],tblPuestos[especialidad],"(sin catálogo)"))</f>
        <v/>
      </c>
      <c r="AC544" s="5">
        <f>IF(tblOrdenes[[#This Row],[cod_actividad]]="","",_xlfn.XLOOKUP(tblOrdenes[[#This Row],[cod_actividad]],tblActividades[codigo],tblActividades[descripcion],"(sin catálogo)"))</f>
        <v/>
      </c>
      <c r="AD544" s="23">
        <f>IF(tblOrdenes[[#This Row],[fecha_inicio]]="","",TODAY()-tblOrdenes[[#This Row],[fecha_inicio]])</f>
        <v/>
      </c>
      <c r="AE5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5">
        <f>IF(tblOrdenes[[#This Row],[backlog_habiles]]="","",IF(tblOrdenes[[#This Row],[backlog_habiles]]&lt;0,"FUTURO",IF(tblOrdenes[[#This Row],[backlog_habiles]]&gt;p_dias_backlog_max,"BACKLOG","MES CORRIENTE")))</f>
        <v/>
      </c>
      <c r="AG544" s="5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18">
        <f>IF(tblOrdenes[[#This Row],[orden]]="","",_xlfn.XLOOKUP(tblOrdenes[[#This Row],[id_operacion]],tblEjecucion[id_operacion],tblEjecucion[precio],0))</f>
        <v/>
      </c>
      <c r="AM544" s="18">
        <f>IF(tblOrdenes[[#This Row],[orden]]="","",MAX(0,_xlfn.XLOOKUP(tblOrdenes[[#This Row],[id_operacion]],tblEjecucion[id_operacion],tblEjecucion[costo_plan_total],0)-tblOrdenes[[#This Row],[costo_servicio]]))</f>
        <v/>
      </c>
      <c r="AN544" s="18">
        <f>IF(tblOrdenes[[#This Row],[orden]]="","",tblOrdenes[[#This Row],[costo_servicio]]+tblOrdenes[[#This Row],[costo_materiales]])</f>
        <v/>
      </c>
      <c r="AO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5">
        <f>IF(tblOrdenes[[#This Row],[link_checklist]]="","",HYPERLINK(p_ruta_base_checklists&amp;tblOrdenes[[#This Row],[link_checklist]],"abrir"))</f>
        <v/>
      </c>
      <c r="AT544" s="4" t="n"/>
      <c r="AU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5" t="n"/>
      <c r="K545" s="5" t="n"/>
      <c r="L545" s="18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Row],[fecha_inicio]]="","",tblOrdenes[[#This Row],[anio]]&amp;"-"&amp;TEXT(tblOrdenes[[#This Row],[mes]],"00"))</f>
        <v/>
      </c>
      <c r="S545" s="5">
        <f>IF(tblOrdenes[[#This Row],[fecha_inicio]]="","",INDEX(lista_dias,WEEKDAY(tblOrdenes[[#This Row],[fecha_inicio]],2)))</f>
        <v/>
      </c>
      <c r="T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5">
        <f>IF(tblOrdenes[[#This Row],[tipo_ot]]="","",_xlfn.XLOOKUP(tblOrdenes[[#This Row],[tipo_ot]],tblTiposOT[codigo],tblTiposOT[clasificacion],"sin_clasificar"))</f>
        <v/>
      </c>
      <c r="V5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5">
        <f>IF(tblOrdenes[[#This Row],[centro_costo]]="","",_xlfn.XLOOKUP(tblOrdenes[[#This Row],[centro_costo]],tblCECO[codigo],tblCECO[linea],"(sin catálogo)"))</f>
        <v/>
      </c>
      <c r="Y545" s="5">
        <f>IF(tblOrdenes[[#This Row],[centro_costo]]="","",_xlfn.XLOOKUP(tblOrdenes[[#This Row],[centro_costo]],tblCECO[codigo],tblCECO[area],"(sin catálogo)"))</f>
        <v/>
      </c>
      <c r="Z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5">
        <f>IF(tblOrdenes[[#This Row],[centro_costo]]="","",_xlfn.XLOOKUP(tblOrdenes[[#This Row],[centro_costo]],tblCECO[codigo],tblCECO[coordinador],"(sin catálogo)"))</f>
        <v/>
      </c>
      <c r="AB545" s="5">
        <f>IF(tblOrdenes[[#This Row],[puesto_trabajo]]="","",_xlfn.XLOOKUP(tblOrdenes[[#This Row],[puesto_trabajo]],tblPuestos[codigo],tblPuestos[especialidad],"(sin catálogo)"))</f>
        <v/>
      </c>
      <c r="AC545" s="5">
        <f>IF(tblOrdenes[[#This Row],[cod_actividad]]="","",_xlfn.XLOOKUP(tblOrdenes[[#This Row],[cod_actividad]],tblActividades[codigo],tblActividades[descripcion],"(sin catálogo)"))</f>
        <v/>
      </c>
      <c r="AD545" s="23">
        <f>IF(tblOrdenes[[#This Row],[fecha_inicio]]="","",TODAY()-tblOrdenes[[#This Row],[fecha_inicio]])</f>
        <v/>
      </c>
      <c r="AE5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5">
        <f>IF(tblOrdenes[[#This Row],[backlog_habiles]]="","",IF(tblOrdenes[[#This Row],[backlog_habiles]]&lt;0,"FUTURO",IF(tblOrdenes[[#This Row],[backlog_habiles]]&gt;p_dias_backlog_max,"BACKLOG","MES CORRIENTE")))</f>
        <v/>
      </c>
      <c r="AG545" s="5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18">
        <f>IF(tblOrdenes[[#This Row],[orden]]="","",_xlfn.XLOOKUP(tblOrdenes[[#This Row],[id_operacion]],tblEjecucion[id_operacion],tblEjecucion[precio],0))</f>
        <v/>
      </c>
      <c r="AM545" s="18">
        <f>IF(tblOrdenes[[#This Row],[orden]]="","",MAX(0,_xlfn.XLOOKUP(tblOrdenes[[#This Row],[id_operacion]],tblEjecucion[id_operacion],tblEjecucion[costo_plan_total],0)-tblOrdenes[[#This Row],[costo_servicio]]))</f>
        <v/>
      </c>
      <c r="AN545" s="18">
        <f>IF(tblOrdenes[[#This Row],[orden]]="","",tblOrdenes[[#This Row],[costo_servicio]]+tblOrdenes[[#This Row],[costo_materiales]])</f>
        <v/>
      </c>
      <c r="AO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5">
        <f>IF(tblOrdenes[[#This Row],[link_checklist]]="","",HYPERLINK(p_ruta_base_checklists&amp;tblOrdenes[[#This Row],[link_checklist]],"abrir"))</f>
        <v/>
      </c>
      <c r="AT545" s="4" t="n"/>
      <c r="AU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5" t="n"/>
      <c r="K546" s="5" t="n"/>
      <c r="L546" s="18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Row],[fecha_inicio]]="","",tblOrdenes[[#This Row],[anio]]&amp;"-"&amp;TEXT(tblOrdenes[[#This Row],[mes]],"00"))</f>
        <v/>
      </c>
      <c r="S546" s="5">
        <f>IF(tblOrdenes[[#This Row],[fecha_inicio]]="","",INDEX(lista_dias,WEEKDAY(tblOrdenes[[#This Row],[fecha_inicio]],2)))</f>
        <v/>
      </c>
      <c r="T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5">
        <f>IF(tblOrdenes[[#This Row],[tipo_ot]]="","",_xlfn.XLOOKUP(tblOrdenes[[#This Row],[tipo_ot]],tblTiposOT[codigo],tblTiposOT[clasificacion],"sin_clasificar"))</f>
        <v/>
      </c>
      <c r="V5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5">
        <f>IF(tblOrdenes[[#This Row],[centro_costo]]="","",_xlfn.XLOOKUP(tblOrdenes[[#This Row],[centro_costo]],tblCECO[codigo],tblCECO[linea],"(sin catálogo)"))</f>
        <v/>
      </c>
      <c r="Y546" s="5">
        <f>IF(tblOrdenes[[#This Row],[centro_costo]]="","",_xlfn.XLOOKUP(tblOrdenes[[#This Row],[centro_costo]],tblCECO[codigo],tblCECO[area],"(sin catálogo)"))</f>
        <v/>
      </c>
      <c r="Z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5">
        <f>IF(tblOrdenes[[#This Row],[centro_costo]]="","",_xlfn.XLOOKUP(tblOrdenes[[#This Row],[centro_costo]],tblCECO[codigo],tblCECO[coordinador],"(sin catálogo)"))</f>
        <v/>
      </c>
      <c r="AB546" s="5">
        <f>IF(tblOrdenes[[#This Row],[puesto_trabajo]]="","",_xlfn.XLOOKUP(tblOrdenes[[#This Row],[puesto_trabajo]],tblPuestos[codigo],tblPuestos[especialidad],"(sin catálogo)"))</f>
        <v/>
      </c>
      <c r="AC546" s="5">
        <f>IF(tblOrdenes[[#This Row],[cod_actividad]]="","",_xlfn.XLOOKUP(tblOrdenes[[#This Row],[cod_actividad]],tblActividades[codigo],tblActividades[descripcion],"(sin catálogo)"))</f>
        <v/>
      </c>
      <c r="AD546" s="23">
        <f>IF(tblOrdenes[[#This Row],[fecha_inicio]]="","",TODAY()-tblOrdenes[[#This Row],[fecha_inicio]])</f>
        <v/>
      </c>
      <c r="AE5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5">
        <f>IF(tblOrdenes[[#This Row],[backlog_habiles]]="","",IF(tblOrdenes[[#This Row],[backlog_habiles]]&lt;0,"FUTURO",IF(tblOrdenes[[#This Row],[backlog_habiles]]&gt;p_dias_backlog_max,"BACKLOG","MES CORRIENTE")))</f>
        <v/>
      </c>
      <c r="AG546" s="5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18">
        <f>IF(tblOrdenes[[#This Row],[orden]]="","",_xlfn.XLOOKUP(tblOrdenes[[#This Row],[id_operacion]],tblEjecucion[id_operacion],tblEjecucion[precio],0))</f>
        <v/>
      </c>
      <c r="AM546" s="18">
        <f>IF(tblOrdenes[[#This Row],[orden]]="","",MAX(0,_xlfn.XLOOKUP(tblOrdenes[[#This Row],[id_operacion]],tblEjecucion[id_operacion],tblEjecucion[costo_plan_total],0)-tblOrdenes[[#This Row],[costo_servicio]]))</f>
        <v/>
      </c>
      <c r="AN546" s="18">
        <f>IF(tblOrdenes[[#This Row],[orden]]="","",tblOrdenes[[#This Row],[costo_servicio]]+tblOrdenes[[#This Row],[costo_materiales]])</f>
        <v/>
      </c>
      <c r="AO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5">
        <f>IF(tblOrdenes[[#This Row],[link_checklist]]="","",HYPERLINK(p_ruta_base_checklists&amp;tblOrdenes[[#This Row],[link_checklist]],"abrir"))</f>
        <v/>
      </c>
      <c r="AT546" s="4" t="n"/>
      <c r="AU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5" t="n"/>
      <c r="K547" s="5" t="n"/>
      <c r="L547" s="18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Row],[fecha_inicio]]="","",tblOrdenes[[#This Row],[anio]]&amp;"-"&amp;TEXT(tblOrdenes[[#This Row],[mes]],"00"))</f>
        <v/>
      </c>
      <c r="S547" s="5">
        <f>IF(tblOrdenes[[#This Row],[fecha_inicio]]="","",INDEX(lista_dias,WEEKDAY(tblOrdenes[[#This Row],[fecha_inicio]],2)))</f>
        <v/>
      </c>
      <c r="T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5">
        <f>IF(tblOrdenes[[#This Row],[tipo_ot]]="","",_xlfn.XLOOKUP(tblOrdenes[[#This Row],[tipo_ot]],tblTiposOT[codigo],tblTiposOT[clasificacion],"sin_clasificar"))</f>
        <v/>
      </c>
      <c r="V5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5">
        <f>IF(tblOrdenes[[#This Row],[centro_costo]]="","",_xlfn.XLOOKUP(tblOrdenes[[#This Row],[centro_costo]],tblCECO[codigo],tblCECO[linea],"(sin catálogo)"))</f>
        <v/>
      </c>
      <c r="Y547" s="5">
        <f>IF(tblOrdenes[[#This Row],[centro_costo]]="","",_xlfn.XLOOKUP(tblOrdenes[[#This Row],[centro_costo]],tblCECO[codigo],tblCECO[area],"(sin catálogo)"))</f>
        <v/>
      </c>
      <c r="Z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5">
        <f>IF(tblOrdenes[[#This Row],[centro_costo]]="","",_xlfn.XLOOKUP(tblOrdenes[[#This Row],[centro_costo]],tblCECO[codigo],tblCECO[coordinador],"(sin catálogo)"))</f>
        <v/>
      </c>
      <c r="AB547" s="5">
        <f>IF(tblOrdenes[[#This Row],[puesto_trabajo]]="","",_xlfn.XLOOKUP(tblOrdenes[[#This Row],[puesto_trabajo]],tblPuestos[codigo],tblPuestos[especialidad],"(sin catálogo)"))</f>
        <v/>
      </c>
      <c r="AC547" s="5">
        <f>IF(tblOrdenes[[#This Row],[cod_actividad]]="","",_xlfn.XLOOKUP(tblOrdenes[[#This Row],[cod_actividad]],tblActividades[codigo],tblActividades[descripcion],"(sin catálogo)"))</f>
        <v/>
      </c>
      <c r="AD547" s="23">
        <f>IF(tblOrdenes[[#This Row],[fecha_inicio]]="","",TODAY()-tblOrdenes[[#This Row],[fecha_inicio]])</f>
        <v/>
      </c>
      <c r="AE5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5">
        <f>IF(tblOrdenes[[#This Row],[backlog_habiles]]="","",IF(tblOrdenes[[#This Row],[backlog_habiles]]&lt;0,"FUTURO",IF(tblOrdenes[[#This Row],[backlog_habiles]]&gt;p_dias_backlog_max,"BACKLOG","MES CORRIENTE")))</f>
        <v/>
      </c>
      <c r="AG547" s="5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18">
        <f>IF(tblOrdenes[[#This Row],[orden]]="","",_xlfn.XLOOKUP(tblOrdenes[[#This Row],[id_operacion]],tblEjecucion[id_operacion],tblEjecucion[precio],0))</f>
        <v/>
      </c>
      <c r="AM547" s="18">
        <f>IF(tblOrdenes[[#This Row],[orden]]="","",MAX(0,_xlfn.XLOOKUP(tblOrdenes[[#This Row],[id_operacion]],tblEjecucion[id_operacion],tblEjecucion[costo_plan_total],0)-tblOrdenes[[#This Row],[costo_servicio]]))</f>
        <v/>
      </c>
      <c r="AN547" s="18">
        <f>IF(tblOrdenes[[#This Row],[orden]]="","",tblOrdenes[[#This Row],[costo_servicio]]+tblOrdenes[[#This Row],[costo_materiales]])</f>
        <v/>
      </c>
      <c r="AO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5">
        <f>IF(tblOrdenes[[#This Row],[link_checklist]]="","",HYPERLINK(p_ruta_base_checklists&amp;tblOrdenes[[#This Row],[link_checklist]],"abrir"))</f>
        <v/>
      </c>
      <c r="AT547" s="4" t="n"/>
      <c r="AU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5" t="n"/>
      <c r="K548" s="5" t="n"/>
      <c r="L548" s="18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Row],[fecha_inicio]]="","",tblOrdenes[[#This Row],[anio]]&amp;"-"&amp;TEXT(tblOrdenes[[#This Row],[mes]],"00"))</f>
        <v/>
      </c>
      <c r="S548" s="5">
        <f>IF(tblOrdenes[[#This Row],[fecha_inicio]]="","",INDEX(lista_dias,WEEKDAY(tblOrdenes[[#This Row],[fecha_inicio]],2)))</f>
        <v/>
      </c>
      <c r="T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5">
        <f>IF(tblOrdenes[[#This Row],[tipo_ot]]="","",_xlfn.XLOOKUP(tblOrdenes[[#This Row],[tipo_ot]],tblTiposOT[codigo],tblTiposOT[clasificacion],"sin_clasificar"))</f>
        <v/>
      </c>
      <c r="V5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5">
        <f>IF(tblOrdenes[[#This Row],[centro_costo]]="","",_xlfn.XLOOKUP(tblOrdenes[[#This Row],[centro_costo]],tblCECO[codigo],tblCECO[linea],"(sin catálogo)"))</f>
        <v/>
      </c>
      <c r="Y548" s="5">
        <f>IF(tblOrdenes[[#This Row],[centro_costo]]="","",_xlfn.XLOOKUP(tblOrdenes[[#This Row],[centro_costo]],tblCECO[codigo],tblCECO[area],"(sin catálogo)"))</f>
        <v/>
      </c>
      <c r="Z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5">
        <f>IF(tblOrdenes[[#This Row],[centro_costo]]="","",_xlfn.XLOOKUP(tblOrdenes[[#This Row],[centro_costo]],tblCECO[codigo],tblCECO[coordinador],"(sin catálogo)"))</f>
        <v/>
      </c>
      <c r="AB548" s="5">
        <f>IF(tblOrdenes[[#This Row],[puesto_trabajo]]="","",_xlfn.XLOOKUP(tblOrdenes[[#This Row],[puesto_trabajo]],tblPuestos[codigo],tblPuestos[especialidad],"(sin catálogo)"))</f>
        <v/>
      </c>
      <c r="AC548" s="5">
        <f>IF(tblOrdenes[[#This Row],[cod_actividad]]="","",_xlfn.XLOOKUP(tblOrdenes[[#This Row],[cod_actividad]],tblActividades[codigo],tblActividades[descripcion],"(sin catálogo)"))</f>
        <v/>
      </c>
      <c r="AD548" s="23">
        <f>IF(tblOrdenes[[#This Row],[fecha_inicio]]="","",TODAY()-tblOrdenes[[#This Row],[fecha_inicio]])</f>
        <v/>
      </c>
      <c r="AE5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5">
        <f>IF(tblOrdenes[[#This Row],[backlog_habiles]]="","",IF(tblOrdenes[[#This Row],[backlog_habiles]]&lt;0,"FUTURO",IF(tblOrdenes[[#This Row],[backlog_habiles]]&gt;p_dias_backlog_max,"BACKLOG","MES CORRIENTE")))</f>
        <v/>
      </c>
      <c r="AG548" s="5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18">
        <f>IF(tblOrdenes[[#This Row],[orden]]="","",_xlfn.XLOOKUP(tblOrdenes[[#This Row],[id_operacion]],tblEjecucion[id_operacion],tblEjecucion[precio],0))</f>
        <v/>
      </c>
      <c r="AM548" s="18">
        <f>IF(tblOrdenes[[#This Row],[orden]]="","",MAX(0,_xlfn.XLOOKUP(tblOrdenes[[#This Row],[id_operacion]],tblEjecucion[id_operacion],tblEjecucion[costo_plan_total],0)-tblOrdenes[[#This Row],[costo_servicio]]))</f>
        <v/>
      </c>
      <c r="AN548" s="18">
        <f>IF(tblOrdenes[[#This Row],[orden]]="","",tblOrdenes[[#This Row],[costo_servicio]]+tblOrdenes[[#This Row],[costo_materiales]])</f>
        <v/>
      </c>
      <c r="AO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5">
        <f>IF(tblOrdenes[[#This Row],[link_checklist]]="","",HYPERLINK(p_ruta_base_checklists&amp;tblOrdenes[[#This Row],[link_checklist]],"abrir"))</f>
        <v/>
      </c>
      <c r="AT548" s="4" t="n"/>
      <c r="AU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5" t="n"/>
      <c r="K549" s="5" t="n"/>
      <c r="L549" s="18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Row],[fecha_inicio]]="","",tblOrdenes[[#This Row],[anio]]&amp;"-"&amp;TEXT(tblOrdenes[[#This Row],[mes]],"00"))</f>
        <v/>
      </c>
      <c r="S549" s="5">
        <f>IF(tblOrdenes[[#This Row],[fecha_inicio]]="","",INDEX(lista_dias,WEEKDAY(tblOrdenes[[#This Row],[fecha_inicio]],2)))</f>
        <v/>
      </c>
      <c r="T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5">
        <f>IF(tblOrdenes[[#This Row],[tipo_ot]]="","",_xlfn.XLOOKUP(tblOrdenes[[#This Row],[tipo_ot]],tblTiposOT[codigo],tblTiposOT[clasificacion],"sin_clasificar"))</f>
        <v/>
      </c>
      <c r="V5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5">
        <f>IF(tblOrdenes[[#This Row],[centro_costo]]="","",_xlfn.XLOOKUP(tblOrdenes[[#This Row],[centro_costo]],tblCECO[codigo],tblCECO[linea],"(sin catálogo)"))</f>
        <v/>
      </c>
      <c r="Y549" s="5">
        <f>IF(tblOrdenes[[#This Row],[centro_costo]]="","",_xlfn.XLOOKUP(tblOrdenes[[#This Row],[centro_costo]],tblCECO[codigo],tblCECO[area],"(sin catálogo)"))</f>
        <v/>
      </c>
      <c r="Z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5">
        <f>IF(tblOrdenes[[#This Row],[centro_costo]]="","",_xlfn.XLOOKUP(tblOrdenes[[#This Row],[centro_costo]],tblCECO[codigo],tblCECO[coordinador],"(sin catálogo)"))</f>
        <v/>
      </c>
      <c r="AB549" s="5">
        <f>IF(tblOrdenes[[#This Row],[puesto_trabajo]]="","",_xlfn.XLOOKUP(tblOrdenes[[#This Row],[puesto_trabajo]],tblPuestos[codigo],tblPuestos[especialidad],"(sin catálogo)"))</f>
        <v/>
      </c>
      <c r="AC549" s="5">
        <f>IF(tblOrdenes[[#This Row],[cod_actividad]]="","",_xlfn.XLOOKUP(tblOrdenes[[#This Row],[cod_actividad]],tblActividades[codigo],tblActividades[descripcion],"(sin catálogo)"))</f>
        <v/>
      </c>
      <c r="AD549" s="23">
        <f>IF(tblOrdenes[[#This Row],[fecha_inicio]]="","",TODAY()-tblOrdenes[[#This Row],[fecha_inicio]])</f>
        <v/>
      </c>
      <c r="AE5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5">
        <f>IF(tblOrdenes[[#This Row],[backlog_habiles]]="","",IF(tblOrdenes[[#This Row],[backlog_habiles]]&lt;0,"FUTURO",IF(tblOrdenes[[#This Row],[backlog_habiles]]&gt;p_dias_backlog_max,"BACKLOG","MES CORRIENTE")))</f>
        <v/>
      </c>
      <c r="AG549" s="5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18">
        <f>IF(tblOrdenes[[#This Row],[orden]]="","",_xlfn.XLOOKUP(tblOrdenes[[#This Row],[id_operacion]],tblEjecucion[id_operacion],tblEjecucion[precio],0))</f>
        <v/>
      </c>
      <c r="AM549" s="18">
        <f>IF(tblOrdenes[[#This Row],[orden]]="","",MAX(0,_xlfn.XLOOKUP(tblOrdenes[[#This Row],[id_operacion]],tblEjecucion[id_operacion],tblEjecucion[costo_plan_total],0)-tblOrdenes[[#This Row],[costo_servicio]]))</f>
        <v/>
      </c>
      <c r="AN549" s="18">
        <f>IF(tblOrdenes[[#This Row],[orden]]="","",tblOrdenes[[#This Row],[costo_servicio]]+tblOrdenes[[#This Row],[costo_materiales]])</f>
        <v/>
      </c>
      <c r="AO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5">
        <f>IF(tblOrdenes[[#This Row],[link_checklist]]="","",HYPERLINK(p_ruta_base_checklists&amp;tblOrdenes[[#This Row],[link_checklist]],"abrir"))</f>
        <v/>
      </c>
      <c r="AT549" s="4" t="n"/>
      <c r="AU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5" t="n"/>
      <c r="K550" s="5" t="n"/>
      <c r="L550" s="18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Row],[fecha_inicio]]="","",tblOrdenes[[#This Row],[anio]]&amp;"-"&amp;TEXT(tblOrdenes[[#This Row],[mes]],"00"))</f>
        <v/>
      </c>
      <c r="S550" s="5">
        <f>IF(tblOrdenes[[#This Row],[fecha_inicio]]="","",INDEX(lista_dias,WEEKDAY(tblOrdenes[[#This Row],[fecha_inicio]],2)))</f>
        <v/>
      </c>
      <c r="T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5">
        <f>IF(tblOrdenes[[#This Row],[tipo_ot]]="","",_xlfn.XLOOKUP(tblOrdenes[[#This Row],[tipo_ot]],tblTiposOT[codigo],tblTiposOT[clasificacion],"sin_clasificar"))</f>
        <v/>
      </c>
      <c r="V5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5">
        <f>IF(tblOrdenes[[#This Row],[centro_costo]]="","",_xlfn.XLOOKUP(tblOrdenes[[#This Row],[centro_costo]],tblCECO[codigo],tblCECO[linea],"(sin catálogo)"))</f>
        <v/>
      </c>
      <c r="Y550" s="5">
        <f>IF(tblOrdenes[[#This Row],[centro_costo]]="","",_xlfn.XLOOKUP(tblOrdenes[[#This Row],[centro_costo]],tblCECO[codigo],tblCECO[area],"(sin catálogo)"))</f>
        <v/>
      </c>
      <c r="Z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5">
        <f>IF(tblOrdenes[[#This Row],[centro_costo]]="","",_xlfn.XLOOKUP(tblOrdenes[[#This Row],[centro_costo]],tblCECO[codigo],tblCECO[coordinador],"(sin catálogo)"))</f>
        <v/>
      </c>
      <c r="AB550" s="5">
        <f>IF(tblOrdenes[[#This Row],[puesto_trabajo]]="","",_xlfn.XLOOKUP(tblOrdenes[[#This Row],[puesto_trabajo]],tblPuestos[codigo],tblPuestos[especialidad],"(sin catálogo)"))</f>
        <v/>
      </c>
      <c r="AC550" s="5">
        <f>IF(tblOrdenes[[#This Row],[cod_actividad]]="","",_xlfn.XLOOKUP(tblOrdenes[[#This Row],[cod_actividad]],tblActividades[codigo],tblActividades[descripcion],"(sin catálogo)"))</f>
        <v/>
      </c>
      <c r="AD550" s="23">
        <f>IF(tblOrdenes[[#This Row],[fecha_inicio]]="","",TODAY()-tblOrdenes[[#This Row],[fecha_inicio]])</f>
        <v/>
      </c>
      <c r="AE5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5">
        <f>IF(tblOrdenes[[#This Row],[backlog_habiles]]="","",IF(tblOrdenes[[#This Row],[backlog_habiles]]&lt;0,"FUTURO",IF(tblOrdenes[[#This Row],[backlog_habiles]]&gt;p_dias_backlog_max,"BACKLOG","MES CORRIENTE")))</f>
        <v/>
      </c>
      <c r="AG550" s="5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18">
        <f>IF(tblOrdenes[[#This Row],[orden]]="","",_xlfn.XLOOKUP(tblOrdenes[[#This Row],[id_operacion]],tblEjecucion[id_operacion],tblEjecucion[precio],0))</f>
        <v/>
      </c>
      <c r="AM550" s="18">
        <f>IF(tblOrdenes[[#This Row],[orden]]="","",MAX(0,_xlfn.XLOOKUP(tblOrdenes[[#This Row],[id_operacion]],tblEjecucion[id_operacion],tblEjecucion[costo_plan_total],0)-tblOrdenes[[#This Row],[costo_servicio]]))</f>
        <v/>
      </c>
      <c r="AN550" s="18">
        <f>IF(tblOrdenes[[#This Row],[orden]]="","",tblOrdenes[[#This Row],[costo_servicio]]+tblOrdenes[[#This Row],[costo_materiales]])</f>
        <v/>
      </c>
      <c r="AO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5">
        <f>IF(tblOrdenes[[#This Row],[link_checklist]]="","",HYPERLINK(p_ruta_base_checklists&amp;tblOrdenes[[#This Row],[link_checklist]],"abrir"))</f>
        <v/>
      </c>
      <c r="AT550" s="4" t="n"/>
      <c r="AU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5" t="n"/>
      <c r="K551" s="5" t="n"/>
      <c r="L551" s="18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Row],[fecha_inicio]]="","",tblOrdenes[[#This Row],[anio]]&amp;"-"&amp;TEXT(tblOrdenes[[#This Row],[mes]],"00"))</f>
        <v/>
      </c>
      <c r="S551" s="5">
        <f>IF(tblOrdenes[[#This Row],[fecha_inicio]]="","",INDEX(lista_dias,WEEKDAY(tblOrdenes[[#This Row],[fecha_inicio]],2)))</f>
        <v/>
      </c>
      <c r="T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5">
        <f>IF(tblOrdenes[[#This Row],[tipo_ot]]="","",_xlfn.XLOOKUP(tblOrdenes[[#This Row],[tipo_ot]],tblTiposOT[codigo],tblTiposOT[clasificacion],"sin_clasificar"))</f>
        <v/>
      </c>
      <c r="V5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5">
        <f>IF(tblOrdenes[[#This Row],[centro_costo]]="","",_xlfn.XLOOKUP(tblOrdenes[[#This Row],[centro_costo]],tblCECO[codigo],tblCECO[linea],"(sin catálogo)"))</f>
        <v/>
      </c>
      <c r="Y551" s="5">
        <f>IF(tblOrdenes[[#This Row],[centro_costo]]="","",_xlfn.XLOOKUP(tblOrdenes[[#This Row],[centro_costo]],tblCECO[codigo],tblCECO[area],"(sin catálogo)"))</f>
        <v/>
      </c>
      <c r="Z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5">
        <f>IF(tblOrdenes[[#This Row],[centro_costo]]="","",_xlfn.XLOOKUP(tblOrdenes[[#This Row],[centro_costo]],tblCECO[codigo],tblCECO[coordinador],"(sin catálogo)"))</f>
        <v/>
      </c>
      <c r="AB551" s="5">
        <f>IF(tblOrdenes[[#This Row],[puesto_trabajo]]="","",_xlfn.XLOOKUP(tblOrdenes[[#This Row],[puesto_trabajo]],tblPuestos[codigo],tblPuestos[especialidad],"(sin catálogo)"))</f>
        <v/>
      </c>
      <c r="AC551" s="5">
        <f>IF(tblOrdenes[[#This Row],[cod_actividad]]="","",_xlfn.XLOOKUP(tblOrdenes[[#This Row],[cod_actividad]],tblActividades[codigo],tblActividades[descripcion],"(sin catálogo)"))</f>
        <v/>
      </c>
      <c r="AD551" s="23">
        <f>IF(tblOrdenes[[#This Row],[fecha_inicio]]="","",TODAY()-tblOrdenes[[#This Row],[fecha_inicio]])</f>
        <v/>
      </c>
      <c r="AE5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5">
        <f>IF(tblOrdenes[[#This Row],[backlog_habiles]]="","",IF(tblOrdenes[[#This Row],[backlog_habiles]]&lt;0,"FUTURO",IF(tblOrdenes[[#This Row],[backlog_habiles]]&gt;p_dias_backlog_max,"BACKLOG","MES CORRIENTE")))</f>
        <v/>
      </c>
      <c r="AG551" s="5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18">
        <f>IF(tblOrdenes[[#This Row],[orden]]="","",_xlfn.XLOOKUP(tblOrdenes[[#This Row],[id_operacion]],tblEjecucion[id_operacion],tblEjecucion[precio],0))</f>
        <v/>
      </c>
      <c r="AM551" s="18">
        <f>IF(tblOrdenes[[#This Row],[orden]]="","",MAX(0,_xlfn.XLOOKUP(tblOrdenes[[#This Row],[id_operacion]],tblEjecucion[id_operacion],tblEjecucion[costo_plan_total],0)-tblOrdenes[[#This Row],[costo_servicio]]))</f>
        <v/>
      </c>
      <c r="AN551" s="18">
        <f>IF(tblOrdenes[[#This Row],[orden]]="","",tblOrdenes[[#This Row],[costo_servicio]]+tblOrdenes[[#This Row],[costo_materiales]])</f>
        <v/>
      </c>
      <c r="AO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5">
        <f>IF(tblOrdenes[[#This Row],[link_checklist]]="","",HYPERLINK(p_ruta_base_checklists&amp;tblOrdenes[[#This Row],[link_checklist]],"abrir"))</f>
        <v/>
      </c>
      <c r="AT551" s="4" t="n"/>
      <c r="AU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5" t="n"/>
      <c r="K552" s="5" t="n"/>
      <c r="L552" s="18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Row],[fecha_inicio]]="","",tblOrdenes[[#This Row],[anio]]&amp;"-"&amp;TEXT(tblOrdenes[[#This Row],[mes]],"00"))</f>
        <v/>
      </c>
      <c r="S552" s="5">
        <f>IF(tblOrdenes[[#This Row],[fecha_inicio]]="","",INDEX(lista_dias,WEEKDAY(tblOrdenes[[#This Row],[fecha_inicio]],2)))</f>
        <v/>
      </c>
      <c r="T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5">
        <f>IF(tblOrdenes[[#This Row],[tipo_ot]]="","",_xlfn.XLOOKUP(tblOrdenes[[#This Row],[tipo_ot]],tblTiposOT[codigo],tblTiposOT[clasificacion],"sin_clasificar"))</f>
        <v/>
      </c>
      <c r="V5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5">
        <f>IF(tblOrdenes[[#This Row],[centro_costo]]="","",_xlfn.XLOOKUP(tblOrdenes[[#This Row],[centro_costo]],tblCECO[codigo],tblCECO[linea],"(sin catálogo)"))</f>
        <v/>
      </c>
      <c r="Y552" s="5">
        <f>IF(tblOrdenes[[#This Row],[centro_costo]]="","",_xlfn.XLOOKUP(tblOrdenes[[#This Row],[centro_costo]],tblCECO[codigo],tblCECO[area],"(sin catálogo)"))</f>
        <v/>
      </c>
      <c r="Z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5">
        <f>IF(tblOrdenes[[#This Row],[centro_costo]]="","",_xlfn.XLOOKUP(tblOrdenes[[#This Row],[centro_costo]],tblCECO[codigo],tblCECO[coordinador],"(sin catálogo)"))</f>
        <v/>
      </c>
      <c r="AB552" s="5">
        <f>IF(tblOrdenes[[#This Row],[puesto_trabajo]]="","",_xlfn.XLOOKUP(tblOrdenes[[#This Row],[puesto_trabajo]],tblPuestos[codigo],tblPuestos[especialidad],"(sin catálogo)"))</f>
        <v/>
      </c>
      <c r="AC552" s="5">
        <f>IF(tblOrdenes[[#This Row],[cod_actividad]]="","",_xlfn.XLOOKUP(tblOrdenes[[#This Row],[cod_actividad]],tblActividades[codigo],tblActividades[descripcion],"(sin catálogo)"))</f>
        <v/>
      </c>
      <c r="AD552" s="23">
        <f>IF(tblOrdenes[[#This Row],[fecha_inicio]]="","",TODAY()-tblOrdenes[[#This Row],[fecha_inicio]])</f>
        <v/>
      </c>
      <c r="AE5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5">
        <f>IF(tblOrdenes[[#This Row],[backlog_habiles]]="","",IF(tblOrdenes[[#This Row],[backlog_habiles]]&lt;0,"FUTURO",IF(tblOrdenes[[#This Row],[backlog_habiles]]&gt;p_dias_backlog_max,"BACKLOG","MES CORRIENTE")))</f>
        <v/>
      </c>
      <c r="AG552" s="5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18">
        <f>IF(tblOrdenes[[#This Row],[orden]]="","",_xlfn.XLOOKUP(tblOrdenes[[#This Row],[id_operacion]],tblEjecucion[id_operacion],tblEjecucion[precio],0))</f>
        <v/>
      </c>
      <c r="AM552" s="18">
        <f>IF(tblOrdenes[[#This Row],[orden]]="","",MAX(0,_xlfn.XLOOKUP(tblOrdenes[[#This Row],[id_operacion]],tblEjecucion[id_operacion],tblEjecucion[costo_plan_total],0)-tblOrdenes[[#This Row],[costo_servicio]]))</f>
        <v/>
      </c>
      <c r="AN552" s="18">
        <f>IF(tblOrdenes[[#This Row],[orden]]="","",tblOrdenes[[#This Row],[costo_servicio]]+tblOrdenes[[#This Row],[costo_materiales]])</f>
        <v/>
      </c>
      <c r="AO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5">
        <f>IF(tblOrdenes[[#This Row],[link_checklist]]="","",HYPERLINK(p_ruta_base_checklists&amp;tblOrdenes[[#This Row],[link_checklist]],"abrir"))</f>
        <v/>
      </c>
      <c r="AT552" s="4" t="n"/>
      <c r="AU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5" t="n"/>
      <c r="K553" s="5" t="n"/>
      <c r="L553" s="18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Row],[fecha_inicio]]="","",tblOrdenes[[#This Row],[anio]]&amp;"-"&amp;TEXT(tblOrdenes[[#This Row],[mes]],"00"))</f>
        <v/>
      </c>
      <c r="S553" s="5">
        <f>IF(tblOrdenes[[#This Row],[fecha_inicio]]="","",INDEX(lista_dias,WEEKDAY(tblOrdenes[[#This Row],[fecha_inicio]],2)))</f>
        <v/>
      </c>
      <c r="T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5">
        <f>IF(tblOrdenes[[#This Row],[tipo_ot]]="","",_xlfn.XLOOKUP(tblOrdenes[[#This Row],[tipo_ot]],tblTiposOT[codigo],tblTiposOT[clasificacion],"sin_clasificar"))</f>
        <v/>
      </c>
      <c r="V5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5">
        <f>IF(tblOrdenes[[#This Row],[centro_costo]]="","",_xlfn.XLOOKUP(tblOrdenes[[#This Row],[centro_costo]],tblCECO[codigo],tblCECO[linea],"(sin catálogo)"))</f>
        <v/>
      </c>
      <c r="Y553" s="5">
        <f>IF(tblOrdenes[[#This Row],[centro_costo]]="","",_xlfn.XLOOKUP(tblOrdenes[[#This Row],[centro_costo]],tblCECO[codigo],tblCECO[area],"(sin catálogo)"))</f>
        <v/>
      </c>
      <c r="Z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5">
        <f>IF(tblOrdenes[[#This Row],[centro_costo]]="","",_xlfn.XLOOKUP(tblOrdenes[[#This Row],[centro_costo]],tblCECO[codigo],tblCECO[coordinador],"(sin catálogo)"))</f>
        <v/>
      </c>
      <c r="AB553" s="5">
        <f>IF(tblOrdenes[[#This Row],[puesto_trabajo]]="","",_xlfn.XLOOKUP(tblOrdenes[[#This Row],[puesto_trabajo]],tblPuestos[codigo],tblPuestos[especialidad],"(sin catálogo)"))</f>
        <v/>
      </c>
      <c r="AC553" s="5">
        <f>IF(tblOrdenes[[#This Row],[cod_actividad]]="","",_xlfn.XLOOKUP(tblOrdenes[[#This Row],[cod_actividad]],tblActividades[codigo],tblActividades[descripcion],"(sin catálogo)"))</f>
        <v/>
      </c>
      <c r="AD553" s="23">
        <f>IF(tblOrdenes[[#This Row],[fecha_inicio]]="","",TODAY()-tblOrdenes[[#This Row],[fecha_inicio]])</f>
        <v/>
      </c>
      <c r="AE5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5">
        <f>IF(tblOrdenes[[#This Row],[backlog_habiles]]="","",IF(tblOrdenes[[#This Row],[backlog_habiles]]&lt;0,"FUTURO",IF(tblOrdenes[[#This Row],[backlog_habiles]]&gt;p_dias_backlog_max,"BACKLOG","MES CORRIENTE")))</f>
        <v/>
      </c>
      <c r="AG553" s="5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18">
        <f>IF(tblOrdenes[[#This Row],[orden]]="","",_xlfn.XLOOKUP(tblOrdenes[[#This Row],[id_operacion]],tblEjecucion[id_operacion],tblEjecucion[precio],0))</f>
        <v/>
      </c>
      <c r="AM553" s="18">
        <f>IF(tblOrdenes[[#This Row],[orden]]="","",MAX(0,_xlfn.XLOOKUP(tblOrdenes[[#This Row],[id_operacion]],tblEjecucion[id_operacion],tblEjecucion[costo_plan_total],0)-tblOrdenes[[#This Row],[costo_servicio]]))</f>
        <v/>
      </c>
      <c r="AN553" s="18">
        <f>IF(tblOrdenes[[#This Row],[orden]]="","",tblOrdenes[[#This Row],[costo_servicio]]+tblOrdenes[[#This Row],[costo_materiales]])</f>
        <v/>
      </c>
      <c r="AO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5">
        <f>IF(tblOrdenes[[#This Row],[link_checklist]]="","",HYPERLINK(p_ruta_base_checklists&amp;tblOrdenes[[#This Row],[link_checklist]],"abrir"))</f>
        <v/>
      </c>
      <c r="AT553" s="4" t="n"/>
      <c r="AU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5" t="n"/>
      <c r="K554" s="5" t="n"/>
      <c r="L554" s="18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Row],[fecha_inicio]]="","",tblOrdenes[[#This Row],[anio]]&amp;"-"&amp;TEXT(tblOrdenes[[#This Row],[mes]],"00"))</f>
        <v/>
      </c>
      <c r="S554" s="5">
        <f>IF(tblOrdenes[[#This Row],[fecha_inicio]]="","",INDEX(lista_dias,WEEKDAY(tblOrdenes[[#This Row],[fecha_inicio]],2)))</f>
        <v/>
      </c>
      <c r="T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5">
        <f>IF(tblOrdenes[[#This Row],[tipo_ot]]="","",_xlfn.XLOOKUP(tblOrdenes[[#This Row],[tipo_ot]],tblTiposOT[codigo],tblTiposOT[clasificacion],"sin_clasificar"))</f>
        <v/>
      </c>
      <c r="V5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5">
        <f>IF(tblOrdenes[[#This Row],[centro_costo]]="","",_xlfn.XLOOKUP(tblOrdenes[[#This Row],[centro_costo]],tblCECO[codigo],tblCECO[linea],"(sin catálogo)"))</f>
        <v/>
      </c>
      <c r="Y554" s="5">
        <f>IF(tblOrdenes[[#This Row],[centro_costo]]="","",_xlfn.XLOOKUP(tblOrdenes[[#This Row],[centro_costo]],tblCECO[codigo],tblCECO[area],"(sin catálogo)"))</f>
        <v/>
      </c>
      <c r="Z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5">
        <f>IF(tblOrdenes[[#This Row],[centro_costo]]="","",_xlfn.XLOOKUP(tblOrdenes[[#This Row],[centro_costo]],tblCECO[codigo],tblCECO[coordinador],"(sin catálogo)"))</f>
        <v/>
      </c>
      <c r="AB554" s="5">
        <f>IF(tblOrdenes[[#This Row],[puesto_trabajo]]="","",_xlfn.XLOOKUP(tblOrdenes[[#This Row],[puesto_trabajo]],tblPuestos[codigo],tblPuestos[especialidad],"(sin catálogo)"))</f>
        <v/>
      </c>
      <c r="AC554" s="5">
        <f>IF(tblOrdenes[[#This Row],[cod_actividad]]="","",_xlfn.XLOOKUP(tblOrdenes[[#This Row],[cod_actividad]],tblActividades[codigo],tblActividades[descripcion],"(sin catálogo)"))</f>
        <v/>
      </c>
      <c r="AD554" s="23">
        <f>IF(tblOrdenes[[#This Row],[fecha_inicio]]="","",TODAY()-tblOrdenes[[#This Row],[fecha_inicio]])</f>
        <v/>
      </c>
      <c r="AE5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5">
        <f>IF(tblOrdenes[[#This Row],[backlog_habiles]]="","",IF(tblOrdenes[[#This Row],[backlog_habiles]]&lt;0,"FUTURO",IF(tblOrdenes[[#This Row],[backlog_habiles]]&gt;p_dias_backlog_max,"BACKLOG","MES CORRIENTE")))</f>
        <v/>
      </c>
      <c r="AG554" s="5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18">
        <f>IF(tblOrdenes[[#This Row],[orden]]="","",_xlfn.XLOOKUP(tblOrdenes[[#This Row],[id_operacion]],tblEjecucion[id_operacion],tblEjecucion[precio],0))</f>
        <v/>
      </c>
      <c r="AM554" s="18">
        <f>IF(tblOrdenes[[#This Row],[orden]]="","",MAX(0,_xlfn.XLOOKUP(tblOrdenes[[#This Row],[id_operacion]],tblEjecucion[id_operacion],tblEjecucion[costo_plan_total],0)-tblOrdenes[[#This Row],[costo_servicio]]))</f>
        <v/>
      </c>
      <c r="AN554" s="18">
        <f>IF(tblOrdenes[[#This Row],[orden]]="","",tblOrdenes[[#This Row],[costo_servicio]]+tblOrdenes[[#This Row],[costo_materiales]])</f>
        <v/>
      </c>
      <c r="AO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5">
        <f>IF(tblOrdenes[[#This Row],[link_checklist]]="","",HYPERLINK(p_ruta_base_checklists&amp;tblOrdenes[[#This Row],[link_checklist]],"abrir"))</f>
        <v/>
      </c>
      <c r="AT554" s="4" t="n"/>
      <c r="AU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5" t="n"/>
      <c r="K555" s="5" t="n"/>
      <c r="L555" s="18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Row],[fecha_inicio]]="","",tblOrdenes[[#This Row],[anio]]&amp;"-"&amp;TEXT(tblOrdenes[[#This Row],[mes]],"00"))</f>
        <v/>
      </c>
      <c r="S555" s="5">
        <f>IF(tblOrdenes[[#This Row],[fecha_inicio]]="","",INDEX(lista_dias,WEEKDAY(tblOrdenes[[#This Row],[fecha_inicio]],2)))</f>
        <v/>
      </c>
      <c r="T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5">
        <f>IF(tblOrdenes[[#This Row],[tipo_ot]]="","",_xlfn.XLOOKUP(tblOrdenes[[#This Row],[tipo_ot]],tblTiposOT[codigo],tblTiposOT[clasificacion],"sin_clasificar"))</f>
        <v/>
      </c>
      <c r="V5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5">
        <f>IF(tblOrdenes[[#This Row],[centro_costo]]="","",_xlfn.XLOOKUP(tblOrdenes[[#This Row],[centro_costo]],tblCECO[codigo],tblCECO[linea],"(sin catálogo)"))</f>
        <v/>
      </c>
      <c r="Y555" s="5">
        <f>IF(tblOrdenes[[#This Row],[centro_costo]]="","",_xlfn.XLOOKUP(tblOrdenes[[#This Row],[centro_costo]],tblCECO[codigo],tblCECO[area],"(sin catálogo)"))</f>
        <v/>
      </c>
      <c r="Z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5">
        <f>IF(tblOrdenes[[#This Row],[centro_costo]]="","",_xlfn.XLOOKUP(tblOrdenes[[#This Row],[centro_costo]],tblCECO[codigo],tblCECO[coordinador],"(sin catálogo)"))</f>
        <v/>
      </c>
      <c r="AB555" s="5">
        <f>IF(tblOrdenes[[#This Row],[puesto_trabajo]]="","",_xlfn.XLOOKUP(tblOrdenes[[#This Row],[puesto_trabajo]],tblPuestos[codigo],tblPuestos[especialidad],"(sin catálogo)"))</f>
        <v/>
      </c>
      <c r="AC555" s="5">
        <f>IF(tblOrdenes[[#This Row],[cod_actividad]]="","",_xlfn.XLOOKUP(tblOrdenes[[#This Row],[cod_actividad]],tblActividades[codigo],tblActividades[descripcion],"(sin catálogo)"))</f>
        <v/>
      </c>
      <c r="AD555" s="23">
        <f>IF(tblOrdenes[[#This Row],[fecha_inicio]]="","",TODAY()-tblOrdenes[[#This Row],[fecha_inicio]])</f>
        <v/>
      </c>
      <c r="AE5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5">
        <f>IF(tblOrdenes[[#This Row],[backlog_habiles]]="","",IF(tblOrdenes[[#This Row],[backlog_habiles]]&lt;0,"FUTURO",IF(tblOrdenes[[#This Row],[backlog_habiles]]&gt;p_dias_backlog_max,"BACKLOG","MES CORRIENTE")))</f>
        <v/>
      </c>
      <c r="AG555" s="5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18">
        <f>IF(tblOrdenes[[#This Row],[orden]]="","",_xlfn.XLOOKUP(tblOrdenes[[#This Row],[id_operacion]],tblEjecucion[id_operacion],tblEjecucion[precio],0))</f>
        <v/>
      </c>
      <c r="AM555" s="18">
        <f>IF(tblOrdenes[[#This Row],[orden]]="","",MAX(0,_xlfn.XLOOKUP(tblOrdenes[[#This Row],[id_operacion]],tblEjecucion[id_operacion],tblEjecucion[costo_plan_total],0)-tblOrdenes[[#This Row],[costo_servicio]]))</f>
        <v/>
      </c>
      <c r="AN555" s="18">
        <f>IF(tblOrdenes[[#This Row],[orden]]="","",tblOrdenes[[#This Row],[costo_servicio]]+tblOrdenes[[#This Row],[costo_materiales]])</f>
        <v/>
      </c>
      <c r="AO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5">
        <f>IF(tblOrdenes[[#This Row],[link_checklist]]="","",HYPERLINK(p_ruta_base_checklists&amp;tblOrdenes[[#This Row],[link_checklist]],"abrir"))</f>
        <v/>
      </c>
      <c r="AT555" s="4" t="n"/>
      <c r="AU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5" t="n"/>
      <c r="K556" s="5" t="n"/>
      <c r="L556" s="18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Row],[fecha_inicio]]="","",tblOrdenes[[#This Row],[anio]]&amp;"-"&amp;TEXT(tblOrdenes[[#This Row],[mes]],"00"))</f>
        <v/>
      </c>
      <c r="S556" s="5">
        <f>IF(tblOrdenes[[#This Row],[fecha_inicio]]="","",INDEX(lista_dias,WEEKDAY(tblOrdenes[[#This Row],[fecha_inicio]],2)))</f>
        <v/>
      </c>
      <c r="T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5">
        <f>IF(tblOrdenes[[#This Row],[tipo_ot]]="","",_xlfn.XLOOKUP(tblOrdenes[[#This Row],[tipo_ot]],tblTiposOT[codigo],tblTiposOT[clasificacion],"sin_clasificar"))</f>
        <v/>
      </c>
      <c r="V5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5">
        <f>IF(tblOrdenes[[#This Row],[centro_costo]]="","",_xlfn.XLOOKUP(tblOrdenes[[#This Row],[centro_costo]],tblCECO[codigo],tblCECO[linea],"(sin catálogo)"))</f>
        <v/>
      </c>
      <c r="Y556" s="5">
        <f>IF(tblOrdenes[[#This Row],[centro_costo]]="","",_xlfn.XLOOKUP(tblOrdenes[[#This Row],[centro_costo]],tblCECO[codigo],tblCECO[area],"(sin catálogo)"))</f>
        <v/>
      </c>
      <c r="Z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5">
        <f>IF(tblOrdenes[[#This Row],[centro_costo]]="","",_xlfn.XLOOKUP(tblOrdenes[[#This Row],[centro_costo]],tblCECO[codigo],tblCECO[coordinador],"(sin catálogo)"))</f>
        <v/>
      </c>
      <c r="AB556" s="5">
        <f>IF(tblOrdenes[[#This Row],[puesto_trabajo]]="","",_xlfn.XLOOKUP(tblOrdenes[[#This Row],[puesto_trabajo]],tblPuestos[codigo],tblPuestos[especialidad],"(sin catálogo)"))</f>
        <v/>
      </c>
      <c r="AC556" s="5">
        <f>IF(tblOrdenes[[#This Row],[cod_actividad]]="","",_xlfn.XLOOKUP(tblOrdenes[[#This Row],[cod_actividad]],tblActividades[codigo],tblActividades[descripcion],"(sin catálogo)"))</f>
        <v/>
      </c>
      <c r="AD556" s="23">
        <f>IF(tblOrdenes[[#This Row],[fecha_inicio]]="","",TODAY()-tblOrdenes[[#This Row],[fecha_inicio]])</f>
        <v/>
      </c>
      <c r="AE5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5">
        <f>IF(tblOrdenes[[#This Row],[backlog_habiles]]="","",IF(tblOrdenes[[#This Row],[backlog_habiles]]&lt;0,"FUTURO",IF(tblOrdenes[[#This Row],[backlog_habiles]]&gt;p_dias_backlog_max,"BACKLOG","MES CORRIENTE")))</f>
        <v/>
      </c>
      <c r="AG556" s="5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18">
        <f>IF(tblOrdenes[[#This Row],[orden]]="","",_xlfn.XLOOKUP(tblOrdenes[[#This Row],[id_operacion]],tblEjecucion[id_operacion],tblEjecucion[precio],0))</f>
        <v/>
      </c>
      <c r="AM556" s="18">
        <f>IF(tblOrdenes[[#This Row],[orden]]="","",MAX(0,_xlfn.XLOOKUP(tblOrdenes[[#This Row],[id_operacion]],tblEjecucion[id_operacion],tblEjecucion[costo_plan_total],0)-tblOrdenes[[#This Row],[costo_servicio]]))</f>
        <v/>
      </c>
      <c r="AN556" s="18">
        <f>IF(tblOrdenes[[#This Row],[orden]]="","",tblOrdenes[[#This Row],[costo_servicio]]+tblOrdenes[[#This Row],[costo_materiales]])</f>
        <v/>
      </c>
      <c r="AO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5">
        <f>IF(tblOrdenes[[#This Row],[link_checklist]]="","",HYPERLINK(p_ruta_base_checklists&amp;tblOrdenes[[#This Row],[link_checklist]],"abrir"))</f>
        <v/>
      </c>
      <c r="AT556" s="4" t="n"/>
      <c r="AU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5" t="n"/>
      <c r="K557" s="5" t="n"/>
      <c r="L557" s="18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Row],[fecha_inicio]]="","",tblOrdenes[[#This Row],[anio]]&amp;"-"&amp;TEXT(tblOrdenes[[#This Row],[mes]],"00"))</f>
        <v/>
      </c>
      <c r="S557" s="5">
        <f>IF(tblOrdenes[[#This Row],[fecha_inicio]]="","",INDEX(lista_dias,WEEKDAY(tblOrdenes[[#This Row],[fecha_inicio]],2)))</f>
        <v/>
      </c>
      <c r="T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5">
        <f>IF(tblOrdenes[[#This Row],[tipo_ot]]="","",_xlfn.XLOOKUP(tblOrdenes[[#This Row],[tipo_ot]],tblTiposOT[codigo],tblTiposOT[clasificacion],"sin_clasificar"))</f>
        <v/>
      </c>
      <c r="V5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5">
        <f>IF(tblOrdenes[[#This Row],[centro_costo]]="","",_xlfn.XLOOKUP(tblOrdenes[[#This Row],[centro_costo]],tblCECO[codigo],tblCECO[linea],"(sin catálogo)"))</f>
        <v/>
      </c>
      <c r="Y557" s="5">
        <f>IF(tblOrdenes[[#This Row],[centro_costo]]="","",_xlfn.XLOOKUP(tblOrdenes[[#This Row],[centro_costo]],tblCECO[codigo],tblCECO[area],"(sin catálogo)"))</f>
        <v/>
      </c>
      <c r="Z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5">
        <f>IF(tblOrdenes[[#This Row],[centro_costo]]="","",_xlfn.XLOOKUP(tblOrdenes[[#This Row],[centro_costo]],tblCECO[codigo],tblCECO[coordinador],"(sin catálogo)"))</f>
        <v/>
      </c>
      <c r="AB557" s="5">
        <f>IF(tblOrdenes[[#This Row],[puesto_trabajo]]="","",_xlfn.XLOOKUP(tblOrdenes[[#This Row],[puesto_trabajo]],tblPuestos[codigo],tblPuestos[especialidad],"(sin catálogo)"))</f>
        <v/>
      </c>
      <c r="AC557" s="5">
        <f>IF(tblOrdenes[[#This Row],[cod_actividad]]="","",_xlfn.XLOOKUP(tblOrdenes[[#This Row],[cod_actividad]],tblActividades[codigo],tblActividades[descripcion],"(sin catálogo)"))</f>
        <v/>
      </c>
      <c r="AD557" s="23">
        <f>IF(tblOrdenes[[#This Row],[fecha_inicio]]="","",TODAY()-tblOrdenes[[#This Row],[fecha_inicio]])</f>
        <v/>
      </c>
      <c r="AE5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5">
        <f>IF(tblOrdenes[[#This Row],[backlog_habiles]]="","",IF(tblOrdenes[[#This Row],[backlog_habiles]]&lt;0,"FUTURO",IF(tblOrdenes[[#This Row],[backlog_habiles]]&gt;p_dias_backlog_max,"BACKLOG","MES CORRIENTE")))</f>
        <v/>
      </c>
      <c r="AG557" s="5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18">
        <f>IF(tblOrdenes[[#This Row],[orden]]="","",_xlfn.XLOOKUP(tblOrdenes[[#This Row],[id_operacion]],tblEjecucion[id_operacion],tblEjecucion[precio],0))</f>
        <v/>
      </c>
      <c r="AM557" s="18">
        <f>IF(tblOrdenes[[#This Row],[orden]]="","",MAX(0,_xlfn.XLOOKUP(tblOrdenes[[#This Row],[id_operacion]],tblEjecucion[id_operacion],tblEjecucion[costo_plan_total],0)-tblOrdenes[[#This Row],[costo_servicio]]))</f>
        <v/>
      </c>
      <c r="AN557" s="18">
        <f>IF(tblOrdenes[[#This Row],[orden]]="","",tblOrdenes[[#This Row],[costo_servicio]]+tblOrdenes[[#This Row],[costo_materiales]])</f>
        <v/>
      </c>
      <c r="AO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5">
        <f>IF(tblOrdenes[[#This Row],[link_checklist]]="","",HYPERLINK(p_ruta_base_checklists&amp;tblOrdenes[[#This Row],[link_checklist]],"abrir"))</f>
        <v/>
      </c>
      <c r="AT557" s="4" t="n"/>
      <c r="AU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5" t="n"/>
      <c r="K558" s="5" t="n"/>
      <c r="L558" s="18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Row],[fecha_inicio]]="","",tblOrdenes[[#This Row],[anio]]&amp;"-"&amp;TEXT(tblOrdenes[[#This Row],[mes]],"00"))</f>
        <v/>
      </c>
      <c r="S558" s="5">
        <f>IF(tblOrdenes[[#This Row],[fecha_inicio]]="","",INDEX(lista_dias,WEEKDAY(tblOrdenes[[#This Row],[fecha_inicio]],2)))</f>
        <v/>
      </c>
      <c r="T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5">
        <f>IF(tblOrdenes[[#This Row],[tipo_ot]]="","",_xlfn.XLOOKUP(tblOrdenes[[#This Row],[tipo_ot]],tblTiposOT[codigo],tblTiposOT[clasificacion],"sin_clasificar"))</f>
        <v/>
      </c>
      <c r="V5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5">
        <f>IF(tblOrdenes[[#This Row],[centro_costo]]="","",_xlfn.XLOOKUP(tblOrdenes[[#This Row],[centro_costo]],tblCECO[codigo],tblCECO[linea],"(sin catálogo)"))</f>
        <v/>
      </c>
      <c r="Y558" s="5">
        <f>IF(tblOrdenes[[#This Row],[centro_costo]]="","",_xlfn.XLOOKUP(tblOrdenes[[#This Row],[centro_costo]],tblCECO[codigo],tblCECO[area],"(sin catálogo)"))</f>
        <v/>
      </c>
      <c r="Z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5">
        <f>IF(tblOrdenes[[#This Row],[centro_costo]]="","",_xlfn.XLOOKUP(tblOrdenes[[#This Row],[centro_costo]],tblCECO[codigo],tblCECO[coordinador],"(sin catálogo)"))</f>
        <v/>
      </c>
      <c r="AB558" s="5">
        <f>IF(tblOrdenes[[#This Row],[puesto_trabajo]]="","",_xlfn.XLOOKUP(tblOrdenes[[#This Row],[puesto_trabajo]],tblPuestos[codigo],tblPuestos[especialidad],"(sin catálogo)"))</f>
        <v/>
      </c>
      <c r="AC558" s="5">
        <f>IF(tblOrdenes[[#This Row],[cod_actividad]]="","",_xlfn.XLOOKUP(tblOrdenes[[#This Row],[cod_actividad]],tblActividades[codigo],tblActividades[descripcion],"(sin catálogo)"))</f>
        <v/>
      </c>
      <c r="AD558" s="23">
        <f>IF(tblOrdenes[[#This Row],[fecha_inicio]]="","",TODAY()-tblOrdenes[[#This Row],[fecha_inicio]])</f>
        <v/>
      </c>
      <c r="AE5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5">
        <f>IF(tblOrdenes[[#This Row],[backlog_habiles]]="","",IF(tblOrdenes[[#This Row],[backlog_habiles]]&lt;0,"FUTURO",IF(tblOrdenes[[#This Row],[backlog_habiles]]&gt;p_dias_backlog_max,"BACKLOG","MES CORRIENTE")))</f>
        <v/>
      </c>
      <c r="AG558" s="5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18">
        <f>IF(tblOrdenes[[#This Row],[orden]]="","",_xlfn.XLOOKUP(tblOrdenes[[#This Row],[id_operacion]],tblEjecucion[id_operacion],tblEjecucion[precio],0))</f>
        <v/>
      </c>
      <c r="AM558" s="18">
        <f>IF(tblOrdenes[[#This Row],[orden]]="","",MAX(0,_xlfn.XLOOKUP(tblOrdenes[[#This Row],[id_operacion]],tblEjecucion[id_operacion],tblEjecucion[costo_plan_total],0)-tblOrdenes[[#This Row],[costo_servicio]]))</f>
        <v/>
      </c>
      <c r="AN558" s="18">
        <f>IF(tblOrdenes[[#This Row],[orden]]="","",tblOrdenes[[#This Row],[costo_servicio]]+tblOrdenes[[#This Row],[costo_materiales]])</f>
        <v/>
      </c>
      <c r="AO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5">
        <f>IF(tblOrdenes[[#This Row],[link_checklist]]="","",HYPERLINK(p_ruta_base_checklists&amp;tblOrdenes[[#This Row],[link_checklist]],"abrir"))</f>
        <v/>
      </c>
      <c r="AT558" s="4" t="n"/>
      <c r="AU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5" t="n"/>
      <c r="K559" s="5" t="n"/>
      <c r="L559" s="18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Row],[fecha_inicio]]="","",tblOrdenes[[#This Row],[anio]]&amp;"-"&amp;TEXT(tblOrdenes[[#This Row],[mes]],"00"))</f>
        <v/>
      </c>
      <c r="S559" s="5">
        <f>IF(tblOrdenes[[#This Row],[fecha_inicio]]="","",INDEX(lista_dias,WEEKDAY(tblOrdenes[[#This Row],[fecha_inicio]],2)))</f>
        <v/>
      </c>
      <c r="T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5">
        <f>IF(tblOrdenes[[#This Row],[tipo_ot]]="","",_xlfn.XLOOKUP(tblOrdenes[[#This Row],[tipo_ot]],tblTiposOT[codigo],tblTiposOT[clasificacion],"sin_clasificar"))</f>
        <v/>
      </c>
      <c r="V5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5">
        <f>IF(tblOrdenes[[#This Row],[centro_costo]]="","",_xlfn.XLOOKUP(tblOrdenes[[#This Row],[centro_costo]],tblCECO[codigo],tblCECO[linea],"(sin catálogo)"))</f>
        <v/>
      </c>
      <c r="Y559" s="5">
        <f>IF(tblOrdenes[[#This Row],[centro_costo]]="","",_xlfn.XLOOKUP(tblOrdenes[[#This Row],[centro_costo]],tblCECO[codigo],tblCECO[area],"(sin catálogo)"))</f>
        <v/>
      </c>
      <c r="Z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5">
        <f>IF(tblOrdenes[[#This Row],[centro_costo]]="","",_xlfn.XLOOKUP(tblOrdenes[[#This Row],[centro_costo]],tblCECO[codigo],tblCECO[coordinador],"(sin catálogo)"))</f>
        <v/>
      </c>
      <c r="AB559" s="5">
        <f>IF(tblOrdenes[[#This Row],[puesto_trabajo]]="","",_xlfn.XLOOKUP(tblOrdenes[[#This Row],[puesto_trabajo]],tblPuestos[codigo],tblPuestos[especialidad],"(sin catálogo)"))</f>
        <v/>
      </c>
      <c r="AC559" s="5">
        <f>IF(tblOrdenes[[#This Row],[cod_actividad]]="","",_xlfn.XLOOKUP(tblOrdenes[[#This Row],[cod_actividad]],tblActividades[codigo],tblActividades[descripcion],"(sin catálogo)"))</f>
        <v/>
      </c>
      <c r="AD559" s="23">
        <f>IF(tblOrdenes[[#This Row],[fecha_inicio]]="","",TODAY()-tblOrdenes[[#This Row],[fecha_inicio]])</f>
        <v/>
      </c>
      <c r="AE5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5">
        <f>IF(tblOrdenes[[#This Row],[backlog_habiles]]="","",IF(tblOrdenes[[#This Row],[backlog_habiles]]&lt;0,"FUTURO",IF(tblOrdenes[[#This Row],[backlog_habiles]]&gt;p_dias_backlog_max,"BACKLOG","MES CORRIENTE")))</f>
        <v/>
      </c>
      <c r="AG559" s="5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18">
        <f>IF(tblOrdenes[[#This Row],[orden]]="","",_xlfn.XLOOKUP(tblOrdenes[[#This Row],[id_operacion]],tblEjecucion[id_operacion],tblEjecucion[precio],0))</f>
        <v/>
      </c>
      <c r="AM559" s="18">
        <f>IF(tblOrdenes[[#This Row],[orden]]="","",MAX(0,_xlfn.XLOOKUP(tblOrdenes[[#This Row],[id_operacion]],tblEjecucion[id_operacion],tblEjecucion[costo_plan_total],0)-tblOrdenes[[#This Row],[costo_servicio]]))</f>
        <v/>
      </c>
      <c r="AN559" s="18">
        <f>IF(tblOrdenes[[#This Row],[orden]]="","",tblOrdenes[[#This Row],[costo_servicio]]+tblOrdenes[[#This Row],[costo_materiales]])</f>
        <v/>
      </c>
      <c r="AO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5">
        <f>IF(tblOrdenes[[#This Row],[link_checklist]]="","",HYPERLINK(p_ruta_base_checklists&amp;tblOrdenes[[#This Row],[link_checklist]],"abrir"))</f>
        <v/>
      </c>
      <c r="AT559" s="4" t="n"/>
      <c r="AU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5" t="n"/>
      <c r="K560" s="5" t="n"/>
      <c r="L560" s="18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Row],[fecha_inicio]]="","",tblOrdenes[[#This Row],[anio]]&amp;"-"&amp;TEXT(tblOrdenes[[#This Row],[mes]],"00"))</f>
        <v/>
      </c>
      <c r="S560" s="5">
        <f>IF(tblOrdenes[[#This Row],[fecha_inicio]]="","",INDEX(lista_dias,WEEKDAY(tblOrdenes[[#This Row],[fecha_inicio]],2)))</f>
        <v/>
      </c>
      <c r="T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5">
        <f>IF(tblOrdenes[[#This Row],[tipo_ot]]="","",_xlfn.XLOOKUP(tblOrdenes[[#This Row],[tipo_ot]],tblTiposOT[codigo],tblTiposOT[clasificacion],"sin_clasificar"))</f>
        <v/>
      </c>
      <c r="V5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5">
        <f>IF(tblOrdenes[[#This Row],[centro_costo]]="","",_xlfn.XLOOKUP(tblOrdenes[[#This Row],[centro_costo]],tblCECO[codigo],tblCECO[linea],"(sin catálogo)"))</f>
        <v/>
      </c>
      <c r="Y560" s="5">
        <f>IF(tblOrdenes[[#This Row],[centro_costo]]="","",_xlfn.XLOOKUP(tblOrdenes[[#This Row],[centro_costo]],tblCECO[codigo],tblCECO[area],"(sin catálogo)"))</f>
        <v/>
      </c>
      <c r="Z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5">
        <f>IF(tblOrdenes[[#This Row],[centro_costo]]="","",_xlfn.XLOOKUP(tblOrdenes[[#This Row],[centro_costo]],tblCECO[codigo],tblCECO[coordinador],"(sin catálogo)"))</f>
        <v/>
      </c>
      <c r="AB560" s="5">
        <f>IF(tblOrdenes[[#This Row],[puesto_trabajo]]="","",_xlfn.XLOOKUP(tblOrdenes[[#This Row],[puesto_trabajo]],tblPuestos[codigo],tblPuestos[especialidad],"(sin catálogo)"))</f>
        <v/>
      </c>
      <c r="AC560" s="5">
        <f>IF(tblOrdenes[[#This Row],[cod_actividad]]="","",_xlfn.XLOOKUP(tblOrdenes[[#This Row],[cod_actividad]],tblActividades[codigo],tblActividades[descripcion],"(sin catálogo)"))</f>
        <v/>
      </c>
      <c r="AD560" s="23">
        <f>IF(tblOrdenes[[#This Row],[fecha_inicio]]="","",TODAY()-tblOrdenes[[#This Row],[fecha_inicio]])</f>
        <v/>
      </c>
      <c r="AE5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5">
        <f>IF(tblOrdenes[[#This Row],[backlog_habiles]]="","",IF(tblOrdenes[[#This Row],[backlog_habiles]]&lt;0,"FUTURO",IF(tblOrdenes[[#This Row],[backlog_habiles]]&gt;p_dias_backlog_max,"BACKLOG","MES CORRIENTE")))</f>
        <v/>
      </c>
      <c r="AG560" s="5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18">
        <f>IF(tblOrdenes[[#This Row],[orden]]="","",_xlfn.XLOOKUP(tblOrdenes[[#This Row],[id_operacion]],tblEjecucion[id_operacion],tblEjecucion[precio],0))</f>
        <v/>
      </c>
      <c r="AM560" s="18">
        <f>IF(tblOrdenes[[#This Row],[orden]]="","",MAX(0,_xlfn.XLOOKUP(tblOrdenes[[#This Row],[id_operacion]],tblEjecucion[id_operacion],tblEjecucion[costo_plan_total],0)-tblOrdenes[[#This Row],[costo_servicio]]))</f>
        <v/>
      </c>
      <c r="AN560" s="18">
        <f>IF(tblOrdenes[[#This Row],[orden]]="","",tblOrdenes[[#This Row],[costo_servicio]]+tblOrdenes[[#This Row],[costo_materiales]])</f>
        <v/>
      </c>
      <c r="AO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5">
        <f>IF(tblOrdenes[[#This Row],[link_checklist]]="","",HYPERLINK(p_ruta_base_checklists&amp;tblOrdenes[[#This Row],[link_checklist]],"abrir"))</f>
        <v/>
      </c>
      <c r="AT560" s="4" t="n"/>
      <c r="AU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5" t="n"/>
      <c r="K561" s="5" t="n"/>
      <c r="L561" s="18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Row],[fecha_inicio]]="","",tblOrdenes[[#This Row],[anio]]&amp;"-"&amp;TEXT(tblOrdenes[[#This Row],[mes]],"00"))</f>
        <v/>
      </c>
      <c r="S561" s="5">
        <f>IF(tblOrdenes[[#This Row],[fecha_inicio]]="","",INDEX(lista_dias,WEEKDAY(tblOrdenes[[#This Row],[fecha_inicio]],2)))</f>
        <v/>
      </c>
      <c r="T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5">
        <f>IF(tblOrdenes[[#This Row],[tipo_ot]]="","",_xlfn.XLOOKUP(tblOrdenes[[#This Row],[tipo_ot]],tblTiposOT[codigo],tblTiposOT[clasificacion],"sin_clasificar"))</f>
        <v/>
      </c>
      <c r="V5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5">
        <f>IF(tblOrdenes[[#This Row],[centro_costo]]="","",_xlfn.XLOOKUP(tblOrdenes[[#This Row],[centro_costo]],tblCECO[codigo],tblCECO[linea],"(sin catálogo)"))</f>
        <v/>
      </c>
      <c r="Y561" s="5">
        <f>IF(tblOrdenes[[#This Row],[centro_costo]]="","",_xlfn.XLOOKUP(tblOrdenes[[#This Row],[centro_costo]],tblCECO[codigo],tblCECO[area],"(sin catálogo)"))</f>
        <v/>
      </c>
      <c r="Z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5">
        <f>IF(tblOrdenes[[#This Row],[centro_costo]]="","",_xlfn.XLOOKUP(tblOrdenes[[#This Row],[centro_costo]],tblCECO[codigo],tblCECO[coordinador],"(sin catálogo)"))</f>
        <v/>
      </c>
      <c r="AB561" s="5">
        <f>IF(tblOrdenes[[#This Row],[puesto_trabajo]]="","",_xlfn.XLOOKUP(tblOrdenes[[#This Row],[puesto_trabajo]],tblPuestos[codigo],tblPuestos[especialidad],"(sin catálogo)"))</f>
        <v/>
      </c>
      <c r="AC561" s="5">
        <f>IF(tblOrdenes[[#This Row],[cod_actividad]]="","",_xlfn.XLOOKUP(tblOrdenes[[#This Row],[cod_actividad]],tblActividades[codigo],tblActividades[descripcion],"(sin catálogo)"))</f>
        <v/>
      </c>
      <c r="AD561" s="23">
        <f>IF(tblOrdenes[[#This Row],[fecha_inicio]]="","",TODAY()-tblOrdenes[[#This Row],[fecha_inicio]])</f>
        <v/>
      </c>
      <c r="AE5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5">
        <f>IF(tblOrdenes[[#This Row],[backlog_habiles]]="","",IF(tblOrdenes[[#This Row],[backlog_habiles]]&lt;0,"FUTURO",IF(tblOrdenes[[#This Row],[backlog_habiles]]&gt;p_dias_backlog_max,"BACKLOG","MES CORRIENTE")))</f>
        <v/>
      </c>
      <c r="AG561" s="5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18">
        <f>IF(tblOrdenes[[#This Row],[orden]]="","",_xlfn.XLOOKUP(tblOrdenes[[#This Row],[id_operacion]],tblEjecucion[id_operacion],tblEjecucion[precio],0))</f>
        <v/>
      </c>
      <c r="AM561" s="18">
        <f>IF(tblOrdenes[[#This Row],[orden]]="","",MAX(0,_xlfn.XLOOKUP(tblOrdenes[[#This Row],[id_operacion]],tblEjecucion[id_operacion],tblEjecucion[costo_plan_total],0)-tblOrdenes[[#This Row],[costo_servicio]]))</f>
        <v/>
      </c>
      <c r="AN561" s="18">
        <f>IF(tblOrdenes[[#This Row],[orden]]="","",tblOrdenes[[#This Row],[costo_servicio]]+tblOrdenes[[#This Row],[costo_materiales]])</f>
        <v/>
      </c>
      <c r="AO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5">
        <f>IF(tblOrdenes[[#This Row],[link_checklist]]="","",HYPERLINK(p_ruta_base_checklists&amp;tblOrdenes[[#This Row],[link_checklist]],"abrir"))</f>
        <v/>
      </c>
      <c r="AT561" s="4" t="n"/>
      <c r="AU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5" t="n"/>
      <c r="K562" s="5" t="n"/>
      <c r="L562" s="18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Row],[fecha_inicio]]="","",tblOrdenes[[#This Row],[anio]]&amp;"-"&amp;TEXT(tblOrdenes[[#This Row],[mes]],"00"))</f>
        <v/>
      </c>
      <c r="S562" s="5">
        <f>IF(tblOrdenes[[#This Row],[fecha_inicio]]="","",INDEX(lista_dias,WEEKDAY(tblOrdenes[[#This Row],[fecha_inicio]],2)))</f>
        <v/>
      </c>
      <c r="T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5">
        <f>IF(tblOrdenes[[#This Row],[tipo_ot]]="","",_xlfn.XLOOKUP(tblOrdenes[[#This Row],[tipo_ot]],tblTiposOT[codigo],tblTiposOT[clasificacion],"sin_clasificar"))</f>
        <v/>
      </c>
      <c r="V5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5">
        <f>IF(tblOrdenes[[#This Row],[centro_costo]]="","",_xlfn.XLOOKUP(tblOrdenes[[#This Row],[centro_costo]],tblCECO[codigo],tblCECO[linea],"(sin catálogo)"))</f>
        <v/>
      </c>
      <c r="Y562" s="5">
        <f>IF(tblOrdenes[[#This Row],[centro_costo]]="","",_xlfn.XLOOKUP(tblOrdenes[[#This Row],[centro_costo]],tblCECO[codigo],tblCECO[area],"(sin catálogo)"))</f>
        <v/>
      </c>
      <c r="Z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5">
        <f>IF(tblOrdenes[[#This Row],[centro_costo]]="","",_xlfn.XLOOKUP(tblOrdenes[[#This Row],[centro_costo]],tblCECO[codigo],tblCECO[coordinador],"(sin catálogo)"))</f>
        <v/>
      </c>
      <c r="AB562" s="5">
        <f>IF(tblOrdenes[[#This Row],[puesto_trabajo]]="","",_xlfn.XLOOKUP(tblOrdenes[[#This Row],[puesto_trabajo]],tblPuestos[codigo],tblPuestos[especialidad],"(sin catálogo)"))</f>
        <v/>
      </c>
      <c r="AC562" s="5">
        <f>IF(tblOrdenes[[#This Row],[cod_actividad]]="","",_xlfn.XLOOKUP(tblOrdenes[[#This Row],[cod_actividad]],tblActividades[codigo],tblActividades[descripcion],"(sin catálogo)"))</f>
        <v/>
      </c>
      <c r="AD562" s="23">
        <f>IF(tblOrdenes[[#This Row],[fecha_inicio]]="","",TODAY()-tblOrdenes[[#This Row],[fecha_inicio]])</f>
        <v/>
      </c>
      <c r="AE5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5">
        <f>IF(tblOrdenes[[#This Row],[backlog_habiles]]="","",IF(tblOrdenes[[#This Row],[backlog_habiles]]&lt;0,"FUTURO",IF(tblOrdenes[[#This Row],[backlog_habiles]]&gt;p_dias_backlog_max,"BACKLOG","MES CORRIENTE")))</f>
        <v/>
      </c>
      <c r="AG562" s="5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18">
        <f>IF(tblOrdenes[[#This Row],[orden]]="","",_xlfn.XLOOKUP(tblOrdenes[[#This Row],[id_operacion]],tblEjecucion[id_operacion],tblEjecucion[precio],0))</f>
        <v/>
      </c>
      <c r="AM562" s="18">
        <f>IF(tblOrdenes[[#This Row],[orden]]="","",MAX(0,_xlfn.XLOOKUP(tblOrdenes[[#This Row],[id_operacion]],tblEjecucion[id_operacion],tblEjecucion[costo_plan_total],0)-tblOrdenes[[#This Row],[costo_servicio]]))</f>
        <v/>
      </c>
      <c r="AN562" s="18">
        <f>IF(tblOrdenes[[#This Row],[orden]]="","",tblOrdenes[[#This Row],[costo_servicio]]+tblOrdenes[[#This Row],[costo_materiales]])</f>
        <v/>
      </c>
      <c r="AO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5">
        <f>IF(tblOrdenes[[#This Row],[link_checklist]]="","",HYPERLINK(p_ruta_base_checklists&amp;tblOrdenes[[#This Row],[link_checklist]],"abrir"))</f>
        <v/>
      </c>
      <c r="AT562" s="4" t="n"/>
      <c r="AU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5" t="n"/>
      <c r="K563" s="5" t="n"/>
      <c r="L563" s="18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Row],[fecha_inicio]]="","",tblOrdenes[[#This Row],[anio]]&amp;"-"&amp;TEXT(tblOrdenes[[#This Row],[mes]],"00"))</f>
        <v/>
      </c>
      <c r="S563" s="5">
        <f>IF(tblOrdenes[[#This Row],[fecha_inicio]]="","",INDEX(lista_dias,WEEKDAY(tblOrdenes[[#This Row],[fecha_inicio]],2)))</f>
        <v/>
      </c>
      <c r="T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5">
        <f>IF(tblOrdenes[[#This Row],[tipo_ot]]="","",_xlfn.XLOOKUP(tblOrdenes[[#This Row],[tipo_ot]],tblTiposOT[codigo],tblTiposOT[clasificacion],"sin_clasificar"))</f>
        <v/>
      </c>
      <c r="V5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5">
        <f>IF(tblOrdenes[[#This Row],[centro_costo]]="","",_xlfn.XLOOKUP(tblOrdenes[[#This Row],[centro_costo]],tblCECO[codigo],tblCECO[linea],"(sin catálogo)"))</f>
        <v/>
      </c>
      <c r="Y563" s="5">
        <f>IF(tblOrdenes[[#This Row],[centro_costo]]="","",_xlfn.XLOOKUP(tblOrdenes[[#This Row],[centro_costo]],tblCECO[codigo],tblCECO[area],"(sin catálogo)"))</f>
        <v/>
      </c>
      <c r="Z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5">
        <f>IF(tblOrdenes[[#This Row],[centro_costo]]="","",_xlfn.XLOOKUP(tblOrdenes[[#This Row],[centro_costo]],tblCECO[codigo],tblCECO[coordinador],"(sin catálogo)"))</f>
        <v/>
      </c>
      <c r="AB563" s="5">
        <f>IF(tblOrdenes[[#This Row],[puesto_trabajo]]="","",_xlfn.XLOOKUP(tblOrdenes[[#This Row],[puesto_trabajo]],tblPuestos[codigo],tblPuestos[especialidad],"(sin catálogo)"))</f>
        <v/>
      </c>
      <c r="AC563" s="5">
        <f>IF(tblOrdenes[[#This Row],[cod_actividad]]="","",_xlfn.XLOOKUP(tblOrdenes[[#This Row],[cod_actividad]],tblActividades[codigo],tblActividades[descripcion],"(sin catálogo)"))</f>
        <v/>
      </c>
      <c r="AD563" s="23">
        <f>IF(tblOrdenes[[#This Row],[fecha_inicio]]="","",TODAY()-tblOrdenes[[#This Row],[fecha_inicio]])</f>
        <v/>
      </c>
      <c r="AE5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5">
        <f>IF(tblOrdenes[[#This Row],[backlog_habiles]]="","",IF(tblOrdenes[[#This Row],[backlog_habiles]]&lt;0,"FUTURO",IF(tblOrdenes[[#This Row],[backlog_habiles]]&gt;p_dias_backlog_max,"BACKLOG","MES CORRIENTE")))</f>
        <v/>
      </c>
      <c r="AG563" s="5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18">
        <f>IF(tblOrdenes[[#This Row],[orden]]="","",_xlfn.XLOOKUP(tblOrdenes[[#This Row],[id_operacion]],tblEjecucion[id_operacion],tblEjecucion[precio],0))</f>
        <v/>
      </c>
      <c r="AM563" s="18">
        <f>IF(tblOrdenes[[#This Row],[orden]]="","",MAX(0,_xlfn.XLOOKUP(tblOrdenes[[#This Row],[id_operacion]],tblEjecucion[id_operacion],tblEjecucion[costo_plan_total],0)-tblOrdenes[[#This Row],[costo_servicio]]))</f>
        <v/>
      </c>
      <c r="AN563" s="18">
        <f>IF(tblOrdenes[[#This Row],[orden]]="","",tblOrdenes[[#This Row],[costo_servicio]]+tblOrdenes[[#This Row],[costo_materiales]])</f>
        <v/>
      </c>
      <c r="AO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5">
        <f>IF(tblOrdenes[[#This Row],[link_checklist]]="","",HYPERLINK(p_ruta_base_checklists&amp;tblOrdenes[[#This Row],[link_checklist]],"abrir"))</f>
        <v/>
      </c>
      <c r="AT563" s="4" t="n"/>
      <c r="AU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5" t="n"/>
      <c r="K564" s="5" t="n"/>
      <c r="L564" s="18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Row],[fecha_inicio]]="","",tblOrdenes[[#This Row],[anio]]&amp;"-"&amp;TEXT(tblOrdenes[[#This Row],[mes]],"00"))</f>
        <v/>
      </c>
      <c r="S564" s="5">
        <f>IF(tblOrdenes[[#This Row],[fecha_inicio]]="","",INDEX(lista_dias,WEEKDAY(tblOrdenes[[#This Row],[fecha_inicio]],2)))</f>
        <v/>
      </c>
      <c r="T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5">
        <f>IF(tblOrdenes[[#This Row],[tipo_ot]]="","",_xlfn.XLOOKUP(tblOrdenes[[#This Row],[tipo_ot]],tblTiposOT[codigo],tblTiposOT[clasificacion],"sin_clasificar"))</f>
        <v/>
      </c>
      <c r="V5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5">
        <f>IF(tblOrdenes[[#This Row],[centro_costo]]="","",_xlfn.XLOOKUP(tblOrdenes[[#This Row],[centro_costo]],tblCECO[codigo],tblCECO[linea],"(sin catálogo)"))</f>
        <v/>
      </c>
      <c r="Y564" s="5">
        <f>IF(tblOrdenes[[#This Row],[centro_costo]]="","",_xlfn.XLOOKUP(tblOrdenes[[#This Row],[centro_costo]],tblCECO[codigo],tblCECO[area],"(sin catálogo)"))</f>
        <v/>
      </c>
      <c r="Z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5">
        <f>IF(tblOrdenes[[#This Row],[centro_costo]]="","",_xlfn.XLOOKUP(tblOrdenes[[#This Row],[centro_costo]],tblCECO[codigo],tblCECO[coordinador],"(sin catálogo)"))</f>
        <v/>
      </c>
      <c r="AB564" s="5">
        <f>IF(tblOrdenes[[#This Row],[puesto_trabajo]]="","",_xlfn.XLOOKUP(tblOrdenes[[#This Row],[puesto_trabajo]],tblPuestos[codigo],tblPuestos[especialidad],"(sin catálogo)"))</f>
        <v/>
      </c>
      <c r="AC564" s="5">
        <f>IF(tblOrdenes[[#This Row],[cod_actividad]]="","",_xlfn.XLOOKUP(tblOrdenes[[#This Row],[cod_actividad]],tblActividades[codigo],tblActividades[descripcion],"(sin catálogo)"))</f>
        <v/>
      </c>
      <c r="AD564" s="23">
        <f>IF(tblOrdenes[[#This Row],[fecha_inicio]]="","",TODAY()-tblOrdenes[[#This Row],[fecha_inicio]])</f>
        <v/>
      </c>
      <c r="AE5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5">
        <f>IF(tblOrdenes[[#This Row],[backlog_habiles]]="","",IF(tblOrdenes[[#This Row],[backlog_habiles]]&lt;0,"FUTURO",IF(tblOrdenes[[#This Row],[backlog_habiles]]&gt;p_dias_backlog_max,"BACKLOG","MES CORRIENTE")))</f>
        <v/>
      </c>
      <c r="AG564" s="5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18">
        <f>IF(tblOrdenes[[#This Row],[orden]]="","",_xlfn.XLOOKUP(tblOrdenes[[#This Row],[id_operacion]],tblEjecucion[id_operacion],tblEjecucion[precio],0))</f>
        <v/>
      </c>
      <c r="AM564" s="18">
        <f>IF(tblOrdenes[[#This Row],[orden]]="","",MAX(0,_xlfn.XLOOKUP(tblOrdenes[[#This Row],[id_operacion]],tblEjecucion[id_operacion],tblEjecucion[costo_plan_total],0)-tblOrdenes[[#This Row],[costo_servicio]]))</f>
        <v/>
      </c>
      <c r="AN564" s="18">
        <f>IF(tblOrdenes[[#This Row],[orden]]="","",tblOrdenes[[#This Row],[costo_servicio]]+tblOrdenes[[#This Row],[costo_materiales]])</f>
        <v/>
      </c>
      <c r="AO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5">
        <f>IF(tblOrdenes[[#This Row],[link_checklist]]="","",HYPERLINK(p_ruta_base_checklists&amp;tblOrdenes[[#This Row],[link_checklist]],"abrir"))</f>
        <v/>
      </c>
      <c r="AT564" s="4" t="n"/>
      <c r="AU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5" t="n"/>
      <c r="K565" s="5" t="n"/>
      <c r="L565" s="18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Row],[fecha_inicio]]="","",tblOrdenes[[#This Row],[anio]]&amp;"-"&amp;TEXT(tblOrdenes[[#This Row],[mes]],"00"))</f>
        <v/>
      </c>
      <c r="S565" s="5">
        <f>IF(tblOrdenes[[#This Row],[fecha_inicio]]="","",INDEX(lista_dias,WEEKDAY(tblOrdenes[[#This Row],[fecha_inicio]],2)))</f>
        <v/>
      </c>
      <c r="T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5">
        <f>IF(tblOrdenes[[#This Row],[tipo_ot]]="","",_xlfn.XLOOKUP(tblOrdenes[[#This Row],[tipo_ot]],tblTiposOT[codigo],tblTiposOT[clasificacion],"sin_clasificar"))</f>
        <v/>
      </c>
      <c r="V5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5">
        <f>IF(tblOrdenes[[#This Row],[centro_costo]]="","",_xlfn.XLOOKUP(tblOrdenes[[#This Row],[centro_costo]],tblCECO[codigo],tblCECO[linea],"(sin catálogo)"))</f>
        <v/>
      </c>
      <c r="Y565" s="5">
        <f>IF(tblOrdenes[[#This Row],[centro_costo]]="","",_xlfn.XLOOKUP(tblOrdenes[[#This Row],[centro_costo]],tblCECO[codigo],tblCECO[area],"(sin catálogo)"))</f>
        <v/>
      </c>
      <c r="Z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5">
        <f>IF(tblOrdenes[[#This Row],[centro_costo]]="","",_xlfn.XLOOKUP(tblOrdenes[[#This Row],[centro_costo]],tblCECO[codigo],tblCECO[coordinador],"(sin catálogo)"))</f>
        <v/>
      </c>
      <c r="AB565" s="5">
        <f>IF(tblOrdenes[[#This Row],[puesto_trabajo]]="","",_xlfn.XLOOKUP(tblOrdenes[[#This Row],[puesto_trabajo]],tblPuestos[codigo],tblPuestos[especialidad],"(sin catálogo)"))</f>
        <v/>
      </c>
      <c r="AC565" s="5">
        <f>IF(tblOrdenes[[#This Row],[cod_actividad]]="","",_xlfn.XLOOKUP(tblOrdenes[[#This Row],[cod_actividad]],tblActividades[codigo],tblActividades[descripcion],"(sin catálogo)"))</f>
        <v/>
      </c>
      <c r="AD565" s="23">
        <f>IF(tblOrdenes[[#This Row],[fecha_inicio]]="","",TODAY()-tblOrdenes[[#This Row],[fecha_inicio]])</f>
        <v/>
      </c>
      <c r="AE5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5">
        <f>IF(tblOrdenes[[#This Row],[backlog_habiles]]="","",IF(tblOrdenes[[#This Row],[backlog_habiles]]&lt;0,"FUTURO",IF(tblOrdenes[[#This Row],[backlog_habiles]]&gt;p_dias_backlog_max,"BACKLOG","MES CORRIENTE")))</f>
        <v/>
      </c>
      <c r="AG565" s="5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18">
        <f>IF(tblOrdenes[[#This Row],[orden]]="","",_xlfn.XLOOKUP(tblOrdenes[[#This Row],[id_operacion]],tblEjecucion[id_operacion],tblEjecucion[precio],0))</f>
        <v/>
      </c>
      <c r="AM565" s="18">
        <f>IF(tblOrdenes[[#This Row],[orden]]="","",MAX(0,_xlfn.XLOOKUP(tblOrdenes[[#This Row],[id_operacion]],tblEjecucion[id_operacion],tblEjecucion[costo_plan_total],0)-tblOrdenes[[#This Row],[costo_servicio]]))</f>
        <v/>
      </c>
      <c r="AN565" s="18">
        <f>IF(tblOrdenes[[#This Row],[orden]]="","",tblOrdenes[[#This Row],[costo_servicio]]+tblOrdenes[[#This Row],[costo_materiales]])</f>
        <v/>
      </c>
      <c r="AO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5">
        <f>IF(tblOrdenes[[#This Row],[link_checklist]]="","",HYPERLINK(p_ruta_base_checklists&amp;tblOrdenes[[#This Row],[link_checklist]],"abrir"))</f>
        <v/>
      </c>
      <c r="AT565" s="4" t="n"/>
      <c r="AU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5" t="n"/>
      <c r="K566" s="5" t="n"/>
      <c r="L566" s="18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Row],[fecha_inicio]]="","",tblOrdenes[[#This Row],[anio]]&amp;"-"&amp;TEXT(tblOrdenes[[#This Row],[mes]],"00"))</f>
        <v/>
      </c>
      <c r="S566" s="5">
        <f>IF(tblOrdenes[[#This Row],[fecha_inicio]]="","",INDEX(lista_dias,WEEKDAY(tblOrdenes[[#This Row],[fecha_inicio]],2)))</f>
        <v/>
      </c>
      <c r="T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5">
        <f>IF(tblOrdenes[[#This Row],[tipo_ot]]="","",_xlfn.XLOOKUP(tblOrdenes[[#This Row],[tipo_ot]],tblTiposOT[codigo],tblTiposOT[clasificacion],"sin_clasificar"))</f>
        <v/>
      </c>
      <c r="V5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5">
        <f>IF(tblOrdenes[[#This Row],[centro_costo]]="","",_xlfn.XLOOKUP(tblOrdenes[[#This Row],[centro_costo]],tblCECO[codigo],tblCECO[linea],"(sin catálogo)"))</f>
        <v/>
      </c>
      <c r="Y566" s="5">
        <f>IF(tblOrdenes[[#This Row],[centro_costo]]="","",_xlfn.XLOOKUP(tblOrdenes[[#This Row],[centro_costo]],tblCECO[codigo],tblCECO[area],"(sin catálogo)"))</f>
        <v/>
      </c>
      <c r="Z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5">
        <f>IF(tblOrdenes[[#This Row],[centro_costo]]="","",_xlfn.XLOOKUP(tblOrdenes[[#This Row],[centro_costo]],tblCECO[codigo],tblCECO[coordinador],"(sin catálogo)"))</f>
        <v/>
      </c>
      <c r="AB566" s="5">
        <f>IF(tblOrdenes[[#This Row],[puesto_trabajo]]="","",_xlfn.XLOOKUP(tblOrdenes[[#This Row],[puesto_trabajo]],tblPuestos[codigo],tblPuestos[especialidad],"(sin catálogo)"))</f>
        <v/>
      </c>
      <c r="AC566" s="5">
        <f>IF(tblOrdenes[[#This Row],[cod_actividad]]="","",_xlfn.XLOOKUP(tblOrdenes[[#This Row],[cod_actividad]],tblActividades[codigo],tblActividades[descripcion],"(sin catálogo)"))</f>
        <v/>
      </c>
      <c r="AD566" s="23">
        <f>IF(tblOrdenes[[#This Row],[fecha_inicio]]="","",TODAY()-tblOrdenes[[#This Row],[fecha_inicio]])</f>
        <v/>
      </c>
      <c r="AE5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5">
        <f>IF(tblOrdenes[[#This Row],[backlog_habiles]]="","",IF(tblOrdenes[[#This Row],[backlog_habiles]]&lt;0,"FUTURO",IF(tblOrdenes[[#This Row],[backlog_habiles]]&gt;p_dias_backlog_max,"BACKLOG","MES CORRIENTE")))</f>
        <v/>
      </c>
      <c r="AG566" s="5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18">
        <f>IF(tblOrdenes[[#This Row],[orden]]="","",_xlfn.XLOOKUP(tblOrdenes[[#This Row],[id_operacion]],tblEjecucion[id_operacion],tblEjecucion[precio],0))</f>
        <v/>
      </c>
      <c r="AM566" s="18">
        <f>IF(tblOrdenes[[#This Row],[orden]]="","",MAX(0,_xlfn.XLOOKUP(tblOrdenes[[#This Row],[id_operacion]],tblEjecucion[id_operacion],tblEjecucion[costo_plan_total],0)-tblOrdenes[[#This Row],[costo_servicio]]))</f>
        <v/>
      </c>
      <c r="AN566" s="18">
        <f>IF(tblOrdenes[[#This Row],[orden]]="","",tblOrdenes[[#This Row],[costo_servicio]]+tblOrdenes[[#This Row],[costo_materiales]])</f>
        <v/>
      </c>
      <c r="AO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5">
        <f>IF(tblOrdenes[[#This Row],[link_checklist]]="","",HYPERLINK(p_ruta_base_checklists&amp;tblOrdenes[[#This Row],[link_checklist]],"abrir"))</f>
        <v/>
      </c>
      <c r="AT566" s="4" t="n"/>
      <c r="AU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5" t="n"/>
      <c r="K567" s="5" t="n"/>
      <c r="L567" s="18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Row],[fecha_inicio]]="","",tblOrdenes[[#This Row],[anio]]&amp;"-"&amp;TEXT(tblOrdenes[[#This Row],[mes]],"00"))</f>
        <v/>
      </c>
      <c r="S567" s="5">
        <f>IF(tblOrdenes[[#This Row],[fecha_inicio]]="","",INDEX(lista_dias,WEEKDAY(tblOrdenes[[#This Row],[fecha_inicio]],2)))</f>
        <v/>
      </c>
      <c r="T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5">
        <f>IF(tblOrdenes[[#This Row],[tipo_ot]]="","",_xlfn.XLOOKUP(tblOrdenes[[#This Row],[tipo_ot]],tblTiposOT[codigo],tblTiposOT[clasificacion],"sin_clasificar"))</f>
        <v/>
      </c>
      <c r="V5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5">
        <f>IF(tblOrdenes[[#This Row],[centro_costo]]="","",_xlfn.XLOOKUP(tblOrdenes[[#This Row],[centro_costo]],tblCECO[codigo],tblCECO[linea],"(sin catálogo)"))</f>
        <v/>
      </c>
      <c r="Y567" s="5">
        <f>IF(tblOrdenes[[#This Row],[centro_costo]]="","",_xlfn.XLOOKUP(tblOrdenes[[#This Row],[centro_costo]],tblCECO[codigo],tblCECO[area],"(sin catálogo)"))</f>
        <v/>
      </c>
      <c r="Z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5">
        <f>IF(tblOrdenes[[#This Row],[centro_costo]]="","",_xlfn.XLOOKUP(tblOrdenes[[#This Row],[centro_costo]],tblCECO[codigo],tblCECO[coordinador],"(sin catálogo)"))</f>
        <v/>
      </c>
      <c r="AB567" s="5">
        <f>IF(tblOrdenes[[#This Row],[puesto_trabajo]]="","",_xlfn.XLOOKUP(tblOrdenes[[#This Row],[puesto_trabajo]],tblPuestos[codigo],tblPuestos[especialidad],"(sin catálogo)"))</f>
        <v/>
      </c>
      <c r="AC567" s="5">
        <f>IF(tblOrdenes[[#This Row],[cod_actividad]]="","",_xlfn.XLOOKUP(tblOrdenes[[#This Row],[cod_actividad]],tblActividades[codigo],tblActividades[descripcion],"(sin catálogo)"))</f>
        <v/>
      </c>
      <c r="AD567" s="23">
        <f>IF(tblOrdenes[[#This Row],[fecha_inicio]]="","",TODAY()-tblOrdenes[[#This Row],[fecha_inicio]])</f>
        <v/>
      </c>
      <c r="AE5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5">
        <f>IF(tblOrdenes[[#This Row],[backlog_habiles]]="","",IF(tblOrdenes[[#This Row],[backlog_habiles]]&lt;0,"FUTURO",IF(tblOrdenes[[#This Row],[backlog_habiles]]&gt;p_dias_backlog_max,"BACKLOG","MES CORRIENTE")))</f>
        <v/>
      </c>
      <c r="AG567" s="5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18">
        <f>IF(tblOrdenes[[#This Row],[orden]]="","",_xlfn.XLOOKUP(tblOrdenes[[#This Row],[id_operacion]],tblEjecucion[id_operacion],tblEjecucion[precio],0))</f>
        <v/>
      </c>
      <c r="AM567" s="18">
        <f>IF(tblOrdenes[[#This Row],[orden]]="","",MAX(0,_xlfn.XLOOKUP(tblOrdenes[[#This Row],[id_operacion]],tblEjecucion[id_operacion],tblEjecucion[costo_plan_total],0)-tblOrdenes[[#This Row],[costo_servicio]]))</f>
        <v/>
      </c>
      <c r="AN567" s="18">
        <f>IF(tblOrdenes[[#This Row],[orden]]="","",tblOrdenes[[#This Row],[costo_servicio]]+tblOrdenes[[#This Row],[costo_materiales]])</f>
        <v/>
      </c>
      <c r="AO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5">
        <f>IF(tblOrdenes[[#This Row],[link_checklist]]="","",HYPERLINK(p_ruta_base_checklists&amp;tblOrdenes[[#This Row],[link_checklist]],"abrir"))</f>
        <v/>
      </c>
      <c r="AT567" s="4" t="n"/>
      <c r="AU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5" t="n"/>
      <c r="K568" s="5" t="n"/>
      <c r="L568" s="18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Row],[fecha_inicio]]="","",tblOrdenes[[#This Row],[anio]]&amp;"-"&amp;TEXT(tblOrdenes[[#This Row],[mes]],"00"))</f>
        <v/>
      </c>
      <c r="S568" s="5">
        <f>IF(tblOrdenes[[#This Row],[fecha_inicio]]="","",INDEX(lista_dias,WEEKDAY(tblOrdenes[[#This Row],[fecha_inicio]],2)))</f>
        <v/>
      </c>
      <c r="T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5">
        <f>IF(tblOrdenes[[#This Row],[tipo_ot]]="","",_xlfn.XLOOKUP(tblOrdenes[[#This Row],[tipo_ot]],tblTiposOT[codigo],tblTiposOT[clasificacion],"sin_clasificar"))</f>
        <v/>
      </c>
      <c r="V5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5">
        <f>IF(tblOrdenes[[#This Row],[centro_costo]]="","",_xlfn.XLOOKUP(tblOrdenes[[#This Row],[centro_costo]],tblCECO[codigo],tblCECO[linea],"(sin catálogo)"))</f>
        <v/>
      </c>
      <c r="Y568" s="5">
        <f>IF(tblOrdenes[[#This Row],[centro_costo]]="","",_xlfn.XLOOKUP(tblOrdenes[[#This Row],[centro_costo]],tblCECO[codigo],tblCECO[area],"(sin catálogo)"))</f>
        <v/>
      </c>
      <c r="Z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5">
        <f>IF(tblOrdenes[[#This Row],[centro_costo]]="","",_xlfn.XLOOKUP(tblOrdenes[[#This Row],[centro_costo]],tblCECO[codigo],tblCECO[coordinador],"(sin catálogo)"))</f>
        <v/>
      </c>
      <c r="AB568" s="5">
        <f>IF(tblOrdenes[[#This Row],[puesto_trabajo]]="","",_xlfn.XLOOKUP(tblOrdenes[[#This Row],[puesto_trabajo]],tblPuestos[codigo],tblPuestos[especialidad],"(sin catálogo)"))</f>
        <v/>
      </c>
      <c r="AC568" s="5">
        <f>IF(tblOrdenes[[#This Row],[cod_actividad]]="","",_xlfn.XLOOKUP(tblOrdenes[[#This Row],[cod_actividad]],tblActividades[codigo],tblActividades[descripcion],"(sin catálogo)"))</f>
        <v/>
      </c>
      <c r="AD568" s="23">
        <f>IF(tblOrdenes[[#This Row],[fecha_inicio]]="","",TODAY()-tblOrdenes[[#This Row],[fecha_inicio]])</f>
        <v/>
      </c>
      <c r="AE5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5">
        <f>IF(tblOrdenes[[#This Row],[backlog_habiles]]="","",IF(tblOrdenes[[#This Row],[backlog_habiles]]&lt;0,"FUTURO",IF(tblOrdenes[[#This Row],[backlog_habiles]]&gt;p_dias_backlog_max,"BACKLOG","MES CORRIENTE")))</f>
        <v/>
      </c>
      <c r="AG568" s="5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18">
        <f>IF(tblOrdenes[[#This Row],[orden]]="","",_xlfn.XLOOKUP(tblOrdenes[[#This Row],[id_operacion]],tblEjecucion[id_operacion],tblEjecucion[precio],0))</f>
        <v/>
      </c>
      <c r="AM568" s="18">
        <f>IF(tblOrdenes[[#This Row],[orden]]="","",MAX(0,_xlfn.XLOOKUP(tblOrdenes[[#This Row],[id_operacion]],tblEjecucion[id_operacion],tblEjecucion[costo_plan_total],0)-tblOrdenes[[#This Row],[costo_servicio]]))</f>
        <v/>
      </c>
      <c r="AN568" s="18">
        <f>IF(tblOrdenes[[#This Row],[orden]]="","",tblOrdenes[[#This Row],[costo_servicio]]+tblOrdenes[[#This Row],[costo_materiales]])</f>
        <v/>
      </c>
      <c r="AO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5">
        <f>IF(tblOrdenes[[#This Row],[link_checklist]]="","",HYPERLINK(p_ruta_base_checklists&amp;tblOrdenes[[#This Row],[link_checklist]],"abrir"))</f>
        <v/>
      </c>
      <c r="AT568" s="4" t="n"/>
      <c r="AU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5" t="n"/>
      <c r="K569" s="5" t="n"/>
      <c r="L569" s="18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Row],[fecha_inicio]]="","",tblOrdenes[[#This Row],[anio]]&amp;"-"&amp;TEXT(tblOrdenes[[#This Row],[mes]],"00"))</f>
        <v/>
      </c>
      <c r="S569" s="5">
        <f>IF(tblOrdenes[[#This Row],[fecha_inicio]]="","",INDEX(lista_dias,WEEKDAY(tblOrdenes[[#This Row],[fecha_inicio]],2)))</f>
        <v/>
      </c>
      <c r="T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5">
        <f>IF(tblOrdenes[[#This Row],[tipo_ot]]="","",_xlfn.XLOOKUP(tblOrdenes[[#This Row],[tipo_ot]],tblTiposOT[codigo],tblTiposOT[clasificacion],"sin_clasificar"))</f>
        <v/>
      </c>
      <c r="V5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5">
        <f>IF(tblOrdenes[[#This Row],[centro_costo]]="","",_xlfn.XLOOKUP(tblOrdenes[[#This Row],[centro_costo]],tblCECO[codigo],tblCECO[linea],"(sin catálogo)"))</f>
        <v/>
      </c>
      <c r="Y569" s="5">
        <f>IF(tblOrdenes[[#This Row],[centro_costo]]="","",_xlfn.XLOOKUP(tblOrdenes[[#This Row],[centro_costo]],tblCECO[codigo],tblCECO[area],"(sin catálogo)"))</f>
        <v/>
      </c>
      <c r="Z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5">
        <f>IF(tblOrdenes[[#This Row],[centro_costo]]="","",_xlfn.XLOOKUP(tblOrdenes[[#This Row],[centro_costo]],tblCECO[codigo],tblCECO[coordinador],"(sin catálogo)"))</f>
        <v/>
      </c>
      <c r="AB569" s="5">
        <f>IF(tblOrdenes[[#This Row],[puesto_trabajo]]="","",_xlfn.XLOOKUP(tblOrdenes[[#This Row],[puesto_trabajo]],tblPuestos[codigo],tblPuestos[especialidad],"(sin catálogo)"))</f>
        <v/>
      </c>
      <c r="AC569" s="5">
        <f>IF(tblOrdenes[[#This Row],[cod_actividad]]="","",_xlfn.XLOOKUP(tblOrdenes[[#This Row],[cod_actividad]],tblActividades[codigo],tblActividades[descripcion],"(sin catálogo)"))</f>
        <v/>
      </c>
      <c r="AD569" s="23">
        <f>IF(tblOrdenes[[#This Row],[fecha_inicio]]="","",TODAY()-tblOrdenes[[#This Row],[fecha_inicio]])</f>
        <v/>
      </c>
      <c r="AE5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5">
        <f>IF(tblOrdenes[[#This Row],[backlog_habiles]]="","",IF(tblOrdenes[[#This Row],[backlog_habiles]]&lt;0,"FUTURO",IF(tblOrdenes[[#This Row],[backlog_habiles]]&gt;p_dias_backlog_max,"BACKLOG","MES CORRIENTE")))</f>
        <v/>
      </c>
      <c r="AG569" s="5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18">
        <f>IF(tblOrdenes[[#This Row],[orden]]="","",_xlfn.XLOOKUP(tblOrdenes[[#This Row],[id_operacion]],tblEjecucion[id_operacion],tblEjecucion[precio],0))</f>
        <v/>
      </c>
      <c r="AM569" s="18">
        <f>IF(tblOrdenes[[#This Row],[orden]]="","",MAX(0,_xlfn.XLOOKUP(tblOrdenes[[#This Row],[id_operacion]],tblEjecucion[id_operacion],tblEjecucion[costo_plan_total],0)-tblOrdenes[[#This Row],[costo_servicio]]))</f>
        <v/>
      </c>
      <c r="AN569" s="18">
        <f>IF(tblOrdenes[[#This Row],[orden]]="","",tblOrdenes[[#This Row],[costo_servicio]]+tblOrdenes[[#This Row],[costo_materiales]])</f>
        <v/>
      </c>
      <c r="AO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5">
        <f>IF(tblOrdenes[[#This Row],[link_checklist]]="","",HYPERLINK(p_ruta_base_checklists&amp;tblOrdenes[[#This Row],[link_checklist]],"abrir"))</f>
        <v/>
      </c>
      <c r="AT569" s="4" t="n"/>
      <c r="AU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5" t="n"/>
      <c r="K570" s="5" t="n"/>
      <c r="L570" s="18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Row],[fecha_inicio]]="","",tblOrdenes[[#This Row],[anio]]&amp;"-"&amp;TEXT(tblOrdenes[[#This Row],[mes]],"00"))</f>
        <v/>
      </c>
      <c r="S570" s="5">
        <f>IF(tblOrdenes[[#This Row],[fecha_inicio]]="","",INDEX(lista_dias,WEEKDAY(tblOrdenes[[#This Row],[fecha_inicio]],2)))</f>
        <v/>
      </c>
      <c r="T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5">
        <f>IF(tblOrdenes[[#This Row],[tipo_ot]]="","",_xlfn.XLOOKUP(tblOrdenes[[#This Row],[tipo_ot]],tblTiposOT[codigo],tblTiposOT[clasificacion],"sin_clasificar"))</f>
        <v/>
      </c>
      <c r="V5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5">
        <f>IF(tblOrdenes[[#This Row],[centro_costo]]="","",_xlfn.XLOOKUP(tblOrdenes[[#This Row],[centro_costo]],tblCECO[codigo],tblCECO[linea],"(sin catálogo)"))</f>
        <v/>
      </c>
      <c r="Y570" s="5">
        <f>IF(tblOrdenes[[#This Row],[centro_costo]]="","",_xlfn.XLOOKUP(tblOrdenes[[#This Row],[centro_costo]],tblCECO[codigo],tblCECO[area],"(sin catálogo)"))</f>
        <v/>
      </c>
      <c r="Z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5">
        <f>IF(tblOrdenes[[#This Row],[centro_costo]]="","",_xlfn.XLOOKUP(tblOrdenes[[#This Row],[centro_costo]],tblCECO[codigo],tblCECO[coordinador],"(sin catálogo)"))</f>
        <v/>
      </c>
      <c r="AB570" s="5">
        <f>IF(tblOrdenes[[#This Row],[puesto_trabajo]]="","",_xlfn.XLOOKUP(tblOrdenes[[#This Row],[puesto_trabajo]],tblPuestos[codigo],tblPuestos[especialidad],"(sin catálogo)"))</f>
        <v/>
      </c>
      <c r="AC570" s="5">
        <f>IF(tblOrdenes[[#This Row],[cod_actividad]]="","",_xlfn.XLOOKUP(tblOrdenes[[#This Row],[cod_actividad]],tblActividades[codigo],tblActividades[descripcion],"(sin catálogo)"))</f>
        <v/>
      </c>
      <c r="AD570" s="23">
        <f>IF(tblOrdenes[[#This Row],[fecha_inicio]]="","",TODAY()-tblOrdenes[[#This Row],[fecha_inicio]])</f>
        <v/>
      </c>
      <c r="AE5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5">
        <f>IF(tblOrdenes[[#This Row],[backlog_habiles]]="","",IF(tblOrdenes[[#This Row],[backlog_habiles]]&lt;0,"FUTURO",IF(tblOrdenes[[#This Row],[backlog_habiles]]&gt;p_dias_backlog_max,"BACKLOG","MES CORRIENTE")))</f>
        <v/>
      </c>
      <c r="AG570" s="5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18">
        <f>IF(tblOrdenes[[#This Row],[orden]]="","",_xlfn.XLOOKUP(tblOrdenes[[#This Row],[id_operacion]],tblEjecucion[id_operacion],tblEjecucion[precio],0))</f>
        <v/>
      </c>
      <c r="AM570" s="18">
        <f>IF(tblOrdenes[[#This Row],[orden]]="","",MAX(0,_xlfn.XLOOKUP(tblOrdenes[[#This Row],[id_operacion]],tblEjecucion[id_operacion],tblEjecucion[costo_plan_total],0)-tblOrdenes[[#This Row],[costo_servicio]]))</f>
        <v/>
      </c>
      <c r="AN570" s="18">
        <f>IF(tblOrdenes[[#This Row],[orden]]="","",tblOrdenes[[#This Row],[costo_servicio]]+tblOrdenes[[#This Row],[costo_materiales]])</f>
        <v/>
      </c>
      <c r="AO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5">
        <f>IF(tblOrdenes[[#This Row],[link_checklist]]="","",HYPERLINK(p_ruta_base_checklists&amp;tblOrdenes[[#This Row],[link_checklist]],"abrir"))</f>
        <v/>
      </c>
      <c r="AT570" s="4" t="n"/>
      <c r="AU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5" t="n"/>
      <c r="K571" s="5" t="n"/>
      <c r="L571" s="18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Row],[fecha_inicio]]="","",tblOrdenes[[#This Row],[anio]]&amp;"-"&amp;TEXT(tblOrdenes[[#This Row],[mes]],"00"))</f>
        <v/>
      </c>
      <c r="S571" s="5">
        <f>IF(tblOrdenes[[#This Row],[fecha_inicio]]="","",INDEX(lista_dias,WEEKDAY(tblOrdenes[[#This Row],[fecha_inicio]],2)))</f>
        <v/>
      </c>
      <c r="T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5">
        <f>IF(tblOrdenes[[#This Row],[tipo_ot]]="","",_xlfn.XLOOKUP(tblOrdenes[[#This Row],[tipo_ot]],tblTiposOT[codigo],tblTiposOT[clasificacion],"sin_clasificar"))</f>
        <v/>
      </c>
      <c r="V5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5">
        <f>IF(tblOrdenes[[#This Row],[centro_costo]]="","",_xlfn.XLOOKUP(tblOrdenes[[#This Row],[centro_costo]],tblCECO[codigo],tblCECO[linea],"(sin catálogo)"))</f>
        <v/>
      </c>
      <c r="Y571" s="5">
        <f>IF(tblOrdenes[[#This Row],[centro_costo]]="","",_xlfn.XLOOKUP(tblOrdenes[[#This Row],[centro_costo]],tblCECO[codigo],tblCECO[area],"(sin catálogo)"))</f>
        <v/>
      </c>
      <c r="Z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5">
        <f>IF(tblOrdenes[[#This Row],[centro_costo]]="","",_xlfn.XLOOKUP(tblOrdenes[[#This Row],[centro_costo]],tblCECO[codigo],tblCECO[coordinador],"(sin catálogo)"))</f>
        <v/>
      </c>
      <c r="AB571" s="5">
        <f>IF(tblOrdenes[[#This Row],[puesto_trabajo]]="","",_xlfn.XLOOKUP(tblOrdenes[[#This Row],[puesto_trabajo]],tblPuestos[codigo],tblPuestos[especialidad],"(sin catálogo)"))</f>
        <v/>
      </c>
      <c r="AC571" s="5">
        <f>IF(tblOrdenes[[#This Row],[cod_actividad]]="","",_xlfn.XLOOKUP(tblOrdenes[[#This Row],[cod_actividad]],tblActividades[codigo],tblActividades[descripcion],"(sin catálogo)"))</f>
        <v/>
      </c>
      <c r="AD571" s="23">
        <f>IF(tblOrdenes[[#This Row],[fecha_inicio]]="","",TODAY()-tblOrdenes[[#This Row],[fecha_inicio]])</f>
        <v/>
      </c>
      <c r="AE5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5">
        <f>IF(tblOrdenes[[#This Row],[backlog_habiles]]="","",IF(tblOrdenes[[#This Row],[backlog_habiles]]&lt;0,"FUTURO",IF(tblOrdenes[[#This Row],[backlog_habiles]]&gt;p_dias_backlog_max,"BACKLOG","MES CORRIENTE")))</f>
        <v/>
      </c>
      <c r="AG571" s="5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18">
        <f>IF(tblOrdenes[[#This Row],[orden]]="","",_xlfn.XLOOKUP(tblOrdenes[[#This Row],[id_operacion]],tblEjecucion[id_operacion],tblEjecucion[precio],0))</f>
        <v/>
      </c>
      <c r="AM571" s="18">
        <f>IF(tblOrdenes[[#This Row],[orden]]="","",MAX(0,_xlfn.XLOOKUP(tblOrdenes[[#This Row],[id_operacion]],tblEjecucion[id_operacion],tblEjecucion[costo_plan_total],0)-tblOrdenes[[#This Row],[costo_servicio]]))</f>
        <v/>
      </c>
      <c r="AN571" s="18">
        <f>IF(tblOrdenes[[#This Row],[orden]]="","",tblOrdenes[[#This Row],[costo_servicio]]+tblOrdenes[[#This Row],[costo_materiales]])</f>
        <v/>
      </c>
      <c r="AO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5">
        <f>IF(tblOrdenes[[#This Row],[link_checklist]]="","",HYPERLINK(p_ruta_base_checklists&amp;tblOrdenes[[#This Row],[link_checklist]],"abrir"))</f>
        <v/>
      </c>
      <c r="AT571" s="4" t="n"/>
      <c r="AU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5" t="n"/>
      <c r="K572" s="5" t="n"/>
      <c r="L572" s="18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Row],[fecha_inicio]]="","",tblOrdenes[[#This Row],[anio]]&amp;"-"&amp;TEXT(tblOrdenes[[#This Row],[mes]],"00"))</f>
        <v/>
      </c>
      <c r="S572" s="5">
        <f>IF(tblOrdenes[[#This Row],[fecha_inicio]]="","",INDEX(lista_dias,WEEKDAY(tblOrdenes[[#This Row],[fecha_inicio]],2)))</f>
        <v/>
      </c>
      <c r="T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5">
        <f>IF(tblOrdenes[[#This Row],[tipo_ot]]="","",_xlfn.XLOOKUP(tblOrdenes[[#This Row],[tipo_ot]],tblTiposOT[codigo],tblTiposOT[clasificacion],"sin_clasificar"))</f>
        <v/>
      </c>
      <c r="V5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5">
        <f>IF(tblOrdenes[[#This Row],[centro_costo]]="","",_xlfn.XLOOKUP(tblOrdenes[[#This Row],[centro_costo]],tblCECO[codigo],tblCECO[linea],"(sin catálogo)"))</f>
        <v/>
      </c>
      <c r="Y572" s="5">
        <f>IF(tblOrdenes[[#This Row],[centro_costo]]="","",_xlfn.XLOOKUP(tblOrdenes[[#This Row],[centro_costo]],tblCECO[codigo],tblCECO[area],"(sin catálogo)"))</f>
        <v/>
      </c>
      <c r="Z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5">
        <f>IF(tblOrdenes[[#This Row],[centro_costo]]="","",_xlfn.XLOOKUP(tblOrdenes[[#This Row],[centro_costo]],tblCECO[codigo],tblCECO[coordinador],"(sin catálogo)"))</f>
        <v/>
      </c>
      <c r="AB572" s="5">
        <f>IF(tblOrdenes[[#This Row],[puesto_trabajo]]="","",_xlfn.XLOOKUP(tblOrdenes[[#This Row],[puesto_trabajo]],tblPuestos[codigo],tblPuestos[especialidad],"(sin catálogo)"))</f>
        <v/>
      </c>
      <c r="AC572" s="5">
        <f>IF(tblOrdenes[[#This Row],[cod_actividad]]="","",_xlfn.XLOOKUP(tblOrdenes[[#This Row],[cod_actividad]],tblActividades[codigo],tblActividades[descripcion],"(sin catálogo)"))</f>
        <v/>
      </c>
      <c r="AD572" s="23">
        <f>IF(tblOrdenes[[#This Row],[fecha_inicio]]="","",TODAY()-tblOrdenes[[#This Row],[fecha_inicio]])</f>
        <v/>
      </c>
      <c r="AE5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5">
        <f>IF(tblOrdenes[[#This Row],[backlog_habiles]]="","",IF(tblOrdenes[[#This Row],[backlog_habiles]]&lt;0,"FUTURO",IF(tblOrdenes[[#This Row],[backlog_habiles]]&gt;p_dias_backlog_max,"BACKLOG","MES CORRIENTE")))</f>
        <v/>
      </c>
      <c r="AG572" s="5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18">
        <f>IF(tblOrdenes[[#This Row],[orden]]="","",_xlfn.XLOOKUP(tblOrdenes[[#This Row],[id_operacion]],tblEjecucion[id_operacion],tblEjecucion[precio],0))</f>
        <v/>
      </c>
      <c r="AM572" s="18">
        <f>IF(tblOrdenes[[#This Row],[orden]]="","",MAX(0,_xlfn.XLOOKUP(tblOrdenes[[#This Row],[id_operacion]],tblEjecucion[id_operacion],tblEjecucion[costo_plan_total],0)-tblOrdenes[[#This Row],[costo_servicio]]))</f>
        <v/>
      </c>
      <c r="AN572" s="18">
        <f>IF(tblOrdenes[[#This Row],[orden]]="","",tblOrdenes[[#This Row],[costo_servicio]]+tblOrdenes[[#This Row],[costo_materiales]])</f>
        <v/>
      </c>
      <c r="AO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5">
        <f>IF(tblOrdenes[[#This Row],[link_checklist]]="","",HYPERLINK(p_ruta_base_checklists&amp;tblOrdenes[[#This Row],[link_checklist]],"abrir"))</f>
        <v/>
      </c>
      <c r="AT572" s="4" t="n"/>
      <c r="AU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5" t="n"/>
      <c r="K573" s="5" t="n"/>
      <c r="L573" s="18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Row],[fecha_inicio]]="","",tblOrdenes[[#This Row],[anio]]&amp;"-"&amp;TEXT(tblOrdenes[[#This Row],[mes]],"00"))</f>
        <v/>
      </c>
      <c r="S573" s="5">
        <f>IF(tblOrdenes[[#This Row],[fecha_inicio]]="","",INDEX(lista_dias,WEEKDAY(tblOrdenes[[#This Row],[fecha_inicio]],2)))</f>
        <v/>
      </c>
      <c r="T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5">
        <f>IF(tblOrdenes[[#This Row],[tipo_ot]]="","",_xlfn.XLOOKUP(tblOrdenes[[#This Row],[tipo_ot]],tblTiposOT[codigo],tblTiposOT[clasificacion],"sin_clasificar"))</f>
        <v/>
      </c>
      <c r="V5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5">
        <f>IF(tblOrdenes[[#This Row],[centro_costo]]="","",_xlfn.XLOOKUP(tblOrdenes[[#This Row],[centro_costo]],tblCECO[codigo],tblCECO[linea],"(sin catálogo)"))</f>
        <v/>
      </c>
      <c r="Y573" s="5">
        <f>IF(tblOrdenes[[#This Row],[centro_costo]]="","",_xlfn.XLOOKUP(tblOrdenes[[#This Row],[centro_costo]],tblCECO[codigo],tblCECO[area],"(sin catálogo)"))</f>
        <v/>
      </c>
      <c r="Z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5">
        <f>IF(tblOrdenes[[#This Row],[centro_costo]]="","",_xlfn.XLOOKUP(tblOrdenes[[#This Row],[centro_costo]],tblCECO[codigo],tblCECO[coordinador],"(sin catálogo)"))</f>
        <v/>
      </c>
      <c r="AB573" s="5">
        <f>IF(tblOrdenes[[#This Row],[puesto_trabajo]]="","",_xlfn.XLOOKUP(tblOrdenes[[#This Row],[puesto_trabajo]],tblPuestos[codigo],tblPuestos[especialidad],"(sin catálogo)"))</f>
        <v/>
      </c>
      <c r="AC573" s="5">
        <f>IF(tblOrdenes[[#This Row],[cod_actividad]]="","",_xlfn.XLOOKUP(tblOrdenes[[#This Row],[cod_actividad]],tblActividades[codigo],tblActividades[descripcion],"(sin catálogo)"))</f>
        <v/>
      </c>
      <c r="AD573" s="23">
        <f>IF(tblOrdenes[[#This Row],[fecha_inicio]]="","",TODAY()-tblOrdenes[[#This Row],[fecha_inicio]])</f>
        <v/>
      </c>
      <c r="AE5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5">
        <f>IF(tblOrdenes[[#This Row],[backlog_habiles]]="","",IF(tblOrdenes[[#This Row],[backlog_habiles]]&lt;0,"FUTURO",IF(tblOrdenes[[#This Row],[backlog_habiles]]&gt;p_dias_backlog_max,"BACKLOG","MES CORRIENTE")))</f>
        <v/>
      </c>
      <c r="AG573" s="5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18">
        <f>IF(tblOrdenes[[#This Row],[orden]]="","",_xlfn.XLOOKUP(tblOrdenes[[#This Row],[id_operacion]],tblEjecucion[id_operacion],tblEjecucion[precio],0))</f>
        <v/>
      </c>
      <c r="AM573" s="18">
        <f>IF(tblOrdenes[[#This Row],[orden]]="","",MAX(0,_xlfn.XLOOKUP(tblOrdenes[[#This Row],[id_operacion]],tblEjecucion[id_operacion],tblEjecucion[costo_plan_total],0)-tblOrdenes[[#This Row],[costo_servicio]]))</f>
        <v/>
      </c>
      <c r="AN573" s="18">
        <f>IF(tblOrdenes[[#This Row],[orden]]="","",tblOrdenes[[#This Row],[costo_servicio]]+tblOrdenes[[#This Row],[costo_materiales]])</f>
        <v/>
      </c>
      <c r="AO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5">
        <f>IF(tblOrdenes[[#This Row],[link_checklist]]="","",HYPERLINK(p_ruta_base_checklists&amp;tblOrdenes[[#This Row],[link_checklist]],"abrir"))</f>
        <v/>
      </c>
      <c r="AT573" s="4" t="n"/>
      <c r="AU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5" t="n"/>
      <c r="K574" s="5" t="n"/>
      <c r="L574" s="18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Row],[fecha_inicio]]="","",tblOrdenes[[#This Row],[anio]]&amp;"-"&amp;TEXT(tblOrdenes[[#This Row],[mes]],"00"))</f>
        <v/>
      </c>
      <c r="S574" s="5">
        <f>IF(tblOrdenes[[#This Row],[fecha_inicio]]="","",INDEX(lista_dias,WEEKDAY(tblOrdenes[[#This Row],[fecha_inicio]],2)))</f>
        <v/>
      </c>
      <c r="T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5">
        <f>IF(tblOrdenes[[#This Row],[tipo_ot]]="","",_xlfn.XLOOKUP(tblOrdenes[[#This Row],[tipo_ot]],tblTiposOT[codigo],tblTiposOT[clasificacion],"sin_clasificar"))</f>
        <v/>
      </c>
      <c r="V5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5">
        <f>IF(tblOrdenes[[#This Row],[centro_costo]]="","",_xlfn.XLOOKUP(tblOrdenes[[#This Row],[centro_costo]],tblCECO[codigo],tblCECO[linea],"(sin catálogo)"))</f>
        <v/>
      </c>
      <c r="Y574" s="5">
        <f>IF(tblOrdenes[[#This Row],[centro_costo]]="","",_xlfn.XLOOKUP(tblOrdenes[[#This Row],[centro_costo]],tblCECO[codigo],tblCECO[area],"(sin catálogo)"))</f>
        <v/>
      </c>
      <c r="Z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5">
        <f>IF(tblOrdenes[[#This Row],[centro_costo]]="","",_xlfn.XLOOKUP(tblOrdenes[[#This Row],[centro_costo]],tblCECO[codigo],tblCECO[coordinador],"(sin catálogo)"))</f>
        <v/>
      </c>
      <c r="AB574" s="5">
        <f>IF(tblOrdenes[[#This Row],[puesto_trabajo]]="","",_xlfn.XLOOKUP(tblOrdenes[[#This Row],[puesto_trabajo]],tblPuestos[codigo],tblPuestos[especialidad],"(sin catálogo)"))</f>
        <v/>
      </c>
      <c r="AC574" s="5">
        <f>IF(tblOrdenes[[#This Row],[cod_actividad]]="","",_xlfn.XLOOKUP(tblOrdenes[[#This Row],[cod_actividad]],tblActividades[codigo],tblActividades[descripcion],"(sin catálogo)"))</f>
        <v/>
      </c>
      <c r="AD574" s="23">
        <f>IF(tblOrdenes[[#This Row],[fecha_inicio]]="","",TODAY()-tblOrdenes[[#This Row],[fecha_inicio]])</f>
        <v/>
      </c>
      <c r="AE5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5">
        <f>IF(tblOrdenes[[#This Row],[backlog_habiles]]="","",IF(tblOrdenes[[#This Row],[backlog_habiles]]&lt;0,"FUTURO",IF(tblOrdenes[[#This Row],[backlog_habiles]]&gt;p_dias_backlog_max,"BACKLOG","MES CORRIENTE")))</f>
        <v/>
      </c>
      <c r="AG574" s="5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18">
        <f>IF(tblOrdenes[[#This Row],[orden]]="","",_xlfn.XLOOKUP(tblOrdenes[[#This Row],[id_operacion]],tblEjecucion[id_operacion],tblEjecucion[precio],0))</f>
        <v/>
      </c>
      <c r="AM574" s="18">
        <f>IF(tblOrdenes[[#This Row],[orden]]="","",MAX(0,_xlfn.XLOOKUP(tblOrdenes[[#This Row],[id_operacion]],tblEjecucion[id_operacion],tblEjecucion[costo_plan_total],0)-tblOrdenes[[#This Row],[costo_servicio]]))</f>
        <v/>
      </c>
      <c r="AN574" s="18">
        <f>IF(tblOrdenes[[#This Row],[orden]]="","",tblOrdenes[[#This Row],[costo_servicio]]+tblOrdenes[[#This Row],[costo_materiales]])</f>
        <v/>
      </c>
      <c r="AO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5">
        <f>IF(tblOrdenes[[#This Row],[link_checklist]]="","",HYPERLINK(p_ruta_base_checklists&amp;tblOrdenes[[#This Row],[link_checklist]],"abrir"))</f>
        <v/>
      </c>
      <c r="AT574" s="4" t="n"/>
      <c r="AU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5" t="n"/>
      <c r="K575" s="5" t="n"/>
      <c r="L575" s="18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Row],[fecha_inicio]]="","",tblOrdenes[[#This Row],[anio]]&amp;"-"&amp;TEXT(tblOrdenes[[#This Row],[mes]],"00"))</f>
        <v/>
      </c>
      <c r="S575" s="5">
        <f>IF(tblOrdenes[[#This Row],[fecha_inicio]]="","",INDEX(lista_dias,WEEKDAY(tblOrdenes[[#This Row],[fecha_inicio]],2)))</f>
        <v/>
      </c>
      <c r="T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5">
        <f>IF(tblOrdenes[[#This Row],[tipo_ot]]="","",_xlfn.XLOOKUP(tblOrdenes[[#This Row],[tipo_ot]],tblTiposOT[codigo],tblTiposOT[clasificacion],"sin_clasificar"))</f>
        <v/>
      </c>
      <c r="V5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5">
        <f>IF(tblOrdenes[[#This Row],[centro_costo]]="","",_xlfn.XLOOKUP(tblOrdenes[[#This Row],[centro_costo]],tblCECO[codigo],tblCECO[linea],"(sin catálogo)"))</f>
        <v/>
      </c>
      <c r="Y575" s="5">
        <f>IF(tblOrdenes[[#This Row],[centro_costo]]="","",_xlfn.XLOOKUP(tblOrdenes[[#This Row],[centro_costo]],tblCECO[codigo],tblCECO[area],"(sin catálogo)"))</f>
        <v/>
      </c>
      <c r="Z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5">
        <f>IF(tblOrdenes[[#This Row],[centro_costo]]="","",_xlfn.XLOOKUP(tblOrdenes[[#This Row],[centro_costo]],tblCECO[codigo],tblCECO[coordinador],"(sin catálogo)"))</f>
        <v/>
      </c>
      <c r="AB575" s="5">
        <f>IF(tblOrdenes[[#This Row],[puesto_trabajo]]="","",_xlfn.XLOOKUP(tblOrdenes[[#This Row],[puesto_trabajo]],tblPuestos[codigo],tblPuestos[especialidad],"(sin catálogo)"))</f>
        <v/>
      </c>
      <c r="AC575" s="5">
        <f>IF(tblOrdenes[[#This Row],[cod_actividad]]="","",_xlfn.XLOOKUP(tblOrdenes[[#This Row],[cod_actividad]],tblActividades[codigo],tblActividades[descripcion],"(sin catálogo)"))</f>
        <v/>
      </c>
      <c r="AD575" s="23">
        <f>IF(tblOrdenes[[#This Row],[fecha_inicio]]="","",TODAY()-tblOrdenes[[#This Row],[fecha_inicio]])</f>
        <v/>
      </c>
      <c r="AE5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5">
        <f>IF(tblOrdenes[[#This Row],[backlog_habiles]]="","",IF(tblOrdenes[[#This Row],[backlog_habiles]]&lt;0,"FUTURO",IF(tblOrdenes[[#This Row],[backlog_habiles]]&gt;p_dias_backlog_max,"BACKLOG","MES CORRIENTE")))</f>
        <v/>
      </c>
      <c r="AG575" s="5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18">
        <f>IF(tblOrdenes[[#This Row],[orden]]="","",_xlfn.XLOOKUP(tblOrdenes[[#This Row],[id_operacion]],tblEjecucion[id_operacion],tblEjecucion[precio],0))</f>
        <v/>
      </c>
      <c r="AM575" s="18">
        <f>IF(tblOrdenes[[#This Row],[orden]]="","",MAX(0,_xlfn.XLOOKUP(tblOrdenes[[#This Row],[id_operacion]],tblEjecucion[id_operacion],tblEjecucion[costo_plan_total],0)-tblOrdenes[[#This Row],[costo_servicio]]))</f>
        <v/>
      </c>
      <c r="AN575" s="18">
        <f>IF(tblOrdenes[[#This Row],[orden]]="","",tblOrdenes[[#This Row],[costo_servicio]]+tblOrdenes[[#This Row],[costo_materiales]])</f>
        <v/>
      </c>
      <c r="AO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5">
        <f>IF(tblOrdenes[[#This Row],[link_checklist]]="","",HYPERLINK(p_ruta_base_checklists&amp;tblOrdenes[[#This Row],[link_checklist]],"abrir"))</f>
        <v/>
      </c>
      <c r="AT575" s="4" t="n"/>
      <c r="AU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5" t="n"/>
      <c r="K576" s="5" t="n"/>
      <c r="L576" s="18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Row],[fecha_inicio]]="","",tblOrdenes[[#This Row],[anio]]&amp;"-"&amp;TEXT(tblOrdenes[[#This Row],[mes]],"00"))</f>
        <v/>
      </c>
      <c r="S576" s="5">
        <f>IF(tblOrdenes[[#This Row],[fecha_inicio]]="","",INDEX(lista_dias,WEEKDAY(tblOrdenes[[#This Row],[fecha_inicio]],2)))</f>
        <v/>
      </c>
      <c r="T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5">
        <f>IF(tblOrdenes[[#This Row],[tipo_ot]]="","",_xlfn.XLOOKUP(tblOrdenes[[#This Row],[tipo_ot]],tblTiposOT[codigo],tblTiposOT[clasificacion],"sin_clasificar"))</f>
        <v/>
      </c>
      <c r="V5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5">
        <f>IF(tblOrdenes[[#This Row],[centro_costo]]="","",_xlfn.XLOOKUP(tblOrdenes[[#This Row],[centro_costo]],tblCECO[codigo],tblCECO[linea],"(sin catálogo)"))</f>
        <v/>
      </c>
      <c r="Y576" s="5">
        <f>IF(tblOrdenes[[#This Row],[centro_costo]]="","",_xlfn.XLOOKUP(tblOrdenes[[#This Row],[centro_costo]],tblCECO[codigo],tblCECO[area],"(sin catálogo)"))</f>
        <v/>
      </c>
      <c r="Z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5">
        <f>IF(tblOrdenes[[#This Row],[centro_costo]]="","",_xlfn.XLOOKUP(tblOrdenes[[#This Row],[centro_costo]],tblCECO[codigo],tblCECO[coordinador],"(sin catálogo)"))</f>
        <v/>
      </c>
      <c r="AB576" s="5">
        <f>IF(tblOrdenes[[#This Row],[puesto_trabajo]]="","",_xlfn.XLOOKUP(tblOrdenes[[#This Row],[puesto_trabajo]],tblPuestos[codigo],tblPuestos[especialidad],"(sin catálogo)"))</f>
        <v/>
      </c>
      <c r="AC576" s="5">
        <f>IF(tblOrdenes[[#This Row],[cod_actividad]]="","",_xlfn.XLOOKUP(tblOrdenes[[#This Row],[cod_actividad]],tblActividades[codigo],tblActividades[descripcion],"(sin catálogo)"))</f>
        <v/>
      </c>
      <c r="AD576" s="23">
        <f>IF(tblOrdenes[[#This Row],[fecha_inicio]]="","",TODAY()-tblOrdenes[[#This Row],[fecha_inicio]])</f>
        <v/>
      </c>
      <c r="AE5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5">
        <f>IF(tblOrdenes[[#This Row],[backlog_habiles]]="","",IF(tblOrdenes[[#This Row],[backlog_habiles]]&lt;0,"FUTURO",IF(tblOrdenes[[#This Row],[backlog_habiles]]&gt;p_dias_backlog_max,"BACKLOG","MES CORRIENTE")))</f>
        <v/>
      </c>
      <c r="AG576" s="5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18">
        <f>IF(tblOrdenes[[#This Row],[orden]]="","",_xlfn.XLOOKUP(tblOrdenes[[#This Row],[id_operacion]],tblEjecucion[id_operacion],tblEjecucion[precio],0))</f>
        <v/>
      </c>
      <c r="AM576" s="18">
        <f>IF(tblOrdenes[[#This Row],[orden]]="","",MAX(0,_xlfn.XLOOKUP(tblOrdenes[[#This Row],[id_operacion]],tblEjecucion[id_operacion],tblEjecucion[costo_plan_total],0)-tblOrdenes[[#This Row],[costo_servicio]]))</f>
        <v/>
      </c>
      <c r="AN576" s="18">
        <f>IF(tblOrdenes[[#This Row],[orden]]="","",tblOrdenes[[#This Row],[costo_servicio]]+tblOrdenes[[#This Row],[costo_materiales]])</f>
        <v/>
      </c>
      <c r="AO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5">
        <f>IF(tblOrdenes[[#This Row],[link_checklist]]="","",HYPERLINK(p_ruta_base_checklists&amp;tblOrdenes[[#This Row],[link_checklist]],"abrir"))</f>
        <v/>
      </c>
      <c r="AT576" s="4" t="n"/>
      <c r="AU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5" t="n"/>
      <c r="K577" s="5" t="n"/>
      <c r="L577" s="18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Row],[fecha_inicio]]="","",tblOrdenes[[#This Row],[anio]]&amp;"-"&amp;TEXT(tblOrdenes[[#This Row],[mes]],"00"))</f>
        <v/>
      </c>
      <c r="S577" s="5">
        <f>IF(tblOrdenes[[#This Row],[fecha_inicio]]="","",INDEX(lista_dias,WEEKDAY(tblOrdenes[[#This Row],[fecha_inicio]],2)))</f>
        <v/>
      </c>
      <c r="T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5">
        <f>IF(tblOrdenes[[#This Row],[tipo_ot]]="","",_xlfn.XLOOKUP(tblOrdenes[[#This Row],[tipo_ot]],tblTiposOT[codigo],tblTiposOT[clasificacion],"sin_clasificar"))</f>
        <v/>
      </c>
      <c r="V5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5">
        <f>IF(tblOrdenes[[#This Row],[centro_costo]]="","",_xlfn.XLOOKUP(tblOrdenes[[#This Row],[centro_costo]],tblCECO[codigo],tblCECO[linea],"(sin catálogo)"))</f>
        <v/>
      </c>
      <c r="Y577" s="5">
        <f>IF(tblOrdenes[[#This Row],[centro_costo]]="","",_xlfn.XLOOKUP(tblOrdenes[[#This Row],[centro_costo]],tblCECO[codigo],tblCECO[area],"(sin catálogo)"))</f>
        <v/>
      </c>
      <c r="Z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5">
        <f>IF(tblOrdenes[[#This Row],[centro_costo]]="","",_xlfn.XLOOKUP(tblOrdenes[[#This Row],[centro_costo]],tblCECO[codigo],tblCECO[coordinador],"(sin catálogo)"))</f>
        <v/>
      </c>
      <c r="AB577" s="5">
        <f>IF(tblOrdenes[[#This Row],[puesto_trabajo]]="","",_xlfn.XLOOKUP(tblOrdenes[[#This Row],[puesto_trabajo]],tblPuestos[codigo],tblPuestos[especialidad],"(sin catálogo)"))</f>
        <v/>
      </c>
      <c r="AC577" s="5">
        <f>IF(tblOrdenes[[#This Row],[cod_actividad]]="","",_xlfn.XLOOKUP(tblOrdenes[[#This Row],[cod_actividad]],tblActividades[codigo],tblActividades[descripcion],"(sin catálogo)"))</f>
        <v/>
      </c>
      <c r="AD577" s="23">
        <f>IF(tblOrdenes[[#This Row],[fecha_inicio]]="","",TODAY()-tblOrdenes[[#This Row],[fecha_inicio]])</f>
        <v/>
      </c>
      <c r="AE5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5">
        <f>IF(tblOrdenes[[#This Row],[backlog_habiles]]="","",IF(tblOrdenes[[#This Row],[backlog_habiles]]&lt;0,"FUTURO",IF(tblOrdenes[[#This Row],[backlog_habiles]]&gt;p_dias_backlog_max,"BACKLOG","MES CORRIENTE")))</f>
        <v/>
      </c>
      <c r="AG577" s="5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18">
        <f>IF(tblOrdenes[[#This Row],[orden]]="","",_xlfn.XLOOKUP(tblOrdenes[[#This Row],[id_operacion]],tblEjecucion[id_operacion],tblEjecucion[precio],0))</f>
        <v/>
      </c>
      <c r="AM577" s="18">
        <f>IF(tblOrdenes[[#This Row],[orden]]="","",MAX(0,_xlfn.XLOOKUP(tblOrdenes[[#This Row],[id_operacion]],tblEjecucion[id_operacion],tblEjecucion[costo_plan_total],0)-tblOrdenes[[#This Row],[costo_servicio]]))</f>
        <v/>
      </c>
      <c r="AN577" s="18">
        <f>IF(tblOrdenes[[#This Row],[orden]]="","",tblOrdenes[[#This Row],[costo_servicio]]+tblOrdenes[[#This Row],[costo_materiales]])</f>
        <v/>
      </c>
      <c r="AO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5">
        <f>IF(tblOrdenes[[#This Row],[link_checklist]]="","",HYPERLINK(p_ruta_base_checklists&amp;tblOrdenes[[#This Row],[link_checklist]],"abrir"))</f>
        <v/>
      </c>
      <c r="AT577" s="4" t="n"/>
      <c r="AU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5" t="n"/>
      <c r="K578" s="5" t="n"/>
      <c r="L578" s="18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Row],[fecha_inicio]]="","",tblOrdenes[[#This Row],[anio]]&amp;"-"&amp;TEXT(tblOrdenes[[#This Row],[mes]],"00"))</f>
        <v/>
      </c>
      <c r="S578" s="5">
        <f>IF(tblOrdenes[[#This Row],[fecha_inicio]]="","",INDEX(lista_dias,WEEKDAY(tblOrdenes[[#This Row],[fecha_inicio]],2)))</f>
        <v/>
      </c>
      <c r="T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5">
        <f>IF(tblOrdenes[[#This Row],[tipo_ot]]="","",_xlfn.XLOOKUP(tblOrdenes[[#This Row],[tipo_ot]],tblTiposOT[codigo],tblTiposOT[clasificacion],"sin_clasificar"))</f>
        <v/>
      </c>
      <c r="V5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5">
        <f>IF(tblOrdenes[[#This Row],[centro_costo]]="","",_xlfn.XLOOKUP(tblOrdenes[[#This Row],[centro_costo]],tblCECO[codigo],tblCECO[linea],"(sin catálogo)"))</f>
        <v/>
      </c>
      <c r="Y578" s="5">
        <f>IF(tblOrdenes[[#This Row],[centro_costo]]="","",_xlfn.XLOOKUP(tblOrdenes[[#This Row],[centro_costo]],tblCECO[codigo],tblCECO[area],"(sin catálogo)"))</f>
        <v/>
      </c>
      <c r="Z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5">
        <f>IF(tblOrdenes[[#This Row],[centro_costo]]="","",_xlfn.XLOOKUP(tblOrdenes[[#This Row],[centro_costo]],tblCECO[codigo],tblCECO[coordinador],"(sin catálogo)"))</f>
        <v/>
      </c>
      <c r="AB578" s="5">
        <f>IF(tblOrdenes[[#This Row],[puesto_trabajo]]="","",_xlfn.XLOOKUP(tblOrdenes[[#This Row],[puesto_trabajo]],tblPuestos[codigo],tblPuestos[especialidad],"(sin catálogo)"))</f>
        <v/>
      </c>
      <c r="AC578" s="5">
        <f>IF(tblOrdenes[[#This Row],[cod_actividad]]="","",_xlfn.XLOOKUP(tblOrdenes[[#This Row],[cod_actividad]],tblActividades[codigo],tblActividades[descripcion],"(sin catálogo)"))</f>
        <v/>
      </c>
      <c r="AD578" s="23">
        <f>IF(tblOrdenes[[#This Row],[fecha_inicio]]="","",TODAY()-tblOrdenes[[#This Row],[fecha_inicio]])</f>
        <v/>
      </c>
      <c r="AE5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5">
        <f>IF(tblOrdenes[[#This Row],[backlog_habiles]]="","",IF(tblOrdenes[[#This Row],[backlog_habiles]]&lt;0,"FUTURO",IF(tblOrdenes[[#This Row],[backlog_habiles]]&gt;p_dias_backlog_max,"BACKLOG","MES CORRIENTE")))</f>
        <v/>
      </c>
      <c r="AG578" s="5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18">
        <f>IF(tblOrdenes[[#This Row],[orden]]="","",_xlfn.XLOOKUP(tblOrdenes[[#This Row],[id_operacion]],tblEjecucion[id_operacion],tblEjecucion[precio],0))</f>
        <v/>
      </c>
      <c r="AM578" s="18">
        <f>IF(tblOrdenes[[#This Row],[orden]]="","",MAX(0,_xlfn.XLOOKUP(tblOrdenes[[#This Row],[id_operacion]],tblEjecucion[id_operacion],tblEjecucion[costo_plan_total],0)-tblOrdenes[[#This Row],[costo_servicio]]))</f>
        <v/>
      </c>
      <c r="AN578" s="18">
        <f>IF(tblOrdenes[[#This Row],[orden]]="","",tblOrdenes[[#This Row],[costo_servicio]]+tblOrdenes[[#This Row],[costo_materiales]])</f>
        <v/>
      </c>
      <c r="AO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5">
        <f>IF(tblOrdenes[[#This Row],[link_checklist]]="","",HYPERLINK(p_ruta_base_checklists&amp;tblOrdenes[[#This Row],[link_checklist]],"abrir"))</f>
        <v/>
      </c>
      <c r="AT578" s="4" t="n"/>
      <c r="AU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5" t="n"/>
      <c r="K579" s="5" t="n"/>
      <c r="L579" s="18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Row],[fecha_inicio]]="","",tblOrdenes[[#This Row],[anio]]&amp;"-"&amp;TEXT(tblOrdenes[[#This Row],[mes]],"00"))</f>
        <v/>
      </c>
      <c r="S579" s="5">
        <f>IF(tblOrdenes[[#This Row],[fecha_inicio]]="","",INDEX(lista_dias,WEEKDAY(tblOrdenes[[#This Row],[fecha_inicio]],2)))</f>
        <v/>
      </c>
      <c r="T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5">
        <f>IF(tblOrdenes[[#This Row],[tipo_ot]]="","",_xlfn.XLOOKUP(tblOrdenes[[#This Row],[tipo_ot]],tblTiposOT[codigo],tblTiposOT[clasificacion],"sin_clasificar"))</f>
        <v/>
      </c>
      <c r="V5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5">
        <f>IF(tblOrdenes[[#This Row],[centro_costo]]="","",_xlfn.XLOOKUP(tblOrdenes[[#This Row],[centro_costo]],tblCECO[codigo],tblCECO[linea],"(sin catálogo)"))</f>
        <v/>
      </c>
      <c r="Y579" s="5">
        <f>IF(tblOrdenes[[#This Row],[centro_costo]]="","",_xlfn.XLOOKUP(tblOrdenes[[#This Row],[centro_costo]],tblCECO[codigo],tblCECO[area],"(sin catálogo)"))</f>
        <v/>
      </c>
      <c r="Z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5">
        <f>IF(tblOrdenes[[#This Row],[centro_costo]]="","",_xlfn.XLOOKUP(tblOrdenes[[#This Row],[centro_costo]],tblCECO[codigo],tblCECO[coordinador],"(sin catálogo)"))</f>
        <v/>
      </c>
      <c r="AB579" s="5">
        <f>IF(tblOrdenes[[#This Row],[puesto_trabajo]]="","",_xlfn.XLOOKUP(tblOrdenes[[#This Row],[puesto_trabajo]],tblPuestos[codigo],tblPuestos[especialidad],"(sin catálogo)"))</f>
        <v/>
      </c>
      <c r="AC579" s="5">
        <f>IF(tblOrdenes[[#This Row],[cod_actividad]]="","",_xlfn.XLOOKUP(tblOrdenes[[#This Row],[cod_actividad]],tblActividades[codigo],tblActividades[descripcion],"(sin catálogo)"))</f>
        <v/>
      </c>
      <c r="AD579" s="23">
        <f>IF(tblOrdenes[[#This Row],[fecha_inicio]]="","",TODAY()-tblOrdenes[[#This Row],[fecha_inicio]])</f>
        <v/>
      </c>
      <c r="AE5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5">
        <f>IF(tblOrdenes[[#This Row],[backlog_habiles]]="","",IF(tblOrdenes[[#This Row],[backlog_habiles]]&lt;0,"FUTURO",IF(tblOrdenes[[#This Row],[backlog_habiles]]&gt;p_dias_backlog_max,"BACKLOG","MES CORRIENTE")))</f>
        <v/>
      </c>
      <c r="AG579" s="5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18">
        <f>IF(tblOrdenes[[#This Row],[orden]]="","",_xlfn.XLOOKUP(tblOrdenes[[#This Row],[id_operacion]],tblEjecucion[id_operacion],tblEjecucion[precio],0))</f>
        <v/>
      </c>
      <c r="AM579" s="18">
        <f>IF(tblOrdenes[[#This Row],[orden]]="","",MAX(0,_xlfn.XLOOKUP(tblOrdenes[[#This Row],[id_operacion]],tblEjecucion[id_operacion],tblEjecucion[costo_plan_total],0)-tblOrdenes[[#This Row],[costo_servicio]]))</f>
        <v/>
      </c>
      <c r="AN579" s="18">
        <f>IF(tblOrdenes[[#This Row],[orden]]="","",tblOrdenes[[#This Row],[costo_servicio]]+tblOrdenes[[#This Row],[costo_materiales]])</f>
        <v/>
      </c>
      <c r="AO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5">
        <f>IF(tblOrdenes[[#This Row],[link_checklist]]="","",HYPERLINK(p_ruta_base_checklists&amp;tblOrdenes[[#This Row],[link_checklist]],"abrir"))</f>
        <v/>
      </c>
      <c r="AT579" s="4" t="n"/>
      <c r="AU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5" t="n"/>
      <c r="K580" s="5" t="n"/>
      <c r="L580" s="18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Row],[fecha_inicio]]="","",tblOrdenes[[#This Row],[anio]]&amp;"-"&amp;TEXT(tblOrdenes[[#This Row],[mes]],"00"))</f>
        <v/>
      </c>
      <c r="S580" s="5">
        <f>IF(tblOrdenes[[#This Row],[fecha_inicio]]="","",INDEX(lista_dias,WEEKDAY(tblOrdenes[[#This Row],[fecha_inicio]],2)))</f>
        <v/>
      </c>
      <c r="T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5">
        <f>IF(tblOrdenes[[#This Row],[tipo_ot]]="","",_xlfn.XLOOKUP(tblOrdenes[[#This Row],[tipo_ot]],tblTiposOT[codigo],tblTiposOT[clasificacion],"sin_clasificar"))</f>
        <v/>
      </c>
      <c r="V5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5">
        <f>IF(tblOrdenes[[#This Row],[centro_costo]]="","",_xlfn.XLOOKUP(tblOrdenes[[#This Row],[centro_costo]],tblCECO[codigo],tblCECO[linea],"(sin catálogo)"))</f>
        <v/>
      </c>
      <c r="Y580" s="5">
        <f>IF(tblOrdenes[[#This Row],[centro_costo]]="","",_xlfn.XLOOKUP(tblOrdenes[[#This Row],[centro_costo]],tblCECO[codigo],tblCECO[area],"(sin catálogo)"))</f>
        <v/>
      </c>
      <c r="Z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5">
        <f>IF(tblOrdenes[[#This Row],[centro_costo]]="","",_xlfn.XLOOKUP(tblOrdenes[[#This Row],[centro_costo]],tblCECO[codigo],tblCECO[coordinador],"(sin catálogo)"))</f>
        <v/>
      </c>
      <c r="AB580" s="5">
        <f>IF(tblOrdenes[[#This Row],[puesto_trabajo]]="","",_xlfn.XLOOKUP(tblOrdenes[[#This Row],[puesto_trabajo]],tblPuestos[codigo],tblPuestos[especialidad],"(sin catálogo)"))</f>
        <v/>
      </c>
      <c r="AC580" s="5">
        <f>IF(tblOrdenes[[#This Row],[cod_actividad]]="","",_xlfn.XLOOKUP(tblOrdenes[[#This Row],[cod_actividad]],tblActividades[codigo],tblActividades[descripcion],"(sin catálogo)"))</f>
        <v/>
      </c>
      <c r="AD580" s="23">
        <f>IF(tblOrdenes[[#This Row],[fecha_inicio]]="","",TODAY()-tblOrdenes[[#This Row],[fecha_inicio]])</f>
        <v/>
      </c>
      <c r="AE5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5">
        <f>IF(tblOrdenes[[#This Row],[backlog_habiles]]="","",IF(tblOrdenes[[#This Row],[backlog_habiles]]&lt;0,"FUTURO",IF(tblOrdenes[[#This Row],[backlog_habiles]]&gt;p_dias_backlog_max,"BACKLOG","MES CORRIENTE")))</f>
        <v/>
      </c>
      <c r="AG580" s="5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18">
        <f>IF(tblOrdenes[[#This Row],[orden]]="","",_xlfn.XLOOKUP(tblOrdenes[[#This Row],[id_operacion]],tblEjecucion[id_operacion],tblEjecucion[precio],0))</f>
        <v/>
      </c>
      <c r="AM580" s="18">
        <f>IF(tblOrdenes[[#This Row],[orden]]="","",MAX(0,_xlfn.XLOOKUP(tblOrdenes[[#This Row],[id_operacion]],tblEjecucion[id_operacion],tblEjecucion[costo_plan_total],0)-tblOrdenes[[#This Row],[costo_servicio]]))</f>
        <v/>
      </c>
      <c r="AN580" s="18">
        <f>IF(tblOrdenes[[#This Row],[orden]]="","",tblOrdenes[[#This Row],[costo_servicio]]+tblOrdenes[[#This Row],[costo_materiales]])</f>
        <v/>
      </c>
      <c r="AO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5">
        <f>IF(tblOrdenes[[#This Row],[link_checklist]]="","",HYPERLINK(p_ruta_base_checklists&amp;tblOrdenes[[#This Row],[link_checklist]],"abrir"))</f>
        <v/>
      </c>
      <c r="AT580" s="4" t="n"/>
      <c r="AU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5" t="n"/>
      <c r="K581" s="5" t="n"/>
      <c r="L581" s="18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Row],[fecha_inicio]]="","",tblOrdenes[[#This Row],[anio]]&amp;"-"&amp;TEXT(tblOrdenes[[#This Row],[mes]],"00"))</f>
        <v/>
      </c>
      <c r="S581" s="5">
        <f>IF(tblOrdenes[[#This Row],[fecha_inicio]]="","",INDEX(lista_dias,WEEKDAY(tblOrdenes[[#This Row],[fecha_inicio]],2)))</f>
        <v/>
      </c>
      <c r="T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5">
        <f>IF(tblOrdenes[[#This Row],[tipo_ot]]="","",_xlfn.XLOOKUP(tblOrdenes[[#This Row],[tipo_ot]],tblTiposOT[codigo],tblTiposOT[clasificacion],"sin_clasificar"))</f>
        <v/>
      </c>
      <c r="V5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5">
        <f>IF(tblOrdenes[[#This Row],[centro_costo]]="","",_xlfn.XLOOKUP(tblOrdenes[[#This Row],[centro_costo]],tblCECO[codigo],tblCECO[linea],"(sin catálogo)"))</f>
        <v/>
      </c>
      <c r="Y581" s="5">
        <f>IF(tblOrdenes[[#This Row],[centro_costo]]="","",_xlfn.XLOOKUP(tblOrdenes[[#This Row],[centro_costo]],tblCECO[codigo],tblCECO[area],"(sin catálogo)"))</f>
        <v/>
      </c>
      <c r="Z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5">
        <f>IF(tblOrdenes[[#This Row],[centro_costo]]="","",_xlfn.XLOOKUP(tblOrdenes[[#This Row],[centro_costo]],tblCECO[codigo],tblCECO[coordinador],"(sin catálogo)"))</f>
        <v/>
      </c>
      <c r="AB581" s="5">
        <f>IF(tblOrdenes[[#This Row],[puesto_trabajo]]="","",_xlfn.XLOOKUP(tblOrdenes[[#This Row],[puesto_trabajo]],tblPuestos[codigo],tblPuestos[especialidad],"(sin catálogo)"))</f>
        <v/>
      </c>
      <c r="AC581" s="5">
        <f>IF(tblOrdenes[[#This Row],[cod_actividad]]="","",_xlfn.XLOOKUP(tblOrdenes[[#This Row],[cod_actividad]],tblActividades[codigo],tblActividades[descripcion],"(sin catálogo)"))</f>
        <v/>
      </c>
      <c r="AD581" s="23">
        <f>IF(tblOrdenes[[#This Row],[fecha_inicio]]="","",TODAY()-tblOrdenes[[#This Row],[fecha_inicio]])</f>
        <v/>
      </c>
      <c r="AE5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5">
        <f>IF(tblOrdenes[[#This Row],[backlog_habiles]]="","",IF(tblOrdenes[[#This Row],[backlog_habiles]]&lt;0,"FUTURO",IF(tblOrdenes[[#This Row],[backlog_habiles]]&gt;p_dias_backlog_max,"BACKLOG","MES CORRIENTE")))</f>
        <v/>
      </c>
      <c r="AG581" s="5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18">
        <f>IF(tblOrdenes[[#This Row],[orden]]="","",_xlfn.XLOOKUP(tblOrdenes[[#This Row],[id_operacion]],tblEjecucion[id_operacion],tblEjecucion[precio],0))</f>
        <v/>
      </c>
      <c r="AM581" s="18">
        <f>IF(tblOrdenes[[#This Row],[orden]]="","",MAX(0,_xlfn.XLOOKUP(tblOrdenes[[#This Row],[id_operacion]],tblEjecucion[id_operacion],tblEjecucion[costo_plan_total],0)-tblOrdenes[[#This Row],[costo_servicio]]))</f>
        <v/>
      </c>
      <c r="AN581" s="18">
        <f>IF(tblOrdenes[[#This Row],[orden]]="","",tblOrdenes[[#This Row],[costo_servicio]]+tblOrdenes[[#This Row],[costo_materiales]])</f>
        <v/>
      </c>
      <c r="AO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5">
        <f>IF(tblOrdenes[[#This Row],[link_checklist]]="","",HYPERLINK(p_ruta_base_checklists&amp;tblOrdenes[[#This Row],[link_checklist]],"abrir"))</f>
        <v/>
      </c>
      <c r="AT581" s="4" t="n"/>
      <c r="AU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5" t="n"/>
      <c r="K582" s="5" t="n"/>
      <c r="L582" s="18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Row],[fecha_inicio]]="","",tblOrdenes[[#This Row],[anio]]&amp;"-"&amp;TEXT(tblOrdenes[[#This Row],[mes]],"00"))</f>
        <v/>
      </c>
      <c r="S582" s="5">
        <f>IF(tblOrdenes[[#This Row],[fecha_inicio]]="","",INDEX(lista_dias,WEEKDAY(tblOrdenes[[#This Row],[fecha_inicio]],2)))</f>
        <v/>
      </c>
      <c r="T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5">
        <f>IF(tblOrdenes[[#This Row],[tipo_ot]]="","",_xlfn.XLOOKUP(tblOrdenes[[#This Row],[tipo_ot]],tblTiposOT[codigo],tblTiposOT[clasificacion],"sin_clasificar"))</f>
        <v/>
      </c>
      <c r="V5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5">
        <f>IF(tblOrdenes[[#This Row],[centro_costo]]="","",_xlfn.XLOOKUP(tblOrdenes[[#This Row],[centro_costo]],tblCECO[codigo],tblCECO[linea],"(sin catálogo)"))</f>
        <v/>
      </c>
      <c r="Y582" s="5">
        <f>IF(tblOrdenes[[#This Row],[centro_costo]]="","",_xlfn.XLOOKUP(tblOrdenes[[#This Row],[centro_costo]],tblCECO[codigo],tblCECO[area],"(sin catálogo)"))</f>
        <v/>
      </c>
      <c r="Z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5">
        <f>IF(tblOrdenes[[#This Row],[centro_costo]]="","",_xlfn.XLOOKUP(tblOrdenes[[#This Row],[centro_costo]],tblCECO[codigo],tblCECO[coordinador],"(sin catálogo)"))</f>
        <v/>
      </c>
      <c r="AB582" s="5">
        <f>IF(tblOrdenes[[#This Row],[puesto_trabajo]]="","",_xlfn.XLOOKUP(tblOrdenes[[#This Row],[puesto_trabajo]],tblPuestos[codigo],tblPuestos[especialidad],"(sin catálogo)"))</f>
        <v/>
      </c>
      <c r="AC582" s="5">
        <f>IF(tblOrdenes[[#This Row],[cod_actividad]]="","",_xlfn.XLOOKUP(tblOrdenes[[#This Row],[cod_actividad]],tblActividades[codigo],tblActividades[descripcion],"(sin catálogo)"))</f>
        <v/>
      </c>
      <c r="AD582" s="23">
        <f>IF(tblOrdenes[[#This Row],[fecha_inicio]]="","",TODAY()-tblOrdenes[[#This Row],[fecha_inicio]])</f>
        <v/>
      </c>
      <c r="AE5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5">
        <f>IF(tblOrdenes[[#This Row],[backlog_habiles]]="","",IF(tblOrdenes[[#This Row],[backlog_habiles]]&lt;0,"FUTURO",IF(tblOrdenes[[#This Row],[backlog_habiles]]&gt;p_dias_backlog_max,"BACKLOG","MES CORRIENTE")))</f>
        <v/>
      </c>
      <c r="AG582" s="5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18">
        <f>IF(tblOrdenes[[#This Row],[orden]]="","",_xlfn.XLOOKUP(tblOrdenes[[#This Row],[id_operacion]],tblEjecucion[id_operacion],tblEjecucion[precio],0))</f>
        <v/>
      </c>
      <c r="AM582" s="18">
        <f>IF(tblOrdenes[[#This Row],[orden]]="","",MAX(0,_xlfn.XLOOKUP(tblOrdenes[[#This Row],[id_operacion]],tblEjecucion[id_operacion],tblEjecucion[costo_plan_total],0)-tblOrdenes[[#This Row],[costo_servicio]]))</f>
        <v/>
      </c>
      <c r="AN582" s="18">
        <f>IF(tblOrdenes[[#This Row],[orden]]="","",tblOrdenes[[#This Row],[costo_servicio]]+tblOrdenes[[#This Row],[costo_materiales]])</f>
        <v/>
      </c>
      <c r="AO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5">
        <f>IF(tblOrdenes[[#This Row],[link_checklist]]="","",HYPERLINK(p_ruta_base_checklists&amp;tblOrdenes[[#This Row],[link_checklist]],"abrir"))</f>
        <v/>
      </c>
      <c r="AT582" s="4" t="n"/>
      <c r="AU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5" t="n"/>
      <c r="K583" s="5" t="n"/>
      <c r="L583" s="18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Row],[fecha_inicio]]="","",tblOrdenes[[#This Row],[anio]]&amp;"-"&amp;TEXT(tblOrdenes[[#This Row],[mes]],"00"))</f>
        <v/>
      </c>
      <c r="S583" s="5">
        <f>IF(tblOrdenes[[#This Row],[fecha_inicio]]="","",INDEX(lista_dias,WEEKDAY(tblOrdenes[[#This Row],[fecha_inicio]],2)))</f>
        <v/>
      </c>
      <c r="T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5">
        <f>IF(tblOrdenes[[#This Row],[tipo_ot]]="","",_xlfn.XLOOKUP(tblOrdenes[[#This Row],[tipo_ot]],tblTiposOT[codigo],tblTiposOT[clasificacion],"sin_clasificar"))</f>
        <v/>
      </c>
      <c r="V5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5">
        <f>IF(tblOrdenes[[#This Row],[centro_costo]]="","",_xlfn.XLOOKUP(tblOrdenes[[#This Row],[centro_costo]],tblCECO[codigo],tblCECO[linea],"(sin catálogo)"))</f>
        <v/>
      </c>
      <c r="Y583" s="5">
        <f>IF(tblOrdenes[[#This Row],[centro_costo]]="","",_xlfn.XLOOKUP(tblOrdenes[[#This Row],[centro_costo]],tblCECO[codigo],tblCECO[area],"(sin catálogo)"))</f>
        <v/>
      </c>
      <c r="Z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5">
        <f>IF(tblOrdenes[[#This Row],[centro_costo]]="","",_xlfn.XLOOKUP(tblOrdenes[[#This Row],[centro_costo]],tblCECO[codigo],tblCECO[coordinador],"(sin catálogo)"))</f>
        <v/>
      </c>
      <c r="AB583" s="5">
        <f>IF(tblOrdenes[[#This Row],[puesto_trabajo]]="","",_xlfn.XLOOKUP(tblOrdenes[[#This Row],[puesto_trabajo]],tblPuestos[codigo],tblPuestos[especialidad],"(sin catálogo)"))</f>
        <v/>
      </c>
      <c r="AC583" s="5">
        <f>IF(tblOrdenes[[#This Row],[cod_actividad]]="","",_xlfn.XLOOKUP(tblOrdenes[[#This Row],[cod_actividad]],tblActividades[codigo],tblActividades[descripcion],"(sin catálogo)"))</f>
        <v/>
      </c>
      <c r="AD583" s="23">
        <f>IF(tblOrdenes[[#This Row],[fecha_inicio]]="","",TODAY()-tblOrdenes[[#This Row],[fecha_inicio]])</f>
        <v/>
      </c>
      <c r="AE5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5">
        <f>IF(tblOrdenes[[#This Row],[backlog_habiles]]="","",IF(tblOrdenes[[#This Row],[backlog_habiles]]&lt;0,"FUTURO",IF(tblOrdenes[[#This Row],[backlog_habiles]]&gt;p_dias_backlog_max,"BACKLOG","MES CORRIENTE")))</f>
        <v/>
      </c>
      <c r="AG583" s="5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18">
        <f>IF(tblOrdenes[[#This Row],[orden]]="","",_xlfn.XLOOKUP(tblOrdenes[[#This Row],[id_operacion]],tblEjecucion[id_operacion],tblEjecucion[precio],0))</f>
        <v/>
      </c>
      <c r="AM583" s="18">
        <f>IF(tblOrdenes[[#This Row],[orden]]="","",MAX(0,_xlfn.XLOOKUP(tblOrdenes[[#This Row],[id_operacion]],tblEjecucion[id_operacion],tblEjecucion[costo_plan_total],0)-tblOrdenes[[#This Row],[costo_servicio]]))</f>
        <v/>
      </c>
      <c r="AN583" s="18">
        <f>IF(tblOrdenes[[#This Row],[orden]]="","",tblOrdenes[[#This Row],[costo_servicio]]+tblOrdenes[[#This Row],[costo_materiales]])</f>
        <v/>
      </c>
      <c r="AO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5">
        <f>IF(tblOrdenes[[#This Row],[link_checklist]]="","",HYPERLINK(p_ruta_base_checklists&amp;tblOrdenes[[#This Row],[link_checklist]],"abrir"))</f>
        <v/>
      </c>
      <c r="AT583" s="4" t="n"/>
      <c r="AU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5" t="n"/>
      <c r="K584" s="5" t="n"/>
      <c r="L584" s="18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Row],[fecha_inicio]]="","",tblOrdenes[[#This Row],[anio]]&amp;"-"&amp;TEXT(tblOrdenes[[#This Row],[mes]],"00"))</f>
        <v/>
      </c>
      <c r="S584" s="5">
        <f>IF(tblOrdenes[[#This Row],[fecha_inicio]]="","",INDEX(lista_dias,WEEKDAY(tblOrdenes[[#This Row],[fecha_inicio]],2)))</f>
        <v/>
      </c>
      <c r="T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5">
        <f>IF(tblOrdenes[[#This Row],[tipo_ot]]="","",_xlfn.XLOOKUP(tblOrdenes[[#This Row],[tipo_ot]],tblTiposOT[codigo],tblTiposOT[clasificacion],"sin_clasificar"))</f>
        <v/>
      </c>
      <c r="V5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5">
        <f>IF(tblOrdenes[[#This Row],[centro_costo]]="","",_xlfn.XLOOKUP(tblOrdenes[[#This Row],[centro_costo]],tblCECO[codigo],tblCECO[linea],"(sin catálogo)"))</f>
        <v/>
      </c>
      <c r="Y584" s="5">
        <f>IF(tblOrdenes[[#This Row],[centro_costo]]="","",_xlfn.XLOOKUP(tblOrdenes[[#This Row],[centro_costo]],tblCECO[codigo],tblCECO[area],"(sin catálogo)"))</f>
        <v/>
      </c>
      <c r="Z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5">
        <f>IF(tblOrdenes[[#This Row],[centro_costo]]="","",_xlfn.XLOOKUP(tblOrdenes[[#This Row],[centro_costo]],tblCECO[codigo],tblCECO[coordinador],"(sin catálogo)"))</f>
        <v/>
      </c>
      <c r="AB584" s="5">
        <f>IF(tblOrdenes[[#This Row],[puesto_trabajo]]="","",_xlfn.XLOOKUP(tblOrdenes[[#This Row],[puesto_trabajo]],tblPuestos[codigo],tblPuestos[especialidad],"(sin catálogo)"))</f>
        <v/>
      </c>
      <c r="AC584" s="5">
        <f>IF(tblOrdenes[[#This Row],[cod_actividad]]="","",_xlfn.XLOOKUP(tblOrdenes[[#This Row],[cod_actividad]],tblActividades[codigo],tblActividades[descripcion],"(sin catálogo)"))</f>
        <v/>
      </c>
      <c r="AD584" s="23">
        <f>IF(tblOrdenes[[#This Row],[fecha_inicio]]="","",TODAY()-tblOrdenes[[#This Row],[fecha_inicio]])</f>
        <v/>
      </c>
      <c r="AE5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5">
        <f>IF(tblOrdenes[[#This Row],[backlog_habiles]]="","",IF(tblOrdenes[[#This Row],[backlog_habiles]]&lt;0,"FUTURO",IF(tblOrdenes[[#This Row],[backlog_habiles]]&gt;p_dias_backlog_max,"BACKLOG","MES CORRIENTE")))</f>
        <v/>
      </c>
      <c r="AG584" s="5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18">
        <f>IF(tblOrdenes[[#This Row],[orden]]="","",_xlfn.XLOOKUP(tblOrdenes[[#This Row],[id_operacion]],tblEjecucion[id_operacion],tblEjecucion[precio],0))</f>
        <v/>
      </c>
      <c r="AM584" s="18">
        <f>IF(tblOrdenes[[#This Row],[orden]]="","",MAX(0,_xlfn.XLOOKUP(tblOrdenes[[#This Row],[id_operacion]],tblEjecucion[id_operacion],tblEjecucion[costo_plan_total],0)-tblOrdenes[[#This Row],[costo_servicio]]))</f>
        <v/>
      </c>
      <c r="AN584" s="18">
        <f>IF(tblOrdenes[[#This Row],[orden]]="","",tblOrdenes[[#This Row],[costo_servicio]]+tblOrdenes[[#This Row],[costo_materiales]])</f>
        <v/>
      </c>
      <c r="AO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5">
        <f>IF(tblOrdenes[[#This Row],[link_checklist]]="","",HYPERLINK(p_ruta_base_checklists&amp;tblOrdenes[[#This Row],[link_checklist]],"abrir"))</f>
        <v/>
      </c>
      <c r="AT584" s="4" t="n"/>
      <c r="AU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5" t="n"/>
      <c r="K585" s="5" t="n"/>
      <c r="L585" s="18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Row],[fecha_inicio]]="","",tblOrdenes[[#This Row],[anio]]&amp;"-"&amp;TEXT(tblOrdenes[[#This Row],[mes]],"00"))</f>
        <v/>
      </c>
      <c r="S585" s="5">
        <f>IF(tblOrdenes[[#This Row],[fecha_inicio]]="","",INDEX(lista_dias,WEEKDAY(tblOrdenes[[#This Row],[fecha_inicio]],2)))</f>
        <v/>
      </c>
      <c r="T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5">
        <f>IF(tblOrdenes[[#This Row],[tipo_ot]]="","",_xlfn.XLOOKUP(tblOrdenes[[#This Row],[tipo_ot]],tblTiposOT[codigo],tblTiposOT[clasificacion],"sin_clasificar"))</f>
        <v/>
      </c>
      <c r="V5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5">
        <f>IF(tblOrdenes[[#This Row],[centro_costo]]="","",_xlfn.XLOOKUP(tblOrdenes[[#This Row],[centro_costo]],tblCECO[codigo],tblCECO[linea],"(sin catálogo)"))</f>
        <v/>
      </c>
      <c r="Y585" s="5">
        <f>IF(tblOrdenes[[#This Row],[centro_costo]]="","",_xlfn.XLOOKUP(tblOrdenes[[#This Row],[centro_costo]],tblCECO[codigo],tblCECO[area],"(sin catálogo)"))</f>
        <v/>
      </c>
      <c r="Z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5">
        <f>IF(tblOrdenes[[#This Row],[centro_costo]]="","",_xlfn.XLOOKUP(tblOrdenes[[#This Row],[centro_costo]],tblCECO[codigo],tblCECO[coordinador],"(sin catálogo)"))</f>
        <v/>
      </c>
      <c r="AB585" s="5">
        <f>IF(tblOrdenes[[#This Row],[puesto_trabajo]]="","",_xlfn.XLOOKUP(tblOrdenes[[#This Row],[puesto_trabajo]],tblPuestos[codigo],tblPuestos[especialidad],"(sin catálogo)"))</f>
        <v/>
      </c>
      <c r="AC585" s="5">
        <f>IF(tblOrdenes[[#This Row],[cod_actividad]]="","",_xlfn.XLOOKUP(tblOrdenes[[#This Row],[cod_actividad]],tblActividades[codigo],tblActividades[descripcion],"(sin catálogo)"))</f>
        <v/>
      </c>
      <c r="AD585" s="23">
        <f>IF(tblOrdenes[[#This Row],[fecha_inicio]]="","",TODAY()-tblOrdenes[[#This Row],[fecha_inicio]])</f>
        <v/>
      </c>
      <c r="AE5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5">
        <f>IF(tblOrdenes[[#This Row],[backlog_habiles]]="","",IF(tblOrdenes[[#This Row],[backlog_habiles]]&lt;0,"FUTURO",IF(tblOrdenes[[#This Row],[backlog_habiles]]&gt;p_dias_backlog_max,"BACKLOG","MES CORRIENTE")))</f>
        <v/>
      </c>
      <c r="AG585" s="5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18">
        <f>IF(tblOrdenes[[#This Row],[orden]]="","",_xlfn.XLOOKUP(tblOrdenes[[#This Row],[id_operacion]],tblEjecucion[id_operacion],tblEjecucion[precio],0))</f>
        <v/>
      </c>
      <c r="AM585" s="18">
        <f>IF(tblOrdenes[[#This Row],[orden]]="","",MAX(0,_xlfn.XLOOKUP(tblOrdenes[[#This Row],[id_operacion]],tblEjecucion[id_operacion],tblEjecucion[costo_plan_total],0)-tblOrdenes[[#This Row],[costo_servicio]]))</f>
        <v/>
      </c>
      <c r="AN585" s="18">
        <f>IF(tblOrdenes[[#This Row],[orden]]="","",tblOrdenes[[#This Row],[costo_servicio]]+tblOrdenes[[#This Row],[costo_materiales]])</f>
        <v/>
      </c>
      <c r="AO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5">
        <f>IF(tblOrdenes[[#This Row],[link_checklist]]="","",HYPERLINK(p_ruta_base_checklists&amp;tblOrdenes[[#This Row],[link_checklist]],"abrir"))</f>
        <v/>
      </c>
      <c r="AT585" s="4" t="n"/>
      <c r="AU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5" t="n"/>
      <c r="K586" s="5" t="n"/>
      <c r="L586" s="18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Row],[fecha_inicio]]="","",tblOrdenes[[#This Row],[anio]]&amp;"-"&amp;TEXT(tblOrdenes[[#This Row],[mes]],"00"))</f>
        <v/>
      </c>
      <c r="S586" s="5">
        <f>IF(tblOrdenes[[#This Row],[fecha_inicio]]="","",INDEX(lista_dias,WEEKDAY(tblOrdenes[[#This Row],[fecha_inicio]],2)))</f>
        <v/>
      </c>
      <c r="T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5">
        <f>IF(tblOrdenes[[#This Row],[tipo_ot]]="","",_xlfn.XLOOKUP(tblOrdenes[[#This Row],[tipo_ot]],tblTiposOT[codigo],tblTiposOT[clasificacion],"sin_clasificar"))</f>
        <v/>
      </c>
      <c r="V5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5">
        <f>IF(tblOrdenes[[#This Row],[centro_costo]]="","",_xlfn.XLOOKUP(tblOrdenes[[#This Row],[centro_costo]],tblCECO[codigo],tblCECO[linea],"(sin catálogo)"))</f>
        <v/>
      </c>
      <c r="Y586" s="5">
        <f>IF(tblOrdenes[[#This Row],[centro_costo]]="","",_xlfn.XLOOKUP(tblOrdenes[[#This Row],[centro_costo]],tblCECO[codigo],tblCECO[area],"(sin catálogo)"))</f>
        <v/>
      </c>
      <c r="Z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5">
        <f>IF(tblOrdenes[[#This Row],[centro_costo]]="","",_xlfn.XLOOKUP(tblOrdenes[[#This Row],[centro_costo]],tblCECO[codigo],tblCECO[coordinador],"(sin catálogo)"))</f>
        <v/>
      </c>
      <c r="AB586" s="5">
        <f>IF(tblOrdenes[[#This Row],[puesto_trabajo]]="","",_xlfn.XLOOKUP(tblOrdenes[[#This Row],[puesto_trabajo]],tblPuestos[codigo],tblPuestos[especialidad],"(sin catálogo)"))</f>
        <v/>
      </c>
      <c r="AC586" s="5">
        <f>IF(tblOrdenes[[#This Row],[cod_actividad]]="","",_xlfn.XLOOKUP(tblOrdenes[[#This Row],[cod_actividad]],tblActividades[codigo],tblActividades[descripcion],"(sin catálogo)"))</f>
        <v/>
      </c>
      <c r="AD586" s="23">
        <f>IF(tblOrdenes[[#This Row],[fecha_inicio]]="","",TODAY()-tblOrdenes[[#This Row],[fecha_inicio]])</f>
        <v/>
      </c>
      <c r="AE5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5">
        <f>IF(tblOrdenes[[#This Row],[backlog_habiles]]="","",IF(tblOrdenes[[#This Row],[backlog_habiles]]&lt;0,"FUTURO",IF(tblOrdenes[[#This Row],[backlog_habiles]]&gt;p_dias_backlog_max,"BACKLOG","MES CORRIENTE")))</f>
        <v/>
      </c>
      <c r="AG586" s="5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18">
        <f>IF(tblOrdenes[[#This Row],[orden]]="","",_xlfn.XLOOKUP(tblOrdenes[[#This Row],[id_operacion]],tblEjecucion[id_operacion],tblEjecucion[precio],0))</f>
        <v/>
      </c>
      <c r="AM586" s="18">
        <f>IF(tblOrdenes[[#This Row],[orden]]="","",MAX(0,_xlfn.XLOOKUP(tblOrdenes[[#This Row],[id_operacion]],tblEjecucion[id_operacion],tblEjecucion[costo_plan_total],0)-tblOrdenes[[#This Row],[costo_servicio]]))</f>
        <v/>
      </c>
      <c r="AN586" s="18">
        <f>IF(tblOrdenes[[#This Row],[orden]]="","",tblOrdenes[[#This Row],[costo_servicio]]+tblOrdenes[[#This Row],[costo_materiales]])</f>
        <v/>
      </c>
      <c r="AO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5">
        <f>IF(tblOrdenes[[#This Row],[link_checklist]]="","",HYPERLINK(p_ruta_base_checklists&amp;tblOrdenes[[#This Row],[link_checklist]],"abrir"))</f>
        <v/>
      </c>
      <c r="AT586" s="4" t="n"/>
      <c r="AU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5" t="n"/>
      <c r="K587" s="5" t="n"/>
      <c r="L587" s="18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Row],[fecha_inicio]]="","",tblOrdenes[[#This Row],[anio]]&amp;"-"&amp;TEXT(tblOrdenes[[#This Row],[mes]],"00"))</f>
        <v/>
      </c>
      <c r="S587" s="5">
        <f>IF(tblOrdenes[[#This Row],[fecha_inicio]]="","",INDEX(lista_dias,WEEKDAY(tblOrdenes[[#This Row],[fecha_inicio]],2)))</f>
        <v/>
      </c>
      <c r="T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5">
        <f>IF(tblOrdenes[[#This Row],[tipo_ot]]="","",_xlfn.XLOOKUP(tblOrdenes[[#This Row],[tipo_ot]],tblTiposOT[codigo],tblTiposOT[clasificacion],"sin_clasificar"))</f>
        <v/>
      </c>
      <c r="V5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5">
        <f>IF(tblOrdenes[[#This Row],[centro_costo]]="","",_xlfn.XLOOKUP(tblOrdenes[[#This Row],[centro_costo]],tblCECO[codigo],tblCECO[linea],"(sin catálogo)"))</f>
        <v/>
      </c>
      <c r="Y587" s="5">
        <f>IF(tblOrdenes[[#This Row],[centro_costo]]="","",_xlfn.XLOOKUP(tblOrdenes[[#This Row],[centro_costo]],tblCECO[codigo],tblCECO[area],"(sin catálogo)"))</f>
        <v/>
      </c>
      <c r="Z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5">
        <f>IF(tblOrdenes[[#This Row],[centro_costo]]="","",_xlfn.XLOOKUP(tblOrdenes[[#This Row],[centro_costo]],tblCECO[codigo],tblCECO[coordinador],"(sin catálogo)"))</f>
        <v/>
      </c>
      <c r="AB587" s="5">
        <f>IF(tblOrdenes[[#This Row],[puesto_trabajo]]="","",_xlfn.XLOOKUP(tblOrdenes[[#This Row],[puesto_trabajo]],tblPuestos[codigo],tblPuestos[especialidad],"(sin catálogo)"))</f>
        <v/>
      </c>
      <c r="AC587" s="5">
        <f>IF(tblOrdenes[[#This Row],[cod_actividad]]="","",_xlfn.XLOOKUP(tblOrdenes[[#This Row],[cod_actividad]],tblActividades[codigo],tblActividades[descripcion],"(sin catálogo)"))</f>
        <v/>
      </c>
      <c r="AD587" s="23">
        <f>IF(tblOrdenes[[#This Row],[fecha_inicio]]="","",TODAY()-tblOrdenes[[#This Row],[fecha_inicio]])</f>
        <v/>
      </c>
      <c r="AE5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5">
        <f>IF(tblOrdenes[[#This Row],[backlog_habiles]]="","",IF(tblOrdenes[[#This Row],[backlog_habiles]]&lt;0,"FUTURO",IF(tblOrdenes[[#This Row],[backlog_habiles]]&gt;p_dias_backlog_max,"BACKLOG","MES CORRIENTE")))</f>
        <v/>
      </c>
      <c r="AG587" s="5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18">
        <f>IF(tblOrdenes[[#This Row],[orden]]="","",_xlfn.XLOOKUP(tblOrdenes[[#This Row],[id_operacion]],tblEjecucion[id_operacion],tblEjecucion[precio],0))</f>
        <v/>
      </c>
      <c r="AM587" s="18">
        <f>IF(tblOrdenes[[#This Row],[orden]]="","",MAX(0,_xlfn.XLOOKUP(tblOrdenes[[#This Row],[id_operacion]],tblEjecucion[id_operacion],tblEjecucion[costo_plan_total],0)-tblOrdenes[[#This Row],[costo_servicio]]))</f>
        <v/>
      </c>
      <c r="AN587" s="18">
        <f>IF(tblOrdenes[[#This Row],[orden]]="","",tblOrdenes[[#This Row],[costo_servicio]]+tblOrdenes[[#This Row],[costo_materiales]])</f>
        <v/>
      </c>
      <c r="AO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5">
        <f>IF(tblOrdenes[[#This Row],[link_checklist]]="","",HYPERLINK(p_ruta_base_checklists&amp;tblOrdenes[[#This Row],[link_checklist]],"abrir"))</f>
        <v/>
      </c>
      <c r="AT587" s="4" t="n"/>
      <c r="AU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5" t="n"/>
      <c r="K588" s="5" t="n"/>
      <c r="L588" s="18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Row],[fecha_inicio]]="","",tblOrdenes[[#This Row],[anio]]&amp;"-"&amp;TEXT(tblOrdenes[[#This Row],[mes]],"00"))</f>
        <v/>
      </c>
      <c r="S588" s="5">
        <f>IF(tblOrdenes[[#This Row],[fecha_inicio]]="","",INDEX(lista_dias,WEEKDAY(tblOrdenes[[#This Row],[fecha_inicio]],2)))</f>
        <v/>
      </c>
      <c r="T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5">
        <f>IF(tblOrdenes[[#This Row],[tipo_ot]]="","",_xlfn.XLOOKUP(tblOrdenes[[#This Row],[tipo_ot]],tblTiposOT[codigo],tblTiposOT[clasificacion],"sin_clasificar"))</f>
        <v/>
      </c>
      <c r="V5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5">
        <f>IF(tblOrdenes[[#This Row],[centro_costo]]="","",_xlfn.XLOOKUP(tblOrdenes[[#This Row],[centro_costo]],tblCECO[codigo],tblCECO[linea],"(sin catálogo)"))</f>
        <v/>
      </c>
      <c r="Y588" s="5">
        <f>IF(tblOrdenes[[#This Row],[centro_costo]]="","",_xlfn.XLOOKUP(tblOrdenes[[#This Row],[centro_costo]],tblCECO[codigo],tblCECO[area],"(sin catálogo)"))</f>
        <v/>
      </c>
      <c r="Z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5">
        <f>IF(tblOrdenes[[#This Row],[centro_costo]]="","",_xlfn.XLOOKUP(tblOrdenes[[#This Row],[centro_costo]],tblCECO[codigo],tblCECO[coordinador],"(sin catálogo)"))</f>
        <v/>
      </c>
      <c r="AB588" s="5">
        <f>IF(tblOrdenes[[#This Row],[puesto_trabajo]]="","",_xlfn.XLOOKUP(tblOrdenes[[#This Row],[puesto_trabajo]],tblPuestos[codigo],tblPuestos[especialidad],"(sin catálogo)"))</f>
        <v/>
      </c>
      <c r="AC588" s="5">
        <f>IF(tblOrdenes[[#This Row],[cod_actividad]]="","",_xlfn.XLOOKUP(tblOrdenes[[#This Row],[cod_actividad]],tblActividades[codigo],tblActividades[descripcion],"(sin catálogo)"))</f>
        <v/>
      </c>
      <c r="AD588" s="23">
        <f>IF(tblOrdenes[[#This Row],[fecha_inicio]]="","",TODAY()-tblOrdenes[[#This Row],[fecha_inicio]])</f>
        <v/>
      </c>
      <c r="AE5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5">
        <f>IF(tblOrdenes[[#This Row],[backlog_habiles]]="","",IF(tblOrdenes[[#This Row],[backlog_habiles]]&lt;0,"FUTURO",IF(tblOrdenes[[#This Row],[backlog_habiles]]&gt;p_dias_backlog_max,"BACKLOG","MES CORRIENTE")))</f>
        <v/>
      </c>
      <c r="AG588" s="5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18">
        <f>IF(tblOrdenes[[#This Row],[orden]]="","",_xlfn.XLOOKUP(tblOrdenes[[#This Row],[id_operacion]],tblEjecucion[id_operacion],tblEjecucion[precio],0))</f>
        <v/>
      </c>
      <c r="AM588" s="18">
        <f>IF(tblOrdenes[[#This Row],[orden]]="","",MAX(0,_xlfn.XLOOKUP(tblOrdenes[[#This Row],[id_operacion]],tblEjecucion[id_operacion],tblEjecucion[costo_plan_total],0)-tblOrdenes[[#This Row],[costo_servicio]]))</f>
        <v/>
      </c>
      <c r="AN588" s="18">
        <f>IF(tblOrdenes[[#This Row],[orden]]="","",tblOrdenes[[#This Row],[costo_servicio]]+tblOrdenes[[#This Row],[costo_materiales]])</f>
        <v/>
      </c>
      <c r="AO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5">
        <f>IF(tblOrdenes[[#This Row],[link_checklist]]="","",HYPERLINK(p_ruta_base_checklists&amp;tblOrdenes[[#This Row],[link_checklist]],"abrir"))</f>
        <v/>
      </c>
      <c r="AT588" s="4" t="n"/>
      <c r="AU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5" t="n"/>
      <c r="K589" s="5" t="n"/>
      <c r="L589" s="18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Row],[fecha_inicio]]="","",tblOrdenes[[#This Row],[anio]]&amp;"-"&amp;TEXT(tblOrdenes[[#This Row],[mes]],"00"))</f>
        <v/>
      </c>
      <c r="S589" s="5">
        <f>IF(tblOrdenes[[#This Row],[fecha_inicio]]="","",INDEX(lista_dias,WEEKDAY(tblOrdenes[[#This Row],[fecha_inicio]],2)))</f>
        <v/>
      </c>
      <c r="T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5">
        <f>IF(tblOrdenes[[#This Row],[tipo_ot]]="","",_xlfn.XLOOKUP(tblOrdenes[[#This Row],[tipo_ot]],tblTiposOT[codigo],tblTiposOT[clasificacion],"sin_clasificar"))</f>
        <v/>
      </c>
      <c r="V5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5">
        <f>IF(tblOrdenes[[#This Row],[centro_costo]]="","",_xlfn.XLOOKUP(tblOrdenes[[#This Row],[centro_costo]],tblCECO[codigo],tblCECO[linea],"(sin catálogo)"))</f>
        <v/>
      </c>
      <c r="Y589" s="5">
        <f>IF(tblOrdenes[[#This Row],[centro_costo]]="","",_xlfn.XLOOKUP(tblOrdenes[[#This Row],[centro_costo]],tblCECO[codigo],tblCECO[area],"(sin catálogo)"))</f>
        <v/>
      </c>
      <c r="Z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5">
        <f>IF(tblOrdenes[[#This Row],[centro_costo]]="","",_xlfn.XLOOKUP(tblOrdenes[[#This Row],[centro_costo]],tblCECO[codigo],tblCECO[coordinador],"(sin catálogo)"))</f>
        <v/>
      </c>
      <c r="AB589" s="5">
        <f>IF(tblOrdenes[[#This Row],[puesto_trabajo]]="","",_xlfn.XLOOKUP(tblOrdenes[[#This Row],[puesto_trabajo]],tblPuestos[codigo],tblPuestos[especialidad],"(sin catálogo)"))</f>
        <v/>
      </c>
      <c r="AC589" s="5">
        <f>IF(tblOrdenes[[#This Row],[cod_actividad]]="","",_xlfn.XLOOKUP(tblOrdenes[[#This Row],[cod_actividad]],tblActividades[codigo],tblActividades[descripcion],"(sin catálogo)"))</f>
        <v/>
      </c>
      <c r="AD589" s="23">
        <f>IF(tblOrdenes[[#This Row],[fecha_inicio]]="","",TODAY()-tblOrdenes[[#This Row],[fecha_inicio]])</f>
        <v/>
      </c>
      <c r="AE5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5">
        <f>IF(tblOrdenes[[#This Row],[backlog_habiles]]="","",IF(tblOrdenes[[#This Row],[backlog_habiles]]&lt;0,"FUTURO",IF(tblOrdenes[[#This Row],[backlog_habiles]]&gt;p_dias_backlog_max,"BACKLOG","MES CORRIENTE")))</f>
        <v/>
      </c>
      <c r="AG589" s="5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18">
        <f>IF(tblOrdenes[[#This Row],[orden]]="","",_xlfn.XLOOKUP(tblOrdenes[[#This Row],[id_operacion]],tblEjecucion[id_operacion],tblEjecucion[precio],0))</f>
        <v/>
      </c>
      <c r="AM589" s="18">
        <f>IF(tblOrdenes[[#This Row],[orden]]="","",MAX(0,_xlfn.XLOOKUP(tblOrdenes[[#This Row],[id_operacion]],tblEjecucion[id_operacion],tblEjecucion[costo_plan_total],0)-tblOrdenes[[#This Row],[costo_servicio]]))</f>
        <v/>
      </c>
      <c r="AN589" s="18">
        <f>IF(tblOrdenes[[#This Row],[orden]]="","",tblOrdenes[[#This Row],[costo_servicio]]+tblOrdenes[[#This Row],[costo_materiales]])</f>
        <v/>
      </c>
      <c r="AO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5">
        <f>IF(tblOrdenes[[#This Row],[link_checklist]]="","",HYPERLINK(p_ruta_base_checklists&amp;tblOrdenes[[#This Row],[link_checklist]],"abrir"))</f>
        <v/>
      </c>
      <c r="AT589" s="4" t="n"/>
      <c r="AU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5" t="n"/>
      <c r="K590" s="5" t="n"/>
      <c r="L590" s="18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Row],[fecha_inicio]]="","",tblOrdenes[[#This Row],[anio]]&amp;"-"&amp;TEXT(tblOrdenes[[#This Row],[mes]],"00"))</f>
        <v/>
      </c>
      <c r="S590" s="5">
        <f>IF(tblOrdenes[[#This Row],[fecha_inicio]]="","",INDEX(lista_dias,WEEKDAY(tblOrdenes[[#This Row],[fecha_inicio]],2)))</f>
        <v/>
      </c>
      <c r="T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5">
        <f>IF(tblOrdenes[[#This Row],[tipo_ot]]="","",_xlfn.XLOOKUP(tblOrdenes[[#This Row],[tipo_ot]],tblTiposOT[codigo],tblTiposOT[clasificacion],"sin_clasificar"))</f>
        <v/>
      </c>
      <c r="V5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5">
        <f>IF(tblOrdenes[[#This Row],[centro_costo]]="","",_xlfn.XLOOKUP(tblOrdenes[[#This Row],[centro_costo]],tblCECO[codigo],tblCECO[linea],"(sin catálogo)"))</f>
        <v/>
      </c>
      <c r="Y590" s="5">
        <f>IF(tblOrdenes[[#This Row],[centro_costo]]="","",_xlfn.XLOOKUP(tblOrdenes[[#This Row],[centro_costo]],tblCECO[codigo],tblCECO[area],"(sin catálogo)"))</f>
        <v/>
      </c>
      <c r="Z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5">
        <f>IF(tblOrdenes[[#This Row],[centro_costo]]="","",_xlfn.XLOOKUP(tblOrdenes[[#This Row],[centro_costo]],tblCECO[codigo],tblCECO[coordinador],"(sin catálogo)"))</f>
        <v/>
      </c>
      <c r="AB590" s="5">
        <f>IF(tblOrdenes[[#This Row],[puesto_trabajo]]="","",_xlfn.XLOOKUP(tblOrdenes[[#This Row],[puesto_trabajo]],tblPuestos[codigo],tblPuestos[especialidad],"(sin catálogo)"))</f>
        <v/>
      </c>
      <c r="AC590" s="5">
        <f>IF(tblOrdenes[[#This Row],[cod_actividad]]="","",_xlfn.XLOOKUP(tblOrdenes[[#This Row],[cod_actividad]],tblActividades[codigo],tblActividades[descripcion],"(sin catálogo)"))</f>
        <v/>
      </c>
      <c r="AD590" s="23">
        <f>IF(tblOrdenes[[#This Row],[fecha_inicio]]="","",TODAY()-tblOrdenes[[#This Row],[fecha_inicio]])</f>
        <v/>
      </c>
      <c r="AE5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5">
        <f>IF(tblOrdenes[[#This Row],[backlog_habiles]]="","",IF(tblOrdenes[[#This Row],[backlog_habiles]]&lt;0,"FUTURO",IF(tblOrdenes[[#This Row],[backlog_habiles]]&gt;p_dias_backlog_max,"BACKLOG","MES CORRIENTE")))</f>
        <v/>
      </c>
      <c r="AG590" s="5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18">
        <f>IF(tblOrdenes[[#This Row],[orden]]="","",_xlfn.XLOOKUP(tblOrdenes[[#This Row],[id_operacion]],tblEjecucion[id_operacion],tblEjecucion[precio],0))</f>
        <v/>
      </c>
      <c r="AM590" s="18">
        <f>IF(tblOrdenes[[#This Row],[orden]]="","",MAX(0,_xlfn.XLOOKUP(tblOrdenes[[#This Row],[id_operacion]],tblEjecucion[id_operacion],tblEjecucion[costo_plan_total],0)-tblOrdenes[[#This Row],[costo_servicio]]))</f>
        <v/>
      </c>
      <c r="AN590" s="18">
        <f>IF(tblOrdenes[[#This Row],[orden]]="","",tblOrdenes[[#This Row],[costo_servicio]]+tblOrdenes[[#This Row],[costo_materiales]])</f>
        <v/>
      </c>
      <c r="AO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5">
        <f>IF(tblOrdenes[[#This Row],[link_checklist]]="","",HYPERLINK(p_ruta_base_checklists&amp;tblOrdenes[[#This Row],[link_checklist]],"abrir"))</f>
        <v/>
      </c>
      <c r="AT590" s="4" t="n"/>
      <c r="AU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5" t="n"/>
      <c r="K591" s="5" t="n"/>
      <c r="L591" s="18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Row],[fecha_inicio]]="","",tblOrdenes[[#This Row],[anio]]&amp;"-"&amp;TEXT(tblOrdenes[[#This Row],[mes]],"00"))</f>
        <v/>
      </c>
      <c r="S591" s="5">
        <f>IF(tblOrdenes[[#This Row],[fecha_inicio]]="","",INDEX(lista_dias,WEEKDAY(tblOrdenes[[#This Row],[fecha_inicio]],2)))</f>
        <v/>
      </c>
      <c r="T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5">
        <f>IF(tblOrdenes[[#This Row],[tipo_ot]]="","",_xlfn.XLOOKUP(tblOrdenes[[#This Row],[tipo_ot]],tblTiposOT[codigo],tblTiposOT[clasificacion],"sin_clasificar"))</f>
        <v/>
      </c>
      <c r="V5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5">
        <f>IF(tblOrdenes[[#This Row],[centro_costo]]="","",_xlfn.XLOOKUP(tblOrdenes[[#This Row],[centro_costo]],tblCECO[codigo],tblCECO[linea],"(sin catálogo)"))</f>
        <v/>
      </c>
      <c r="Y591" s="5">
        <f>IF(tblOrdenes[[#This Row],[centro_costo]]="","",_xlfn.XLOOKUP(tblOrdenes[[#This Row],[centro_costo]],tblCECO[codigo],tblCECO[area],"(sin catálogo)"))</f>
        <v/>
      </c>
      <c r="Z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5">
        <f>IF(tblOrdenes[[#This Row],[centro_costo]]="","",_xlfn.XLOOKUP(tblOrdenes[[#This Row],[centro_costo]],tblCECO[codigo],tblCECO[coordinador],"(sin catálogo)"))</f>
        <v/>
      </c>
      <c r="AB591" s="5">
        <f>IF(tblOrdenes[[#This Row],[puesto_trabajo]]="","",_xlfn.XLOOKUP(tblOrdenes[[#This Row],[puesto_trabajo]],tblPuestos[codigo],tblPuestos[especialidad],"(sin catálogo)"))</f>
        <v/>
      </c>
      <c r="AC591" s="5">
        <f>IF(tblOrdenes[[#This Row],[cod_actividad]]="","",_xlfn.XLOOKUP(tblOrdenes[[#This Row],[cod_actividad]],tblActividades[codigo],tblActividades[descripcion],"(sin catálogo)"))</f>
        <v/>
      </c>
      <c r="AD591" s="23">
        <f>IF(tblOrdenes[[#This Row],[fecha_inicio]]="","",TODAY()-tblOrdenes[[#This Row],[fecha_inicio]])</f>
        <v/>
      </c>
      <c r="AE5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5">
        <f>IF(tblOrdenes[[#This Row],[backlog_habiles]]="","",IF(tblOrdenes[[#This Row],[backlog_habiles]]&lt;0,"FUTURO",IF(tblOrdenes[[#This Row],[backlog_habiles]]&gt;p_dias_backlog_max,"BACKLOG","MES CORRIENTE")))</f>
        <v/>
      </c>
      <c r="AG591" s="5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18">
        <f>IF(tblOrdenes[[#This Row],[orden]]="","",_xlfn.XLOOKUP(tblOrdenes[[#This Row],[id_operacion]],tblEjecucion[id_operacion],tblEjecucion[precio],0))</f>
        <v/>
      </c>
      <c r="AM591" s="18">
        <f>IF(tblOrdenes[[#This Row],[orden]]="","",MAX(0,_xlfn.XLOOKUP(tblOrdenes[[#This Row],[id_operacion]],tblEjecucion[id_operacion],tblEjecucion[costo_plan_total],0)-tblOrdenes[[#This Row],[costo_servicio]]))</f>
        <v/>
      </c>
      <c r="AN591" s="18">
        <f>IF(tblOrdenes[[#This Row],[orden]]="","",tblOrdenes[[#This Row],[costo_servicio]]+tblOrdenes[[#This Row],[costo_materiales]])</f>
        <v/>
      </c>
      <c r="AO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5">
        <f>IF(tblOrdenes[[#This Row],[link_checklist]]="","",HYPERLINK(p_ruta_base_checklists&amp;tblOrdenes[[#This Row],[link_checklist]],"abrir"))</f>
        <v/>
      </c>
      <c r="AT591" s="4" t="n"/>
      <c r="AU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5" t="n"/>
      <c r="K592" s="5" t="n"/>
      <c r="L592" s="18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Row],[fecha_inicio]]="","",tblOrdenes[[#This Row],[anio]]&amp;"-"&amp;TEXT(tblOrdenes[[#This Row],[mes]],"00"))</f>
        <v/>
      </c>
      <c r="S592" s="5">
        <f>IF(tblOrdenes[[#This Row],[fecha_inicio]]="","",INDEX(lista_dias,WEEKDAY(tblOrdenes[[#This Row],[fecha_inicio]],2)))</f>
        <v/>
      </c>
      <c r="T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5">
        <f>IF(tblOrdenes[[#This Row],[tipo_ot]]="","",_xlfn.XLOOKUP(tblOrdenes[[#This Row],[tipo_ot]],tblTiposOT[codigo],tblTiposOT[clasificacion],"sin_clasificar"))</f>
        <v/>
      </c>
      <c r="V5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5">
        <f>IF(tblOrdenes[[#This Row],[centro_costo]]="","",_xlfn.XLOOKUP(tblOrdenes[[#This Row],[centro_costo]],tblCECO[codigo],tblCECO[linea],"(sin catálogo)"))</f>
        <v/>
      </c>
      <c r="Y592" s="5">
        <f>IF(tblOrdenes[[#This Row],[centro_costo]]="","",_xlfn.XLOOKUP(tblOrdenes[[#This Row],[centro_costo]],tblCECO[codigo],tblCECO[area],"(sin catálogo)"))</f>
        <v/>
      </c>
      <c r="Z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5">
        <f>IF(tblOrdenes[[#This Row],[centro_costo]]="","",_xlfn.XLOOKUP(tblOrdenes[[#This Row],[centro_costo]],tblCECO[codigo],tblCECO[coordinador],"(sin catálogo)"))</f>
        <v/>
      </c>
      <c r="AB592" s="5">
        <f>IF(tblOrdenes[[#This Row],[puesto_trabajo]]="","",_xlfn.XLOOKUP(tblOrdenes[[#This Row],[puesto_trabajo]],tblPuestos[codigo],tblPuestos[especialidad],"(sin catálogo)"))</f>
        <v/>
      </c>
      <c r="AC592" s="5">
        <f>IF(tblOrdenes[[#This Row],[cod_actividad]]="","",_xlfn.XLOOKUP(tblOrdenes[[#This Row],[cod_actividad]],tblActividades[codigo],tblActividades[descripcion],"(sin catálogo)"))</f>
        <v/>
      </c>
      <c r="AD592" s="23">
        <f>IF(tblOrdenes[[#This Row],[fecha_inicio]]="","",TODAY()-tblOrdenes[[#This Row],[fecha_inicio]])</f>
        <v/>
      </c>
      <c r="AE5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5">
        <f>IF(tblOrdenes[[#This Row],[backlog_habiles]]="","",IF(tblOrdenes[[#This Row],[backlog_habiles]]&lt;0,"FUTURO",IF(tblOrdenes[[#This Row],[backlog_habiles]]&gt;p_dias_backlog_max,"BACKLOG","MES CORRIENTE")))</f>
        <v/>
      </c>
      <c r="AG592" s="5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18">
        <f>IF(tblOrdenes[[#This Row],[orden]]="","",_xlfn.XLOOKUP(tblOrdenes[[#This Row],[id_operacion]],tblEjecucion[id_operacion],tblEjecucion[precio],0))</f>
        <v/>
      </c>
      <c r="AM592" s="18">
        <f>IF(tblOrdenes[[#This Row],[orden]]="","",MAX(0,_xlfn.XLOOKUP(tblOrdenes[[#This Row],[id_operacion]],tblEjecucion[id_operacion],tblEjecucion[costo_plan_total],0)-tblOrdenes[[#This Row],[costo_servicio]]))</f>
        <v/>
      </c>
      <c r="AN592" s="18">
        <f>IF(tblOrdenes[[#This Row],[orden]]="","",tblOrdenes[[#This Row],[costo_servicio]]+tblOrdenes[[#This Row],[costo_materiales]])</f>
        <v/>
      </c>
      <c r="AO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5">
        <f>IF(tblOrdenes[[#This Row],[link_checklist]]="","",HYPERLINK(p_ruta_base_checklists&amp;tblOrdenes[[#This Row],[link_checklist]],"abrir"))</f>
        <v/>
      </c>
      <c r="AT592" s="4" t="n"/>
      <c r="AU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5" t="n"/>
      <c r="K593" s="5" t="n"/>
      <c r="L593" s="18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Row],[fecha_inicio]]="","",tblOrdenes[[#This Row],[anio]]&amp;"-"&amp;TEXT(tblOrdenes[[#This Row],[mes]],"00"))</f>
        <v/>
      </c>
      <c r="S593" s="5">
        <f>IF(tblOrdenes[[#This Row],[fecha_inicio]]="","",INDEX(lista_dias,WEEKDAY(tblOrdenes[[#This Row],[fecha_inicio]],2)))</f>
        <v/>
      </c>
      <c r="T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5">
        <f>IF(tblOrdenes[[#This Row],[tipo_ot]]="","",_xlfn.XLOOKUP(tblOrdenes[[#This Row],[tipo_ot]],tblTiposOT[codigo],tblTiposOT[clasificacion],"sin_clasificar"))</f>
        <v/>
      </c>
      <c r="V5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5">
        <f>IF(tblOrdenes[[#This Row],[centro_costo]]="","",_xlfn.XLOOKUP(tblOrdenes[[#This Row],[centro_costo]],tblCECO[codigo],tblCECO[linea],"(sin catálogo)"))</f>
        <v/>
      </c>
      <c r="Y593" s="5">
        <f>IF(tblOrdenes[[#This Row],[centro_costo]]="","",_xlfn.XLOOKUP(tblOrdenes[[#This Row],[centro_costo]],tblCECO[codigo],tblCECO[area],"(sin catálogo)"))</f>
        <v/>
      </c>
      <c r="Z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5">
        <f>IF(tblOrdenes[[#This Row],[centro_costo]]="","",_xlfn.XLOOKUP(tblOrdenes[[#This Row],[centro_costo]],tblCECO[codigo],tblCECO[coordinador],"(sin catálogo)"))</f>
        <v/>
      </c>
      <c r="AB593" s="5">
        <f>IF(tblOrdenes[[#This Row],[puesto_trabajo]]="","",_xlfn.XLOOKUP(tblOrdenes[[#This Row],[puesto_trabajo]],tblPuestos[codigo],tblPuestos[especialidad],"(sin catálogo)"))</f>
        <v/>
      </c>
      <c r="AC593" s="5">
        <f>IF(tblOrdenes[[#This Row],[cod_actividad]]="","",_xlfn.XLOOKUP(tblOrdenes[[#This Row],[cod_actividad]],tblActividades[codigo],tblActividades[descripcion],"(sin catálogo)"))</f>
        <v/>
      </c>
      <c r="AD593" s="23">
        <f>IF(tblOrdenes[[#This Row],[fecha_inicio]]="","",TODAY()-tblOrdenes[[#This Row],[fecha_inicio]])</f>
        <v/>
      </c>
      <c r="AE5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5">
        <f>IF(tblOrdenes[[#This Row],[backlog_habiles]]="","",IF(tblOrdenes[[#This Row],[backlog_habiles]]&lt;0,"FUTURO",IF(tblOrdenes[[#This Row],[backlog_habiles]]&gt;p_dias_backlog_max,"BACKLOG","MES CORRIENTE")))</f>
        <v/>
      </c>
      <c r="AG593" s="5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18">
        <f>IF(tblOrdenes[[#This Row],[orden]]="","",_xlfn.XLOOKUP(tblOrdenes[[#This Row],[id_operacion]],tblEjecucion[id_operacion],tblEjecucion[precio],0))</f>
        <v/>
      </c>
      <c r="AM593" s="18">
        <f>IF(tblOrdenes[[#This Row],[orden]]="","",MAX(0,_xlfn.XLOOKUP(tblOrdenes[[#This Row],[id_operacion]],tblEjecucion[id_operacion],tblEjecucion[costo_plan_total],0)-tblOrdenes[[#This Row],[costo_servicio]]))</f>
        <v/>
      </c>
      <c r="AN593" s="18">
        <f>IF(tblOrdenes[[#This Row],[orden]]="","",tblOrdenes[[#This Row],[costo_servicio]]+tblOrdenes[[#This Row],[costo_materiales]])</f>
        <v/>
      </c>
      <c r="AO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5">
        <f>IF(tblOrdenes[[#This Row],[link_checklist]]="","",HYPERLINK(p_ruta_base_checklists&amp;tblOrdenes[[#This Row],[link_checklist]],"abrir"))</f>
        <v/>
      </c>
      <c r="AT593" s="4" t="n"/>
      <c r="AU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5" t="n"/>
      <c r="K594" s="5" t="n"/>
      <c r="L594" s="18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Row],[fecha_inicio]]="","",tblOrdenes[[#This Row],[anio]]&amp;"-"&amp;TEXT(tblOrdenes[[#This Row],[mes]],"00"))</f>
        <v/>
      </c>
      <c r="S594" s="5">
        <f>IF(tblOrdenes[[#This Row],[fecha_inicio]]="","",INDEX(lista_dias,WEEKDAY(tblOrdenes[[#This Row],[fecha_inicio]],2)))</f>
        <v/>
      </c>
      <c r="T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5">
        <f>IF(tblOrdenes[[#This Row],[tipo_ot]]="","",_xlfn.XLOOKUP(tblOrdenes[[#This Row],[tipo_ot]],tblTiposOT[codigo],tblTiposOT[clasificacion],"sin_clasificar"))</f>
        <v/>
      </c>
      <c r="V5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5">
        <f>IF(tblOrdenes[[#This Row],[centro_costo]]="","",_xlfn.XLOOKUP(tblOrdenes[[#This Row],[centro_costo]],tblCECO[codigo],tblCECO[linea],"(sin catálogo)"))</f>
        <v/>
      </c>
      <c r="Y594" s="5">
        <f>IF(tblOrdenes[[#This Row],[centro_costo]]="","",_xlfn.XLOOKUP(tblOrdenes[[#This Row],[centro_costo]],tblCECO[codigo],tblCECO[area],"(sin catálogo)"))</f>
        <v/>
      </c>
      <c r="Z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5">
        <f>IF(tblOrdenes[[#This Row],[centro_costo]]="","",_xlfn.XLOOKUP(tblOrdenes[[#This Row],[centro_costo]],tblCECO[codigo],tblCECO[coordinador],"(sin catálogo)"))</f>
        <v/>
      </c>
      <c r="AB594" s="5">
        <f>IF(tblOrdenes[[#This Row],[puesto_trabajo]]="","",_xlfn.XLOOKUP(tblOrdenes[[#This Row],[puesto_trabajo]],tblPuestos[codigo],tblPuestos[especialidad],"(sin catálogo)"))</f>
        <v/>
      </c>
      <c r="AC594" s="5">
        <f>IF(tblOrdenes[[#This Row],[cod_actividad]]="","",_xlfn.XLOOKUP(tblOrdenes[[#This Row],[cod_actividad]],tblActividades[codigo],tblActividades[descripcion],"(sin catálogo)"))</f>
        <v/>
      </c>
      <c r="AD594" s="23">
        <f>IF(tblOrdenes[[#This Row],[fecha_inicio]]="","",TODAY()-tblOrdenes[[#This Row],[fecha_inicio]])</f>
        <v/>
      </c>
      <c r="AE5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5">
        <f>IF(tblOrdenes[[#This Row],[backlog_habiles]]="","",IF(tblOrdenes[[#This Row],[backlog_habiles]]&lt;0,"FUTURO",IF(tblOrdenes[[#This Row],[backlog_habiles]]&gt;p_dias_backlog_max,"BACKLOG","MES CORRIENTE")))</f>
        <v/>
      </c>
      <c r="AG594" s="5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18">
        <f>IF(tblOrdenes[[#This Row],[orden]]="","",_xlfn.XLOOKUP(tblOrdenes[[#This Row],[id_operacion]],tblEjecucion[id_operacion],tblEjecucion[precio],0))</f>
        <v/>
      </c>
      <c r="AM594" s="18">
        <f>IF(tblOrdenes[[#This Row],[orden]]="","",MAX(0,_xlfn.XLOOKUP(tblOrdenes[[#This Row],[id_operacion]],tblEjecucion[id_operacion],tblEjecucion[costo_plan_total],0)-tblOrdenes[[#This Row],[costo_servicio]]))</f>
        <v/>
      </c>
      <c r="AN594" s="18">
        <f>IF(tblOrdenes[[#This Row],[orden]]="","",tblOrdenes[[#This Row],[costo_servicio]]+tblOrdenes[[#This Row],[costo_materiales]])</f>
        <v/>
      </c>
      <c r="AO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5">
        <f>IF(tblOrdenes[[#This Row],[link_checklist]]="","",HYPERLINK(p_ruta_base_checklists&amp;tblOrdenes[[#This Row],[link_checklist]],"abrir"))</f>
        <v/>
      </c>
      <c r="AT594" s="4" t="n"/>
      <c r="AU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5" t="n"/>
      <c r="K595" s="5" t="n"/>
      <c r="L595" s="18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Row],[fecha_inicio]]="","",tblOrdenes[[#This Row],[anio]]&amp;"-"&amp;TEXT(tblOrdenes[[#This Row],[mes]],"00"))</f>
        <v/>
      </c>
      <c r="S595" s="5">
        <f>IF(tblOrdenes[[#This Row],[fecha_inicio]]="","",INDEX(lista_dias,WEEKDAY(tblOrdenes[[#This Row],[fecha_inicio]],2)))</f>
        <v/>
      </c>
      <c r="T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5">
        <f>IF(tblOrdenes[[#This Row],[tipo_ot]]="","",_xlfn.XLOOKUP(tblOrdenes[[#This Row],[tipo_ot]],tblTiposOT[codigo],tblTiposOT[clasificacion],"sin_clasificar"))</f>
        <v/>
      </c>
      <c r="V5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5">
        <f>IF(tblOrdenes[[#This Row],[centro_costo]]="","",_xlfn.XLOOKUP(tblOrdenes[[#This Row],[centro_costo]],tblCECO[codigo],tblCECO[linea],"(sin catálogo)"))</f>
        <v/>
      </c>
      <c r="Y595" s="5">
        <f>IF(tblOrdenes[[#This Row],[centro_costo]]="","",_xlfn.XLOOKUP(tblOrdenes[[#This Row],[centro_costo]],tblCECO[codigo],tblCECO[area],"(sin catálogo)"))</f>
        <v/>
      </c>
      <c r="Z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5">
        <f>IF(tblOrdenes[[#This Row],[centro_costo]]="","",_xlfn.XLOOKUP(tblOrdenes[[#This Row],[centro_costo]],tblCECO[codigo],tblCECO[coordinador],"(sin catálogo)"))</f>
        <v/>
      </c>
      <c r="AB595" s="5">
        <f>IF(tblOrdenes[[#This Row],[puesto_trabajo]]="","",_xlfn.XLOOKUP(tblOrdenes[[#This Row],[puesto_trabajo]],tblPuestos[codigo],tblPuestos[especialidad],"(sin catálogo)"))</f>
        <v/>
      </c>
      <c r="AC595" s="5">
        <f>IF(tblOrdenes[[#This Row],[cod_actividad]]="","",_xlfn.XLOOKUP(tblOrdenes[[#This Row],[cod_actividad]],tblActividades[codigo],tblActividades[descripcion],"(sin catálogo)"))</f>
        <v/>
      </c>
      <c r="AD595" s="23">
        <f>IF(tblOrdenes[[#This Row],[fecha_inicio]]="","",TODAY()-tblOrdenes[[#This Row],[fecha_inicio]])</f>
        <v/>
      </c>
      <c r="AE5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5">
        <f>IF(tblOrdenes[[#This Row],[backlog_habiles]]="","",IF(tblOrdenes[[#This Row],[backlog_habiles]]&lt;0,"FUTURO",IF(tblOrdenes[[#This Row],[backlog_habiles]]&gt;p_dias_backlog_max,"BACKLOG","MES CORRIENTE")))</f>
        <v/>
      </c>
      <c r="AG595" s="5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18">
        <f>IF(tblOrdenes[[#This Row],[orden]]="","",_xlfn.XLOOKUP(tblOrdenes[[#This Row],[id_operacion]],tblEjecucion[id_operacion],tblEjecucion[precio],0))</f>
        <v/>
      </c>
      <c r="AM595" s="18">
        <f>IF(tblOrdenes[[#This Row],[orden]]="","",MAX(0,_xlfn.XLOOKUP(tblOrdenes[[#This Row],[id_operacion]],tblEjecucion[id_operacion],tblEjecucion[costo_plan_total],0)-tblOrdenes[[#This Row],[costo_servicio]]))</f>
        <v/>
      </c>
      <c r="AN595" s="18">
        <f>IF(tblOrdenes[[#This Row],[orden]]="","",tblOrdenes[[#This Row],[costo_servicio]]+tblOrdenes[[#This Row],[costo_materiales]])</f>
        <v/>
      </c>
      <c r="AO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5">
        <f>IF(tblOrdenes[[#This Row],[link_checklist]]="","",HYPERLINK(p_ruta_base_checklists&amp;tblOrdenes[[#This Row],[link_checklist]],"abrir"))</f>
        <v/>
      </c>
      <c r="AT595" s="4" t="n"/>
      <c r="AU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5" t="n"/>
      <c r="K596" s="5" t="n"/>
      <c r="L596" s="18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Row],[fecha_inicio]]="","",tblOrdenes[[#This Row],[anio]]&amp;"-"&amp;TEXT(tblOrdenes[[#This Row],[mes]],"00"))</f>
        <v/>
      </c>
      <c r="S596" s="5">
        <f>IF(tblOrdenes[[#This Row],[fecha_inicio]]="","",INDEX(lista_dias,WEEKDAY(tblOrdenes[[#This Row],[fecha_inicio]],2)))</f>
        <v/>
      </c>
      <c r="T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5">
        <f>IF(tblOrdenes[[#This Row],[tipo_ot]]="","",_xlfn.XLOOKUP(tblOrdenes[[#This Row],[tipo_ot]],tblTiposOT[codigo],tblTiposOT[clasificacion],"sin_clasificar"))</f>
        <v/>
      </c>
      <c r="V5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5">
        <f>IF(tblOrdenes[[#This Row],[centro_costo]]="","",_xlfn.XLOOKUP(tblOrdenes[[#This Row],[centro_costo]],tblCECO[codigo],tblCECO[linea],"(sin catálogo)"))</f>
        <v/>
      </c>
      <c r="Y596" s="5">
        <f>IF(tblOrdenes[[#This Row],[centro_costo]]="","",_xlfn.XLOOKUP(tblOrdenes[[#This Row],[centro_costo]],tblCECO[codigo],tblCECO[area],"(sin catálogo)"))</f>
        <v/>
      </c>
      <c r="Z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5">
        <f>IF(tblOrdenes[[#This Row],[centro_costo]]="","",_xlfn.XLOOKUP(tblOrdenes[[#This Row],[centro_costo]],tblCECO[codigo],tblCECO[coordinador],"(sin catálogo)"))</f>
        <v/>
      </c>
      <c r="AB596" s="5">
        <f>IF(tblOrdenes[[#This Row],[puesto_trabajo]]="","",_xlfn.XLOOKUP(tblOrdenes[[#This Row],[puesto_trabajo]],tblPuestos[codigo],tblPuestos[especialidad],"(sin catálogo)"))</f>
        <v/>
      </c>
      <c r="AC596" s="5">
        <f>IF(tblOrdenes[[#This Row],[cod_actividad]]="","",_xlfn.XLOOKUP(tblOrdenes[[#This Row],[cod_actividad]],tblActividades[codigo],tblActividades[descripcion],"(sin catálogo)"))</f>
        <v/>
      </c>
      <c r="AD596" s="23">
        <f>IF(tblOrdenes[[#This Row],[fecha_inicio]]="","",TODAY()-tblOrdenes[[#This Row],[fecha_inicio]])</f>
        <v/>
      </c>
      <c r="AE5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5">
        <f>IF(tblOrdenes[[#This Row],[backlog_habiles]]="","",IF(tblOrdenes[[#This Row],[backlog_habiles]]&lt;0,"FUTURO",IF(tblOrdenes[[#This Row],[backlog_habiles]]&gt;p_dias_backlog_max,"BACKLOG","MES CORRIENTE")))</f>
        <v/>
      </c>
      <c r="AG596" s="5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18">
        <f>IF(tblOrdenes[[#This Row],[orden]]="","",_xlfn.XLOOKUP(tblOrdenes[[#This Row],[id_operacion]],tblEjecucion[id_operacion],tblEjecucion[precio],0))</f>
        <v/>
      </c>
      <c r="AM596" s="18">
        <f>IF(tblOrdenes[[#This Row],[orden]]="","",MAX(0,_xlfn.XLOOKUP(tblOrdenes[[#This Row],[id_operacion]],tblEjecucion[id_operacion],tblEjecucion[costo_plan_total],0)-tblOrdenes[[#This Row],[costo_servicio]]))</f>
        <v/>
      </c>
      <c r="AN596" s="18">
        <f>IF(tblOrdenes[[#This Row],[orden]]="","",tblOrdenes[[#This Row],[costo_servicio]]+tblOrdenes[[#This Row],[costo_materiales]])</f>
        <v/>
      </c>
      <c r="AO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5">
        <f>IF(tblOrdenes[[#This Row],[link_checklist]]="","",HYPERLINK(p_ruta_base_checklists&amp;tblOrdenes[[#This Row],[link_checklist]],"abrir"))</f>
        <v/>
      </c>
      <c r="AT596" s="4" t="n"/>
      <c r="AU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5" t="n"/>
      <c r="K597" s="5" t="n"/>
      <c r="L597" s="18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Row],[fecha_inicio]]="","",tblOrdenes[[#This Row],[anio]]&amp;"-"&amp;TEXT(tblOrdenes[[#This Row],[mes]],"00"))</f>
        <v/>
      </c>
      <c r="S597" s="5">
        <f>IF(tblOrdenes[[#This Row],[fecha_inicio]]="","",INDEX(lista_dias,WEEKDAY(tblOrdenes[[#This Row],[fecha_inicio]],2)))</f>
        <v/>
      </c>
      <c r="T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5">
        <f>IF(tblOrdenes[[#This Row],[tipo_ot]]="","",_xlfn.XLOOKUP(tblOrdenes[[#This Row],[tipo_ot]],tblTiposOT[codigo],tblTiposOT[clasificacion],"sin_clasificar"))</f>
        <v/>
      </c>
      <c r="V5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5">
        <f>IF(tblOrdenes[[#This Row],[centro_costo]]="","",_xlfn.XLOOKUP(tblOrdenes[[#This Row],[centro_costo]],tblCECO[codigo],tblCECO[linea],"(sin catálogo)"))</f>
        <v/>
      </c>
      <c r="Y597" s="5">
        <f>IF(tblOrdenes[[#This Row],[centro_costo]]="","",_xlfn.XLOOKUP(tblOrdenes[[#This Row],[centro_costo]],tblCECO[codigo],tblCECO[area],"(sin catálogo)"))</f>
        <v/>
      </c>
      <c r="Z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5">
        <f>IF(tblOrdenes[[#This Row],[centro_costo]]="","",_xlfn.XLOOKUP(tblOrdenes[[#This Row],[centro_costo]],tblCECO[codigo],tblCECO[coordinador],"(sin catálogo)"))</f>
        <v/>
      </c>
      <c r="AB597" s="5">
        <f>IF(tblOrdenes[[#This Row],[puesto_trabajo]]="","",_xlfn.XLOOKUP(tblOrdenes[[#This Row],[puesto_trabajo]],tblPuestos[codigo],tblPuestos[especialidad],"(sin catálogo)"))</f>
        <v/>
      </c>
      <c r="AC597" s="5">
        <f>IF(tblOrdenes[[#This Row],[cod_actividad]]="","",_xlfn.XLOOKUP(tblOrdenes[[#This Row],[cod_actividad]],tblActividades[codigo],tblActividades[descripcion],"(sin catálogo)"))</f>
        <v/>
      </c>
      <c r="AD597" s="23">
        <f>IF(tblOrdenes[[#This Row],[fecha_inicio]]="","",TODAY()-tblOrdenes[[#This Row],[fecha_inicio]])</f>
        <v/>
      </c>
      <c r="AE5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5">
        <f>IF(tblOrdenes[[#This Row],[backlog_habiles]]="","",IF(tblOrdenes[[#This Row],[backlog_habiles]]&lt;0,"FUTURO",IF(tblOrdenes[[#This Row],[backlog_habiles]]&gt;p_dias_backlog_max,"BACKLOG","MES CORRIENTE")))</f>
        <v/>
      </c>
      <c r="AG597" s="5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18">
        <f>IF(tblOrdenes[[#This Row],[orden]]="","",_xlfn.XLOOKUP(tblOrdenes[[#This Row],[id_operacion]],tblEjecucion[id_operacion],tblEjecucion[precio],0))</f>
        <v/>
      </c>
      <c r="AM597" s="18">
        <f>IF(tblOrdenes[[#This Row],[orden]]="","",MAX(0,_xlfn.XLOOKUP(tblOrdenes[[#This Row],[id_operacion]],tblEjecucion[id_operacion],tblEjecucion[costo_plan_total],0)-tblOrdenes[[#This Row],[costo_servicio]]))</f>
        <v/>
      </c>
      <c r="AN597" s="18">
        <f>IF(tblOrdenes[[#This Row],[orden]]="","",tblOrdenes[[#This Row],[costo_servicio]]+tblOrdenes[[#This Row],[costo_materiales]])</f>
        <v/>
      </c>
      <c r="AO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5">
        <f>IF(tblOrdenes[[#This Row],[link_checklist]]="","",HYPERLINK(p_ruta_base_checklists&amp;tblOrdenes[[#This Row],[link_checklist]],"abrir"))</f>
        <v/>
      </c>
      <c r="AT597" s="4" t="n"/>
      <c r="AU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5" t="n"/>
      <c r="K598" s="5" t="n"/>
      <c r="L598" s="18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Row],[fecha_inicio]]="","",tblOrdenes[[#This Row],[anio]]&amp;"-"&amp;TEXT(tblOrdenes[[#This Row],[mes]],"00"))</f>
        <v/>
      </c>
      <c r="S598" s="5">
        <f>IF(tblOrdenes[[#This Row],[fecha_inicio]]="","",INDEX(lista_dias,WEEKDAY(tblOrdenes[[#This Row],[fecha_inicio]],2)))</f>
        <v/>
      </c>
      <c r="T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5">
        <f>IF(tblOrdenes[[#This Row],[tipo_ot]]="","",_xlfn.XLOOKUP(tblOrdenes[[#This Row],[tipo_ot]],tblTiposOT[codigo],tblTiposOT[clasificacion],"sin_clasificar"))</f>
        <v/>
      </c>
      <c r="V5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5">
        <f>IF(tblOrdenes[[#This Row],[centro_costo]]="","",_xlfn.XLOOKUP(tblOrdenes[[#This Row],[centro_costo]],tblCECO[codigo],tblCECO[linea],"(sin catálogo)"))</f>
        <v/>
      </c>
      <c r="Y598" s="5">
        <f>IF(tblOrdenes[[#This Row],[centro_costo]]="","",_xlfn.XLOOKUP(tblOrdenes[[#This Row],[centro_costo]],tblCECO[codigo],tblCECO[area],"(sin catálogo)"))</f>
        <v/>
      </c>
      <c r="Z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5">
        <f>IF(tblOrdenes[[#This Row],[centro_costo]]="","",_xlfn.XLOOKUP(tblOrdenes[[#This Row],[centro_costo]],tblCECO[codigo],tblCECO[coordinador],"(sin catálogo)"))</f>
        <v/>
      </c>
      <c r="AB598" s="5">
        <f>IF(tblOrdenes[[#This Row],[puesto_trabajo]]="","",_xlfn.XLOOKUP(tblOrdenes[[#This Row],[puesto_trabajo]],tblPuestos[codigo],tblPuestos[especialidad],"(sin catálogo)"))</f>
        <v/>
      </c>
      <c r="AC598" s="5">
        <f>IF(tblOrdenes[[#This Row],[cod_actividad]]="","",_xlfn.XLOOKUP(tblOrdenes[[#This Row],[cod_actividad]],tblActividades[codigo],tblActividades[descripcion],"(sin catálogo)"))</f>
        <v/>
      </c>
      <c r="AD598" s="23">
        <f>IF(tblOrdenes[[#This Row],[fecha_inicio]]="","",TODAY()-tblOrdenes[[#This Row],[fecha_inicio]])</f>
        <v/>
      </c>
      <c r="AE5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5">
        <f>IF(tblOrdenes[[#This Row],[backlog_habiles]]="","",IF(tblOrdenes[[#This Row],[backlog_habiles]]&lt;0,"FUTURO",IF(tblOrdenes[[#This Row],[backlog_habiles]]&gt;p_dias_backlog_max,"BACKLOG","MES CORRIENTE")))</f>
        <v/>
      </c>
      <c r="AG598" s="5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18">
        <f>IF(tblOrdenes[[#This Row],[orden]]="","",_xlfn.XLOOKUP(tblOrdenes[[#This Row],[id_operacion]],tblEjecucion[id_operacion],tblEjecucion[precio],0))</f>
        <v/>
      </c>
      <c r="AM598" s="18">
        <f>IF(tblOrdenes[[#This Row],[orden]]="","",MAX(0,_xlfn.XLOOKUP(tblOrdenes[[#This Row],[id_operacion]],tblEjecucion[id_operacion],tblEjecucion[costo_plan_total],0)-tblOrdenes[[#This Row],[costo_servicio]]))</f>
        <v/>
      </c>
      <c r="AN598" s="18">
        <f>IF(tblOrdenes[[#This Row],[orden]]="","",tblOrdenes[[#This Row],[costo_servicio]]+tblOrdenes[[#This Row],[costo_materiales]])</f>
        <v/>
      </c>
      <c r="AO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5">
        <f>IF(tblOrdenes[[#This Row],[link_checklist]]="","",HYPERLINK(p_ruta_base_checklists&amp;tblOrdenes[[#This Row],[link_checklist]],"abrir"))</f>
        <v/>
      </c>
      <c r="AT598" s="4" t="n"/>
      <c r="AU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5" t="n"/>
      <c r="K599" s="5" t="n"/>
      <c r="L599" s="18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Row],[fecha_inicio]]="","",tblOrdenes[[#This Row],[anio]]&amp;"-"&amp;TEXT(tblOrdenes[[#This Row],[mes]],"00"))</f>
        <v/>
      </c>
      <c r="S599" s="5">
        <f>IF(tblOrdenes[[#This Row],[fecha_inicio]]="","",INDEX(lista_dias,WEEKDAY(tblOrdenes[[#This Row],[fecha_inicio]],2)))</f>
        <v/>
      </c>
      <c r="T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5">
        <f>IF(tblOrdenes[[#This Row],[tipo_ot]]="","",_xlfn.XLOOKUP(tblOrdenes[[#This Row],[tipo_ot]],tblTiposOT[codigo],tblTiposOT[clasificacion],"sin_clasificar"))</f>
        <v/>
      </c>
      <c r="V5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5">
        <f>IF(tblOrdenes[[#This Row],[centro_costo]]="","",_xlfn.XLOOKUP(tblOrdenes[[#This Row],[centro_costo]],tblCECO[codigo],tblCECO[linea],"(sin catálogo)"))</f>
        <v/>
      </c>
      <c r="Y599" s="5">
        <f>IF(tblOrdenes[[#This Row],[centro_costo]]="","",_xlfn.XLOOKUP(tblOrdenes[[#This Row],[centro_costo]],tblCECO[codigo],tblCECO[area],"(sin catálogo)"))</f>
        <v/>
      </c>
      <c r="Z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5">
        <f>IF(tblOrdenes[[#This Row],[centro_costo]]="","",_xlfn.XLOOKUP(tblOrdenes[[#This Row],[centro_costo]],tblCECO[codigo],tblCECO[coordinador],"(sin catálogo)"))</f>
        <v/>
      </c>
      <c r="AB599" s="5">
        <f>IF(tblOrdenes[[#This Row],[puesto_trabajo]]="","",_xlfn.XLOOKUP(tblOrdenes[[#This Row],[puesto_trabajo]],tblPuestos[codigo],tblPuestos[especialidad],"(sin catálogo)"))</f>
        <v/>
      </c>
      <c r="AC599" s="5">
        <f>IF(tblOrdenes[[#This Row],[cod_actividad]]="","",_xlfn.XLOOKUP(tblOrdenes[[#This Row],[cod_actividad]],tblActividades[codigo],tblActividades[descripcion],"(sin catálogo)"))</f>
        <v/>
      </c>
      <c r="AD599" s="23">
        <f>IF(tblOrdenes[[#This Row],[fecha_inicio]]="","",TODAY()-tblOrdenes[[#This Row],[fecha_inicio]])</f>
        <v/>
      </c>
      <c r="AE5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5">
        <f>IF(tblOrdenes[[#This Row],[backlog_habiles]]="","",IF(tblOrdenes[[#This Row],[backlog_habiles]]&lt;0,"FUTURO",IF(tblOrdenes[[#This Row],[backlog_habiles]]&gt;p_dias_backlog_max,"BACKLOG","MES CORRIENTE")))</f>
        <v/>
      </c>
      <c r="AG599" s="5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18">
        <f>IF(tblOrdenes[[#This Row],[orden]]="","",_xlfn.XLOOKUP(tblOrdenes[[#This Row],[id_operacion]],tblEjecucion[id_operacion],tblEjecucion[precio],0))</f>
        <v/>
      </c>
      <c r="AM599" s="18">
        <f>IF(tblOrdenes[[#This Row],[orden]]="","",MAX(0,_xlfn.XLOOKUP(tblOrdenes[[#This Row],[id_operacion]],tblEjecucion[id_operacion],tblEjecucion[costo_plan_total],0)-tblOrdenes[[#This Row],[costo_servicio]]))</f>
        <v/>
      </c>
      <c r="AN599" s="18">
        <f>IF(tblOrdenes[[#This Row],[orden]]="","",tblOrdenes[[#This Row],[costo_servicio]]+tblOrdenes[[#This Row],[costo_materiales]])</f>
        <v/>
      </c>
      <c r="AO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5">
        <f>IF(tblOrdenes[[#This Row],[link_checklist]]="","",HYPERLINK(p_ruta_base_checklists&amp;tblOrdenes[[#This Row],[link_checklist]],"abrir"))</f>
        <v/>
      </c>
      <c r="AT599" s="4" t="n"/>
      <c r="AU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5" t="n"/>
      <c r="K600" s="5" t="n"/>
      <c r="L600" s="18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Row],[fecha_inicio]]="","",tblOrdenes[[#This Row],[anio]]&amp;"-"&amp;TEXT(tblOrdenes[[#This Row],[mes]],"00"))</f>
        <v/>
      </c>
      <c r="S600" s="5">
        <f>IF(tblOrdenes[[#This Row],[fecha_inicio]]="","",INDEX(lista_dias,WEEKDAY(tblOrdenes[[#This Row],[fecha_inicio]],2)))</f>
        <v/>
      </c>
      <c r="T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5">
        <f>IF(tblOrdenes[[#This Row],[tipo_ot]]="","",_xlfn.XLOOKUP(tblOrdenes[[#This Row],[tipo_ot]],tblTiposOT[codigo],tblTiposOT[clasificacion],"sin_clasificar"))</f>
        <v/>
      </c>
      <c r="V6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5">
        <f>IF(tblOrdenes[[#This Row],[centro_costo]]="","",_xlfn.XLOOKUP(tblOrdenes[[#This Row],[centro_costo]],tblCECO[codigo],tblCECO[linea],"(sin catálogo)"))</f>
        <v/>
      </c>
      <c r="Y600" s="5">
        <f>IF(tblOrdenes[[#This Row],[centro_costo]]="","",_xlfn.XLOOKUP(tblOrdenes[[#This Row],[centro_costo]],tblCECO[codigo],tblCECO[area],"(sin catálogo)"))</f>
        <v/>
      </c>
      <c r="Z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5">
        <f>IF(tblOrdenes[[#This Row],[centro_costo]]="","",_xlfn.XLOOKUP(tblOrdenes[[#This Row],[centro_costo]],tblCECO[codigo],tblCECO[coordinador],"(sin catálogo)"))</f>
        <v/>
      </c>
      <c r="AB600" s="5">
        <f>IF(tblOrdenes[[#This Row],[puesto_trabajo]]="","",_xlfn.XLOOKUP(tblOrdenes[[#This Row],[puesto_trabajo]],tblPuestos[codigo],tblPuestos[especialidad],"(sin catálogo)"))</f>
        <v/>
      </c>
      <c r="AC600" s="5">
        <f>IF(tblOrdenes[[#This Row],[cod_actividad]]="","",_xlfn.XLOOKUP(tblOrdenes[[#This Row],[cod_actividad]],tblActividades[codigo],tblActividades[descripcion],"(sin catálogo)"))</f>
        <v/>
      </c>
      <c r="AD600" s="23">
        <f>IF(tblOrdenes[[#This Row],[fecha_inicio]]="","",TODAY()-tblOrdenes[[#This Row],[fecha_inicio]])</f>
        <v/>
      </c>
      <c r="AE6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5">
        <f>IF(tblOrdenes[[#This Row],[backlog_habiles]]="","",IF(tblOrdenes[[#This Row],[backlog_habiles]]&lt;0,"FUTURO",IF(tblOrdenes[[#This Row],[backlog_habiles]]&gt;p_dias_backlog_max,"BACKLOG","MES CORRIENTE")))</f>
        <v/>
      </c>
      <c r="AG600" s="5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18">
        <f>IF(tblOrdenes[[#This Row],[orden]]="","",_xlfn.XLOOKUP(tblOrdenes[[#This Row],[id_operacion]],tblEjecucion[id_operacion],tblEjecucion[precio],0))</f>
        <v/>
      </c>
      <c r="AM600" s="18">
        <f>IF(tblOrdenes[[#This Row],[orden]]="","",MAX(0,_xlfn.XLOOKUP(tblOrdenes[[#This Row],[id_operacion]],tblEjecucion[id_operacion],tblEjecucion[costo_plan_total],0)-tblOrdenes[[#This Row],[costo_servicio]]))</f>
        <v/>
      </c>
      <c r="AN600" s="18">
        <f>IF(tblOrdenes[[#This Row],[orden]]="","",tblOrdenes[[#This Row],[costo_servicio]]+tblOrdenes[[#This Row],[costo_materiales]])</f>
        <v/>
      </c>
      <c r="AO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5">
        <f>IF(tblOrdenes[[#This Row],[link_checklist]]="","",HYPERLINK(p_ruta_base_checklists&amp;tblOrdenes[[#This Row],[link_checklist]],"abrir"))</f>
        <v/>
      </c>
      <c r="AT600" s="4" t="n"/>
      <c r="AU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5" t="n"/>
      <c r="K601" s="5" t="n"/>
      <c r="L601" s="18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Row],[fecha_inicio]]="","",tblOrdenes[[#This Row],[anio]]&amp;"-"&amp;TEXT(tblOrdenes[[#This Row],[mes]],"00"))</f>
        <v/>
      </c>
      <c r="S601" s="5">
        <f>IF(tblOrdenes[[#This Row],[fecha_inicio]]="","",INDEX(lista_dias,WEEKDAY(tblOrdenes[[#This Row],[fecha_inicio]],2)))</f>
        <v/>
      </c>
      <c r="T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5">
        <f>IF(tblOrdenes[[#This Row],[tipo_ot]]="","",_xlfn.XLOOKUP(tblOrdenes[[#This Row],[tipo_ot]],tblTiposOT[codigo],tblTiposOT[clasificacion],"sin_clasificar"))</f>
        <v/>
      </c>
      <c r="V6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5">
        <f>IF(tblOrdenes[[#This Row],[centro_costo]]="","",_xlfn.XLOOKUP(tblOrdenes[[#This Row],[centro_costo]],tblCECO[codigo],tblCECO[linea],"(sin catálogo)"))</f>
        <v/>
      </c>
      <c r="Y601" s="5">
        <f>IF(tblOrdenes[[#This Row],[centro_costo]]="","",_xlfn.XLOOKUP(tblOrdenes[[#This Row],[centro_costo]],tblCECO[codigo],tblCECO[area],"(sin catálogo)"))</f>
        <v/>
      </c>
      <c r="Z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5">
        <f>IF(tblOrdenes[[#This Row],[centro_costo]]="","",_xlfn.XLOOKUP(tblOrdenes[[#This Row],[centro_costo]],tblCECO[codigo],tblCECO[coordinador],"(sin catálogo)"))</f>
        <v/>
      </c>
      <c r="AB601" s="5">
        <f>IF(tblOrdenes[[#This Row],[puesto_trabajo]]="","",_xlfn.XLOOKUP(tblOrdenes[[#This Row],[puesto_trabajo]],tblPuestos[codigo],tblPuestos[especialidad],"(sin catálogo)"))</f>
        <v/>
      </c>
      <c r="AC601" s="5">
        <f>IF(tblOrdenes[[#This Row],[cod_actividad]]="","",_xlfn.XLOOKUP(tblOrdenes[[#This Row],[cod_actividad]],tblActividades[codigo],tblActividades[descripcion],"(sin catálogo)"))</f>
        <v/>
      </c>
      <c r="AD601" s="23">
        <f>IF(tblOrdenes[[#This Row],[fecha_inicio]]="","",TODAY()-tblOrdenes[[#This Row],[fecha_inicio]])</f>
        <v/>
      </c>
      <c r="AE6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5">
        <f>IF(tblOrdenes[[#This Row],[backlog_habiles]]="","",IF(tblOrdenes[[#This Row],[backlog_habiles]]&lt;0,"FUTURO",IF(tblOrdenes[[#This Row],[backlog_habiles]]&gt;p_dias_backlog_max,"BACKLOG","MES CORRIENTE")))</f>
        <v/>
      </c>
      <c r="AG601" s="5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18">
        <f>IF(tblOrdenes[[#This Row],[orden]]="","",_xlfn.XLOOKUP(tblOrdenes[[#This Row],[id_operacion]],tblEjecucion[id_operacion],tblEjecucion[precio],0))</f>
        <v/>
      </c>
      <c r="AM601" s="18">
        <f>IF(tblOrdenes[[#This Row],[orden]]="","",MAX(0,_xlfn.XLOOKUP(tblOrdenes[[#This Row],[id_operacion]],tblEjecucion[id_operacion],tblEjecucion[costo_plan_total],0)-tblOrdenes[[#This Row],[costo_servicio]]))</f>
        <v/>
      </c>
      <c r="AN601" s="18">
        <f>IF(tblOrdenes[[#This Row],[orden]]="","",tblOrdenes[[#This Row],[costo_servicio]]+tblOrdenes[[#This Row],[costo_materiales]])</f>
        <v/>
      </c>
      <c r="AO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5">
        <f>IF(tblOrdenes[[#This Row],[link_checklist]]="","",HYPERLINK(p_ruta_base_checklists&amp;tblOrdenes[[#This Row],[link_checklist]],"abrir"))</f>
        <v/>
      </c>
      <c r="AT601" s="4" t="n"/>
      <c r="AU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5" t="n"/>
      <c r="K602" s="5" t="n"/>
      <c r="L602" s="18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Row],[fecha_inicio]]="","",tblOrdenes[[#This Row],[anio]]&amp;"-"&amp;TEXT(tblOrdenes[[#This Row],[mes]],"00"))</f>
        <v/>
      </c>
      <c r="S602" s="5">
        <f>IF(tblOrdenes[[#This Row],[fecha_inicio]]="","",INDEX(lista_dias,WEEKDAY(tblOrdenes[[#This Row],[fecha_inicio]],2)))</f>
        <v/>
      </c>
      <c r="T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5">
        <f>IF(tblOrdenes[[#This Row],[tipo_ot]]="","",_xlfn.XLOOKUP(tblOrdenes[[#This Row],[tipo_ot]],tblTiposOT[codigo],tblTiposOT[clasificacion],"sin_clasificar"))</f>
        <v/>
      </c>
      <c r="V6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5">
        <f>IF(tblOrdenes[[#This Row],[centro_costo]]="","",_xlfn.XLOOKUP(tblOrdenes[[#This Row],[centro_costo]],tblCECO[codigo],tblCECO[linea],"(sin catálogo)"))</f>
        <v/>
      </c>
      <c r="Y602" s="5">
        <f>IF(tblOrdenes[[#This Row],[centro_costo]]="","",_xlfn.XLOOKUP(tblOrdenes[[#This Row],[centro_costo]],tblCECO[codigo],tblCECO[area],"(sin catálogo)"))</f>
        <v/>
      </c>
      <c r="Z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5">
        <f>IF(tblOrdenes[[#This Row],[centro_costo]]="","",_xlfn.XLOOKUP(tblOrdenes[[#This Row],[centro_costo]],tblCECO[codigo],tblCECO[coordinador],"(sin catálogo)"))</f>
        <v/>
      </c>
      <c r="AB602" s="5">
        <f>IF(tblOrdenes[[#This Row],[puesto_trabajo]]="","",_xlfn.XLOOKUP(tblOrdenes[[#This Row],[puesto_trabajo]],tblPuestos[codigo],tblPuestos[especialidad],"(sin catálogo)"))</f>
        <v/>
      </c>
      <c r="AC602" s="5">
        <f>IF(tblOrdenes[[#This Row],[cod_actividad]]="","",_xlfn.XLOOKUP(tblOrdenes[[#This Row],[cod_actividad]],tblActividades[codigo],tblActividades[descripcion],"(sin catálogo)"))</f>
        <v/>
      </c>
      <c r="AD602" s="23">
        <f>IF(tblOrdenes[[#This Row],[fecha_inicio]]="","",TODAY()-tblOrdenes[[#This Row],[fecha_inicio]])</f>
        <v/>
      </c>
      <c r="AE6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5">
        <f>IF(tblOrdenes[[#This Row],[backlog_habiles]]="","",IF(tblOrdenes[[#This Row],[backlog_habiles]]&lt;0,"FUTURO",IF(tblOrdenes[[#This Row],[backlog_habiles]]&gt;p_dias_backlog_max,"BACKLOG","MES CORRIENTE")))</f>
        <v/>
      </c>
      <c r="AG602" s="5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18">
        <f>IF(tblOrdenes[[#This Row],[orden]]="","",_xlfn.XLOOKUP(tblOrdenes[[#This Row],[id_operacion]],tblEjecucion[id_operacion],tblEjecucion[precio],0))</f>
        <v/>
      </c>
      <c r="AM602" s="18">
        <f>IF(tblOrdenes[[#This Row],[orden]]="","",MAX(0,_xlfn.XLOOKUP(tblOrdenes[[#This Row],[id_operacion]],tblEjecucion[id_operacion],tblEjecucion[costo_plan_total],0)-tblOrdenes[[#This Row],[costo_servicio]]))</f>
        <v/>
      </c>
      <c r="AN602" s="18">
        <f>IF(tblOrdenes[[#This Row],[orden]]="","",tblOrdenes[[#This Row],[costo_servicio]]+tblOrdenes[[#This Row],[costo_materiales]])</f>
        <v/>
      </c>
      <c r="AO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5">
        <f>IF(tblOrdenes[[#This Row],[link_checklist]]="","",HYPERLINK(p_ruta_base_checklists&amp;tblOrdenes[[#This Row],[link_checklist]],"abrir"))</f>
        <v/>
      </c>
      <c r="AT602" s="4" t="n"/>
      <c r="AU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5" t="n"/>
      <c r="K603" s="5" t="n"/>
      <c r="L603" s="18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Row],[fecha_inicio]]="","",tblOrdenes[[#This Row],[anio]]&amp;"-"&amp;TEXT(tblOrdenes[[#This Row],[mes]],"00"))</f>
        <v/>
      </c>
      <c r="S603" s="5">
        <f>IF(tblOrdenes[[#This Row],[fecha_inicio]]="","",INDEX(lista_dias,WEEKDAY(tblOrdenes[[#This Row],[fecha_inicio]],2)))</f>
        <v/>
      </c>
      <c r="T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5">
        <f>IF(tblOrdenes[[#This Row],[tipo_ot]]="","",_xlfn.XLOOKUP(tblOrdenes[[#This Row],[tipo_ot]],tblTiposOT[codigo],tblTiposOT[clasificacion],"sin_clasificar"))</f>
        <v/>
      </c>
      <c r="V6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5">
        <f>IF(tblOrdenes[[#This Row],[centro_costo]]="","",_xlfn.XLOOKUP(tblOrdenes[[#This Row],[centro_costo]],tblCECO[codigo],tblCECO[linea],"(sin catálogo)"))</f>
        <v/>
      </c>
      <c r="Y603" s="5">
        <f>IF(tblOrdenes[[#This Row],[centro_costo]]="","",_xlfn.XLOOKUP(tblOrdenes[[#This Row],[centro_costo]],tblCECO[codigo],tblCECO[area],"(sin catálogo)"))</f>
        <v/>
      </c>
      <c r="Z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5">
        <f>IF(tblOrdenes[[#This Row],[centro_costo]]="","",_xlfn.XLOOKUP(tblOrdenes[[#This Row],[centro_costo]],tblCECO[codigo],tblCECO[coordinador],"(sin catálogo)"))</f>
        <v/>
      </c>
      <c r="AB603" s="5">
        <f>IF(tblOrdenes[[#This Row],[puesto_trabajo]]="","",_xlfn.XLOOKUP(tblOrdenes[[#This Row],[puesto_trabajo]],tblPuestos[codigo],tblPuestos[especialidad],"(sin catálogo)"))</f>
        <v/>
      </c>
      <c r="AC603" s="5">
        <f>IF(tblOrdenes[[#This Row],[cod_actividad]]="","",_xlfn.XLOOKUP(tblOrdenes[[#This Row],[cod_actividad]],tblActividades[codigo],tblActividades[descripcion],"(sin catálogo)"))</f>
        <v/>
      </c>
      <c r="AD603" s="23">
        <f>IF(tblOrdenes[[#This Row],[fecha_inicio]]="","",TODAY()-tblOrdenes[[#This Row],[fecha_inicio]])</f>
        <v/>
      </c>
      <c r="AE6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5">
        <f>IF(tblOrdenes[[#This Row],[backlog_habiles]]="","",IF(tblOrdenes[[#This Row],[backlog_habiles]]&lt;0,"FUTURO",IF(tblOrdenes[[#This Row],[backlog_habiles]]&gt;p_dias_backlog_max,"BACKLOG","MES CORRIENTE")))</f>
        <v/>
      </c>
      <c r="AG603" s="5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18">
        <f>IF(tblOrdenes[[#This Row],[orden]]="","",_xlfn.XLOOKUP(tblOrdenes[[#This Row],[id_operacion]],tblEjecucion[id_operacion],tblEjecucion[precio],0))</f>
        <v/>
      </c>
      <c r="AM603" s="18">
        <f>IF(tblOrdenes[[#This Row],[orden]]="","",MAX(0,_xlfn.XLOOKUP(tblOrdenes[[#This Row],[id_operacion]],tblEjecucion[id_operacion],tblEjecucion[costo_plan_total],0)-tblOrdenes[[#This Row],[costo_servicio]]))</f>
        <v/>
      </c>
      <c r="AN603" s="18">
        <f>IF(tblOrdenes[[#This Row],[orden]]="","",tblOrdenes[[#This Row],[costo_servicio]]+tblOrdenes[[#This Row],[costo_materiales]])</f>
        <v/>
      </c>
      <c r="AO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5">
        <f>IF(tblOrdenes[[#This Row],[link_checklist]]="","",HYPERLINK(p_ruta_base_checklists&amp;tblOrdenes[[#This Row],[link_checklist]],"abrir"))</f>
        <v/>
      </c>
      <c r="AT603" s="4" t="n"/>
      <c r="AU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5" t="n"/>
      <c r="K604" s="5" t="n"/>
      <c r="L604" s="18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Row],[fecha_inicio]]="","",tblOrdenes[[#This Row],[anio]]&amp;"-"&amp;TEXT(tblOrdenes[[#This Row],[mes]],"00"))</f>
        <v/>
      </c>
      <c r="S604" s="5">
        <f>IF(tblOrdenes[[#This Row],[fecha_inicio]]="","",INDEX(lista_dias,WEEKDAY(tblOrdenes[[#This Row],[fecha_inicio]],2)))</f>
        <v/>
      </c>
      <c r="T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5">
        <f>IF(tblOrdenes[[#This Row],[tipo_ot]]="","",_xlfn.XLOOKUP(tblOrdenes[[#This Row],[tipo_ot]],tblTiposOT[codigo],tblTiposOT[clasificacion],"sin_clasificar"))</f>
        <v/>
      </c>
      <c r="V6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5">
        <f>IF(tblOrdenes[[#This Row],[centro_costo]]="","",_xlfn.XLOOKUP(tblOrdenes[[#This Row],[centro_costo]],tblCECO[codigo],tblCECO[linea],"(sin catálogo)"))</f>
        <v/>
      </c>
      <c r="Y604" s="5">
        <f>IF(tblOrdenes[[#This Row],[centro_costo]]="","",_xlfn.XLOOKUP(tblOrdenes[[#This Row],[centro_costo]],tblCECO[codigo],tblCECO[area],"(sin catálogo)"))</f>
        <v/>
      </c>
      <c r="Z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5">
        <f>IF(tblOrdenes[[#This Row],[centro_costo]]="","",_xlfn.XLOOKUP(tblOrdenes[[#This Row],[centro_costo]],tblCECO[codigo],tblCECO[coordinador],"(sin catálogo)"))</f>
        <v/>
      </c>
      <c r="AB604" s="5">
        <f>IF(tblOrdenes[[#This Row],[puesto_trabajo]]="","",_xlfn.XLOOKUP(tblOrdenes[[#This Row],[puesto_trabajo]],tblPuestos[codigo],tblPuestos[especialidad],"(sin catálogo)"))</f>
        <v/>
      </c>
      <c r="AC604" s="5">
        <f>IF(tblOrdenes[[#This Row],[cod_actividad]]="","",_xlfn.XLOOKUP(tblOrdenes[[#This Row],[cod_actividad]],tblActividades[codigo],tblActividades[descripcion],"(sin catálogo)"))</f>
        <v/>
      </c>
      <c r="AD604" s="23">
        <f>IF(tblOrdenes[[#This Row],[fecha_inicio]]="","",TODAY()-tblOrdenes[[#This Row],[fecha_inicio]])</f>
        <v/>
      </c>
      <c r="AE6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5">
        <f>IF(tblOrdenes[[#This Row],[backlog_habiles]]="","",IF(tblOrdenes[[#This Row],[backlog_habiles]]&lt;0,"FUTURO",IF(tblOrdenes[[#This Row],[backlog_habiles]]&gt;p_dias_backlog_max,"BACKLOG","MES CORRIENTE")))</f>
        <v/>
      </c>
      <c r="AG604" s="5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18">
        <f>IF(tblOrdenes[[#This Row],[orden]]="","",_xlfn.XLOOKUP(tblOrdenes[[#This Row],[id_operacion]],tblEjecucion[id_operacion],tblEjecucion[precio],0))</f>
        <v/>
      </c>
      <c r="AM604" s="18">
        <f>IF(tblOrdenes[[#This Row],[orden]]="","",MAX(0,_xlfn.XLOOKUP(tblOrdenes[[#This Row],[id_operacion]],tblEjecucion[id_operacion],tblEjecucion[costo_plan_total],0)-tblOrdenes[[#This Row],[costo_servicio]]))</f>
        <v/>
      </c>
      <c r="AN604" s="18">
        <f>IF(tblOrdenes[[#This Row],[orden]]="","",tblOrdenes[[#This Row],[costo_servicio]]+tblOrdenes[[#This Row],[costo_materiales]])</f>
        <v/>
      </c>
      <c r="AO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5">
        <f>IF(tblOrdenes[[#This Row],[link_checklist]]="","",HYPERLINK(p_ruta_base_checklists&amp;tblOrdenes[[#This Row],[link_checklist]],"abrir"))</f>
        <v/>
      </c>
      <c r="AT604" s="4" t="n"/>
      <c r="AU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5" t="n"/>
      <c r="K605" s="5" t="n"/>
      <c r="L605" s="18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Row],[fecha_inicio]]="","",tblOrdenes[[#This Row],[anio]]&amp;"-"&amp;TEXT(tblOrdenes[[#This Row],[mes]],"00"))</f>
        <v/>
      </c>
      <c r="S605" s="5">
        <f>IF(tblOrdenes[[#This Row],[fecha_inicio]]="","",INDEX(lista_dias,WEEKDAY(tblOrdenes[[#This Row],[fecha_inicio]],2)))</f>
        <v/>
      </c>
      <c r="T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5">
        <f>IF(tblOrdenes[[#This Row],[tipo_ot]]="","",_xlfn.XLOOKUP(tblOrdenes[[#This Row],[tipo_ot]],tblTiposOT[codigo],tblTiposOT[clasificacion],"sin_clasificar"))</f>
        <v/>
      </c>
      <c r="V6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5">
        <f>IF(tblOrdenes[[#This Row],[centro_costo]]="","",_xlfn.XLOOKUP(tblOrdenes[[#This Row],[centro_costo]],tblCECO[codigo],tblCECO[linea],"(sin catálogo)"))</f>
        <v/>
      </c>
      <c r="Y605" s="5">
        <f>IF(tblOrdenes[[#This Row],[centro_costo]]="","",_xlfn.XLOOKUP(tblOrdenes[[#This Row],[centro_costo]],tblCECO[codigo],tblCECO[area],"(sin catálogo)"))</f>
        <v/>
      </c>
      <c r="Z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5">
        <f>IF(tblOrdenes[[#This Row],[centro_costo]]="","",_xlfn.XLOOKUP(tblOrdenes[[#This Row],[centro_costo]],tblCECO[codigo],tblCECO[coordinador],"(sin catálogo)"))</f>
        <v/>
      </c>
      <c r="AB605" s="5">
        <f>IF(tblOrdenes[[#This Row],[puesto_trabajo]]="","",_xlfn.XLOOKUP(tblOrdenes[[#This Row],[puesto_trabajo]],tblPuestos[codigo],tblPuestos[especialidad],"(sin catálogo)"))</f>
        <v/>
      </c>
      <c r="AC605" s="5">
        <f>IF(tblOrdenes[[#This Row],[cod_actividad]]="","",_xlfn.XLOOKUP(tblOrdenes[[#This Row],[cod_actividad]],tblActividades[codigo],tblActividades[descripcion],"(sin catálogo)"))</f>
        <v/>
      </c>
      <c r="AD605" s="23">
        <f>IF(tblOrdenes[[#This Row],[fecha_inicio]]="","",TODAY()-tblOrdenes[[#This Row],[fecha_inicio]])</f>
        <v/>
      </c>
      <c r="AE6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5">
        <f>IF(tblOrdenes[[#This Row],[backlog_habiles]]="","",IF(tblOrdenes[[#This Row],[backlog_habiles]]&lt;0,"FUTURO",IF(tblOrdenes[[#This Row],[backlog_habiles]]&gt;p_dias_backlog_max,"BACKLOG","MES CORRIENTE")))</f>
        <v/>
      </c>
      <c r="AG605" s="5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18">
        <f>IF(tblOrdenes[[#This Row],[orden]]="","",_xlfn.XLOOKUP(tblOrdenes[[#This Row],[id_operacion]],tblEjecucion[id_operacion],tblEjecucion[precio],0))</f>
        <v/>
      </c>
      <c r="AM605" s="18">
        <f>IF(tblOrdenes[[#This Row],[orden]]="","",MAX(0,_xlfn.XLOOKUP(tblOrdenes[[#This Row],[id_operacion]],tblEjecucion[id_operacion],tblEjecucion[costo_plan_total],0)-tblOrdenes[[#This Row],[costo_servicio]]))</f>
        <v/>
      </c>
      <c r="AN605" s="18">
        <f>IF(tblOrdenes[[#This Row],[orden]]="","",tblOrdenes[[#This Row],[costo_servicio]]+tblOrdenes[[#This Row],[costo_materiales]])</f>
        <v/>
      </c>
      <c r="AO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5">
        <f>IF(tblOrdenes[[#This Row],[link_checklist]]="","",HYPERLINK(p_ruta_base_checklists&amp;tblOrdenes[[#This Row],[link_checklist]],"abrir"))</f>
        <v/>
      </c>
      <c r="AT605" s="4" t="n"/>
      <c r="AU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5" t="n"/>
      <c r="K606" s="5" t="n"/>
      <c r="L606" s="18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Row],[fecha_inicio]]="","",tblOrdenes[[#This Row],[anio]]&amp;"-"&amp;TEXT(tblOrdenes[[#This Row],[mes]],"00"))</f>
        <v/>
      </c>
      <c r="S606" s="5">
        <f>IF(tblOrdenes[[#This Row],[fecha_inicio]]="","",INDEX(lista_dias,WEEKDAY(tblOrdenes[[#This Row],[fecha_inicio]],2)))</f>
        <v/>
      </c>
      <c r="T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5">
        <f>IF(tblOrdenes[[#This Row],[tipo_ot]]="","",_xlfn.XLOOKUP(tblOrdenes[[#This Row],[tipo_ot]],tblTiposOT[codigo],tblTiposOT[clasificacion],"sin_clasificar"))</f>
        <v/>
      </c>
      <c r="V6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5">
        <f>IF(tblOrdenes[[#This Row],[centro_costo]]="","",_xlfn.XLOOKUP(tblOrdenes[[#This Row],[centro_costo]],tblCECO[codigo],tblCECO[linea],"(sin catálogo)"))</f>
        <v/>
      </c>
      <c r="Y606" s="5">
        <f>IF(tblOrdenes[[#This Row],[centro_costo]]="","",_xlfn.XLOOKUP(tblOrdenes[[#This Row],[centro_costo]],tblCECO[codigo],tblCECO[area],"(sin catálogo)"))</f>
        <v/>
      </c>
      <c r="Z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5">
        <f>IF(tblOrdenes[[#This Row],[centro_costo]]="","",_xlfn.XLOOKUP(tblOrdenes[[#This Row],[centro_costo]],tblCECO[codigo],tblCECO[coordinador],"(sin catálogo)"))</f>
        <v/>
      </c>
      <c r="AB606" s="5">
        <f>IF(tblOrdenes[[#This Row],[puesto_trabajo]]="","",_xlfn.XLOOKUP(tblOrdenes[[#This Row],[puesto_trabajo]],tblPuestos[codigo],tblPuestos[especialidad],"(sin catálogo)"))</f>
        <v/>
      </c>
      <c r="AC606" s="5">
        <f>IF(tblOrdenes[[#This Row],[cod_actividad]]="","",_xlfn.XLOOKUP(tblOrdenes[[#This Row],[cod_actividad]],tblActividades[codigo],tblActividades[descripcion],"(sin catálogo)"))</f>
        <v/>
      </c>
      <c r="AD606" s="23">
        <f>IF(tblOrdenes[[#This Row],[fecha_inicio]]="","",TODAY()-tblOrdenes[[#This Row],[fecha_inicio]])</f>
        <v/>
      </c>
      <c r="AE6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5">
        <f>IF(tblOrdenes[[#This Row],[backlog_habiles]]="","",IF(tblOrdenes[[#This Row],[backlog_habiles]]&lt;0,"FUTURO",IF(tblOrdenes[[#This Row],[backlog_habiles]]&gt;p_dias_backlog_max,"BACKLOG","MES CORRIENTE")))</f>
        <v/>
      </c>
      <c r="AG606" s="5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18">
        <f>IF(tblOrdenes[[#This Row],[orden]]="","",_xlfn.XLOOKUP(tblOrdenes[[#This Row],[id_operacion]],tblEjecucion[id_operacion],tblEjecucion[precio],0))</f>
        <v/>
      </c>
      <c r="AM606" s="18">
        <f>IF(tblOrdenes[[#This Row],[orden]]="","",MAX(0,_xlfn.XLOOKUP(tblOrdenes[[#This Row],[id_operacion]],tblEjecucion[id_operacion],tblEjecucion[costo_plan_total],0)-tblOrdenes[[#This Row],[costo_servicio]]))</f>
        <v/>
      </c>
      <c r="AN606" s="18">
        <f>IF(tblOrdenes[[#This Row],[orden]]="","",tblOrdenes[[#This Row],[costo_servicio]]+tblOrdenes[[#This Row],[costo_materiales]])</f>
        <v/>
      </c>
      <c r="AO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5">
        <f>IF(tblOrdenes[[#This Row],[link_checklist]]="","",HYPERLINK(p_ruta_base_checklists&amp;tblOrdenes[[#This Row],[link_checklist]],"abrir"))</f>
        <v/>
      </c>
      <c r="AT606" s="4" t="n"/>
      <c r="AU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5" t="n"/>
      <c r="K607" s="5" t="n"/>
      <c r="L607" s="18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Row],[fecha_inicio]]="","",tblOrdenes[[#This Row],[anio]]&amp;"-"&amp;TEXT(tblOrdenes[[#This Row],[mes]],"00"))</f>
        <v/>
      </c>
      <c r="S607" s="5">
        <f>IF(tblOrdenes[[#This Row],[fecha_inicio]]="","",INDEX(lista_dias,WEEKDAY(tblOrdenes[[#This Row],[fecha_inicio]],2)))</f>
        <v/>
      </c>
      <c r="T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5">
        <f>IF(tblOrdenes[[#This Row],[tipo_ot]]="","",_xlfn.XLOOKUP(tblOrdenes[[#This Row],[tipo_ot]],tblTiposOT[codigo],tblTiposOT[clasificacion],"sin_clasificar"))</f>
        <v/>
      </c>
      <c r="V6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5">
        <f>IF(tblOrdenes[[#This Row],[centro_costo]]="","",_xlfn.XLOOKUP(tblOrdenes[[#This Row],[centro_costo]],tblCECO[codigo],tblCECO[linea],"(sin catálogo)"))</f>
        <v/>
      </c>
      <c r="Y607" s="5">
        <f>IF(tblOrdenes[[#This Row],[centro_costo]]="","",_xlfn.XLOOKUP(tblOrdenes[[#This Row],[centro_costo]],tblCECO[codigo],tblCECO[area],"(sin catálogo)"))</f>
        <v/>
      </c>
      <c r="Z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5">
        <f>IF(tblOrdenes[[#This Row],[centro_costo]]="","",_xlfn.XLOOKUP(tblOrdenes[[#This Row],[centro_costo]],tblCECO[codigo],tblCECO[coordinador],"(sin catálogo)"))</f>
        <v/>
      </c>
      <c r="AB607" s="5">
        <f>IF(tblOrdenes[[#This Row],[puesto_trabajo]]="","",_xlfn.XLOOKUP(tblOrdenes[[#This Row],[puesto_trabajo]],tblPuestos[codigo],tblPuestos[especialidad],"(sin catálogo)"))</f>
        <v/>
      </c>
      <c r="AC607" s="5">
        <f>IF(tblOrdenes[[#This Row],[cod_actividad]]="","",_xlfn.XLOOKUP(tblOrdenes[[#This Row],[cod_actividad]],tblActividades[codigo],tblActividades[descripcion],"(sin catálogo)"))</f>
        <v/>
      </c>
      <c r="AD607" s="23">
        <f>IF(tblOrdenes[[#This Row],[fecha_inicio]]="","",TODAY()-tblOrdenes[[#This Row],[fecha_inicio]])</f>
        <v/>
      </c>
      <c r="AE6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5">
        <f>IF(tblOrdenes[[#This Row],[backlog_habiles]]="","",IF(tblOrdenes[[#This Row],[backlog_habiles]]&lt;0,"FUTURO",IF(tblOrdenes[[#This Row],[backlog_habiles]]&gt;p_dias_backlog_max,"BACKLOG","MES CORRIENTE")))</f>
        <v/>
      </c>
      <c r="AG607" s="5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18">
        <f>IF(tblOrdenes[[#This Row],[orden]]="","",_xlfn.XLOOKUP(tblOrdenes[[#This Row],[id_operacion]],tblEjecucion[id_operacion],tblEjecucion[precio],0))</f>
        <v/>
      </c>
      <c r="AM607" s="18">
        <f>IF(tblOrdenes[[#This Row],[orden]]="","",MAX(0,_xlfn.XLOOKUP(tblOrdenes[[#This Row],[id_operacion]],tblEjecucion[id_operacion],tblEjecucion[costo_plan_total],0)-tblOrdenes[[#This Row],[costo_servicio]]))</f>
        <v/>
      </c>
      <c r="AN607" s="18">
        <f>IF(tblOrdenes[[#This Row],[orden]]="","",tblOrdenes[[#This Row],[costo_servicio]]+tblOrdenes[[#This Row],[costo_materiales]])</f>
        <v/>
      </c>
      <c r="AO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5">
        <f>IF(tblOrdenes[[#This Row],[link_checklist]]="","",HYPERLINK(p_ruta_base_checklists&amp;tblOrdenes[[#This Row],[link_checklist]],"abrir"))</f>
        <v/>
      </c>
      <c r="AT607" s="4" t="n"/>
      <c r="AU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5" t="n"/>
      <c r="K608" s="5" t="n"/>
      <c r="L608" s="18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Row],[fecha_inicio]]="","",tblOrdenes[[#This Row],[anio]]&amp;"-"&amp;TEXT(tblOrdenes[[#This Row],[mes]],"00"))</f>
        <v/>
      </c>
      <c r="S608" s="5">
        <f>IF(tblOrdenes[[#This Row],[fecha_inicio]]="","",INDEX(lista_dias,WEEKDAY(tblOrdenes[[#This Row],[fecha_inicio]],2)))</f>
        <v/>
      </c>
      <c r="T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5">
        <f>IF(tblOrdenes[[#This Row],[tipo_ot]]="","",_xlfn.XLOOKUP(tblOrdenes[[#This Row],[tipo_ot]],tblTiposOT[codigo],tblTiposOT[clasificacion],"sin_clasificar"))</f>
        <v/>
      </c>
      <c r="V6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5">
        <f>IF(tblOrdenes[[#This Row],[centro_costo]]="","",_xlfn.XLOOKUP(tblOrdenes[[#This Row],[centro_costo]],tblCECO[codigo],tblCECO[linea],"(sin catálogo)"))</f>
        <v/>
      </c>
      <c r="Y608" s="5">
        <f>IF(tblOrdenes[[#This Row],[centro_costo]]="","",_xlfn.XLOOKUP(tblOrdenes[[#This Row],[centro_costo]],tblCECO[codigo],tblCECO[area],"(sin catálogo)"))</f>
        <v/>
      </c>
      <c r="Z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5">
        <f>IF(tblOrdenes[[#This Row],[centro_costo]]="","",_xlfn.XLOOKUP(tblOrdenes[[#This Row],[centro_costo]],tblCECO[codigo],tblCECO[coordinador],"(sin catálogo)"))</f>
        <v/>
      </c>
      <c r="AB608" s="5">
        <f>IF(tblOrdenes[[#This Row],[puesto_trabajo]]="","",_xlfn.XLOOKUP(tblOrdenes[[#This Row],[puesto_trabajo]],tblPuestos[codigo],tblPuestos[especialidad],"(sin catálogo)"))</f>
        <v/>
      </c>
      <c r="AC608" s="5">
        <f>IF(tblOrdenes[[#This Row],[cod_actividad]]="","",_xlfn.XLOOKUP(tblOrdenes[[#This Row],[cod_actividad]],tblActividades[codigo],tblActividades[descripcion],"(sin catálogo)"))</f>
        <v/>
      </c>
      <c r="AD608" s="23">
        <f>IF(tblOrdenes[[#This Row],[fecha_inicio]]="","",TODAY()-tblOrdenes[[#This Row],[fecha_inicio]])</f>
        <v/>
      </c>
      <c r="AE6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5">
        <f>IF(tblOrdenes[[#This Row],[backlog_habiles]]="","",IF(tblOrdenes[[#This Row],[backlog_habiles]]&lt;0,"FUTURO",IF(tblOrdenes[[#This Row],[backlog_habiles]]&gt;p_dias_backlog_max,"BACKLOG","MES CORRIENTE")))</f>
        <v/>
      </c>
      <c r="AG608" s="5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18">
        <f>IF(tblOrdenes[[#This Row],[orden]]="","",_xlfn.XLOOKUP(tblOrdenes[[#This Row],[id_operacion]],tblEjecucion[id_operacion],tblEjecucion[precio],0))</f>
        <v/>
      </c>
      <c r="AM608" s="18">
        <f>IF(tblOrdenes[[#This Row],[orden]]="","",MAX(0,_xlfn.XLOOKUP(tblOrdenes[[#This Row],[id_operacion]],tblEjecucion[id_operacion],tblEjecucion[costo_plan_total],0)-tblOrdenes[[#This Row],[costo_servicio]]))</f>
        <v/>
      </c>
      <c r="AN608" s="18">
        <f>IF(tblOrdenes[[#This Row],[orden]]="","",tblOrdenes[[#This Row],[costo_servicio]]+tblOrdenes[[#This Row],[costo_materiales]])</f>
        <v/>
      </c>
      <c r="AO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5">
        <f>IF(tblOrdenes[[#This Row],[link_checklist]]="","",HYPERLINK(p_ruta_base_checklists&amp;tblOrdenes[[#This Row],[link_checklist]],"abrir"))</f>
        <v/>
      </c>
      <c r="AT608" s="4" t="n"/>
      <c r="AU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5" t="n"/>
      <c r="K609" s="5" t="n"/>
      <c r="L609" s="18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Row],[fecha_inicio]]="","",tblOrdenes[[#This Row],[anio]]&amp;"-"&amp;TEXT(tblOrdenes[[#This Row],[mes]],"00"))</f>
        <v/>
      </c>
      <c r="S609" s="5">
        <f>IF(tblOrdenes[[#This Row],[fecha_inicio]]="","",INDEX(lista_dias,WEEKDAY(tblOrdenes[[#This Row],[fecha_inicio]],2)))</f>
        <v/>
      </c>
      <c r="T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5">
        <f>IF(tblOrdenes[[#This Row],[tipo_ot]]="","",_xlfn.XLOOKUP(tblOrdenes[[#This Row],[tipo_ot]],tblTiposOT[codigo],tblTiposOT[clasificacion],"sin_clasificar"))</f>
        <v/>
      </c>
      <c r="V6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5">
        <f>IF(tblOrdenes[[#This Row],[centro_costo]]="","",_xlfn.XLOOKUP(tblOrdenes[[#This Row],[centro_costo]],tblCECO[codigo],tblCECO[linea],"(sin catálogo)"))</f>
        <v/>
      </c>
      <c r="Y609" s="5">
        <f>IF(tblOrdenes[[#This Row],[centro_costo]]="","",_xlfn.XLOOKUP(tblOrdenes[[#This Row],[centro_costo]],tblCECO[codigo],tblCECO[area],"(sin catálogo)"))</f>
        <v/>
      </c>
      <c r="Z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5">
        <f>IF(tblOrdenes[[#This Row],[centro_costo]]="","",_xlfn.XLOOKUP(tblOrdenes[[#This Row],[centro_costo]],tblCECO[codigo],tblCECO[coordinador],"(sin catálogo)"))</f>
        <v/>
      </c>
      <c r="AB609" s="5">
        <f>IF(tblOrdenes[[#This Row],[puesto_trabajo]]="","",_xlfn.XLOOKUP(tblOrdenes[[#This Row],[puesto_trabajo]],tblPuestos[codigo],tblPuestos[especialidad],"(sin catálogo)"))</f>
        <v/>
      </c>
      <c r="AC609" s="5">
        <f>IF(tblOrdenes[[#This Row],[cod_actividad]]="","",_xlfn.XLOOKUP(tblOrdenes[[#This Row],[cod_actividad]],tblActividades[codigo],tblActividades[descripcion],"(sin catálogo)"))</f>
        <v/>
      </c>
      <c r="AD609" s="23">
        <f>IF(tblOrdenes[[#This Row],[fecha_inicio]]="","",TODAY()-tblOrdenes[[#This Row],[fecha_inicio]])</f>
        <v/>
      </c>
      <c r="AE6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5">
        <f>IF(tblOrdenes[[#This Row],[backlog_habiles]]="","",IF(tblOrdenes[[#This Row],[backlog_habiles]]&lt;0,"FUTURO",IF(tblOrdenes[[#This Row],[backlog_habiles]]&gt;p_dias_backlog_max,"BACKLOG","MES CORRIENTE")))</f>
        <v/>
      </c>
      <c r="AG609" s="5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18">
        <f>IF(tblOrdenes[[#This Row],[orden]]="","",_xlfn.XLOOKUP(tblOrdenes[[#This Row],[id_operacion]],tblEjecucion[id_operacion],tblEjecucion[precio],0))</f>
        <v/>
      </c>
      <c r="AM609" s="18">
        <f>IF(tblOrdenes[[#This Row],[orden]]="","",MAX(0,_xlfn.XLOOKUP(tblOrdenes[[#This Row],[id_operacion]],tblEjecucion[id_operacion],tblEjecucion[costo_plan_total],0)-tblOrdenes[[#This Row],[costo_servicio]]))</f>
        <v/>
      </c>
      <c r="AN609" s="18">
        <f>IF(tblOrdenes[[#This Row],[orden]]="","",tblOrdenes[[#This Row],[costo_servicio]]+tblOrdenes[[#This Row],[costo_materiales]])</f>
        <v/>
      </c>
      <c r="AO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5">
        <f>IF(tblOrdenes[[#This Row],[link_checklist]]="","",HYPERLINK(p_ruta_base_checklists&amp;tblOrdenes[[#This Row],[link_checklist]],"abrir"))</f>
        <v/>
      </c>
      <c r="AT609" s="4" t="n"/>
      <c r="AU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5" t="n"/>
      <c r="K610" s="5" t="n"/>
      <c r="L610" s="18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Row],[fecha_inicio]]="","",tblOrdenes[[#This Row],[anio]]&amp;"-"&amp;TEXT(tblOrdenes[[#This Row],[mes]],"00"))</f>
        <v/>
      </c>
      <c r="S610" s="5">
        <f>IF(tblOrdenes[[#This Row],[fecha_inicio]]="","",INDEX(lista_dias,WEEKDAY(tblOrdenes[[#This Row],[fecha_inicio]],2)))</f>
        <v/>
      </c>
      <c r="T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5">
        <f>IF(tblOrdenes[[#This Row],[tipo_ot]]="","",_xlfn.XLOOKUP(tblOrdenes[[#This Row],[tipo_ot]],tblTiposOT[codigo],tblTiposOT[clasificacion],"sin_clasificar"))</f>
        <v/>
      </c>
      <c r="V6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5">
        <f>IF(tblOrdenes[[#This Row],[centro_costo]]="","",_xlfn.XLOOKUP(tblOrdenes[[#This Row],[centro_costo]],tblCECO[codigo],tblCECO[linea],"(sin catálogo)"))</f>
        <v/>
      </c>
      <c r="Y610" s="5">
        <f>IF(tblOrdenes[[#This Row],[centro_costo]]="","",_xlfn.XLOOKUP(tblOrdenes[[#This Row],[centro_costo]],tblCECO[codigo],tblCECO[area],"(sin catálogo)"))</f>
        <v/>
      </c>
      <c r="Z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5">
        <f>IF(tblOrdenes[[#This Row],[centro_costo]]="","",_xlfn.XLOOKUP(tblOrdenes[[#This Row],[centro_costo]],tblCECO[codigo],tblCECO[coordinador],"(sin catálogo)"))</f>
        <v/>
      </c>
      <c r="AB610" s="5">
        <f>IF(tblOrdenes[[#This Row],[puesto_trabajo]]="","",_xlfn.XLOOKUP(tblOrdenes[[#This Row],[puesto_trabajo]],tblPuestos[codigo],tblPuestos[especialidad],"(sin catálogo)"))</f>
        <v/>
      </c>
      <c r="AC610" s="5">
        <f>IF(tblOrdenes[[#This Row],[cod_actividad]]="","",_xlfn.XLOOKUP(tblOrdenes[[#This Row],[cod_actividad]],tblActividades[codigo],tblActividades[descripcion],"(sin catálogo)"))</f>
        <v/>
      </c>
      <c r="AD610" s="23">
        <f>IF(tblOrdenes[[#This Row],[fecha_inicio]]="","",TODAY()-tblOrdenes[[#This Row],[fecha_inicio]])</f>
        <v/>
      </c>
      <c r="AE6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5">
        <f>IF(tblOrdenes[[#This Row],[backlog_habiles]]="","",IF(tblOrdenes[[#This Row],[backlog_habiles]]&lt;0,"FUTURO",IF(tblOrdenes[[#This Row],[backlog_habiles]]&gt;p_dias_backlog_max,"BACKLOG","MES CORRIENTE")))</f>
        <v/>
      </c>
      <c r="AG610" s="5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18">
        <f>IF(tblOrdenes[[#This Row],[orden]]="","",_xlfn.XLOOKUP(tblOrdenes[[#This Row],[id_operacion]],tblEjecucion[id_operacion],tblEjecucion[precio],0))</f>
        <v/>
      </c>
      <c r="AM610" s="18">
        <f>IF(tblOrdenes[[#This Row],[orden]]="","",MAX(0,_xlfn.XLOOKUP(tblOrdenes[[#This Row],[id_operacion]],tblEjecucion[id_operacion],tblEjecucion[costo_plan_total],0)-tblOrdenes[[#This Row],[costo_servicio]]))</f>
        <v/>
      </c>
      <c r="AN610" s="18">
        <f>IF(tblOrdenes[[#This Row],[orden]]="","",tblOrdenes[[#This Row],[costo_servicio]]+tblOrdenes[[#This Row],[costo_materiales]])</f>
        <v/>
      </c>
      <c r="AO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5">
        <f>IF(tblOrdenes[[#This Row],[link_checklist]]="","",HYPERLINK(p_ruta_base_checklists&amp;tblOrdenes[[#This Row],[link_checklist]],"abrir"))</f>
        <v/>
      </c>
      <c r="AT610" s="4" t="n"/>
      <c r="AU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5" t="n"/>
      <c r="K611" s="5" t="n"/>
      <c r="L611" s="18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Row],[fecha_inicio]]="","",tblOrdenes[[#This Row],[anio]]&amp;"-"&amp;TEXT(tblOrdenes[[#This Row],[mes]],"00"))</f>
        <v/>
      </c>
      <c r="S611" s="5">
        <f>IF(tblOrdenes[[#This Row],[fecha_inicio]]="","",INDEX(lista_dias,WEEKDAY(tblOrdenes[[#This Row],[fecha_inicio]],2)))</f>
        <v/>
      </c>
      <c r="T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5">
        <f>IF(tblOrdenes[[#This Row],[tipo_ot]]="","",_xlfn.XLOOKUP(tblOrdenes[[#This Row],[tipo_ot]],tblTiposOT[codigo],tblTiposOT[clasificacion],"sin_clasificar"))</f>
        <v/>
      </c>
      <c r="V6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5">
        <f>IF(tblOrdenes[[#This Row],[centro_costo]]="","",_xlfn.XLOOKUP(tblOrdenes[[#This Row],[centro_costo]],tblCECO[codigo],tblCECO[linea],"(sin catálogo)"))</f>
        <v/>
      </c>
      <c r="Y611" s="5">
        <f>IF(tblOrdenes[[#This Row],[centro_costo]]="","",_xlfn.XLOOKUP(tblOrdenes[[#This Row],[centro_costo]],tblCECO[codigo],tblCECO[area],"(sin catálogo)"))</f>
        <v/>
      </c>
      <c r="Z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5">
        <f>IF(tblOrdenes[[#This Row],[centro_costo]]="","",_xlfn.XLOOKUP(tblOrdenes[[#This Row],[centro_costo]],tblCECO[codigo],tblCECO[coordinador],"(sin catálogo)"))</f>
        <v/>
      </c>
      <c r="AB611" s="5">
        <f>IF(tblOrdenes[[#This Row],[puesto_trabajo]]="","",_xlfn.XLOOKUP(tblOrdenes[[#This Row],[puesto_trabajo]],tblPuestos[codigo],tblPuestos[especialidad],"(sin catálogo)"))</f>
        <v/>
      </c>
      <c r="AC611" s="5">
        <f>IF(tblOrdenes[[#This Row],[cod_actividad]]="","",_xlfn.XLOOKUP(tblOrdenes[[#This Row],[cod_actividad]],tblActividades[codigo],tblActividades[descripcion],"(sin catálogo)"))</f>
        <v/>
      </c>
      <c r="AD611" s="23">
        <f>IF(tblOrdenes[[#This Row],[fecha_inicio]]="","",TODAY()-tblOrdenes[[#This Row],[fecha_inicio]])</f>
        <v/>
      </c>
      <c r="AE6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5">
        <f>IF(tblOrdenes[[#This Row],[backlog_habiles]]="","",IF(tblOrdenes[[#This Row],[backlog_habiles]]&lt;0,"FUTURO",IF(tblOrdenes[[#This Row],[backlog_habiles]]&gt;p_dias_backlog_max,"BACKLOG","MES CORRIENTE")))</f>
        <v/>
      </c>
      <c r="AG611" s="5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18">
        <f>IF(tblOrdenes[[#This Row],[orden]]="","",_xlfn.XLOOKUP(tblOrdenes[[#This Row],[id_operacion]],tblEjecucion[id_operacion],tblEjecucion[precio],0))</f>
        <v/>
      </c>
      <c r="AM611" s="18">
        <f>IF(tblOrdenes[[#This Row],[orden]]="","",MAX(0,_xlfn.XLOOKUP(tblOrdenes[[#This Row],[id_operacion]],tblEjecucion[id_operacion],tblEjecucion[costo_plan_total],0)-tblOrdenes[[#This Row],[costo_servicio]]))</f>
        <v/>
      </c>
      <c r="AN611" s="18">
        <f>IF(tblOrdenes[[#This Row],[orden]]="","",tblOrdenes[[#This Row],[costo_servicio]]+tblOrdenes[[#This Row],[costo_materiales]])</f>
        <v/>
      </c>
      <c r="AO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5">
        <f>IF(tblOrdenes[[#This Row],[link_checklist]]="","",HYPERLINK(p_ruta_base_checklists&amp;tblOrdenes[[#This Row],[link_checklist]],"abrir"))</f>
        <v/>
      </c>
      <c r="AT611" s="4" t="n"/>
      <c r="AU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5" t="n"/>
      <c r="K612" s="5" t="n"/>
      <c r="L612" s="18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Row],[fecha_inicio]]="","",tblOrdenes[[#This Row],[anio]]&amp;"-"&amp;TEXT(tblOrdenes[[#This Row],[mes]],"00"))</f>
        <v/>
      </c>
      <c r="S612" s="5">
        <f>IF(tblOrdenes[[#This Row],[fecha_inicio]]="","",INDEX(lista_dias,WEEKDAY(tblOrdenes[[#This Row],[fecha_inicio]],2)))</f>
        <v/>
      </c>
      <c r="T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5">
        <f>IF(tblOrdenes[[#This Row],[tipo_ot]]="","",_xlfn.XLOOKUP(tblOrdenes[[#This Row],[tipo_ot]],tblTiposOT[codigo],tblTiposOT[clasificacion],"sin_clasificar"))</f>
        <v/>
      </c>
      <c r="V6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5">
        <f>IF(tblOrdenes[[#This Row],[centro_costo]]="","",_xlfn.XLOOKUP(tblOrdenes[[#This Row],[centro_costo]],tblCECO[codigo],tblCECO[linea],"(sin catálogo)"))</f>
        <v/>
      </c>
      <c r="Y612" s="5">
        <f>IF(tblOrdenes[[#This Row],[centro_costo]]="","",_xlfn.XLOOKUP(tblOrdenes[[#This Row],[centro_costo]],tblCECO[codigo],tblCECO[area],"(sin catálogo)"))</f>
        <v/>
      </c>
      <c r="Z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5">
        <f>IF(tblOrdenes[[#This Row],[centro_costo]]="","",_xlfn.XLOOKUP(tblOrdenes[[#This Row],[centro_costo]],tblCECO[codigo],tblCECO[coordinador],"(sin catálogo)"))</f>
        <v/>
      </c>
      <c r="AB612" s="5">
        <f>IF(tblOrdenes[[#This Row],[puesto_trabajo]]="","",_xlfn.XLOOKUP(tblOrdenes[[#This Row],[puesto_trabajo]],tblPuestos[codigo],tblPuestos[especialidad],"(sin catálogo)"))</f>
        <v/>
      </c>
      <c r="AC612" s="5">
        <f>IF(tblOrdenes[[#This Row],[cod_actividad]]="","",_xlfn.XLOOKUP(tblOrdenes[[#This Row],[cod_actividad]],tblActividades[codigo],tblActividades[descripcion],"(sin catálogo)"))</f>
        <v/>
      </c>
      <c r="AD612" s="23">
        <f>IF(tblOrdenes[[#This Row],[fecha_inicio]]="","",TODAY()-tblOrdenes[[#This Row],[fecha_inicio]])</f>
        <v/>
      </c>
      <c r="AE6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5">
        <f>IF(tblOrdenes[[#This Row],[backlog_habiles]]="","",IF(tblOrdenes[[#This Row],[backlog_habiles]]&lt;0,"FUTURO",IF(tblOrdenes[[#This Row],[backlog_habiles]]&gt;p_dias_backlog_max,"BACKLOG","MES CORRIENTE")))</f>
        <v/>
      </c>
      <c r="AG612" s="5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18">
        <f>IF(tblOrdenes[[#This Row],[orden]]="","",_xlfn.XLOOKUP(tblOrdenes[[#This Row],[id_operacion]],tblEjecucion[id_operacion],tblEjecucion[precio],0))</f>
        <v/>
      </c>
      <c r="AM612" s="18">
        <f>IF(tblOrdenes[[#This Row],[orden]]="","",MAX(0,_xlfn.XLOOKUP(tblOrdenes[[#This Row],[id_operacion]],tblEjecucion[id_operacion],tblEjecucion[costo_plan_total],0)-tblOrdenes[[#This Row],[costo_servicio]]))</f>
        <v/>
      </c>
      <c r="AN612" s="18">
        <f>IF(tblOrdenes[[#This Row],[orden]]="","",tblOrdenes[[#This Row],[costo_servicio]]+tblOrdenes[[#This Row],[costo_materiales]])</f>
        <v/>
      </c>
      <c r="AO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5">
        <f>IF(tblOrdenes[[#This Row],[link_checklist]]="","",HYPERLINK(p_ruta_base_checklists&amp;tblOrdenes[[#This Row],[link_checklist]],"abrir"))</f>
        <v/>
      </c>
      <c r="AT612" s="4" t="n"/>
      <c r="AU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5" t="n"/>
      <c r="K613" s="5" t="n"/>
      <c r="L613" s="18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Row],[fecha_inicio]]="","",tblOrdenes[[#This Row],[anio]]&amp;"-"&amp;TEXT(tblOrdenes[[#This Row],[mes]],"00"))</f>
        <v/>
      </c>
      <c r="S613" s="5">
        <f>IF(tblOrdenes[[#This Row],[fecha_inicio]]="","",INDEX(lista_dias,WEEKDAY(tblOrdenes[[#This Row],[fecha_inicio]],2)))</f>
        <v/>
      </c>
      <c r="T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5">
        <f>IF(tblOrdenes[[#This Row],[tipo_ot]]="","",_xlfn.XLOOKUP(tblOrdenes[[#This Row],[tipo_ot]],tblTiposOT[codigo],tblTiposOT[clasificacion],"sin_clasificar"))</f>
        <v/>
      </c>
      <c r="V6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5">
        <f>IF(tblOrdenes[[#This Row],[centro_costo]]="","",_xlfn.XLOOKUP(tblOrdenes[[#This Row],[centro_costo]],tblCECO[codigo],tblCECO[linea],"(sin catálogo)"))</f>
        <v/>
      </c>
      <c r="Y613" s="5">
        <f>IF(tblOrdenes[[#This Row],[centro_costo]]="","",_xlfn.XLOOKUP(tblOrdenes[[#This Row],[centro_costo]],tblCECO[codigo],tblCECO[area],"(sin catálogo)"))</f>
        <v/>
      </c>
      <c r="Z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5">
        <f>IF(tblOrdenes[[#This Row],[centro_costo]]="","",_xlfn.XLOOKUP(tblOrdenes[[#This Row],[centro_costo]],tblCECO[codigo],tblCECO[coordinador],"(sin catálogo)"))</f>
        <v/>
      </c>
      <c r="AB613" s="5">
        <f>IF(tblOrdenes[[#This Row],[puesto_trabajo]]="","",_xlfn.XLOOKUP(tblOrdenes[[#This Row],[puesto_trabajo]],tblPuestos[codigo],tblPuestos[especialidad],"(sin catálogo)"))</f>
        <v/>
      </c>
      <c r="AC613" s="5">
        <f>IF(tblOrdenes[[#This Row],[cod_actividad]]="","",_xlfn.XLOOKUP(tblOrdenes[[#This Row],[cod_actividad]],tblActividades[codigo],tblActividades[descripcion],"(sin catálogo)"))</f>
        <v/>
      </c>
      <c r="AD613" s="23">
        <f>IF(tblOrdenes[[#This Row],[fecha_inicio]]="","",TODAY()-tblOrdenes[[#This Row],[fecha_inicio]])</f>
        <v/>
      </c>
      <c r="AE6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5">
        <f>IF(tblOrdenes[[#This Row],[backlog_habiles]]="","",IF(tblOrdenes[[#This Row],[backlog_habiles]]&lt;0,"FUTURO",IF(tblOrdenes[[#This Row],[backlog_habiles]]&gt;p_dias_backlog_max,"BACKLOG","MES CORRIENTE")))</f>
        <v/>
      </c>
      <c r="AG613" s="5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18">
        <f>IF(tblOrdenes[[#This Row],[orden]]="","",_xlfn.XLOOKUP(tblOrdenes[[#This Row],[id_operacion]],tblEjecucion[id_operacion],tblEjecucion[precio],0))</f>
        <v/>
      </c>
      <c r="AM613" s="18">
        <f>IF(tblOrdenes[[#This Row],[orden]]="","",MAX(0,_xlfn.XLOOKUP(tblOrdenes[[#This Row],[id_operacion]],tblEjecucion[id_operacion],tblEjecucion[costo_plan_total],0)-tblOrdenes[[#This Row],[costo_servicio]]))</f>
        <v/>
      </c>
      <c r="AN613" s="18">
        <f>IF(tblOrdenes[[#This Row],[orden]]="","",tblOrdenes[[#This Row],[costo_servicio]]+tblOrdenes[[#This Row],[costo_materiales]])</f>
        <v/>
      </c>
      <c r="AO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5">
        <f>IF(tblOrdenes[[#This Row],[link_checklist]]="","",HYPERLINK(p_ruta_base_checklists&amp;tblOrdenes[[#This Row],[link_checklist]],"abrir"))</f>
        <v/>
      </c>
      <c r="AT613" s="4" t="n"/>
      <c r="AU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5" t="n"/>
      <c r="K614" s="5" t="n"/>
      <c r="L614" s="18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Row],[fecha_inicio]]="","",tblOrdenes[[#This Row],[anio]]&amp;"-"&amp;TEXT(tblOrdenes[[#This Row],[mes]],"00"))</f>
        <v/>
      </c>
      <c r="S614" s="5">
        <f>IF(tblOrdenes[[#This Row],[fecha_inicio]]="","",INDEX(lista_dias,WEEKDAY(tblOrdenes[[#This Row],[fecha_inicio]],2)))</f>
        <v/>
      </c>
      <c r="T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5">
        <f>IF(tblOrdenes[[#This Row],[tipo_ot]]="","",_xlfn.XLOOKUP(tblOrdenes[[#This Row],[tipo_ot]],tblTiposOT[codigo],tblTiposOT[clasificacion],"sin_clasificar"))</f>
        <v/>
      </c>
      <c r="V6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5">
        <f>IF(tblOrdenes[[#This Row],[centro_costo]]="","",_xlfn.XLOOKUP(tblOrdenes[[#This Row],[centro_costo]],tblCECO[codigo],tblCECO[linea],"(sin catálogo)"))</f>
        <v/>
      </c>
      <c r="Y614" s="5">
        <f>IF(tblOrdenes[[#This Row],[centro_costo]]="","",_xlfn.XLOOKUP(tblOrdenes[[#This Row],[centro_costo]],tblCECO[codigo],tblCECO[area],"(sin catálogo)"))</f>
        <v/>
      </c>
      <c r="Z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5">
        <f>IF(tblOrdenes[[#This Row],[centro_costo]]="","",_xlfn.XLOOKUP(tblOrdenes[[#This Row],[centro_costo]],tblCECO[codigo],tblCECO[coordinador],"(sin catálogo)"))</f>
        <v/>
      </c>
      <c r="AB614" s="5">
        <f>IF(tblOrdenes[[#This Row],[puesto_trabajo]]="","",_xlfn.XLOOKUP(tblOrdenes[[#This Row],[puesto_trabajo]],tblPuestos[codigo],tblPuestos[especialidad],"(sin catálogo)"))</f>
        <v/>
      </c>
      <c r="AC614" s="5">
        <f>IF(tblOrdenes[[#This Row],[cod_actividad]]="","",_xlfn.XLOOKUP(tblOrdenes[[#This Row],[cod_actividad]],tblActividades[codigo],tblActividades[descripcion],"(sin catálogo)"))</f>
        <v/>
      </c>
      <c r="AD614" s="23">
        <f>IF(tblOrdenes[[#This Row],[fecha_inicio]]="","",TODAY()-tblOrdenes[[#This Row],[fecha_inicio]])</f>
        <v/>
      </c>
      <c r="AE6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5">
        <f>IF(tblOrdenes[[#This Row],[backlog_habiles]]="","",IF(tblOrdenes[[#This Row],[backlog_habiles]]&lt;0,"FUTURO",IF(tblOrdenes[[#This Row],[backlog_habiles]]&gt;p_dias_backlog_max,"BACKLOG","MES CORRIENTE")))</f>
        <v/>
      </c>
      <c r="AG614" s="5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18">
        <f>IF(tblOrdenes[[#This Row],[orden]]="","",_xlfn.XLOOKUP(tblOrdenes[[#This Row],[id_operacion]],tblEjecucion[id_operacion],tblEjecucion[precio],0))</f>
        <v/>
      </c>
      <c r="AM614" s="18">
        <f>IF(tblOrdenes[[#This Row],[orden]]="","",MAX(0,_xlfn.XLOOKUP(tblOrdenes[[#This Row],[id_operacion]],tblEjecucion[id_operacion],tblEjecucion[costo_plan_total],0)-tblOrdenes[[#This Row],[costo_servicio]]))</f>
        <v/>
      </c>
      <c r="AN614" s="18">
        <f>IF(tblOrdenes[[#This Row],[orden]]="","",tblOrdenes[[#This Row],[costo_servicio]]+tblOrdenes[[#This Row],[costo_materiales]])</f>
        <v/>
      </c>
      <c r="AO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5">
        <f>IF(tblOrdenes[[#This Row],[link_checklist]]="","",HYPERLINK(p_ruta_base_checklists&amp;tblOrdenes[[#This Row],[link_checklist]],"abrir"))</f>
        <v/>
      </c>
      <c r="AT614" s="4" t="n"/>
      <c r="AU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5" t="n"/>
      <c r="K615" s="5" t="n"/>
      <c r="L615" s="18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Row],[fecha_inicio]]="","",tblOrdenes[[#This Row],[anio]]&amp;"-"&amp;TEXT(tblOrdenes[[#This Row],[mes]],"00"))</f>
        <v/>
      </c>
      <c r="S615" s="5">
        <f>IF(tblOrdenes[[#This Row],[fecha_inicio]]="","",INDEX(lista_dias,WEEKDAY(tblOrdenes[[#This Row],[fecha_inicio]],2)))</f>
        <v/>
      </c>
      <c r="T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5">
        <f>IF(tblOrdenes[[#This Row],[tipo_ot]]="","",_xlfn.XLOOKUP(tblOrdenes[[#This Row],[tipo_ot]],tblTiposOT[codigo],tblTiposOT[clasificacion],"sin_clasificar"))</f>
        <v/>
      </c>
      <c r="V6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5">
        <f>IF(tblOrdenes[[#This Row],[centro_costo]]="","",_xlfn.XLOOKUP(tblOrdenes[[#This Row],[centro_costo]],tblCECO[codigo],tblCECO[linea],"(sin catálogo)"))</f>
        <v/>
      </c>
      <c r="Y615" s="5">
        <f>IF(tblOrdenes[[#This Row],[centro_costo]]="","",_xlfn.XLOOKUP(tblOrdenes[[#This Row],[centro_costo]],tblCECO[codigo],tblCECO[area],"(sin catálogo)"))</f>
        <v/>
      </c>
      <c r="Z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5">
        <f>IF(tblOrdenes[[#This Row],[centro_costo]]="","",_xlfn.XLOOKUP(tblOrdenes[[#This Row],[centro_costo]],tblCECO[codigo],tblCECO[coordinador],"(sin catálogo)"))</f>
        <v/>
      </c>
      <c r="AB615" s="5">
        <f>IF(tblOrdenes[[#This Row],[puesto_trabajo]]="","",_xlfn.XLOOKUP(tblOrdenes[[#This Row],[puesto_trabajo]],tblPuestos[codigo],tblPuestos[especialidad],"(sin catálogo)"))</f>
        <v/>
      </c>
      <c r="AC615" s="5">
        <f>IF(tblOrdenes[[#This Row],[cod_actividad]]="","",_xlfn.XLOOKUP(tblOrdenes[[#This Row],[cod_actividad]],tblActividades[codigo],tblActividades[descripcion],"(sin catálogo)"))</f>
        <v/>
      </c>
      <c r="AD615" s="23">
        <f>IF(tblOrdenes[[#This Row],[fecha_inicio]]="","",TODAY()-tblOrdenes[[#This Row],[fecha_inicio]])</f>
        <v/>
      </c>
      <c r="AE6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5">
        <f>IF(tblOrdenes[[#This Row],[backlog_habiles]]="","",IF(tblOrdenes[[#This Row],[backlog_habiles]]&lt;0,"FUTURO",IF(tblOrdenes[[#This Row],[backlog_habiles]]&gt;p_dias_backlog_max,"BACKLOG","MES CORRIENTE")))</f>
        <v/>
      </c>
      <c r="AG615" s="5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18">
        <f>IF(tblOrdenes[[#This Row],[orden]]="","",_xlfn.XLOOKUP(tblOrdenes[[#This Row],[id_operacion]],tblEjecucion[id_operacion],tblEjecucion[precio],0))</f>
        <v/>
      </c>
      <c r="AM615" s="18">
        <f>IF(tblOrdenes[[#This Row],[orden]]="","",MAX(0,_xlfn.XLOOKUP(tblOrdenes[[#This Row],[id_operacion]],tblEjecucion[id_operacion],tblEjecucion[costo_plan_total],0)-tblOrdenes[[#This Row],[costo_servicio]]))</f>
        <v/>
      </c>
      <c r="AN615" s="18">
        <f>IF(tblOrdenes[[#This Row],[orden]]="","",tblOrdenes[[#This Row],[costo_servicio]]+tblOrdenes[[#This Row],[costo_materiales]])</f>
        <v/>
      </c>
      <c r="AO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5">
        <f>IF(tblOrdenes[[#This Row],[link_checklist]]="","",HYPERLINK(p_ruta_base_checklists&amp;tblOrdenes[[#This Row],[link_checklist]],"abrir"))</f>
        <v/>
      </c>
      <c r="AT615" s="4" t="n"/>
      <c r="AU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5" t="n"/>
      <c r="K616" s="5" t="n"/>
      <c r="L616" s="18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Row],[fecha_inicio]]="","",tblOrdenes[[#This Row],[anio]]&amp;"-"&amp;TEXT(tblOrdenes[[#This Row],[mes]],"00"))</f>
        <v/>
      </c>
      <c r="S616" s="5">
        <f>IF(tblOrdenes[[#This Row],[fecha_inicio]]="","",INDEX(lista_dias,WEEKDAY(tblOrdenes[[#This Row],[fecha_inicio]],2)))</f>
        <v/>
      </c>
      <c r="T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5">
        <f>IF(tblOrdenes[[#This Row],[tipo_ot]]="","",_xlfn.XLOOKUP(tblOrdenes[[#This Row],[tipo_ot]],tblTiposOT[codigo],tblTiposOT[clasificacion],"sin_clasificar"))</f>
        <v/>
      </c>
      <c r="V6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5">
        <f>IF(tblOrdenes[[#This Row],[centro_costo]]="","",_xlfn.XLOOKUP(tblOrdenes[[#This Row],[centro_costo]],tblCECO[codigo],tblCECO[linea],"(sin catálogo)"))</f>
        <v/>
      </c>
      <c r="Y616" s="5">
        <f>IF(tblOrdenes[[#This Row],[centro_costo]]="","",_xlfn.XLOOKUP(tblOrdenes[[#This Row],[centro_costo]],tblCECO[codigo],tblCECO[area],"(sin catálogo)"))</f>
        <v/>
      </c>
      <c r="Z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5">
        <f>IF(tblOrdenes[[#This Row],[centro_costo]]="","",_xlfn.XLOOKUP(tblOrdenes[[#This Row],[centro_costo]],tblCECO[codigo],tblCECO[coordinador],"(sin catálogo)"))</f>
        <v/>
      </c>
      <c r="AB616" s="5">
        <f>IF(tblOrdenes[[#This Row],[puesto_trabajo]]="","",_xlfn.XLOOKUP(tblOrdenes[[#This Row],[puesto_trabajo]],tblPuestos[codigo],tblPuestos[especialidad],"(sin catálogo)"))</f>
        <v/>
      </c>
      <c r="AC616" s="5">
        <f>IF(tblOrdenes[[#This Row],[cod_actividad]]="","",_xlfn.XLOOKUP(tblOrdenes[[#This Row],[cod_actividad]],tblActividades[codigo],tblActividades[descripcion],"(sin catálogo)"))</f>
        <v/>
      </c>
      <c r="AD616" s="23">
        <f>IF(tblOrdenes[[#This Row],[fecha_inicio]]="","",TODAY()-tblOrdenes[[#This Row],[fecha_inicio]])</f>
        <v/>
      </c>
      <c r="AE6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5">
        <f>IF(tblOrdenes[[#This Row],[backlog_habiles]]="","",IF(tblOrdenes[[#This Row],[backlog_habiles]]&lt;0,"FUTURO",IF(tblOrdenes[[#This Row],[backlog_habiles]]&gt;p_dias_backlog_max,"BACKLOG","MES CORRIENTE")))</f>
        <v/>
      </c>
      <c r="AG616" s="5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18">
        <f>IF(tblOrdenes[[#This Row],[orden]]="","",_xlfn.XLOOKUP(tblOrdenes[[#This Row],[id_operacion]],tblEjecucion[id_operacion],tblEjecucion[precio],0))</f>
        <v/>
      </c>
      <c r="AM616" s="18">
        <f>IF(tblOrdenes[[#This Row],[orden]]="","",MAX(0,_xlfn.XLOOKUP(tblOrdenes[[#This Row],[id_operacion]],tblEjecucion[id_operacion],tblEjecucion[costo_plan_total],0)-tblOrdenes[[#This Row],[costo_servicio]]))</f>
        <v/>
      </c>
      <c r="AN616" s="18">
        <f>IF(tblOrdenes[[#This Row],[orden]]="","",tblOrdenes[[#This Row],[costo_servicio]]+tblOrdenes[[#This Row],[costo_materiales]])</f>
        <v/>
      </c>
      <c r="AO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5">
        <f>IF(tblOrdenes[[#This Row],[link_checklist]]="","",HYPERLINK(p_ruta_base_checklists&amp;tblOrdenes[[#This Row],[link_checklist]],"abrir"))</f>
        <v/>
      </c>
      <c r="AT616" s="4" t="n"/>
      <c r="AU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5" t="n"/>
      <c r="K617" s="5" t="n"/>
      <c r="L617" s="18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Row],[fecha_inicio]]="","",tblOrdenes[[#This Row],[anio]]&amp;"-"&amp;TEXT(tblOrdenes[[#This Row],[mes]],"00"))</f>
        <v/>
      </c>
      <c r="S617" s="5">
        <f>IF(tblOrdenes[[#This Row],[fecha_inicio]]="","",INDEX(lista_dias,WEEKDAY(tblOrdenes[[#This Row],[fecha_inicio]],2)))</f>
        <v/>
      </c>
      <c r="T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5">
        <f>IF(tblOrdenes[[#This Row],[tipo_ot]]="","",_xlfn.XLOOKUP(tblOrdenes[[#This Row],[tipo_ot]],tblTiposOT[codigo],tblTiposOT[clasificacion],"sin_clasificar"))</f>
        <v/>
      </c>
      <c r="V6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5">
        <f>IF(tblOrdenes[[#This Row],[centro_costo]]="","",_xlfn.XLOOKUP(tblOrdenes[[#This Row],[centro_costo]],tblCECO[codigo],tblCECO[linea],"(sin catálogo)"))</f>
        <v/>
      </c>
      <c r="Y617" s="5">
        <f>IF(tblOrdenes[[#This Row],[centro_costo]]="","",_xlfn.XLOOKUP(tblOrdenes[[#This Row],[centro_costo]],tblCECO[codigo],tblCECO[area],"(sin catálogo)"))</f>
        <v/>
      </c>
      <c r="Z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5">
        <f>IF(tblOrdenes[[#This Row],[centro_costo]]="","",_xlfn.XLOOKUP(tblOrdenes[[#This Row],[centro_costo]],tblCECO[codigo],tblCECO[coordinador],"(sin catálogo)"))</f>
        <v/>
      </c>
      <c r="AB617" s="5">
        <f>IF(tblOrdenes[[#This Row],[puesto_trabajo]]="","",_xlfn.XLOOKUP(tblOrdenes[[#This Row],[puesto_trabajo]],tblPuestos[codigo],tblPuestos[especialidad],"(sin catálogo)"))</f>
        <v/>
      </c>
      <c r="AC617" s="5">
        <f>IF(tblOrdenes[[#This Row],[cod_actividad]]="","",_xlfn.XLOOKUP(tblOrdenes[[#This Row],[cod_actividad]],tblActividades[codigo],tblActividades[descripcion],"(sin catálogo)"))</f>
        <v/>
      </c>
      <c r="AD617" s="23">
        <f>IF(tblOrdenes[[#This Row],[fecha_inicio]]="","",TODAY()-tblOrdenes[[#This Row],[fecha_inicio]])</f>
        <v/>
      </c>
      <c r="AE6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5">
        <f>IF(tblOrdenes[[#This Row],[backlog_habiles]]="","",IF(tblOrdenes[[#This Row],[backlog_habiles]]&lt;0,"FUTURO",IF(tblOrdenes[[#This Row],[backlog_habiles]]&gt;p_dias_backlog_max,"BACKLOG","MES CORRIENTE")))</f>
        <v/>
      </c>
      <c r="AG617" s="5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18">
        <f>IF(tblOrdenes[[#This Row],[orden]]="","",_xlfn.XLOOKUP(tblOrdenes[[#This Row],[id_operacion]],tblEjecucion[id_operacion],tblEjecucion[precio],0))</f>
        <v/>
      </c>
      <c r="AM617" s="18">
        <f>IF(tblOrdenes[[#This Row],[orden]]="","",MAX(0,_xlfn.XLOOKUP(tblOrdenes[[#This Row],[id_operacion]],tblEjecucion[id_operacion],tblEjecucion[costo_plan_total],0)-tblOrdenes[[#This Row],[costo_servicio]]))</f>
        <v/>
      </c>
      <c r="AN617" s="18">
        <f>IF(tblOrdenes[[#This Row],[orden]]="","",tblOrdenes[[#This Row],[costo_servicio]]+tblOrdenes[[#This Row],[costo_materiales]])</f>
        <v/>
      </c>
      <c r="AO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5">
        <f>IF(tblOrdenes[[#This Row],[link_checklist]]="","",HYPERLINK(p_ruta_base_checklists&amp;tblOrdenes[[#This Row],[link_checklist]],"abrir"))</f>
        <v/>
      </c>
      <c r="AT617" s="4" t="n"/>
      <c r="AU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5" t="n"/>
      <c r="K618" s="5" t="n"/>
      <c r="L618" s="18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Row],[fecha_inicio]]="","",tblOrdenes[[#This Row],[anio]]&amp;"-"&amp;TEXT(tblOrdenes[[#This Row],[mes]],"00"))</f>
        <v/>
      </c>
      <c r="S618" s="5">
        <f>IF(tblOrdenes[[#This Row],[fecha_inicio]]="","",INDEX(lista_dias,WEEKDAY(tblOrdenes[[#This Row],[fecha_inicio]],2)))</f>
        <v/>
      </c>
      <c r="T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5">
        <f>IF(tblOrdenes[[#This Row],[tipo_ot]]="","",_xlfn.XLOOKUP(tblOrdenes[[#This Row],[tipo_ot]],tblTiposOT[codigo],tblTiposOT[clasificacion],"sin_clasificar"))</f>
        <v/>
      </c>
      <c r="V6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5">
        <f>IF(tblOrdenes[[#This Row],[centro_costo]]="","",_xlfn.XLOOKUP(tblOrdenes[[#This Row],[centro_costo]],tblCECO[codigo],tblCECO[linea],"(sin catálogo)"))</f>
        <v/>
      </c>
      <c r="Y618" s="5">
        <f>IF(tblOrdenes[[#This Row],[centro_costo]]="","",_xlfn.XLOOKUP(tblOrdenes[[#This Row],[centro_costo]],tblCECO[codigo],tblCECO[area],"(sin catálogo)"))</f>
        <v/>
      </c>
      <c r="Z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5">
        <f>IF(tblOrdenes[[#This Row],[centro_costo]]="","",_xlfn.XLOOKUP(tblOrdenes[[#This Row],[centro_costo]],tblCECO[codigo],tblCECO[coordinador],"(sin catálogo)"))</f>
        <v/>
      </c>
      <c r="AB618" s="5">
        <f>IF(tblOrdenes[[#This Row],[puesto_trabajo]]="","",_xlfn.XLOOKUP(tblOrdenes[[#This Row],[puesto_trabajo]],tblPuestos[codigo],tblPuestos[especialidad],"(sin catálogo)"))</f>
        <v/>
      </c>
      <c r="AC618" s="5">
        <f>IF(tblOrdenes[[#This Row],[cod_actividad]]="","",_xlfn.XLOOKUP(tblOrdenes[[#This Row],[cod_actividad]],tblActividades[codigo],tblActividades[descripcion],"(sin catálogo)"))</f>
        <v/>
      </c>
      <c r="AD618" s="23">
        <f>IF(tblOrdenes[[#This Row],[fecha_inicio]]="","",TODAY()-tblOrdenes[[#This Row],[fecha_inicio]])</f>
        <v/>
      </c>
      <c r="AE6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5">
        <f>IF(tblOrdenes[[#This Row],[backlog_habiles]]="","",IF(tblOrdenes[[#This Row],[backlog_habiles]]&lt;0,"FUTURO",IF(tblOrdenes[[#This Row],[backlog_habiles]]&gt;p_dias_backlog_max,"BACKLOG","MES CORRIENTE")))</f>
        <v/>
      </c>
      <c r="AG618" s="5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18">
        <f>IF(tblOrdenes[[#This Row],[orden]]="","",_xlfn.XLOOKUP(tblOrdenes[[#This Row],[id_operacion]],tblEjecucion[id_operacion],tblEjecucion[precio],0))</f>
        <v/>
      </c>
      <c r="AM618" s="18">
        <f>IF(tblOrdenes[[#This Row],[orden]]="","",MAX(0,_xlfn.XLOOKUP(tblOrdenes[[#This Row],[id_operacion]],tblEjecucion[id_operacion],tblEjecucion[costo_plan_total],0)-tblOrdenes[[#This Row],[costo_servicio]]))</f>
        <v/>
      </c>
      <c r="AN618" s="18">
        <f>IF(tblOrdenes[[#This Row],[orden]]="","",tblOrdenes[[#This Row],[costo_servicio]]+tblOrdenes[[#This Row],[costo_materiales]])</f>
        <v/>
      </c>
      <c r="AO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5">
        <f>IF(tblOrdenes[[#This Row],[link_checklist]]="","",HYPERLINK(p_ruta_base_checklists&amp;tblOrdenes[[#This Row],[link_checklist]],"abrir"))</f>
        <v/>
      </c>
      <c r="AT618" s="4" t="n"/>
      <c r="AU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5" t="n"/>
      <c r="K619" s="5" t="n"/>
      <c r="L619" s="18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Row],[fecha_inicio]]="","",tblOrdenes[[#This Row],[anio]]&amp;"-"&amp;TEXT(tblOrdenes[[#This Row],[mes]],"00"))</f>
        <v/>
      </c>
      <c r="S619" s="5">
        <f>IF(tblOrdenes[[#This Row],[fecha_inicio]]="","",INDEX(lista_dias,WEEKDAY(tblOrdenes[[#This Row],[fecha_inicio]],2)))</f>
        <v/>
      </c>
      <c r="T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5">
        <f>IF(tblOrdenes[[#This Row],[tipo_ot]]="","",_xlfn.XLOOKUP(tblOrdenes[[#This Row],[tipo_ot]],tblTiposOT[codigo],tblTiposOT[clasificacion],"sin_clasificar"))</f>
        <v/>
      </c>
      <c r="V6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5">
        <f>IF(tblOrdenes[[#This Row],[centro_costo]]="","",_xlfn.XLOOKUP(tblOrdenes[[#This Row],[centro_costo]],tblCECO[codigo],tblCECO[linea],"(sin catálogo)"))</f>
        <v/>
      </c>
      <c r="Y619" s="5">
        <f>IF(tblOrdenes[[#This Row],[centro_costo]]="","",_xlfn.XLOOKUP(tblOrdenes[[#This Row],[centro_costo]],tblCECO[codigo],tblCECO[area],"(sin catálogo)"))</f>
        <v/>
      </c>
      <c r="Z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5">
        <f>IF(tblOrdenes[[#This Row],[centro_costo]]="","",_xlfn.XLOOKUP(tblOrdenes[[#This Row],[centro_costo]],tblCECO[codigo],tblCECO[coordinador],"(sin catálogo)"))</f>
        <v/>
      </c>
      <c r="AB619" s="5">
        <f>IF(tblOrdenes[[#This Row],[puesto_trabajo]]="","",_xlfn.XLOOKUP(tblOrdenes[[#This Row],[puesto_trabajo]],tblPuestos[codigo],tblPuestos[especialidad],"(sin catálogo)"))</f>
        <v/>
      </c>
      <c r="AC619" s="5">
        <f>IF(tblOrdenes[[#This Row],[cod_actividad]]="","",_xlfn.XLOOKUP(tblOrdenes[[#This Row],[cod_actividad]],tblActividades[codigo],tblActividades[descripcion],"(sin catálogo)"))</f>
        <v/>
      </c>
      <c r="AD619" s="23">
        <f>IF(tblOrdenes[[#This Row],[fecha_inicio]]="","",TODAY()-tblOrdenes[[#This Row],[fecha_inicio]])</f>
        <v/>
      </c>
      <c r="AE6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5">
        <f>IF(tblOrdenes[[#This Row],[backlog_habiles]]="","",IF(tblOrdenes[[#This Row],[backlog_habiles]]&lt;0,"FUTURO",IF(tblOrdenes[[#This Row],[backlog_habiles]]&gt;p_dias_backlog_max,"BACKLOG","MES CORRIENTE")))</f>
        <v/>
      </c>
      <c r="AG619" s="5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18">
        <f>IF(tblOrdenes[[#This Row],[orden]]="","",_xlfn.XLOOKUP(tblOrdenes[[#This Row],[id_operacion]],tblEjecucion[id_operacion],tblEjecucion[precio],0))</f>
        <v/>
      </c>
      <c r="AM619" s="18">
        <f>IF(tblOrdenes[[#This Row],[orden]]="","",MAX(0,_xlfn.XLOOKUP(tblOrdenes[[#This Row],[id_operacion]],tblEjecucion[id_operacion],tblEjecucion[costo_plan_total],0)-tblOrdenes[[#This Row],[costo_servicio]]))</f>
        <v/>
      </c>
      <c r="AN619" s="18">
        <f>IF(tblOrdenes[[#This Row],[orden]]="","",tblOrdenes[[#This Row],[costo_servicio]]+tblOrdenes[[#This Row],[costo_materiales]])</f>
        <v/>
      </c>
      <c r="AO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5">
        <f>IF(tblOrdenes[[#This Row],[link_checklist]]="","",HYPERLINK(p_ruta_base_checklists&amp;tblOrdenes[[#This Row],[link_checklist]],"abrir"))</f>
        <v/>
      </c>
      <c r="AT619" s="4" t="n"/>
      <c r="AU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5" t="n"/>
      <c r="K620" s="5" t="n"/>
      <c r="L620" s="18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Row],[fecha_inicio]]="","",tblOrdenes[[#This Row],[anio]]&amp;"-"&amp;TEXT(tblOrdenes[[#This Row],[mes]],"00"))</f>
        <v/>
      </c>
      <c r="S620" s="5">
        <f>IF(tblOrdenes[[#This Row],[fecha_inicio]]="","",INDEX(lista_dias,WEEKDAY(tblOrdenes[[#This Row],[fecha_inicio]],2)))</f>
        <v/>
      </c>
      <c r="T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5">
        <f>IF(tblOrdenes[[#This Row],[tipo_ot]]="","",_xlfn.XLOOKUP(tblOrdenes[[#This Row],[tipo_ot]],tblTiposOT[codigo],tblTiposOT[clasificacion],"sin_clasificar"))</f>
        <v/>
      </c>
      <c r="V6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5">
        <f>IF(tblOrdenes[[#This Row],[centro_costo]]="","",_xlfn.XLOOKUP(tblOrdenes[[#This Row],[centro_costo]],tblCECO[codigo],tblCECO[linea],"(sin catálogo)"))</f>
        <v/>
      </c>
      <c r="Y620" s="5">
        <f>IF(tblOrdenes[[#This Row],[centro_costo]]="","",_xlfn.XLOOKUP(tblOrdenes[[#This Row],[centro_costo]],tblCECO[codigo],tblCECO[area],"(sin catálogo)"))</f>
        <v/>
      </c>
      <c r="Z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5">
        <f>IF(tblOrdenes[[#This Row],[centro_costo]]="","",_xlfn.XLOOKUP(tblOrdenes[[#This Row],[centro_costo]],tblCECO[codigo],tblCECO[coordinador],"(sin catálogo)"))</f>
        <v/>
      </c>
      <c r="AB620" s="5">
        <f>IF(tblOrdenes[[#This Row],[puesto_trabajo]]="","",_xlfn.XLOOKUP(tblOrdenes[[#This Row],[puesto_trabajo]],tblPuestos[codigo],tblPuestos[especialidad],"(sin catálogo)"))</f>
        <v/>
      </c>
      <c r="AC620" s="5">
        <f>IF(tblOrdenes[[#This Row],[cod_actividad]]="","",_xlfn.XLOOKUP(tblOrdenes[[#This Row],[cod_actividad]],tblActividades[codigo],tblActividades[descripcion],"(sin catálogo)"))</f>
        <v/>
      </c>
      <c r="AD620" s="23">
        <f>IF(tblOrdenes[[#This Row],[fecha_inicio]]="","",TODAY()-tblOrdenes[[#This Row],[fecha_inicio]])</f>
        <v/>
      </c>
      <c r="AE6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5">
        <f>IF(tblOrdenes[[#This Row],[backlog_habiles]]="","",IF(tblOrdenes[[#This Row],[backlog_habiles]]&lt;0,"FUTURO",IF(tblOrdenes[[#This Row],[backlog_habiles]]&gt;p_dias_backlog_max,"BACKLOG","MES CORRIENTE")))</f>
        <v/>
      </c>
      <c r="AG620" s="5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18">
        <f>IF(tblOrdenes[[#This Row],[orden]]="","",_xlfn.XLOOKUP(tblOrdenes[[#This Row],[id_operacion]],tblEjecucion[id_operacion],tblEjecucion[precio],0))</f>
        <v/>
      </c>
      <c r="AM620" s="18">
        <f>IF(tblOrdenes[[#This Row],[orden]]="","",MAX(0,_xlfn.XLOOKUP(tblOrdenes[[#This Row],[id_operacion]],tblEjecucion[id_operacion],tblEjecucion[costo_plan_total],0)-tblOrdenes[[#This Row],[costo_servicio]]))</f>
        <v/>
      </c>
      <c r="AN620" s="18">
        <f>IF(tblOrdenes[[#This Row],[orden]]="","",tblOrdenes[[#This Row],[costo_servicio]]+tblOrdenes[[#This Row],[costo_materiales]])</f>
        <v/>
      </c>
      <c r="AO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5">
        <f>IF(tblOrdenes[[#This Row],[link_checklist]]="","",HYPERLINK(p_ruta_base_checklists&amp;tblOrdenes[[#This Row],[link_checklist]],"abrir"))</f>
        <v/>
      </c>
      <c r="AT620" s="4" t="n"/>
      <c r="AU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5" t="n"/>
      <c r="K621" s="5" t="n"/>
      <c r="L621" s="18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Row],[fecha_inicio]]="","",tblOrdenes[[#This Row],[anio]]&amp;"-"&amp;TEXT(tblOrdenes[[#This Row],[mes]],"00"))</f>
        <v/>
      </c>
      <c r="S621" s="5">
        <f>IF(tblOrdenes[[#This Row],[fecha_inicio]]="","",INDEX(lista_dias,WEEKDAY(tblOrdenes[[#This Row],[fecha_inicio]],2)))</f>
        <v/>
      </c>
      <c r="T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5">
        <f>IF(tblOrdenes[[#This Row],[tipo_ot]]="","",_xlfn.XLOOKUP(tblOrdenes[[#This Row],[tipo_ot]],tblTiposOT[codigo],tblTiposOT[clasificacion],"sin_clasificar"))</f>
        <v/>
      </c>
      <c r="V6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5">
        <f>IF(tblOrdenes[[#This Row],[centro_costo]]="","",_xlfn.XLOOKUP(tblOrdenes[[#This Row],[centro_costo]],tblCECO[codigo],tblCECO[linea],"(sin catálogo)"))</f>
        <v/>
      </c>
      <c r="Y621" s="5">
        <f>IF(tblOrdenes[[#This Row],[centro_costo]]="","",_xlfn.XLOOKUP(tblOrdenes[[#This Row],[centro_costo]],tblCECO[codigo],tblCECO[area],"(sin catálogo)"))</f>
        <v/>
      </c>
      <c r="Z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5">
        <f>IF(tblOrdenes[[#This Row],[centro_costo]]="","",_xlfn.XLOOKUP(tblOrdenes[[#This Row],[centro_costo]],tblCECO[codigo],tblCECO[coordinador],"(sin catálogo)"))</f>
        <v/>
      </c>
      <c r="AB621" s="5">
        <f>IF(tblOrdenes[[#This Row],[puesto_trabajo]]="","",_xlfn.XLOOKUP(tblOrdenes[[#This Row],[puesto_trabajo]],tblPuestos[codigo],tblPuestos[especialidad],"(sin catálogo)"))</f>
        <v/>
      </c>
      <c r="AC621" s="5">
        <f>IF(tblOrdenes[[#This Row],[cod_actividad]]="","",_xlfn.XLOOKUP(tblOrdenes[[#This Row],[cod_actividad]],tblActividades[codigo],tblActividades[descripcion],"(sin catálogo)"))</f>
        <v/>
      </c>
      <c r="AD621" s="23">
        <f>IF(tblOrdenes[[#This Row],[fecha_inicio]]="","",TODAY()-tblOrdenes[[#This Row],[fecha_inicio]])</f>
        <v/>
      </c>
      <c r="AE6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5">
        <f>IF(tblOrdenes[[#This Row],[backlog_habiles]]="","",IF(tblOrdenes[[#This Row],[backlog_habiles]]&lt;0,"FUTURO",IF(tblOrdenes[[#This Row],[backlog_habiles]]&gt;p_dias_backlog_max,"BACKLOG","MES CORRIENTE")))</f>
        <v/>
      </c>
      <c r="AG621" s="5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18">
        <f>IF(tblOrdenes[[#This Row],[orden]]="","",_xlfn.XLOOKUP(tblOrdenes[[#This Row],[id_operacion]],tblEjecucion[id_operacion],tblEjecucion[precio],0))</f>
        <v/>
      </c>
      <c r="AM621" s="18">
        <f>IF(tblOrdenes[[#This Row],[orden]]="","",MAX(0,_xlfn.XLOOKUP(tblOrdenes[[#This Row],[id_operacion]],tblEjecucion[id_operacion],tblEjecucion[costo_plan_total],0)-tblOrdenes[[#This Row],[costo_servicio]]))</f>
        <v/>
      </c>
      <c r="AN621" s="18">
        <f>IF(tblOrdenes[[#This Row],[orden]]="","",tblOrdenes[[#This Row],[costo_servicio]]+tblOrdenes[[#This Row],[costo_materiales]])</f>
        <v/>
      </c>
      <c r="AO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5">
        <f>IF(tblOrdenes[[#This Row],[link_checklist]]="","",HYPERLINK(p_ruta_base_checklists&amp;tblOrdenes[[#This Row],[link_checklist]],"abrir"))</f>
        <v/>
      </c>
      <c r="AT621" s="4" t="n"/>
      <c r="AU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5" t="n"/>
      <c r="K622" s="5" t="n"/>
      <c r="L622" s="18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Row],[fecha_inicio]]="","",tblOrdenes[[#This Row],[anio]]&amp;"-"&amp;TEXT(tblOrdenes[[#This Row],[mes]],"00"))</f>
        <v/>
      </c>
      <c r="S622" s="5">
        <f>IF(tblOrdenes[[#This Row],[fecha_inicio]]="","",INDEX(lista_dias,WEEKDAY(tblOrdenes[[#This Row],[fecha_inicio]],2)))</f>
        <v/>
      </c>
      <c r="T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5">
        <f>IF(tblOrdenes[[#This Row],[tipo_ot]]="","",_xlfn.XLOOKUP(tblOrdenes[[#This Row],[tipo_ot]],tblTiposOT[codigo],tblTiposOT[clasificacion],"sin_clasificar"))</f>
        <v/>
      </c>
      <c r="V6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5">
        <f>IF(tblOrdenes[[#This Row],[centro_costo]]="","",_xlfn.XLOOKUP(tblOrdenes[[#This Row],[centro_costo]],tblCECO[codigo],tblCECO[linea],"(sin catálogo)"))</f>
        <v/>
      </c>
      <c r="Y622" s="5">
        <f>IF(tblOrdenes[[#This Row],[centro_costo]]="","",_xlfn.XLOOKUP(tblOrdenes[[#This Row],[centro_costo]],tblCECO[codigo],tblCECO[area],"(sin catálogo)"))</f>
        <v/>
      </c>
      <c r="Z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5">
        <f>IF(tblOrdenes[[#This Row],[centro_costo]]="","",_xlfn.XLOOKUP(tblOrdenes[[#This Row],[centro_costo]],tblCECO[codigo],tblCECO[coordinador],"(sin catálogo)"))</f>
        <v/>
      </c>
      <c r="AB622" s="5">
        <f>IF(tblOrdenes[[#This Row],[puesto_trabajo]]="","",_xlfn.XLOOKUP(tblOrdenes[[#This Row],[puesto_trabajo]],tblPuestos[codigo],tblPuestos[especialidad],"(sin catálogo)"))</f>
        <v/>
      </c>
      <c r="AC622" s="5">
        <f>IF(tblOrdenes[[#This Row],[cod_actividad]]="","",_xlfn.XLOOKUP(tblOrdenes[[#This Row],[cod_actividad]],tblActividades[codigo],tblActividades[descripcion],"(sin catálogo)"))</f>
        <v/>
      </c>
      <c r="AD622" s="23">
        <f>IF(tblOrdenes[[#This Row],[fecha_inicio]]="","",TODAY()-tblOrdenes[[#This Row],[fecha_inicio]])</f>
        <v/>
      </c>
      <c r="AE6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5">
        <f>IF(tblOrdenes[[#This Row],[backlog_habiles]]="","",IF(tblOrdenes[[#This Row],[backlog_habiles]]&lt;0,"FUTURO",IF(tblOrdenes[[#This Row],[backlog_habiles]]&gt;p_dias_backlog_max,"BACKLOG","MES CORRIENTE")))</f>
        <v/>
      </c>
      <c r="AG622" s="5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18">
        <f>IF(tblOrdenes[[#This Row],[orden]]="","",_xlfn.XLOOKUP(tblOrdenes[[#This Row],[id_operacion]],tblEjecucion[id_operacion],tblEjecucion[precio],0))</f>
        <v/>
      </c>
      <c r="AM622" s="18">
        <f>IF(tblOrdenes[[#This Row],[orden]]="","",MAX(0,_xlfn.XLOOKUP(tblOrdenes[[#This Row],[id_operacion]],tblEjecucion[id_operacion],tblEjecucion[costo_plan_total],0)-tblOrdenes[[#This Row],[costo_servicio]]))</f>
        <v/>
      </c>
      <c r="AN622" s="18">
        <f>IF(tblOrdenes[[#This Row],[orden]]="","",tblOrdenes[[#This Row],[costo_servicio]]+tblOrdenes[[#This Row],[costo_materiales]])</f>
        <v/>
      </c>
      <c r="AO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5">
        <f>IF(tblOrdenes[[#This Row],[link_checklist]]="","",HYPERLINK(p_ruta_base_checklists&amp;tblOrdenes[[#This Row],[link_checklist]],"abrir"))</f>
        <v/>
      </c>
      <c r="AT622" s="4" t="n"/>
      <c r="AU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5" t="n"/>
      <c r="K623" s="5" t="n"/>
      <c r="L623" s="18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Row],[fecha_inicio]]="","",tblOrdenes[[#This Row],[anio]]&amp;"-"&amp;TEXT(tblOrdenes[[#This Row],[mes]],"00"))</f>
        <v/>
      </c>
      <c r="S623" s="5">
        <f>IF(tblOrdenes[[#This Row],[fecha_inicio]]="","",INDEX(lista_dias,WEEKDAY(tblOrdenes[[#This Row],[fecha_inicio]],2)))</f>
        <v/>
      </c>
      <c r="T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5">
        <f>IF(tblOrdenes[[#This Row],[tipo_ot]]="","",_xlfn.XLOOKUP(tblOrdenes[[#This Row],[tipo_ot]],tblTiposOT[codigo],tblTiposOT[clasificacion],"sin_clasificar"))</f>
        <v/>
      </c>
      <c r="V6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5">
        <f>IF(tblOrdenes[[#This Row],[centro_costo]]="","",_xlfn.XLOOKUP(tblOrdenes[[#This Row],[centro_costo]],tblCECO[codigo],tblCECO[linea],"(sin catálogo)"))</f>
        <v/>
      </c>
      <c r="Y623" s="5">
        <f>IF(tblOrdenes[[#This Row],[centro_costo]]="","",_xlfn.XLOOKUP(tblOrdenes[[#This Row],[centro_costo]],tblCECO[codigo],tblCECO[area],"(sin catálogo)"))</f>
        <v/>
      </c>
      <c r="Z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5">
        <f>IF(tblOrdenes[[#This Row],[centro_costo]]="","",_xlfn.XLOOKUP(tblOrdenes[[#This Row],[centro_costo]],tblCECO[codigo],tblCECO[coordinador],"(sin catálogo)"))</f>
        <v/>
      </c>
      <c r="AB623" s="5">
        <f>IF(tblOrdenes[[#This Row],[puesto_trabajo]]="","",_xlfn.XLOOKUP(tblOrdenes[[#This Row],[puesto_trabajo]],tblPuestos[codigo],tblPuestos[especialidad],"(sin catálogo)"))</f>
        <v/>
      </c>
      <c r="AC623" s="5">
        <f>IF(tblOrdenes[[#This Row],[cod_actividad]]="","",_xlfn.XLOOKUP(tblOrdenes[[#This Row],[cod_actividad]],tblActividades[codigo],tblActividades[descripcion],"(sin catálogo)"))</f>
        <v/>
      </c>
      <c r="AD623" s="23">
        <f>IF(tblOrdenes[[#This Row],[fecha_inicio]]="","",TODAY()-tblOrdenes[[#This Row],[fecha_inicio]])</f>
        <v/>
      </c>
      <c r="AE6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5">
        <f>IF(tblOrdenes[[#This Row],[backlog_habiles]]="","",IF(tblOrdenes[[#This Row],[backlog_habiles]]&lt;0,"FUTURO",IF(tblOrdenes[[#This Row],[backlog_habiles]]&gt;p_dias_backlog_max,"BACKLOG","MES CORRIENTE")))</f>
        <v/>
      </c>
      <c r="AG623" s="5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18">
        <f>IF(tblOrdenes[[#This Row],[orden]]="","",_xlfn.XLOOKUP(tblOrdenes[[#This Row],[id_operacion]],tblEjecucion[id_operacion],tblEjecucion[precio],0))</f>
        <v/>
      </c>
      <c r="AM623" s="18">
        <f>IF(tblOrdenes[[#This Row],[orden]]="","",MAX(0,_xlfn.XLOOKUP(tblOrdenes[[#This Row],[id_operacion]],tblEjecucion[id_operacion],tblEjecucion[costo_plan_total],0)-tblOrdenes[[#This Row],[costo_servicio]]))</f>
        <v/>
      </c>
      <c r="AN623" s="18">
        <f>IF(tblOrdenes[[#This Row],[orden]]="","",tblOrdenes[[#This Row],[costo_servicio]]+tblOrdenes[[#This Row],[costo_materiales]])</f>
        <v/>
      </c>
      <c r="AO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5">
        <f>IF(tblOrdenes[[#This Row],[link_checklist]]="","",HYPERLINK(p_ruta_base_checklists&amp;tblOrdenes[[#This Row],[link_checklist]],"abrir"))</f>
        <v/>
      </c>
      <c r="AT623" s="4" t="n"/>
      <c r="AU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5" t="n"/>
      <c r="K624" s="5" t="n"/>
      <c r="L624" s="18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Row],[fecha_inicio]]="","",tblOrdenes[[#This Row],[anio]]&amp;"-"&amp;TEXT(tblOrdenes[[#This Row],[mes]],"00"))</f>
        <v/>
      </c>
      <c r="S624" s="5">
        <f>IF(tblOrdenes[[#This Row],[fecha_inicio]]="","",INDEX(lista_dias,WEEKDAY(tblOrdenes[[#This Row],[fecha_inicio]],2)))</f>
        <v/>
      </c>
      <c r="T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5">
        <f>IF(tblOrdenes[[#This Row],[tipo_ot]]="","",_xlfn.XLOOKUP(tblOrdenes[[#This Row],[tipo_ot]],tblTiposOT[codigo],tblTiposOT[clasificacion],"sin_clasificar"))</f>
        <v/>
      </c>
      <c r="V6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5">
        <f>IF(tblOrdenes[[#This Row],[centro_costo]]="","",_xlfn.XLOOKUP(tblOrdenes[[#This Row],[centro_costo]],tblCECO[codigo],tblCECO[linea],"(sin catálogo)"))</f>
        <v/>
      </c>
      <c r="Y624" s="5">
        <f>IF(tblOrdenes[[#This Row],[centro_costo]]="","",_xlfn.XLOOKUP(tblOrdenes[[#This Row],[centro_costo]],tblCECO[codigo],tblCECO[area],"(sin catálogo)"))</f>
        <v/>
      </c>
      <c r="Z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5">
        <f>IF(tblOrdenes[[#This Row],[centro_costo]]="","",_xlfn.XLOOKUP(tblOrdenes[[#This Row],[centro_costo]],tblCECO[codigo],tblCECO[coordinador],"(sin catálogo)"))</f>
        <v/>
      </c>
      <c r="AB624" s="5">
        <f>IF(tblOrdenes[[#This Row],[puesto_trabajo]]="","",_xlfn.XLOOKUP(tblOrdenes[[#This Row],[puesto_trabajo]],tblPuestos[codigo],tblPuestos[especialidad],"(sin catálogo)"))</f>
        <v/>
      </c>
      <c r="AC624" s="5">
        <f>IF(tblOrdenes[[#This Row],[cod_actividad]]="","",_xlfn.XLOOKUP(tblOrdenes[[#This Row],[cod_actividad]],tblActividades[codigo],tblActividades[descripcion],"(sin catálogo)"))</f>
        <v/>
      </c>
      <c r="AD624" s="23">
        <f>IF(tblOrdenes[[#This Row],[fecha_inicio]]="","",TODAY()-tblOrdenes[[#This Row],[fecha_inicio]])</f>
        <v/>
      </c>
      <c r="AE6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5">
        <f>IF(tblOrdenes[[#This Row],[backlog_habiles]]="","",IF(tblOrdenes[[#This Row],[backlog_habiles]]&lt;0,"FUTURO",IF(tblOrdenes[[#This Row],[backlog_habiles]]&gt;p_dias_backlog_max,"BACKLOG","MES CORRIENTE")))</f>
        <v/>
      </c>
      <c r="AG624" s="5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18">
        <f>IF(tblOrdenes[[#This Row],[orden]]="","",_xlfn.XLOOKUP(tblOrdenes[[#This Row],[id_operacion]],tblEjecucion[id_operacion],tblEjecucion[precio],0))</f>
        <v/>
      </c>
      <c r="AM624" s="18">
        <f>IF(tblOrdenes[[#This Row],[orden]]="","",MAX(0,_xlfn.XLOOKUP(tblOrdenes[[#This Row],[id_operacion]],tblEjecucion[id_operacion],tblEjecucion[costo_plan_total],0)-tblOrdenes[[#This Row],[costo_servicio]]))</f>
        <v/>
      </c>
      <c r="AN624" s="18">
        <f>IF(tblOrdenes[[#This Row],[orden]]="","",tblOrdenes[[#This Row],[costo_servicio]]+tblOrdenes[[#This Row],[costo_materiales]])</f>
        <v/>
      </c>
      <c r="AO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5">
        <f>IF(tblOrdenes[[#This Row],[link_checklist]]="","",HYPERLINK(p_ruta_base_checklists&amp;tblOrdenes[[#This Row],[link_checklist]],"abrir"))</f>
        <v/>
      </c>
      <c r="AT624" s="4" t="n"/>
      <c r="AU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5" t="n"/>
      <c r="K625" s="5" t="n"/>
      <c r="L625" s="18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Row],[fecha_inicio]]="","",tblOrdenes[[#This Row],[anio]]&amp;"-"&amp;TEXT(tblOrdenes[[#This Row],[mes]],"00"))</f>
        <v/>
      </c>
      <c r="S625" s="5">
        <f>IF(tblOrdenes[[#This Row],[fecha_inicio]]="","",INDEX(lista_dias,WEEKDAY(tblOrdenes[[#This Row],[fecha_inicio]],2)))</f>
        <v/>
      </c>
      <c r="T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5">
        <f>IF(tblOrdenes[[#This Row],[tipo_ot]]="","",_xlfn.XLOOKUP(tblOrdenes[[#This Row],[tipo_ot]],tblTiposOT[codigo],tblTiposOT[clasificacion],"sin_clasificar"))</f>
        <v/>
      </c>
      <c r="V6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5">
        <f>IF(tblOrdenes[[#This Row],[centro_costo]]="","",_xlfn.XLOOKUP(tblOrdenes[[#This Row],[centro_costo]],tblCECO[codigo],tblCECO[linea],"(sin catálogo)"))</f>
        <v/>
      </c>
      <c r="Y625" s="5">
        <f>IF(tblOrdenes[[#This Row],[centro_costo]]="","",_xlfn.XLOOKUP(tblOrdenes[[#This Row],[centro_costo]],tblCECO[codigo],tblCECO[area],"(sin catálogo)"))</f>
        <v/>
      </c>
      <c r="Z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5">
        <f>IF(tblOrdenes[[#This Row],[centro_costo]]="","",_xlfn.XLOOKUP(tblOrdenes[[#This Row],[centro_costo]],tblCECO[codigo],tblCECO[coordinador],"(sin catálogo)"))</f>
        <v/>
      </c>
      <c r="AB625" s="5">
        <f>IF(tblOrdenes[[#This Row],[puesto_trabajo]]="","",_xlfn.XLOOKUP(tblOrdenes[[#This Row],[puesto_trabajo]],tblPuestos[codigo],tblPuestos[especialidad],"(sin catálogo)"))</f>
        <v/>
      </c>
      <c r="AC625" s="5">
        <f>IF(tblOrdenes[[#This Row],[cod_actividad]]="","",_xlfn.XLOOKUP(tblOrdenes[[#This Row],[cod_actividad]],tblActividades[codigo],tblActividades[descripcion],"(sin catálogo)"))</f>
        <v/>
      </c>
      <c r="AD625" s="23">
        <f>IF(tblOrdenes[[#This Row],[fecha_inicio]]="","",TODAY()-tblOrdenes[[#This Row],[fecha_inicio]])</f>
        <v/>
      </c>
      <c r="AE6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5">
        <f>IF(tblOrdenes[[#This Row],[backlog_habiles]]="","",IF(tblOrdenes[[#This Row],[backlog_habiles]]&lt;0,"FUTURO",IF(tblOrdenes[[#This Row],[backlog_habiles]]&gt;p_dias_backlog_max,"BACKLOG","MES CORRIENTE")))</f>
        <v/>
      </c>
      <c r="AG625" s="5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18">
        <f>IF(tblOrdenes[[#This Row],[orden]]="","",_xlfn.XLOOKUP(tblOrdenes[[#This Row],[id_operacion]],tblEjecucion[id_operacion],tblEjecucion[precio],0))</f>
        <v/>
      </c>
      <c r="AM625" s="18">
        <f>IF(tblOrdenes[[#This Row],[orden]]="","",MAX(0,_xlfn.XLOOKUP(tblOrdenes[[#This Row],[id_operacion]],tblEjecucion[id_operacion],tblEjecucion[costo_plan_total],0)-tblOrdenes[[#This Row],[costo_servicio]]))</f>
        <v/>
      </c>
      <c r="AN625" s="18">
        <f>IF(tblOrdenes[[#This Row],[orden]]="","",tblOrdenes[[#This Row],[costo_servicio]]+tblOrdenes[[#This Row],[costo_materiales]])</f>
        <v/>
      </c>
      <c r="AO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5">
        <f>IF(tblOrdenes[[#This Row],[link_checklist]]="","",HYPERLINK(p_ruta_base_checklists&amp;tblOrdenes[[#This Row],[link_checklist]],"abrir"))</f>
        <v/>
      </c>
      <c r="AT625" s="4" t="n"/>
      <c r="AU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5" t="n"/>
      <c r="K626" s="5" t="n"/>
      <c r="L626" s="18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Row],[fecha_inicio]]="","",tblOrdenes[[#This Row],[anio]]&amp;"-"&amp;TEXT(tblOrdenes[[#This Row],[mes]],"00"))</f>
        <v/>
      </c>
      <c r="S626" s="5">
        <f>IF(tblOrdenes[[#This Row],[fecha_inicio]]="","",INDEX(lista_dias,WEEKDAY(tblOrdenes[[#This Row],[fecha_inicio]],2)))</f>
        <v/>
      </c>
      <c r="T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5">
        <f>IF(tblOrdenes[[#This Row],[tipo_ot]]="","",_xlfn.XLOOKUP(tblOrdenes[[#This Row],[tipo_ot]],tblTiposOT[codigo],tblTiposOT[clasificacion],"sin_clasificar"))</f>
        <v/>
      </c>
      <c r="V6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5">
        <f>IF(tblOrdenes[[#This Row],[centro_costo]]="","",_xlfn.XLOOKUP(tblOrdenes[[#This Row],[centro_costo]],tblCECO[codigo],tblCECO[linea],"(sin catálogo)"))</f>
        <v/>
      </c>
      <c r="Y626" s="5">
        <f>IF(tblOrdenes[[#This Row],[centro_costo]]="","",_xlfn.XLOOKUP(tblOrdenes[[#This Row],[centro_costo]],tblCECO[codigo],tblCECO[area],"(sin catálogo)"))</f>
        <v/>
      </c>
      <c r="Z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5">
        <f>IF(tblOrdenes[[#This Row],[centro_costo]]="","",_xlfn.XLOOKUP(tblOrdenes[[#This Row],[centro_costo]],tblCECO[codigo],tblCECO[coordinador],"(sin catálogo)"))</f>
        <v/>
      </c>
      <c r="AB626" s="5">
        <f>IF(tblOrdenes[[#This Row],[puesto_trabajo]]="","",_xlfn.XLOOKUP(tblOrdenes[[#This Row],[puesto_trabajo]],tblPuestos[codigo],tblPuestos[especialidad],"(sin catálogo)"))</f>
        <v/>
      </c>
      <c r="AC626" s="5">
        <f>IF(tblOrdenes[[#This Row],[cod_actividad]]="","",_xlfn.XLOOKUP(tblOrdenes[[#This Row],[cod_actividad]],tblActividades[codigo],tblActividades[descripcion],"(sin catálogo)"))</f>
        <v/>
      </c>
      <c r="AD626" s="23">
        <f>IF(tblOrdenes[[#This Row],[fecha_inicio]]="","",TODAY()-tblOrdenes[[#This Row],[fecha_inicio]])</f>
        <v/>
      </c>
      <c r="AE6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5">
        <f>IF(tblOrdenes[[#This Row],[backlog_habiles]]="","",IF(tblOrdenes[[#This Row],[backlog_habiles]]&lt;0,"FUTURO",IF(tblOrdenes[[#This Row],[backlog_habiles]]&gt;p_dias_backlog_max,"BACKLOG","MES CORRIENTE")))</f>
        <v/>
      </c>
      <c r="AG626" s="5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18">
        <f>IF(tblOrdenes[[#This Row],[orden]]="","",_xlfn.XLOOKUP(tblOrdenes[[#This Row],[id_operacion]],tblEjecucion[id_operacion],tblEjecucion[precio],0))</f>
        <v/>
      </c>
      <c r="AM626" s="18">
        <f>IF(tblOrdenes[[#This Row],[orden]]="","",MAX(0,_xlfn.XLOOKUP(tblOrdenes[[#This Row],[id_operacion]],tblEjecucion[id_operacion],tblEjecucion[costo_plan_total],0)-tblOrdenes[[#This Row],[costo_servicio]]))</f>
        <v/>
      </c>
      <c r="AN626" s="18">
        <f>IF(tblOrdenes[[#This Row],[orden]]="","",tblOrdenes[[#This Row],[costo_servicio]]+tblOrdenes[[#This Row],[costo_materiales]])</f>
        <v/>
      </c>
      <c r="AO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5">
        <f>IF(tblOrdenes[[#This Row],[link_checklist]]="","",HYPERLINK(p_ruta_base_checklists&amp;tblOrdenes[[#This Row],[link_checklist]],"abrir"))</f>
        <v/>
      </c>
      <c r="AT626" s="4" t="n"/>
      <c r="AU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5" t="n"/>
      <c r="K627" s="5" t="n"/>
      <c r="L627" s="18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Row],[fecha_inicio]]="","",tblOrdenes[[#This Row],[anio]]&amp;"-"&amp;TEXT(tblOrdenes[[#This Row],[mes]],"00"))</f>
        <v/>
      </c>
      <c r="S627" s="5">
        <f>IF(tblOrdenes[[#This Row],[fecha_inicio]]="","",INDEX(lista_dias,WEEKDAY(tblOrdenes[[#This Row],[fecha_inicio]],2)))</f>
        <v/>
      </c>
      <c r="T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5">
        <f>IF(tblOrdenes[[#This Row],[tipo_ot]]="","",_xlfn.XLOOKUP(tblOrdenes[[#This Row],[tipo_ot]],tblTiposOT[codigo],tblTiposOT[clasificacion],"sin_clasificar"))</f>
        <v/>
      </c>
      <c r="V6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5">
        <f>IF(tblOrdenes[[#This Row],[centro_costo]]="","",_xlfn.XLOOKUP(tblOrdenes[[#This Row],[centro_costo]],tblCECO[codigo],tblCECO[linea],"(sin catálogo)"))</f>
        <v/>
      </c>
      <c r="Y627" s="5">
        <f>IF(tblOrdenes[[#This Row],[centro_costo]]="","",_xlfn.XLOOKUP(tblOrdenes[[#This Row],[centro_costo]],tblCECO[codigo],tblCECO[area],"(sin catálogo)"))</f>
        <v/>
      </c>
      <c r="Z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5">
        <f>IF(tblOrdenes[[#This Row],[centro_costo]]="","",_xlfn.XLOOKUP(tblOrdenes[[#This Row],[centro_costo]],tblCECO[codigo],tblCECO[coordinador],"(sin catálogo)"))</f>
        <v/>
      </c>
      <c r="AB627" s="5">
        <f>IF(tblOrdenes[[#This Row],[puesto_trabajo]]="","",_xlfn.XLOOKUP(tblOrdenes[[#This Row],[puesto_trabajo]],tblPuestos[codigo],tblPuestos[especialidad],"(sin catálogo)"))</f>
        <v/>
      </c>
      <c r="AC627" s="5">
        <f>IF(tblOrdenes[[#This Row],[cod_actividad]]="","",_xlfn.XLOOKUP(tblOrdenes[[#This Row],[cod_actividad]],tblActividades[codigo],tblActividades[descripcion],"(sin catálogo)"))</f>
        <v/>
      </c>
      <c r="AD627" s="23">
        <f>IF(tblOrdenes[[#This Row],[fecha_inicio]]="","",TODAY()-tblOrdenes[[#This Row],[fecha_inicio]])</f>
        <v/>
      </c>
      <c r="AE6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5">
        <f>IF(tblOrdenes[[#This Row],[backlog_habiles]]="","",IF(tblOrdenes[[#This Row],[backlog_habiles]]&lt;0,"FUTURO",IF(tblOrdenes[[#This Row],[backlog_habiles]]&gt;p_dias_backlog_max,"BACKLOG","MES CORRIENTE")))</f>
        <v/>
      </c>
      <c r="AG627" s="5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18">
        <f>IF(tblOrdenes[[#This Row],[orden]]="","",_xlfn.XLOOKUP(tblOrdenes[[#This Row],[id_operacion]],tblEjecucion[id_operacion],tblEjecucion[precio],0))</f>
        <v/>
      </c>
      <c r="AM627" s="18">
        <f>IF(tblOrdenes[[#This Row],[orden]]="","",MAX(0,_xlfn.XLOOKUP(tblOrdenes[[#This Row],[id_operacion]],tblEjecucion[id_operacion],tblEjecucion[costo_plan_total],0)-tblOrdenes[[#This Row],[costo_servicio]]))</f>
        <v/>
      </c>
      <c r="AN627" s="18">
        <f>IF(tblOrdenes[[#This Row],[orden]]="","",tblOrdenes[[#This Row],[costo_servicio]]+tblOrdenes[[#This Row],[costo_materiales]])</f>
        <v/>
      </c>
      <c r="AO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5">
        <f>IF(tblOrdenes[[#This Row],[link_checklist]]="","",HYPERLINK(p_ruta_base_checklists&amp;tblOrdenes[[#This Row],[link_checklist]],"abrir"))</f>
        <v/>
      </c>
      <c r="AT627" s="4" t="n"/>
      <c r="AU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5" t="n"/>
      <c r="K628" s="5" t="n"/>
      <c r="L628" s="18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Row],[fecha_inicio]]="","",tblOrdenes[[#This Row],[anio]]&amp;"-"&amp;TEXT(tblOrdenes[[#This Row],[mes]],"00"))</f>
        <v/>
      </c>
      <c r="S628" s="5">
        <f>IF(tblOrdenes[[#This Row],[fecha_inicio]]="","",INDEX(lista_dias,WEEKDAY(tblOrdenes[[#This Row],[fecha_inicio]],2)))</f>
        <v/>
      </c>
      <c r="T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5">
        <f>IF(tblOrdenes[[#This Row],[tipo_ot]]="","",_xlfn.XLOOKUP(tblOrdenes[[#This Row],[tipo_ot]],tblTiposOT[codigo],tblTiposOT[clasificacion],"sin_clasificar"))</f>
        <v/>
      </c>
      <c r="V6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5">
        <f>IF(tblOrdenes[[#This Row],[centro_costo]]="","",_xlfn.XLOOKUP(tblOrdenes[[#This Row],[centro_costo]],tblCECO[codigo],tblCECO[linea],"(sin catálogo)"))</f>
        <v/>
      </c>
      <c r="Y628" s="5">
        <f>IF(tblOrdenes[[#This Row],[centro_costo]]="","",_xlfn.XLOOKUP(tblOrdenes[[#This Row],[centro_costo]],tblCECO[codigo],tblCECO[area],"(sin catálogo)"))</f>
        <v/>
      </c>
      <c r="Z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5">
        <f>IF(tblOrdenes[[#This Row],[centro_costo]]="","",_xlfn.XLOOKUP(tblOrdenes[[#This Row],[centro_costo]],tblCECO[codigo],tblCECO[coordinador],"(sin catálogo)"))</f>
        <v/>
      </c>
      <c r="AB628" s="5">
        <f>IF(tblOrdenes[[#This Row],[puesto_trabajo]]="","",_xlfn.XLOOKUP(tblOrdenes[[#This Row],[puesto_trabajo]],tblPuestos[codigo],tblPuestos[especialidad],"(sin catálogo)"))</f>
        <v/>
      </c>
      <c r="AC628" s="5">
        <f>IF(tblOrdenes[[#This Row],[cod_actividad]]="","",_xlfn.XLOOKUP(tblOrdenes[[#This Row],[cod_actividad]],tblActividades[codigo],tblActividades[descripcion],"(sin catálogo)"))</f>
        <v/>
      </c>
      <c r="AD628" s="23">
        <f>IF(tblOrdenes[[#This Row],[fecha_inicio]]="","",TODAY()-tblOrdenes[[#This Row],[fecha_inicio]])</f>
        <v/>
      </c>
      <c r="AE6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5">
        <f>IF(tblOrdenes[[#This Row],[backlog_habiles]]="","",IF(tblOrdenes[[#This Row],[backlog_habiles]]&lt;0,"FUTURO",IF(tblOrdenes[[#This Row],[backlog_habiles]]&gt;p_dias_backlog_max,"BACKLOG","MES CORRIENTE")))</f>
        <v/>
      </c>
      <c r="AG628" s="5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18">
        <f>IF(tblOrdenes[[#This Row],[orden]]="","",_xlfn.XLOOKUP(tblOrdenes[[#This Row],[id_operacion]],tblEjecucion[id_operacion],tblEjecucion[precio],0))</f>
        <v/>
      </c>
      <c r="AM628" s="18">
        <f>IF(tblOrdenes[[#This Row],[orden]]="","",MAX(0,_xlfn.XLOOKUP(tblOrdenes[[#This Row],[id_operacion]],tblEjecucion[id_operacion],tblEjecucion[costo_plan_total],0)-tblOrdenes[[#This Row],[costo_servicio]]))</f>
        <v/>
      </c>
      <c r="AN628" s="18">
        <f>IF(tblOrdenes[[#This Row],[orden]]="","",tblOrdenes[[#This Row],[costo_servicio]]+tblOrdenes[[#This Row],[costo_materiales]])</f>
        <v/>
      </c>
      <c r="AO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5">
        <f>IF(tblOrdenes[[#This Row],[link_checklist]]="","",HYPERLINK(p_ruta_base_checklists&amp;tblOrdenes[[#This Row],[link_checklist]],"abrir"))</f>
        <v/>
      </c>
      <c r="AT628" s="4" t="n"/>
      <c r="AU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5" t="n"/>
      <c r="K629" s="5" t="n"/>
      <c r="L629" s="18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Row],[fecha_inicio]]="","",tblOrdenes[[#This Row],[anio]]&amp;"-"&amp;TEXT(tblOrdenes[[#This Row],[mes]],"00"))</f>
        <v/>
      </c>
      <c r="S629" s="5">
        <f>IF(tblOrdenes[[#This Row],[fecha_inicio]]="","",INDEX(lista_dias,WEEKDAY(tblOrdenes[[#This Row],[fecha_inicio]],2)))</f>
        <v/>
      </c>
      <c r="T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5">
        <f>IF(tblOrdenes[[#This Row],[tipo_ot]]="","",_xlfn.XLOOKUP(tblOrdenes[[#This Row],[tipo_ot]],tblTiposOT[codigo],tblTiposOT[clasificacion],"sin_clasificar"))</f>
        <v/>
      </c>
      <c r="V6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5">
        <f>IF(tblOrdenes[[#This Row],[centro_costo]]="","",_xlfn.XLOOKUP(tblOrdenes[[#This Row],[centro_costo]],tblCECO[codigo],tblCECO[linea],"(sin catálogo)"))</f>
        <v/>
      </c>
      <c r="Y629" s="5">
        <f>IF(tblOrdenes[[#This Row],[centro_costo]]="","",_xlfn.XLOOKUP(tblOrdenes[[#This Row],[centro_costo]],tblCECO[codigo],tblCECO[area],"(sin catálogo)"))</f>
        <v/>
      </c>
      <c r="Z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5">
        <f>IF(tblOrdenes[[#This Row],[centro_costo]]="","",_xlfn.XLOOKUP(tblOrdenes[[#This Row],[centro_costo]],tblCECO[codigo],tblCECO[coordinador],"(sin catálogo)"))</f>
        <v/>
      </c>
      <c r="AB629" s="5">
        <f>IF(tblOrdenes[[#This Row],[puesto_trabajo]]="","",_xlfn.XLOOKUP(tblOrdenes[[#This Row],[puesto_trabajo]],tblPuestos[codigo],tblPuestos[especialidad],"(sin catálogo)"))</f>
        <v/>
      </c>
      <c r="AC629" s="5">
        <f>IF(tblOrdenes[[#This Row],[cod_actividad]]="","",_xlfn.XLOOKUP(tblOrdenes[[#This Row],[cod_actividad]],tblActividades[codigo],tblActividades[descripcion],"(sin catálogo)"))</f>
        <v/>
      </c>
      <c r="AD629" s="23">
        <f>IF(tblOrdenes[[#This Row],[fecha_inicio]]="","",TODAY()-tblOrdenes[[#This Row],[fecha_inicio]])</f>
        <v/>
      </c>
      <c r="AE6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5">
        <f>IF(tblOrdenes[[#This Row],[backlog_habiles]]="","",IF(tblOrdenes[[#This Row],[backlog_habiles]]&lt;0,"FUTURO",IF(tblOrdenes[[#This Row],[backlog_habiles]]&gt;p_dias_backlog_max,"BACKLOG","MES CORRIENTE")))</f>
        <v/>
      </c>
      <c r="AG629" s="5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18">
        <f>IF(tblOrdenes[[#This Row],[orden]]="","",_xlfn.XLOOKUP(tblOrdenes[[#This Row],[id_operacion]],tblEjecucion[id_operacion],tblEjecucion[precio],0))</f>
        <v/>
      </c>
      <c r="AM629" s="18">
        <f>IF(tblOrdenes[[#This Row],[orden]]="","",MAX(0,_xlfn.XLOOKUP(tblOrdenes[[#This Row],[id_operacion]],tblEjecucion[id_operacion],tblEjecucion[costo_plan_total],0)-tblOrdenes[[#This Row],[costo_servicio]]))</f>
        <v/>
      </c>
      <c r="AN629" s="18">
        <f>IF(tblOrdenes[[#This Row],[orden]]="","",tblOrdenes[[#This Row],[costo_servicio]]+tblOrdenes[[#This Row],[costo_materiales]])</f>
        <v/>
      </c>
      <c r="AO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5">
        <f>IF(tblOrdenes[[#This Row],[link_checklist]]="","",HYPERLINK(p_ruta_base_checklists&amp;tblOrdenes[[#This Row],[link_checklist]],"abrir"))</f>
        <v/>
      </c>
      <c r="AT629" s="4" t="n"/>
      <c r="AU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5" t="n"/>
      <c r="K630" s="5" t="n"/>
      <c r="L630" s="18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Row],[fecha_inicio]]="","",tblOrdenes[[#This Row],[anio]]&amp;"-"&amp;TEXT(tblOrdenes[[#This Row],[mes]],"00"))</f>
        <v/>
      </c>
      <c r="S630" s="5">
        <f>IF(tblOrdenes[[#This Row],[fecha_inicio]]="","",INDEX(lista_dias,WEEKDAY(tblOrdenes[[#This Row],[fecha_inicio]],2)))</f>
        <v/>
      </c>
      <c r="T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5">
        <f>IF(tblOrdenes[[#This Row],[tipo_ot]]="","",_xlfn.XLOOKUP(tblOrdenes[[#This Row],[tipo_ot]],tblTiposOT[codigo],tblTiposOT[clasificacion],"sin_clasificar"))</f>
        <v/>
      </c>
      <c r="V6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5">
        <f>IF(tblOrdenes[[#This Row],[centro_costo]]="","",_xlfn.XLOOKUP(tblOrdenes[[#This Row],[centro_costo]],tblCECO[codigo],tblCECO[linea],"(sin catálogo)"))</f>
        <v/>
      </c>
      <c r="Y630" s="5">
        <f>IF(tblOrdenes[[#This Row],[centro_costo]]="","",_xlfn.XLOOKUP(tblOrdenes[[#This Row],[centro_costo]],tblCECO[codigo],tblCECO[area],"(sin catálogo)"))</f>
        <v/>
      </c>
      <c r="Z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5">
        <f>IF(tblOrdenes[[#This Row],[centro_costo]]="","",_xlfn.XLOOKUP(tblOrdenes[[#This Row],[centro_costo]],tblCECO[codigo],tblCECO[coordinador],"(sin catálogo)"))</f>
        <v/>
      </c>
      <c r="AB630" s="5">
        <f>IF(tblOrdenes[[#This Row],[puesto_trabajo]]="","",_xlfn.XLOOKUP(tblOrdenes[[#This Row],[puesto_trabajo]],tblPuestos[codigo],tblPuestos[especialidad],"(sin catálogo)"))</f>
        <v/>
      </c>
      <c r="AC630" s="5">
        <f>IF(tblOrdenes[[#This Row],[cod_actividad]]="","",_xlfn.XLOOKUP(tblOrdenes[[#This Row],[cod_actividad]],tblActividades[codigo],tblActividades[descripcion],"(sin catálogo)"))</f>
        <v/>
      </c>
      <c r="AD630" s="23">
        <f>IF(tblOrdenes[[#This Row],[fecha_inicio]]="","",TODAY()-tblOrdenes[[#This Row],[fecha_inicio]])</f>
        <v/>
      </c>
      <c r="AE6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5">
        <f>IF(tblOrdenes[[#This Row],[backlog_habiles]]="","",IF(tblOrdenes[[#This Row],[backlog_habiles]]&lt;0,"FUTURO",IF(tblOrdenes[[#This Row],[backlog_habiles]]&gt;p_dias_backlog_max,"BACKLOG","MES CORRIENTE")))</f>
        <v/>
      </c>
      <c r="AG630" s="5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18">
        <f>IF(tblOrdenes[[#This Row],[orden]]="","",_xlfn.XLOOKUP(tblOrdenes[[#This Row],[id_operacion]],tblEjecucion[id_operacion],tblEjecucion[precio],0))</f>
        <v/>
      </c>
      <c r="AM630" s="18">
        <f>IF(tblOrdenes[[#This Row],[orden]]="","",MAX(0,_xlfn.XLOOKUP(tblOrdenes[[#This Row],[id_operacion]],tblEjecucion[id_operacion],tblEjecucion[costo_plan_total],0)-tblOrdenes[[#This Row],[costo_servicio]]))</f>
        <v/>
      </c>
      <c r="AN630" s="18">
        <f>IF(tblOrdenes[[#This Row],[orden]]="","",tblOrdenes[[#This Row],[costo_servicio]]+tblOrdenes[[#This Row],[costo_materiales]])</f>
        <v/>
      </c>
      <c r="AO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5">
        <f>IF(tblOrdenes[[#This Row],[link_checklist]]="","",HYPERLINK(p_ruta_base_checklists&amp;tblOrdenes[[#This Row],[link_checklist]],"abrir"))</f>
        <v/>
      </c>
      <c r="AT630" s="4" t="n"/>
      <c r="AU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5" t="n"/>
      <c r="K631" s="5" t="n"/>
      <c r="L631" s="18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Row],[fecha_inicio]]="","",tblOrdenes[[#This Row],[anio]]&amp;"-"&amp;TEXT(tblOrdenes[[#This Row],[mes]],"00"))</f>
        <v/>
      </c>
      <c r="S631" s="5">
        <f>IF(tblOrdenes[[#This Row],[fecha_inicio]]="","",INDEX(lista_dias,WEEKDAY(tblOrdenes[[#This Row],[fecha_inicio]],2)))</f>
        <v/>
      </c>
      <c r="T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5">
        <f>IF(tblOrdenes[[#This Row],[tipo_ot]]="","",_xlfn.XLOOKUP(tblOrdenes[[#This Row],[tipo_ot]],tblTiposOT[codigo],tblTiposOT[clasificacion],"sin_clasificar"))</f>
        <v/>
      </c>
      <c r="V6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5">
        <f>IF(tblOrdenes[[#This Row],[centro_costo]]="","",_xlfn.XLOOKUP(tblOrdenes[[#This Row],[centro_costo]],tblCECO[codigo],tblCECO[linea],"(sin catálogo)"))</f>
        <v/>
      </c>
      <c r="Y631" s="5">
        <f>IF(tblOrdenes[[#This Row],[centro_costo]]="","",_xlfn.XLOOKUP(tblOrdenes[[#This Row],[centro_costo]],tblCECO[codigo],tblCECO[area],"(sin catálogo)"))</f>
        <v/>
      </c>
      <c r="Z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5">
        <f>IF(tblOrdenes[[#This Row],[centro_costo]]="","",_xlfn.XLOOKUP(tblOrdenes[[#This Row],[centro_costo]],tblCECO[codigo],tblCECO[coordinador],"(sin catálogo)"))</f>
        <v/>
      </c>
      <c r="AB631" s="5">
        <f>IF(tblOrdenes[[#This Row],[puesto_trabajo]]="","",_xlfn.XLOOKUP(tblOrdenes[[#This Row],[puesto_trabajo]],tblPuestos[codigo],tblPuestos[especialidad],"(sin catálogo)"))</f>
        <v/>
      </c>
      <c r="AC631" s="5">
        <f>IF(tblOrdenes[[#This Row],[cod_actividad]]="","",_xlfn.XLOOKUP(tblOrdenes[[#This Row],[cod_actividad]],tblActividades[codigo],tblActividades[descripcion],"(sin catálogo)"))</f>
        <v/>
      </c>
      <c r="AD631" s="23">
        <f>IF(tblOrdenes[[#This Row],[fecha_inicio]]="","",TODAY()-tblOrdenes[[#This Row],[fecha_inicio]])</f>
        <v/>
      </c>
      <c r="AE6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5">
        <f>IF(tblOrdenes[[#This Row],[backlog_habiles]]="","",IF(tblOrdenes[[#This Row],[backlog_habiles]]&lt;0,"FUTURO",IF(tblOrdenes[[#This Row],[backlog_habiles]]&gt;p_dias_backlog_max,"BACKLOG","MES CORRIENTE")))</f>
        <v/>
      </c>
      <c r="AG631" s="5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18">
        <f>IF(tblOrdenes[[#This Row],[orden]]="","",_xlfn.XLOOKUP(tblOrdenes[[#This Row],[id_operacion]],tblEjecucion[id_operacion],tblEjecucion[precio],0))</f>
        <v/>
      </c>
      <c r="AM631" s="18">
        <f>IF(tblOrdenes[[#This Row],[orden]]="","",MAX(0,_xlfn.XLOOKUP(tblOrdenes[[#This Row],[id_operacion]],tblEjecucion[id_operacion],tblEjecucion[costo_plan_total],0)-tblOrdenes[[#This Row],[costo_servicio]]))</f>
        <v/>
      </c>
      <c r="AN631" s="18">
        <f>IF(tblOrdenes[[#This Row],[orden]]="","",tblOrdenes[[#This Row],[costo_servicio]]+tblOrdenes[[#This Row],[costo_materiales]])</f>
        <v/>
      </c>
      <c r="AO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5">
        <f>IF(tblOrdenes[[#This Row],[link_checklist]]="","",HYPERLINK(p_ruta_base_checklists&amp;tblOrdenes[[#This Row],[link_checklist]],"abrir"))</f>
        <v/>
      </c>
      <c r="AT631" s="4" t="n"/>
      <c r="AU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5" t="n"/>
      <c r="K632" s="5" t="n"/>
      <c r="L632" s="18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Row],[fecha_inicio]]="","",tblOrdenes[[#This Row],[anio]]&amp;"-"&amp;TEXT(tblOrdenes[[#This Row],[mes]],"00"))</f>
        <v/>
      </c>
      <c r="S632" s="5">
        <f>IF(tblOrdenes[[#This Row],[fecha_inicio]]="","",INDEX(lista_dias,WEEKDAY(tblOrdenes[[#This Row],[fecha_inicio]],2)))</f>
        <v/>
      </c>
      <c r="T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5">
        <f>IF(tblOrdenes[[#This Row],[tipo_ot]]="","",_xlfn.XLOOKUP(tblOrdenes[[#This Row],[tipo_ot]],tblTiposOT[codigo],tblTiposOT[clasificacion],"sin_clasificar"))</f>
        <v/>
      </c>
      <c r="V6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5">
        <f>IF(tblOrdenes[[#This Row],[centro_costo]]="","",_xlfn.XLOOKUP(tblOrdenes[[#This Row],[centro_costo]],tblCECO[codigo],tblCECO[linea],"(sin catálogo)"))</f>
        <v/>
      </c>
      <c r="Y632" s="5">
        <f>IF(tblOrdenes[[#This Row],[centro_costo]]="","",_xlfn.XLOOKUP(tblOrdenes[[#This Row],[centro_costo]],tblCECO[codigo],tblCECO[area],"(sin catálogo)"))</f>
        <v/>
      </c>
      <c r="Z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5">
        <f>IF(tblOrdenes[[#This Row],[centro_costo]]="","",_xlfn.XLOOKUP(tblOrdenes[[#This Row],[centro_costo]],tblCECO[codigo],tblCECO[coordinador],"(sin catálogo)"))</f>
        <v/>
      </c>
      <c r="AB632" s="5">
        <f>IF(tblOrdenes[[#This Row],[puesto_trabajo]]="","",_xlfn.XLOOKUP(tblOrdenes[[#This Row],[puesto_trabajo]],tblPuestos[codigo],tblPuestos[especialidad],"(sin catálogo)"))</f>
        <v/>
      </c>
      <c r="AC632" s="5">
        <f>IF(tblOrdenes[[#This Row],[cod_actividad]]="","",_xlfn.XLOOKUP(tblOrdenes[[#This Row],[cod_actividad]],tblActividades[codigo],tblActividades[descripcion],"(sin catálogo)"))</f>
        <v/>
      </c>
      <c r="AD632" s="23">
        <f>IF(tblOrdenes[[#This Row],[fecha_inicio]]="","",TODAY()-tblOrdenes[[#This Row],[fecha_inicio]])</f>
        <v/>
      </c>
      <c r="AE6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5">
        <f>IF(tblOrdenes[[#This Row],[backlog_habiles]]="","",IF(tblOrdenes[[#This Row],[backlog_habiles]]&lt;0,"FUTURO",IF(tblOrdenes[[#This Row],[backlog_habiles]]&gt;p_dias_backlog_max,"BACKLOG","MES CORRIENTE")))</f>
        <v/>
      </c>
      <c r="AG632" s="5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18">
        <f>IF(tblOrdenes[[#This Row],[orden]]="","",_xlfn.XLOOKUP(tblOrdenes[[#This Row],[id_operacion]],tblEjecucion[id_operacion],tblEjecucion[precio],0))</f>
        <v/>
      </c>
      <c r="AM632" s="18">
        <f>IF(tblOrdenes[[#This Row],[orden]]="","",MAX(0,_xlfn.XLOOKUP(tblOrdenes[[#This Row],[id_operacion]],tblEjecucion[id_operacion],tblEjecucion[costo_plan_total],0)-tblOrdenes[[#This Row],[costo_servicio]]))</f>
        <v/>
      </c>
      <c r="AN632" s="18">
        <f>IF(tblOrdenes[[#This Row],[orden]]="","",tblOrdenes[[#This Row],[costo_servicio]]+tblOrdenes[[#This Row],[costo_materiales]])</f>
        <v/>
      </c>
      <c r="AO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5">
        <f>IF(tblOrdenes[[#This Row],[link_checklist]]="","",HYPERLINK(p_ruta_base_checklists&amp;tblOrdenes[[#This Row],[link_checklist]],"abrir"))</f>
        <v/>
      </c>
      <c r="AT632" s="4" t="n"/>
      <c r="AU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5" t="n"/>
      <c r="K633" s="5" t="n"/>
      <c r="L633" s="18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Row],[fecha_inicio]]="","",tblOrdenes[[#This Row],[anio]]&amp;"-"&amp;TEXT(tblOrdenes[[#This Row],[mes]],"00"))</f>
        <v/>
      </c>
      <c r="S633" s="5">
        <f>IF(tblOrdenes[[#This Row],[fecha_inicio]]="","",INDEX(lista_dias,WEEKDAY(tblOrdenes[[#This Row],[fecha_inicio]],2)))</f>
        <v/>
      </c>
      <c r="T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5">
        <f>IF(tblOrdenes[[#This Row],[tipo_ot]]="","",_xlfn.XLOOKUP(tblOrdenes[[#This Row],[tipo_ot]],tblTiposOT[codigo],tblTiposOT[clasificacion],"sin_clasificar"))</f>
        <v/>
      </c>
      <c r="V6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5">
        <f>IF(tblOrdenes[[#This Row],[centro_costo]]="","",_xlfn.XLOOKUP(tblOrdenes[[#This Row],[centro_costo]],tblCECO[codigo],tblCECO[linea],"(sin catálogo)"))</f>
        <v/>
      </c>
      <c r="Y633" s="5">
        <f>IF(tblOrdenes[[#This Row],[centro_costo]]="","",_xlfn.XLOOKUP(tblOrdenes[[#This Row],[centro_costo]],tblCECO[codigo],tblCECO[area],"(sin catálogo)"))</f>
        <v/>
      </c>
      <c r="Z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5">
        <f>IF(tblOrdenes[[#This Row],[centro_costo]]="","",_xlfn.XLOOKUP(tblOrdenes[[#This Row],[centro_costo]],tblCECO[codigo],tblCECO[coordinador],"(sin catálogo)"))</f>
        <v/>
      </c>
      <c r="AB633" s="5">
        <f>IF(tblOrdenes[[#This Row],[puesto_trabajo]]="","",_xlfn.XLOOKUP(tblOrdenes[[#This Row],[puesto_trabajo]],tblPuestos[codigo],tblPuestos[especialidad],"(sin catálogo)"))</f>
        <v/>
      </c>
      <c r="AC633" s="5">
        <f>IF(tblOrdenes[[#This Row],[cod_actividad]]="","",_xlfn.XLOOKUP(tblOrdenes[[#This Row],[cod_actividad]],tblActividades[codigo],tblActividades[descripcion],"(sin catálogo)"))</f>
        <v/>
      </c>
      <c r="AD633" s="23">
        <f>IF(tblOrdenes[[#This Row],[fecha_inicio]]="","",TODAY()-tblOrdenes[[#This Row],[fecha_inicio]])</f>
        <v/>
      </c>
      <c r="AE6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5">
        <f>IF(tblOrdenes[[#This Row],[backlog_habiles]]="","",IF(tblOrdenes[[#This Row],[backlog_habiles]]&lt;0,"FUTURO",IF(tblOrdenes[[#This Row],[backlog_habiles]]&gt;p_dias_backlog_max,"BACKLOG","MES CORRIENTE")))</f>
        <v/>
      </c>
      <c r="AG633" s="5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18">
        <f>IF(tblOrdenes[[#This Row],[orden]]="","",_xlfn.XLOOKUP(tblOrdenes[[#This Row],[id_operacion]],tblEjecucion[id_operacion],tblEjecucion[precio],0))</f>
        <v/>
      </c>
      <c r="AM633" s="18">
        <f>IF(tblOrdenes[[#This Row],[orden]]="","",MAX(0,_xlfn.XLOOKUP(tblOrdenes[[#This Row],[id_operacion]],tblEjecucion[id_operacion],tblEjecucion[costo_plan_total],0)-tblOrdenes[[#This Row],[costo_servicio]]))</f>
        <v/>
      </c>
      <c r="AN633" s="18">
        <f>IF(tblOrdenes[[#This Row],[orden]]="","",tblOrdenes[[#This Row],[costo_servicio]]+tblOrdenes[[#This Row],[costo_materiales]])</f>
        <v/>
      </c>
      <c r="AO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5">
        <f>IF(tblOrdenes[[#This Row],[link_checklist]]="","",HYPERLINK(p_ruta_base_checklists&amp;tblOrdenes[[#This Row],[link_checklist]],"abrir"))</f>
        <v/>
      </c>
      <c r="AT633" s="4" t="n"/>
      <c r="AU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5" t="n"/>
      <c r="K634" s="5" t="n"/>
      <c r="L634" s="18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Row],[fecha_inicio]]="","",tblOrdenes[[#This Row],[anio]]&amp;"-"&amp;TEXT(tblOrdenes[[#This Row],[mes]],"00"))</f>
        <v/>
      </c>
      <c r="S634" s="5">
        <f>IF(tblOrdenes[[#This Row],[fecha_inicio]]="","",INDEX(lista_dias,WEEKDAY(tblOrdenes[[#This Row],[fecha_inicio]],2)))</f>
        <v/>
      </c>
      <c r="T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5">
        <f>IF(tblOrdenes[[#This Row],[tipo_ot]]="","",_xlfn.XLOOKUP(tblOrdenes[[#This Row],[tipo_ot]],tblTiposOT[codigo],tblTiposOT[clasificacion],"sin_clasificar"))</f>
        <v/>
      </c>
      <c r="V6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5">
        <f>IF(tblOrdenes[[#This Row],[centro_costo]]="","",_xlfn.XLOOKUP(tblOrdenes[[#This Row],[centro_costo]],tblCECO[codigo],tblCECO[linea],"(sin catálogo)"))</f>
        <v/>
      </c>
      <c r="Y634" s="5">
        <f>IF(tblOrdenes[[#This Row],[centro_costo]]="","",_xlfn.XLOOKUP(tblOrdenes[[#This Row],[centro_costo]],tblCECO[codigo],tblCECO[area],"(sin catálogo)"))</f>
        <v/>
      </c>
      <c r="Z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5">
        <f>IF(tblOrdenes[[#This Row],[centro_costo]]="","",_xlfn.XLOOKUP(tblOrdenes[[#This Row],[centro_costo]],tblCECO[codigo],tblCECO[coordinador],"(sin catálogo)"))</f>
        <v/>
      </c>
      <c r="AB634" s="5">
        <f>IF(tblOrdenes[[#This Row],[puesto_trabajo]]="","",_xlfn.XLOOKUP(tblOrdenes[[#This Row],[puesto_trabajo]],tblPuestos[codigo],tblPuestos[especialidad],"(sin catálogo)"))</f>
        <v/>
      </c>
      <c r="AC634" s="5">
        <f>IF(tblOrdenes[[#This Row],[cod_actividad]]="","",_xlfn.XLOOKUP(tblOrdenes[[#This Row],[cod_actividad]],tblActividades[codigo],tblActividades[descripcion],"(sin catálogo)"))</f>
        <v/>
      </c>
      <c r="AD634" s="23">
        <f>IF(tblOrdenes[[#This Row],[fecha_inicio]]="","",TODAY()-tblOrdenes[[#This Row],[fecha_inicio]])</f>
        <v/>
      </c>
      <c r="AE6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5">
        <f>IF(tblOrdenes[[#This Row],[backlog_habiles]]="","",IF(tblOrdenes[[#This Row],[backlog_habiles]]&lt;0,"FUTURO",IF(tblOrdenes[[#This Row],[backlog_habiles]]&gt;p_dias_backlog_max,"BACKLOG","MES CORRIENTE")))</f>
        <v/>
      </c>
      <c r="AG634" s="5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18">
        <f>IF(tblOrdenes[[#This Row],[orden]]="","",_xlfn.XLOOKUP(tblOrdenes[[#This Row],[id_operacion]],tblEjecucion[id_operacion],tblEjecucion[precio],0))</f>
        <v/>
      </c>
      <c r="AM634" s="18">
        <f>IF(tblOrdenes[[#This Row],[orden]]="","",MAX(0,_xlfn.XLOOKUP(tblOrdenes[[#This Row],[id_operacion]],tblEjecucion[id_operacion],tblEjecucion[costo_plan_total],0)-tblOrdenes[[#This Row],[costo_servicio]]))</f>
        <v/>
      </c>
      <c r="AN634" s="18">
        <f>IF(tblOrdenes[[#This Row],[orden]]="","",tblOrdenes[[#This Row],[costo_servicio]]+tblOrdenes[[#This Row],[costo_materiales]])</f>
        <v/>
      </c>
      <c r="AO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5">
        <f>IF(tblOrdenes[[#This Row],[link_checklist]]="","",HYPERLINK(p_ruta_base_checklists&amp;tblOrdenes[[#This Row],[link_checklist]],"abrir"))</f>
        <v/>
      </c>
      <c r="AT634" s="4" t="n"/>
      <c r="AU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5" t="n"/>
      <c r="K635" s="5" t="n"/>
      <c r="L635" s="18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Row],[fecha_inicio]]="","",tblOrdenes[[#This Row],[anio]]&amp;"-"&amp;TEXT(tblOrdenes[[#This Row],[mes]],"00"))</f>
        <v/>
      </c>
      <c r="S635" s="5">
        <f>IF(tblOrdenes[[#This Row],[fecha_inicio]]="","",INDEX(lista_dias,WEEKDAY(tblOrdenes[[#This Row],[fecha_inicio]],2)))</f>
        <v/>
      </c>
      <c r="T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5">
        <f>IF(tblOrdenes[[#This Row],[tipo_ot]]="","",_xlfn.XLOOKUP(tblOrdenes[[#This Row],[tipo_ot]],tblTiposOT[codigo],tblTiposOT[clasificacion],"sin_clasificar"))</f>
        <v/>
      </c>
      <c r="V6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5">
        <f>IF(tblOrdenes[[#This Row],[centro_costo]]="","",_xlfn.XLOOKUP(tblOrdenes[[#This Row],[centro_costo]],tblCECO[codigo],tblCECO[linea],"(sin catálogo)"))</f>
        <v/>
      </c>
      <c r="Y635" s="5">
        <f>IF(tblOrdenes[[#This Row],[centro_costo]]="","",_xlfn.XLOOKUP(tblOrdenes[[#This Row],[centro_costo]],tblCECO[codigo],tblCECO[area],"(sin catálogo)"))</f>
        <v/>
      </c>
      <c r="Z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5">
        <f>IF(tblOrdenes[[#This Row],[centro_costo]]="","",_xlfn.XLOOKUP(tblOrdenes[[#This Row],[centro_costo]],tblCECO[codigo],tblCECO[coordinador],"(sin catálogo)"))</f>
        <v/>
      </c>
      <c r="AB635" s="5">
        <f>IF(tblOrdenes[[#This Row],[puesto_trabajo]]="","",_xlfn.XLOOKUP(tblOrdenes[[#This Row],[puesto_trabajo]],tblPuestos[codigo],tblPuestos[especialidad],"(sin catálogo)"))</f>
        <v/>
      </c>
      <c r="AC635" s="5">
        <f>IF(tblOrdenes[[#This Row],[cod_actividad]]="","",_xlfn.XLOOKUP(tblOrdenes[[#This Row],[cod_actividad]],tblActividades[codigo],tblActividades[descripcion],"(sin catálogo)"))</f>
        <v/>
      </c>
      <c r="AD635" s="23">
        <f>IF(tblOrdenes[[#This Row],[fecha_inicio]]="","",TODAY()-tblOrdenes[[#This Row],[fecha_inicio]])</f>
        <v/>
      </c>
      <c r="AE6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5">
        <f>IF(tblOrdenes[[#This Row],[backlog_habiles]]="","",IF(tblOrdenes[[#This Row],[backlog_habiles]]&lt;0,"FUTURO",IF(tblOrdenes[[#This Row],[backlog_habiles]]&gt;p_dias_backlog_max,"BACKLOG","MES CORRIENTE")))</f>
        <v/>
      </c>
      <c r="AG635" s="5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18">
        <f>IF(tblOrdenes[[#This Row],[orden]]="","",_xlfn.XLOOKUP(tblOrdenes[[#This Row],[id_operacion]],tblEjecucion[id_operacion],tblEjecucion[precio],0))</f>
        <v/>
      </c>
      <c r="AM635" s="18">
        <f>IF(tblOrdenes[[#This Row],[orden]]="","",MAX(0,_xlfn.XLOOKUP(tblOrdenes[[#This Row],[id_operacion]],tblEjecucion[id_operacion],tblEjecucion[costo_plan_total],0)-tblOrdenes[[#This Row],[costo_servicio]]))</f>
        <v/>
      </c>
      <c r="AN635" s="18">
        <f>IF(tblOrdenes[[#This Row],[orden]]="","",tblOrdenes[[#This Row],[costo_servicio]]+tblOrdenes[[#This Row],[costo_materiales]])</f>
        <v/>
      </c>
      <c r="AO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5">
        <f>IF(tblOrdenes[[#This Row],[link_checklist]]="","",HYPERLINK(p_ruta_base_checklists&amp;tblOrdenes[[#This Row],[link_checklist]],"abrir"))</f>
        <v/>
      </c>
      <c r="AT635" s="4" t="n"/>
      <c r="AU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5" t="n"/>
      <c r="K636" s="5" t="n"/>
      <c r="L636" s="18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Row],[fecha_inicio]]="","",tblOrdenes[[#This Row],[anio]]&amp;"-"&amp;TEXT(tblOrdenes[[#This Row],[mes]],"00"))</f>
        <v/>
      </c>
      <c r="S636" s="5">
        <f>IF(tblOrdenes[[#This Row],[fecha_inicio]]="","",INDEX(lista_dias,WEEKDAY(tblOrdenes[[#This Row],[fecha_inicio]],2)))</f>
        <v/>
      </c>
      <c r="T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5">
        <f>IF(tblOrdenes[[#This Row],[tipo_ot]]="","",_xlfn.XLOOKUP(tblOrdenes[[#This Row],[tipo_ot]],tblTiposOT[codigo],tblTiposOT[clasificacion],"sin_clasificar"))</f>
        <v/>
      </c>
      <c r="V6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5">
        <f>IF(tblOrdenes[[#This Row],[centro_costo]]="","",_xlfn.XLOOKUP(tblOrdenes[[#This Row],[centro_costo]],tblCECO[codigo],tblCECO[linea],"(sin catálogo)"))</f>
        <v/>
      </c>
      <c r="Y636" s="5">
        <f>IF(tblOrdenes[[#This Row],[centro_costo]]="","",_xlfn.XLOOKUP(tblOrdenes[[#This Row],[centro_costo]],tblCECO[codigo],tblCECO[area],"(sin catálogo)"))</f>
        <v/>
      </c>
      <c r="Z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5">
        <f>IF(tblOrdenes[[#This Row],[centro_costo]]="","",_xlfn.XLOOKUP(tblOrdenes[[#This Row],[centro_costo]],tblCECO[codigo],tblCECO[coordinador],"(sin catálogo)"))</f>
        <v/>
      </c>
      <c r="AB636" s="5">
        <f>IF(tblOrdenes[[#This Row],[puesto_trabajo]]="","",_xlfn.XLOOKUP(tblOrdenes[[#This Row],[puesto_trabajo]],tblPuestos[codigo],tblPuestos[especialidad],"(sin catálogo)"))</f>
        <v/>
      </c>
      <c r="AC636" s="5">
        <f>IF(tblOrdenes[[#This Row],[cod_actividad]]="","",_xlfn.XLOOKUP(tblOrdenes[[#This Row],[cod_actividad]],tblActividades[codigo],tblActividades[descripcion],"(sin catálogo)"))</f>
        <v/>
      </c>
      <c r="AD636" s="23">
        <f>IF(tblOrdenes[[#This Row],[fecha_inicio]]="","",TODAY()-tblOrdenes[[#This Row],[fecha_inicio]])</f>
        <v/>
      </c>
      <c r="AE6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5">
        <f>IF(tblOrdenes[[#This Row],[backlog_habiles]]="","",IF(tblOrdenes[[#This Row],[backlog_habiles]]&lt;0,"FUTURO",IF(tblOrdenes[[#This Row],[backlog_habiles]]&gt;p_dias_backlog_max,"BACKLOG","MES CORRIENTE")))</f>
        <v/>
      </c>
      <c r="AG636" s="5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18">
        <f>IF(tblOrdenes[[#This Row],[orden]]="","",_xlfn.XLOOKUP(tblOrdenes[[#This Row],[id_operacion]],tblEjecucion[id_operacion],tblEjecucion[precio],0))</f>
        <v/>
      </c>
      <c r="AM636" s="18">
        <f>IF(tblOrdenes[[#This Row],[orden]]="","",MAX(0,_xlfn.XLOOKUP(tblOrdenes[[#This Row],[id_operacion]],tblEjecucion[id_operacion],tblEjecucion[costo_plan_total],0)-tblOrdenes[[#This Row],[costo_servicio]]))</f>
        <v/>
      </c>
      <c r="AN636" s="18">
        <f>IF(tblOrdenes[[#This Row],[orden]]="","",tblOrdenes[[#This Row],[costo_servicio]]+tblOrdenes[[#This Row],[costo_materiales]])</f>
        <v/>
      </c>
      <c r="AO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5">
        <f>IF(tblOrdenes[[#This Row],[link_checklist]]="","",HYPERLINK(p_ruta_base_checklists&amp;tblOrdenes[[#This Row],[link_checklist]],"abrir"))</f>
        <v/>
      </c>
      <c r="AT636" s="4" t="n"/>
      <c r="AU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5" t="n"/>
      <c r="K637" s="5" t="n"/>
      <c r="L637" s="18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Row],[fecha_inicio]]="","",tblOrdenes[[#This Row],[anio]]&amp;"-"&amp;TEXT(tblOrdenes[[#This Row],[mes]],"00"))</f>
        <v/>
      </c>
      <c r="S637" s="5">
        <f>IF(tblOrdenes[[#This Row],[fecha_inicio]]="","",INDEX(lista_dias,WEEKDAY(tblOrdenes[[#This Row],[fecha_inicio]],2)))</f>
        <v/>
      </c>
      <c r="T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5">
        <f>IF(tblOrdenes[[#This Row],[tipo_ot]]="","",_xlfn.XLOOKUP(tblOrdenes[[#This Row],[tipo_ot]],tblTiposOT[codigo],tblTiposOT[clasificacion],"sin_clasificar"))</f>
        <v/>
      </c>
      <c r="V6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5">
        <f>IF(tblOrdenes[[#This Row],[centro_costo]]="","",_xlfn.XLOOKUP(tblOrdenes[[#This Row],[centro_costo]],tblCECO[codigo],tblCECO[linea],"(sin catálogo)"))</f>
        <v/>
      </c>
      <c r="Y637" s="5">
        <f>IF(tblOrdenes[[#This Row],[centro_costo]]="","",_xlfn.XLOOKUP(tblOrdenes[[#This Row],[centro_costo]],tblCECO[codigo],tblCECO[area],"(sin catálogo)"))</f>
        <v/>
      </c>
      <c r="Z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5">
        <f>IF(tblOrdenes[[#This Row],[centro_costo]]="","",_xlfn.XLOOKUP(tblOrdenes[[#This Row],[centro_costo]],tblCECO[codigo],tblCECO[coordinador],"(sin catálogo)"))</f>
        <v/>
      </c>
      <c r="AB637" s="5">
        <f>IF(tblOrdenes[[#This Row],[puesto_trabajo]]="","",_xlfn.XLOOKUP(tblOrdenes[[#This Row],[puesto_trabajo]],tblPuestos[codigo],tblPuestos[especialidad],"(sin catálogo)"))</f>
        <v/>
      </c>
      <c r="AC637" s="5">
        <f>IF(tblOrdenes[[#This Row],[cod_actividad]]="","",_xlfn.XLOOKUP(tblOrdenes[[#This Row],[cod_actividad]],tblActividades[codigo],tblActividades[descripcion],"(sin catálogo)"))</f>
        <v/>
      </c>
      <c r="AD637" s="23">
        <f>IF(tblOrdenes[[#This Row],[fecha_inicio]]="","",TODAY()-tblOrdenes[[#This Row],[fecha_inicio]])</f>
        <v/>
      </c>
      <c r="AE6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5">
        <f>IF(tblOrdenes[[#This Row],[backlog_habiles]]="","",IF(tblOrdenes[[#This Row],[backlog_habiles]]&lt;0,"FUTURO",IF(tblOrdenes[[#This Row],[backlog_habiles]]&gt;p_dias_backlog_max,"BACKLOG","MES CORRIENTE")))</f>
        <v/>
      </c>
      <c r="AG637" s="5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18">
        <f>IF(tblOrdenes[[#This Row],[orden]]="","",_xlfn.XLOOKUP(tblOrdenes[[#This Row],[id_operacion]],tblEjecucion[id_operacion],tblEjecucion[precio],0))</f>
        <v/>
      </c>
      <c r="AM637" s="18">
        <f>IF(tblOrdenes[[#This Row],[orden]]="","",MAX(0,_xlfn.XLOOKUP(tblOrdenes[[#This Row],[id_operacion]],tblEjecucion[id_operacion],tblEjecucion[costo_plan_total],0)-tblOrdenes[[#This Row],[costo_servicio]]))</f>
        <v/>
      </c>
      <c r="AN637" s="18">
        <f>IF(tblOrdenes[[#This Row],[orden]]="","",tblOrdenes[[#This Row],[costo_servicio]]+tblOrdenes[[#This Row],[costo_materiales]])</f>
        <v/>
      </c>
      <c r="AO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5">
        <f>IF(tblOrdenes[[#This Row],[link_checklist]]="","",HYPERLINK(p_ruta_base_checklists&amp;tblOrdenes[[#This Row],[link_checklist]],"abrir"))</f>
        <v/>
      </c>
      <c r="AT637" s="4" t="n"/>
      <c r="AU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5" t="n"/>
      <c r="K638" s="5" t="n"/>
      <c r="L638" s="18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Row],[fecha_inicio]]="","",tblOrdenes[[#This Row],[anio]]&amp;"-"&amp;TEXT(tblOrdenes[[#This Row],[mes]],"00"))</f>
        <v/>
      </c>
      <c r="S638" s="5">
        <f>IF(tblOrdenes[[#This Row],[fecha_inicio]]="","",INDEX(lista_dias,WEEKDAY(tblOrdenes[[#This Row],[fecha_inicio]],2)))</f>
        <v/>
      </c>
      <c r="T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5">
        <f>IF(tblOrdenes[[#This Row],[tipo_ot]]="","",_xlfn.XLOOKUP(tblOrdenes[[#This Row],[tipo_ot]],tblTiposOT[codigo],tblTiposOT[clasificacion],"sin_clasificar"))</f>
        <v/>
      </c>
      <c r="V6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5">
        <f>IF(tblOrdenes[[#This Row],[centro_costo]]="","",_xlfn.XLOOKUP(tblOrdenes[[#This Row],[centro_costo]],tblCECO[codigo],tblCECO[linea],"(sin catálogo)"))</f>
        <v/>
      </c>
      <c r="Y638" s="5">
        <f>IF(tblOrdenes[[#This Row],[centro_costo]]="","",_xlfn.XLOOKUP(tblOrdenes[[#This Row],[centro_costo]],tblCECO[codigo],tblCECO[area],"(sin catálogo)"))</f>
        <v/>
      </c>
      <c r="Z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5">
        <f>IF(tblOrdenes[[#This Row],[centro_costo]]="","",_xlfn.XLOOKUP(tblOrdenes[[#This Row],[centro_costo]],tblCECO[codigo],tblCECO[coordinador],"(sin catálogo)"))</f>
        <v/>
      </c>
      <c r="AB638" s="5">
        <f>IF(tblOrdenes[[#This Row],[puesto_trabajo]]="","",_xlfn.XLOOKUP(tblOrdenes[[#This Row],[puesto_trabajo]],tblPuestos[codigo],tblPuestos[especialidad],"(sin catálogo)"))</f>
        <v/>
      </c>
      <c r="AC638" s="5">
        <f>IF(tblOrdenes[[#This Row],[cod_actividad]]="","",_xlfn.XLOOKUP(tblOrdenes[[#This Row],[cod_actividad]],tblActividades[codigo],tblActividades[descripcion],"(sin catálogo)"))</f>
        <v/>
      </c>
      <c r="AD638" s="23">
        <f>IF(tblOrdenes[[#This Row],[fecha_inicio]]="","",TODAY()-tblOrdenes[[#This Row],[fecha_inicio]])</f>
        <v/>
      </c>
      <c r="AE6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5">
        <f>IF(tblOrdenes[[#This Row],[backlog_habiles]]="","",IF(tblOrdenes[[#This Row],[backlog_habiles]]&lt;0,"FUTURO",IF(tblOrdenes[[#This Row],[backlog_habiles]]&gt;p_dias_backlog_max,"BACKLOG","MES CORRIENTE")))</f>
        <v/>
      </c>
      <c r="AG638" s="5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18">
        <f>IF(tblOrdenes[[#This Row],[orden]]="","",_xlfn.XLOOKUP(tblOrdenes[[#This Row],[id_operacion]],tblEjecucion[id_operacion],tblEjecucion[precio],0))</f>
        <v/>
      </c>
      <c r="AM638" s="18">
        <f>IF(tblOrdenes[[#This Row],[orden]]="","",MAX(0,_xlfn.XLOOKUP(tblOrdenes[[#This Row],[id_operacion]],tblEjecucion[id_operacion],tblEjecucion[costo_plan_total],0)-tblOrdenes[[#This Row],[costo_servicio]]))</f>
        <v/>
      </c>
      <c r="AN638" s="18">
        <f>IF(tblOrdenes[[#This Row],[orden]]="","",tblOrdenes[[#This Row],[costo_servicio]]+tblOrdenes[[#This Row],[costo_materiales]])</f>
        <v/>
      </c>
      <c r="AO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5">
        <f>IF(tblOrdenes[[#This Row],[link_checklist]]="","",HYPERLINK(p_ruta_base_checklists&amp;tblOrdenes[[#This Row],[link_checklist]],"abrir"))</f>
        <v/>
      </c>
      <c r="AT638" s="4" t="n"/>
      <c r="AU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5" t="n"/>
      <c r="K639" s="5" t="n"/>
      <c r="L639" s="18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Row],[fecha_inicio]]="","",tblOrdenes[[#This Row],[anio]]&amp;"-"&amp;TEXT(tblOrdenes[[#This Row],[mes]],"00"))</f>
        <v/>
      </c>
      <c r="S639" s="5">
        <f>IF(tblOrdenes[[#This Row],[fecha_inicio]]="","",INDEX(lista_dias,WEEKDAY(tblOrdenes[[#This Row],[fecha_inicio]],2)))</f>
        <v/>
      </c>
      <c r="T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5">
        <f>IF(tblOrdenes[[#This Row],[tipo_ot]]="","",_xlfn.XLOOKUP(tblOrdenes[[#This Row],[tipo_ot]],tblTiposOT[codigo],tblTiposOT[clasificacion],"sin_clasificar"))</f>
        <v/>
      </c>
      <c r="V6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5">
        <f>IF(tblOrdenes[[#This Row],[centro_costo]]="","",_xlfn.XLOOKUP(tblOrdenes[[#This Row],[centro_costo]],tblCECO[codigo],tblCECO[linea],"(sin catálogo)"))</f>
        <v/>
      </c>
      <c r="Y639" s="5">
        <f>IF(tblOrdenes[[#This Row],[centro_costo]]="","",_xlfn.XLOOKUP(tblOrdenes[[#This Row],[centro_costo]],tblCECO[codigo],tblCECO[area],"(sin catálogo)"))</f>
        <v/>
      </c>
      <c r="Z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5">
        <f>IF(tblOrdenes[[#This Row],[centro_costo]]="","",_xlfn.XLOOKUP(tblOrdenes[[#This Row],[centro_costo]],tblCECO[codigo],tblCECO[coordinador],"(sin catálogo)"))</f>
        <v/>
      </c>
      <c r="AB639" s="5">
        <f>IF(tblOrdenes[[#This Row],[puesto_trabajo]]="","",_xlfn.XLOOKUP(tblOrdenes[[#This Row],[puesto_trabajo]],tblPuestos[codigo],tblPuestos[especialidad],"(sin catálogo)"))</f>
        <v/>
      </c>
      <c r="AC639" s="5">
        <f>IF(tblOrdenes[[#This Row],[cod_actividad]]="","",_xlfn.XLOOKUP(tblOrdenes[[#This Row],[cod_actividad]],tblActividades[codigo],tblActividades[descripcion],"(sin catálogo)"))</f>
        <v/>
      </c>
      <c r="AD639" s="23">
        <f>IF(tblOrdenes[[#This Row],[fecha_inicio]]="","",TODAY()-tblOrdenes[[#This Row],[fecha_inicio]])</f>
        <v/>
      </c>
      <c r="AE6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5">
        <f>IF(tblOrdenes[[#This Row],[backlog_habiles]]="","",IF(tblOrdenes[[#This Row],[backlog_habiles]]&lt;0,"FUTURO",IF(tblOrdenes[[#This Row],[backlog_habiles]]&gt;p_dias_backlog_max,"BACKLOG","MES CORRIENTE")))</f>
        <v/>
      </c>
      <c r="AG639" s="5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18">
        <f>IF(tblOrdenes[[#This Row],[orden]]="","",_xlfn.XLOOKUP(tblOrdenes[[#This Row],[id_operacion]],tblEjecucion[id_operacion],tblEjecucion[precio],0))</f>
        <v/>
      </c>
      <c r="AM639" s="18">
        <f>IF(tblOrdenes[[#This Row],[orden]]="","",MAX(0,_xlfn.XLOOKUP(tblOrdenes[[#This Row],[id_operacion]],tblEjecucion[id_operacion],tblEjecucion[costo_plan_total],0)-tblOrdenes[[#This Row],[costo_servicio]]))</f>
        <v/>
      </c>
      <c r="AN639" s="18">
        <f>IF(tblOrdenes[[#This Row],[orden]]="","",tblOrdenes[[#This Row],[costo_servicio]]+tblOrdenes[[#This Row],[costo_materiales]])</f>
        <v/>
      </c>
      <c r="AO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5">
        <f>IF(tblOrdenes[[#This Row],[link_checklist]]="","",HYPERLINK(p_ruta_base_checklists&amp;tblOrdenes[[#This Row],[link_checklist]],"abrir"))</f>
        <v/>
      </c>
      <c r="AT639" s="4" t="n"/>
      <c r="AU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5" t="n"/>
      <c r="K640" s="5" t="n"/>
      <c r="L640" s="18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Row],[fecha_inicio]]="","",tblOrdenes[[#This Row],[anio]]&amp;"-"&amp;TEXT(tblOrdenes[[#This Row],[mes]],"00"))</f>
        <v/>
      </c>
      <c r="S640" s="5">
        <f>IF(tblOrdenes[[#This Row],[fecha_inicio]]="","",INDEX(lista_dias,WEEKDAY(tblOrdenes[[#This Row],[fecha_inicio]],2)))</f>
        <v/>
      </c>
      <c r="T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5">
        <f>IF(tblOrdenes[[#This Row],[tipo_ot]]="","",_xlfn.XLOOKUP(tblOrdenes[[#This Row],[tipo_ot]],tblTiposOT[codigo],tblTiposOT[clasificacion],"sin_clasificar"))</f>
        <v/>
      </c>
      <c r="V6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5">
        <f>IF(tblOrdenes[[#This Row],[centro_costo]]="","",_xlfn.XLOOKUP(tblOrdenes[[#This Row],[centro_costo]],tblCECO[codigo],tblCECO[linea],"(sin catálogo)"))</f>
        <v/>
      </c>
      <c r="Y640" s="5">
        <f>IF(tblOrdenes[[#This Row],[centro_costo]]="","",_xlfn.XLOOKUP(tblOrdenes[[#This Row],[centro_costo]],tblCECO[codigo],tblCECO[area],"(sin catálogo)"))</f>
        <v/>
      </c>
      <c r="Z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5">
        <f>IF(tblOrdenes[[#This Row],[centro_costo]]="","",_xlfn.XLOOKUP(tblOrdenes[[#This Row],[centro_costo]],tblCECO[codigo],tblCECO[coordinador],"(sin catálogo)"))</f>
        <v/>
      </c>
      <c r="AB640" s="5">
        <f>IF(tblOrdenes[[#This Row],[puesto_trabajo]]="","",_xlfn.XLOOKUP(tblOrdenes[[#This Row],[puesto_trabajo]],tblPuestos[codigo],tblPuestos[especialidad],"(sin catálogo)"))</f>
        <v/>
      </c>
      <c r="AC640" s="5">
        <f>IF(tblOrdenes[[#This Row],[cod_actividad]]="","",_xlfn.XLOOKUP(tblOrdenes[[#This Row],[cod_actividad]],tblActividades[codigo],tblActividades[descripcion],"(sin catálogo)"))</f>
        <v/>
      </c>
      <c r="AD640" s="23">
        <f>IF(tblOrdenes[[#This Row],[fecha_inicio]]="","",TODAY()-tblOrdenes[[#This Row],[fecha_inicio]])</f>
        <v/>
      </c>
      <c r="AE6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5">
        <f>IF(tblOrdenes[[#This Row],[backlog_habiles]]="","",IF(tblOrdenes[[#This Row],[backlog_habiles]]&lt;0,"FUTURO",IF(tblOrdenes[[#This Row],[backlog_habiles]]&gt;p_dias_backlog_max,"BACKLOG","MES CORRIENTE")))</f>
        <v/>
      </c>
      <c r="AG640" s="5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18">
        <f>IF(tblOrdenes[[#This Row],[orden]]="","",_xlfn.XLOOKUP(tblOrdenes[[#This Row],[id_operacion]],tblEjecucion[id_operacion],tblEjecucion[precio],0))</f>
        <v/>
      </c>
      <c r="AM640" s="18">
        <f>IF(tblOrdenes[[#This Row],[orden]]="","",MAX(0,_xlfn.XLOOKUP(tblOrdenes[[#This Row],[id_operacion]],tblEjecucion[id_operacion],tblEjecucion[costo_plan_total],0)-tblOrdenes[[#This Row],[costo_servicio]]))</f>
        <v/>
      </c>
      <c r="AN640" s="18">
        <f>IF(tblOrdenes[[#This Row],[orden]]="","",tblOrdenes[[#This Row],[costo_servicio]]+tblOrdenes[[#This Row],[costo_materiales]])</f>
        <v/>
      </c>
      <c r="AO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5">
        <f>IF(tblOrdenes[[#This Row],[link_checklist]]="","",HYPERLINK(p_ruta_base_checklists&amp;tblOrdenes[[#This Row],[link_checklist]],"abrir"))</f>
        <v/>
      </c>
      <c r="AT640" s="4" t="n"/>
      <c r="AU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5" t="n"/>
      <c r="K641" s="5" t="n"/>
      <c r="L641" s="18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Row],[fecha_inicio]]="","",tblOrdenes[[#This Row],[anio]]&amp;"-"&amp;TEXT(tblOrdenes[[#This Row],[mes]],"00"))</f>
        <v/>
      </c>
      <c r="S641" s="5">
        <f>IF(tblOrdenes[[#This Row],[fecha_inicio]]="","",INDEX(lista_dias,WEEKDAY(tblOrdenes[[#This Row],[fecha_inicio]],2)))</f>
        <v/>
      </c>
      <c r="T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5">
        <f>IF(tblOrdenes[[#This Row],[tipo_ot]]="","",_xlfn.XLOOKUP(tblOrdenes[[#This Row],[tipo_ot]],tblTiposOT[codigo],tblTiposOT[clasificacion],"sin_clasificar"))</f>
        <v/>
      </c>
      <c r="V6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5">
        <f>IF(tblOrdenes[[#This Row],[centro_costo]]="","",_xlfn.XLOOKUP(tblOrdenes[[#This Row],[centro_costo]],tblCECO[codigo],tblCECO[linea],"(sin catálogo)"))</f>
        <v/>
      </c>
      <c r="Y641" s="5">
        <f>IF(tblOrdenes[[#This Row],[centro_costo]]="","",_xlfn.XLOOKUP(tblOrdenes[[#This Row],[centro_costo]],tblCECO[codigo],tblCECO[area],"(sin catálogo)"))</f>
        <v/>
      </c>
      <c r="Z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5">
        <f>IF(tblOrdenes[[#This Row],[centro_costo]]="","",_xlfn.XLOOKUP(tblOrdenes[[#This Row],[centro_costo]],tblCECO[codigo],tblCECO[coordinador],"(sin catálogo)"))</f>
        <v/>
      </c>
      <c r="AB641" s="5">
        <f>IF(tblOrdenes[[#This Row],[puesto_trabajo]]="","",_xlfn.XLOOKUP(tblOrdenes[[#This Row],[puesto_trabajo]],tblPuestos[codigo],tblPuestos[especialidad],"(sin catálogo)"))</f>
        <v/>
      </c>
      <c r="AC641" s="5">
        <f>IF(tblOrdenes[[#This Row],[cod_actividad]]="","",_xlfn.XLOOKUP(tblOrdenes[[#This Row],[cod_actividad]],tblActividades[codigo],tblActividades[descripcion],"(sin catálogo)"))</f>
        <v/>
      </c>
      <c r="AD641" s="23">
        <f>IF(tblOrdenes[[#This Row],[fecha_inicio]]="","",TODAY()-tblOrdenes[[#This Row],[fecha_inicio]])</f>
        <v/>
      </c>
      <c r="AE6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5">
        <f>IF(tblOrdenes[[#This Row],[backlog_habiles]]="","",IF(tblOrdenes[[#This Row],[backlog_habiles]]&lt;0,"FUTURO",IF(tblOrdenes[[#This Row],[backlog_habiles]]&gt;p_dias_backlog_max,"BACKLOG","MES CORRIENTE")))</f>
        <v/>
      </c>
      <c r="AG641" s="5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18">
        <f>IF(tblOrdenes[[#This Row],[orden]]="","",_xlfn.XLOOKUP(tblOrdenes[[#This Row],[id_operacion]],tblEjecucion[id_operacion],tblEjecucion[precio],0))</f>
        <v/>
      </c>
      <c r="AM641" s="18">
        <f>IF(tblOrdenes[[#This Row],[orden]]="","",MAX(0,_xlfn.XLOOKUP(tblOrdenes[[#This Row],[id_operacion]],tblEjecucion[id_operacion],tblEjecucion[costo_plan_total],0)-tblOrdenes[[#This Row],[costo_servicio]]))</f>
        <v/>
      </c>
      <c r="AN641" s="18">
        <f>IF(tblOrdenes[[#This Row],[orden]]="","",tblOrdenes[[#This Row],[costo_servicio]]+tblOrdenes[[#This Row],[costo_materiales]])</f>
        <v/>
      </c>
      <c r="AO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5">
        <f>IF(tblOrdenes[[#This Row],[link_checklist]]="","",HYPERLINK(p_ruta_base_checklists&amp;tblOrdenes[[#This Row],[link_checklist]],"abrir"))</f>
        <v/>
      </c>
      <c r="AT641" s="4" t="n"/>
      <c r="AU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5" t="n"/>
      <c r="K642" s="5" t="n"/>
      <c r="L642" s="18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Row],[fecha_inicio]]="","",tblOrdenes[[#This Row],[anio]]&amp;"-"&amp;TEXT(tblOrdenes[[#This Row],[mes]],"00"))</f>
        <v/>
      </c>
      <c r="S642" s="5">
        <f>IF(tblOrdenes[[#This Row],[fecha_inicio]]="","",INDEX(lista_dias,WEEKDAY(tblOrdenes[[#This Row],[fecha_inicio]],2)))</f>
        <v/>
      </c>
      <c r="T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5">
        <f>IF(tblOrdenes[[#This Row],[tipo_ot]]="","",_xlfn.XLOOKUP(tblOrdenes[[#This Row],[tipo_ot]],tblTiposOT[codigo],tblTiposOT[clasificacion],"sin_clasificar"))</f>
        <v/>
      </c>
      <c r="V6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5">
        <f>IF(tblOrdenes[[#This Row],[centro_costo]]="","",_xlfn.XLOOKUP(tblOrdenes[[#This Row],[centro_costo]],tblCECO[codigo],tblCECO[linea],"(sin catálogo)"))</f>
        <v/>
      </c>
      <c r="Y642" s="5">
        <f>IF(tblOrdenes[[#This Row],[centro_costo]]="","",_xlfn.XLOOKUP(tblOrdenes[[#This Row],[centro_costo]],tblCECO[codigo],tblCECO[area],"(sin catálogo)"))</f>
        <v/>
      </c>
      <c r="Z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5">
        <f>IF(tblOrdenes[[#This Row],[centro_costo]]="","",_xlfn.XLOOKUP(tblOrdenes[[#This Row],[centro_costo]],tblCECO[codigo],tblCECO[coordinador],"(sin catálogo)"))</f>
        <v/>
      </c>
      <c r="AB642" s="5">
        <f>IF(tblOrdenes[[#This Row],[puesto_trabajo]]="","",_xlfn.XLOOKUP(tblOrdenes[[#This Row],[puesto_trabajo]],tblPuestos[codigo],tblPuestos[especialidad],"(sin catálogo)"))</f>
        <v/>
      </c>
      <c r="AC642" s="5">
        <f>IF(tblOrdenes[[#This Row],[cod_actividad]]="","",_xlfn.XLOOKUP(tblOrdenes[[#This Row],[cod_actividad]],tblActividades[codigo],tblActividades[descripcion],"(sin catálogo)"))</f>
        <v/>
      </c>
      <c r="AD642" s="23">
        <f>IF(tblOrdenes[[#This Row],[fecha_inicio]]="","",TODAY()-tblOrdenes[[#This Row],[fecha_inicio]])</f>
        <v/>
      </c>
      <c r="AE6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5">
        <f>IF(tblOrdenes[[#This Row],[backlog_habiles]]="","",IF(tblOrdenes[[#This Row],[backlog_habiles]]&lt;0,"FUTURO",IF(tblOrdenes[[#This Row],[backlog_habiles]]&gt;p_dias_backlog_max,"BACKLOG","MES CORRIENTE")))</f>
        <v/>
      </c>
      <c r="AG642" s="5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18">
        <f>IF(tblOrdenes[[#This Row],[orden]]="","",_xlfn.XLOOKUP(tblOrdenes[[#This Row],[id_operacion]],tblEjecucion[id_operacion],tblEjecucion[precio],0))</f>
        <v/>
      </c>
      <c r="AM642" s="18">
        <f>IF(tblOrdenes[[#This Row],[orden]]="","",MAX(0,_xlfn.XLOOKUP(tblOrdenes[[#This Row],[id_operacion]],tblEjecucion[id_operacion],tblEjecucion[costo_plan_total],0)-tblOrdenes[[#This Row],[costo_servicio]]))</f>
        <v/>
      </c>
      <c r="AN642" s="18">
        <f>IF(tblOrdenes[[#This Row],[orden]]="","",tblOrdenes[[#This Row],[costo_servicio]]+tblOrdenes[[#This Row],[costo_materiales]])</f>
        <v/>
      </c>
      <c r="AO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5">
        <f>IF(tblOrdenes[[#This Row],[link_checklist]]="","",HYPERLINK(p_ruta_base_checklists&amp;tblOrdenes[[#This Row],[link_checklist]],"abrir"))</f>
        <v/>
      </c>
      <c r="AT642" s="4" t="n"/>
      <c r="AU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5" t="n"/>
      <c r="K643" s="5" t="n"/>
      <c r="L643" s="18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Row],[fecha_inicio]]="","",tblOrdenes[[#This Row],[anio]]&amp;"-"&amp;TEXT(tblOrdenes[[#This Row],[mes]],"00"))</f>
        <v/>
      </c>
      <c r="S643" s="5">
        <f>IF(tblOrdenes[[#This Row],[fecha_inicio]]="","",INDEX(lista_dias,WEEKDAY(tblOrdenes[[#This Row],[fecha_inicio]],2)))</f>
        <v/>
      </c>
      <c r="T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5">
        <f>IF(tblOrdenes[[#This Row],[tipo_ot]]="","",_xlfn.XLOOKUP(tblOrdenes[[#This Row],[tipo_ot]],tblTiposOT[codigo],tblTiposOT[clasificacion],"sin_clasificar"))</f>
        <v/>
      </c>
      <c r="V6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5">
        <f>IF(tblOrdenes[[#This Row],[centro_costo]]="","",_xlfn.XLOOKUP(tblOrdenes[[#This Row],[centro_costo]],tblCECO[codigo],tblCECO[linea],"(sin catálogo)"))</f>
        <v/>
      </c>
      <c r="Y643" s="5">
        <f>IF(tblOrdenes[[#This Row],[centro_costo]]="","",_xlfn.XLOOKUP(tblOrdenes[[#This Row],[centro_costo]],tblCECO[codigo],tblCECO[area],"(sin catálogo)"))</f>
        <v/>
      </c>
      <c r="Z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5">
        <f>IF(tblOrdenes[[#This Row],[centro_costo]]="","",_xlfn.XLOOKUP(tblOrdenes[[#This Row],[centro_costo]],tblCECO[codigo],tblCECO[coordinador],"(sin catálogo)"))</f>
        <v/>
      </c>
      <c r="AB643" s="5">
        <f>IF(tblOrdenes[[#This Row],[puesto_trabajo]]="","",_xlfn.XLOOKUP(tblOrdenes[[#This Row],[puesto_trabajo]],tblPuestos[codigo],tblPuestos[especialidad],"(sin catálogo)"))</f>
        <v/>
      </c>
      <c r="AC643" s="5">
        <f>IF(tblOrdenes[[#This Row],[cod_actividad]]="","",_xlfn.XLOOKUP(tblOrdenes[[#This Row],[cod_actividad]],tblActividades[codigo],tblActividades[descripcion],"(sin catálogo)"))</f>
        <v/>
      </c>
      <c r="AD643" s="23">
        <f>IF(tblOrdenes[[#This Row],[fecha_inicio]]="","",TODAY()-tblOrdenes[[#This Row],[fecha_inicio]])</f>
        <v/>
      </c>
      <c r="AE6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5">
        <f>IF(tblOrdenes[[#This Row],[backlog_habiles]]="","",IF(tblOrdenes[[#This Row],[backlog_habiles]]&lt;0,"FUTURO",IF(tblOrdenes[[#This Row],[backlog_habiles]]&gt;p_dias_backlog_max,"BACKLOG","MES CORRIENTE")))</f>
        <v/>
      </c>
      <c r="AG643" s="5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18">
        <f>IF(tblOrdenes[[#This Row],[orden]]="","",_xlfn.XLOOKUP(tblOrdenes[[#This Row],[id_operacion]],tblEjecucion[id_operacion],tblEjecucion[precio],0))</f>
        <v/>
      </c>
      <c r="AM643" s="18">
        <f>IF(tblOrdenes[[#This Row],[orden]]="","",MAX(0,_xlfn.XLOOKUP(tblOrdenes[[#This Row],[id_operacion]],tblEjecucion[id_operacion],tblEjecucion[costo_plan_total],0)-tblOrdenes[[#This Row],[costo_servicio]]))</f>
        <v/>
      </c>
      <c r="AN643" s="18">
        <f>IF(tblOrdenes[[#This Row],[orden]]="","",tblOrdenes[[#This Row],[costo_servicio]]+tblOrdenes[[#This Row],[costo_materiales]])</f>
        <v/>
      </c>
      <c r="AO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5">
        <f>IF(tblOrdenes[[#This Row],[link_checklist]]="","",HYPERLINK(p_ruta_base_checklists&amp;tblOrdenes[[#This Row],[link_checklist]],"abrir"))</f>
        <v/>
      </c>
      <c r="AT643" s="4" t="n"/>
      <c r="AU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5" t="n"/>
      <c r="K644" s="5" t="n"/>
      <c r="L644" s="18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Row],[fecha_inicio]]="","",tblOrdenes[[#This Row],[anio]]&amp;"-"&amp;TEXT(tblOrdenes[[#This Row],[mes]],"00"))</f>
        <v/>
      </c>
      <c r="S644" s="5">
        <f>IF(tblOrdenes[[#This Row],[fecha_inicio]]="","",INDEX(lista_dias,WEEKDAY(tblOrdenes[[#This Row],[fecha_inicio]],2)))</f>
        <v/>
      </c>
      <c r="T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5">
        <f>IF(tblOrdenes[[#This Row],[tipo_ot]]="","",_xlfn.XLOOKUP(tblOrdenes[[#This Row],[tipo_ot]],tblTiposOT[codigo],tblTiposOT[clasificacion],"sin_clasificar"))</f>
        <v/>
      </c>
      <c r="V6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5">
        <f>IF(tblOrdenes[[#This Row],[centro_costo]]="","",_xlfn.XLOOKUP(tblOrdenes[[#This Row],[centro_costo]],tblCECO[codigo],tblCECO[linea],"(sin catálogo)"))</f>
        <v/>
      </c>
      <c r="Y644" s="5">
        <f>IF(tblOrdenes[[#This Row],[centro_costo]]="","",_xlfn.XLOOKUP(tblOrdenes[[#This Row],[centro_costo]],tblCECO[codigo],tblCECO[area],"(sin catálogo)"))</f>
        <v/>
      </c>
      <c r="Z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5">
        <f>IF(tblOrdenes[[#This Row],[centro_costo]]="","",_xlfn.XLOOKUP(tblOrdenes[[#This Row],[centro_costo]],tblCECO[codigo],tblCECO[coordinador],"(sin catálogo)"))</f>
        <v/>
      </c>
      <c r="AB644" s="5">
        <f>IF(tblOrdenes[[#This Row],[puesto_trabajo]]="","",_xlfn.XLOOKUP(tblOrdenes[[#This Row],[puesto_trabajo]],tblPuestos[codigo],tblPuestos[especialidad],"(sin catálogo)"))</f>
        <v/>
      </c>
      <c r="AC644" s="5">
        <f>IF(tblOrdenes[[#This Row],[cod_actividad]]="","",_xlfn.XLOOKUP(tblOrdenes[[#This Row],[cod_actividad]],tblActividades[codigo],tblActividades[descripcion],"(sin catálogo)"))</f>
        <v/>
      </c>
      <c r="AD644" s="23">
        <f>IF(tblOrdenes[[#This Row],[fecha_inicio]]="","",TODAY()-tblOrdenes[[#This Row],[fecha_inicio]])</f>
        <v/>
      </c>
      <c r="AE6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5">
        <f>IF(tblOrdenes[[#This Row],[backlog_habiles]]="","",IF(tblOrdenes[[#This Row],[backlog_habiles]]&lt;0,"FUTURO",IF(tblOrdenes[[#This Row],[backlog_habiles]]&gt;p_dias_backlog_max,"BACKLOG","MES CORRIENTE")))</f>
        <v/>
      </c>
      <c r="AG644" s="5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18">
        <f>IF(tblOrdenes[[#This Row],[orden]]="","",_xlfn.XLOOKUP(tblOrdenes[[#This Row],[id_operacion]],tblEjecucion[id_operacion],tblEjecucion[precio],0))</f>
        <v/>
      </c>
      <c r="AM644" s="18">
        <f>IF(tblOrdenes[[#This Row],[orden]]="","",MAX(0,_xlfn.XLOOKUP(tblOrdenes[[#This Row],[id_operacion]],tblEjecucion[id_operacion],tblEjecucion[costo_plan_total],0)-tblOrdenes[[#This Row],[costo_servicio]]))</f>
        <v/>
      </c>
      <c r="AN644" s="18">
        <f>IF(tblOrdenes[[#This Row],[orden]]="","",tblOrdenes[[#This Row],[costo_servicio]]+tblOrdenes[[#This Row],[costo_materiales]])</f>
        <v/>
      </c>
      <c r="AO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5">
        <f>IF(tblOrdenes[[#This Row],[link_checklist]]="","",HYPERLINK(p_ruta_base_checklists&amp;tblOrdenes[[#This Row],[link_checklist]],"abrir"))</f>
        <v/>
      </c>
      <c r="AT644" s="4" t="n"/>
      <c r="AU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5" t="n"/>
      <c r="K645" s="5" t="n"/>
      <c r="L645" s="18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Row],[fecha_inicio]]="","",tblOrdenes[[#This Row],[anio]]&amp;"-"&amp;TEXT(tblOrdenes[[#This Row],[mes]],"00"))</f>
        <v/>
      </c>
      <c r="S645" s="5">
        <f>IF(tblOrdenes[[#This Row],[fecha_inicio]]="","",INDEX(lista_dias,WEEKDAY(tblOrdenes[[#This Row],[fecha_inicio]],2)))</f>
        <v/>
      </c>
      <c r="T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5">
        <f>IF(tblOrdenes[[#This Row],[tipo_ot]]="","",_xlfn.XLOOKUP(tblOrdenes[[#This Row],[tipo_ot]],tblTiposOT[codigo],tblTiposOT[clasificacion],"sin_clasificar"))</f>
        <v/>
      </c>
      <c r="V6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5">
        <f>IF(tblOrdenes[[#This Row],[centro_costo]]="","",_xlfn.XLOOKUP(tblOrdenes[[#This Row],[centro_costo]],tblCECO[codigo],tblCECO[linea],"(sin catálogo)"))</f>
        <v/>
      </c>
      <c r="Y645" s="5">
        <f>IF(tblOrdenes[[#This Row],[centro_costo]]="","",_xlfn.XLOOKUP(tblOrdenes[[#This Row],[centro_costo]],tblCECO[codigo],tblCECO[area],"(sin catálogo)"))</f>
        <v/>
      </c>
      <c r="Z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5">
        <f>IF(tblOrdenes[[#This Row],[centro_costo]]="","",_xlfn.XLOOKUP(tblOrdenes[[#This Row],[centro_costo]],tblCECO[codigo],tblCECO[coordinador],"(sin catálogo)"))</f>
        <v/>
      </c>
      <c r="AB645" s="5">
        <f>IF(tblOrdenes[[#This Row],[puesto_trabajo]]="","",_xlfn.XLOOKUP(tblOrdenes[[#This Row],[puesto_trabajo]],tblPuestos[codigo],tblPuestos[especialidad],"(sin catálogo)"))</f>
        <v/>
      </c>
      <c r="AC645" s="5">
        <f>IF(tblOrdenes[[#This Row],[cod_actividad]]="","",_xlfn.XLOOKUP(tblOrdenes[[#This Row],[cod_actividad]],tblActividades[codigo],tblActividades[descripcion],"(sin catálogo)"))</f>
        <v/>
      </c>
      <c r="AD645" s="23">
        <f>IF(tblOrdenes[[#This Row],[fecha_inicio]]="","",TODAY()-tblOrdenes[[#This Row],[fecha_inicio]])</f>
        <v/>
      </c>
      <c r="AE6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5">
        <f>IF(tblOrdenes[[#This Row],[backlog_habiles]]="","",IF(tblOrdenes[[#This Row],[backlog_habiles]]&lt;0,"FUTURO",IF(tblOrdenes[[#This Row],[backlog_habiles]]&gt;p_dias_backlog_max,"BACKLOG","MES CORRIENTE")))</f>
        <v/>
      </c>
      <c r="AG645" s="5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18">
        <f>IF(tblOrdenes[[#This Row],[orden]]="","",_xlfn.XLOOKUP(tblOrdenes[[#This Row],[id_operacion]],tblEjecucion[id_operacion],tblEjecucion[precio],0))</f>
        <v/>
      </c>
      <c r="AM645" s="18">
        <f>IF(tblOrdenes[[#This Row],[orden]]="","",MAX(0,_xlfn.XLOOKUP(tblOrdenes[[#This Row],[id_operacion]],tblEjecucion[id_operacion],tblEjecucion[costo_plan_total],0)-tblOrdenes[[#This Row],[costo_servicio]]))</f>
        <v/>
      </c>
      <c r="AN645" s="18">
        <f>IF(tblOrdenes[[#This Row],[orden]]="","",tblOrdenes[[#This Row],[costo_servicio]]+tblOrdenes[[#This Row],[costo_materiales]])</f>
        <v/>
      </c>
      <c r="AO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5">
        <f>IF(tblOrdenes[[#This Row],[link_checklist]]="","",HYPERLINK(p_ruta_base_checklists&amp;tblOrdenes[[#This Row],[link_checklist]],"abrir"))</f>
        <v/>
      </c>
      <c r="AT645" s="4" t="n"/>
      <c r="AU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5" t="n"/>
      <c r="K646" s="5" t="n"/>
      <c r="L646" s="18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Row],[fecha_inicio]]="","",tblOrdenes[[#This Row],[anio]]&amp;"-"&amp;TEXT(tblOrdenes[[#This Row],[mes]],"00"))</f>
        <v/>
      </c>
      <c r="S646" s="5">
        <f>IF(tblOrdenes[[#This Row],[fecha_inicio]]="","",INDEX(lista_dias,WEEKDAY(tblOrdenes[[#This Row],[fecha_inicio]],2)))</f>
        <v/>
      </c>
      <c r="T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5">
        <f>IF(tblOrdenes[[#This Row],[tipo_ot]]="","",_xlfn.XLOOKUP(tblOrdenes[[#This Row],[tipo_ot]],tblTiposOT[codigo],tblTiposOT[clasificacion],"sin_clasificar"))</f>
        <v/>
      </c>
      <c r="V6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5">
        <f>IF(tblOrdenes[[#This Row],[centro_costo]]="","",_xlfn.XLOOKUP(tblOrdenes[[#This Row],[centro_costo]],tblCECO[codigo],tblCECO[linea],"(sin catálogo)"))</f>
        <v/>
      </c>
      <c r="Y646" s="5">
        <f>IF(tblOrdenes[[#This Row],[centro_costo]]="","",_xlfn.XLOOKUP(tblOrdenes[[#This Row],[centro_costo]],tblCECO[codigo],tblCECO[area],"(sin catálogo)"))</f>
        <v/>
      </c>
      <c r="Z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5">
        <f>IF(tblOrdenes[[#This Row],[centro_costo]]="","",_xlfn.XLOOKUP(tblOrdenes[[#This Row],[centro_costo]],tblCECO[codigo],tblCECO[coordinador],"(sin catálogo)"))</f>
        <v/>
      </c>
      <c r="AB646" s="5">
        <f>IF(tblOrdenes[[#This Row],[puesto_trabajo]]="","",_xlfn.XLOOKUP(tblOrdenes[[#This Row],[puesto_trabajo]],tblPuestos[codigo],tblPuestos[especialidad],"(sin catálogo)"))</f>
        <v/>
      </c>
      <c r="AC646" s="5">
        <f>IF(tblOrdenes[[#This Row],[cod_actividad]]="","",_xlfn.XLOOKUP(tblOrdenes[[#This Row],[cod_actividad]],tblActividades[codigo],tblActividades[descripcion],"(sin catálogo)"))</f>
        <v/>
      </c>
      <c r="AD646" s="23">
        <f>IF(tblOrdenes[[#This Row],[fecha_inicio]]="","",TODAY()-tblOrdenes[[#This Row],[fecha_inicio]])</f>
        <v/>
      </c>
      <c r="AE6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5">
        <f>IF(tblOrdenes[[#This Row],[backlog_habiles]]="","",IF(tblOrdenes[[#This Row],[backlog_habiles]]&lt;0,"FUTURO",IF(tblOrdenes[[#This Row],[backlog_habiles]]&gt;p_dias_backlog_max,"BACKLOG","MES CORRIENTE")))</f>
        <v/>
      </c>
      <c r="AG646" s="5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18">
        <f>IF(tblOrdenes[[#This Row],[orden]]="","",_xlfn.XLOOKUP(tblOrdenes[[#This Row],[id_operacion]],tblEjecucion[id_operacion],tblEjecucion[precio],0))</f>
        <v/>
      </c>
      <c r="AM646" s="18">
        <f>IF(tblOrdenes[[#This Row],[orden]]="","",MAX(0,_xlfn.XLOOKUP(tblOrdenes[[#This Row],[id_operacion]],tblEjecucion[id_operacion],tblEjecucion[costo_plan_total],0)-tblOrdenes[[#This Row],[costo_servicio]]))</f>
        <v/>
      </c>
      <c r="AN646" s="18">
        <f>IF(tblOrdenes[[#This Row],[orden]]="","",tblOrdenes[[#This Row],[costo_servicio]]+tblOrdenes[[#This Row],[costo_materiales]])</f>
        <v/>
      </c>
      <c r="AO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5">
        <f>IF(tblOrdenes[[#This Row],[link_checklist]]="","",HYPERLINK(p_ruta_base_checklists&amp;tblOrdenes[[#This Row],[link_checklist]],"abrir"))</f>
        <v/>
      </c>
      <c r="AT646" s="4" t="n"/>
      <c r="AU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5" t="n"/>
      <c r="K647" s="5" t="n"/>
      <c r="L647" s="18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Row],[fecha_inicio]]="","",tblOrdenes[[#This Row],[anio]]&amp;"-"&amp;TEXT(tblOrdenes[[#This Row],[mes]],"00"))</f>
        <v/>
      </c>
      <c r="S647" s="5">
        <f>IF(tblOrdenes[[#This Row],[fecha_inicio]]="","",INDEX(lista_dias,WEEKDAY(tblOrdenes[[#This Row],[fecha_inicio]],2)))</f>
        <v/>
      </c>
      <c r="T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5">
        <f>IF(tblOrdenes[[#This Row],[tipo_ot]]="","",_xlfn.XLOOKUP(tblOrdenes[[#This Row],[tipo_ot]],tblTiposOT[codigo],tblTiposOT[clasificacion],"sin_clasificar"))</f>
        <v/>
      </c>
      <c r="V6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5">
        <f>IF(tblOrdenes[[#This Row],[centro_costo]]="","",_xlfn.XLOOKUP(tblOrdenes[[#This Row],[centro_costo]],tblCECO[codigo],tblCECO[linea],"(sin catálogo)"))</f>
        <v/>
      </c>
      <c r="Y647" s="5">
        <f>IF(tblOrdenes[[#This Row],[centro_costo]]="","",_xlfn.XLOOKUP(tblOrdenes[[#This Row],[centro_costo]],tblCECO[codigo],tblCECO[area],"(sin catálogo)"))</f>
        <v/>
      </c>
      <c r="Z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5">
        <f>IF(tblOrdenes[[#This Row],[centro_costo]]="","",_xlfn.XLOOKUP(tblOrdenes[[#This Row],[centro_costo]],tblCECO[codigo],tblCECO[coordinador],"(sin catálogo)"))</f>
        <v/>
      </c>
      <c r="AB647" s="5">
        <f>IF(tblOrdenes[[#This Row],[puesto_trabajo]]="","",_xlfn.XLOOKUP(tblOrdenes[[#This Row],[puesto_trabajo]],tblPuestos[codigo],tblPuestos[especialidad],"(sin catálogo)"))</f>
        <v/>
      </c>
      <c r="AC647" s="5">
        <f>IF(tblOrdenes[[#This Row],[cod_actividad]]="","",_xlfn.XLOOKUP(tblOrdenes[[#This Row],[cod_actividad]],tblActividades[codigo],tblActividades[descripcion],"(sin catálogo)"))</f>
        <v/>
      </c>
      <c r="AD647" s="23">
        <f>IF(tblOrdenes[[#This Row],[fecha_inicio]]="","",TODAY()-tblOrdenes[[#This Row],[fecha_inicio]])</f>
        <v/>
      </c>
      <c r="AE6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5">
        <f>IF(tblOrdenes[[#This Row],[backlog_habiles]]="","",IF(tblOrdenes[[#This Row],[backlog_habiles]]&lt;0,"FUTURO",IF(tblOrdenes[[#This Row],[backlog_habiles]]&gt;p_dias_backlog_max,"BACKLOG","MES CORRIENTE")))</f>
        <v/>
      </c>
      <c r="AG647" s="5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18">
        <f>IF(tblOrdenes[[#This Row],[orden]]="","",_xlfn.XLOOKUP(tblOrdenes[[#This Row],[id_operacion]],tblEjecucion[id_operacion],tblEjecucion[precio],0))</f>
        <v/>
      </c>
      <c r="AM647" s="18">
        <f>IF(tblOrdenes[[#This Row],[orden]]="","",MAX(0,_xlfn.XLOOKUP(tblOrdenes[[#This Row],[id_operacion]],tblEjecucion[id_operacion],tblEjecucion[costo_plan_total],0)-tblOrdenes[[#This Row],[costo_servicio]]))</f>
        <v/>
      </c>
      <c r="AN647" s="18">
        <f>IF(tblOrdenes[[#This Row],[orden]]="","",tblOrdenes[[#This Row],[costo_servicio]]+tblOrdenes[[#This Row],[costo_materiales]])</f>
        <v/>
      </c>
      <c r="AO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5">
        <f>IF(tblOrdenes[[#This Row],[link_checklist]]="","",HYPERLINK(p_ruta_base_checklists&amp;tblOrdenes[[#This Row],[link_checklist]],"abrir"))</f>
        <v/>
      </c>
      <c r="AT647" s="4" t="n"/>
      <c r="AU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5" t="n"/>
      <c r="K648" s="5" t="n"/>
      <c r="L648" s="18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Row],[fecha_inicio]]="","",tblOrdenes[[#This Row],[anio]]&amp;"-"&amp;TEXT(tblOrdenes[[#This Row],[mes]],"00"))</f>
        <v/>
      </c>
      <c r="S648" s="5">
        <f>IF(tblOrdenes[[#This Row],[fecha_inicio]]="","",INDEX(lista_dias,WEEKDAY(tblOrdenes[[#This Row],[fecha_inicio]],2)))</f>
        <v/>
      </c>
      <c r="T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5">
        <f>IF(tblOrdenes[[#This Row],[tipo_ot]]="","",_xlfn.XLOOKUP(tblOrdenes[[#This Row],[tipo_ot]],tblTiposOT[codigo],tblTiposOT[clasificacion],"sin_clasificar"))</f>
        <v/>
      </c>
      <c r="V6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5">
        <f>IF(tblOrdenes[[#This Row],[centro_costo]]="","",_xlfn.XLOOKUP(tblOrdenes[[#This Row],[centro_costo]],tblCECO[codigo],tblCECO[linea],"(sin catálogo)"))</f>
        <v/>
      </c>
      <c r="Y648" s="5">
        <f>IF(tblOrdenes[[#This Row],[centro_costo]]="","",_xlfn.XLOOKUP(tblOrdenes[[#This Row],[centro_costo]],tblCECO[codigo],tblCECO[area],"(sin catálogo)"))</f>
        <v/>
      </c>
      <c r="Z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5">
        <f>IF(tblOrdenes[[#This Row],[centro_costo]]="","",_xlfn.XLOOKUP(tblOrdenes[[#This Row],[centro_costo]],tblCECO[codigo],tblCECO[coordinador],"(sin catálogo)"))</f>
        <v/>
      </c>
      <c r="AB648" s="5">
        <f>IF(tblOrdenes[[#This Row],[puesto_trabajo]]="","",_xlfn.XLOOKUP(tblOrdenes[[#This Row],[puesto_trabajo]],tblPuestos[codigo],tblPuestos[especialidad],"(sin catálogo)"))</f>
        <v/>
      </c>
      <c r="AC648" s="5">
        <f>IF(tblOrdenes[[#This Row],[cod_actividad]]="","",_xlfn.XLOOKUP(tblOrdenes[[#This Row],[cod_actividad]],tblActividades[codigo],tblActividades[descripcion],"(sin catálogo)"))</f>
        <v/>
      </c>
      <c r="AD648" s="23">
        <f>IF(tblOrdenes[[#This Row],[fecha_inicio]]="","",TODAY()-tblOrdenes[[#This Row],[fecha_inicio]])</f>
        <v/>
      </c>
      <c r="AE6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5">
        <f>IF(tblOrdenes[[#This Row],[backlog_habiles]]="","",IF(tblOrdenes[[#This Row],[backlog_habiles]]&lt;0,"FUTURO",IF(tblOrdenes[[#This Row],[backlog_habiles]]&gt;p_dias_backlog_max,"BACKLOG","MES CORRIENTE")))</f>
        <v/>
      </c>
      <c r="AG648" s="5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18">
        <f>IF(tblOrdenes[[#This Row],[orden]]="","",_xlfn.XLOOKUP(tblOrdenes[[#This Row],[id_operacion]],tblEjecucion[id_operacion],tblEjecucion[precio],0))</f>
        <v/>
      </c>
      <c r="AM648" s="18">
        <f>IF(tblOrdenes[[#This Row],[orden]]="","",MAX(0,_xlfn.XLOOKUP(tblOrdenes[[#This Row],[id_operacion]],tblEjecucion[id_operacion],tblEjecucion[costo_plan_total],0)-tblOrdenes[[#This Row],[costo_servicio]]))</f>
        <v/>
      </c>
      <c r="AN648" s="18">
        <f>IF(tblOrdenes[[#This Row],[orden]]="","",tblOrdenes[[#This Row],[costo_servicio]]+tblOrdenes[[#This Row],[costo_materiales]])</f>
        <v/>
      </c>
      <c r="AO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5">
        <f>IF(tblOrdenes[[#This Row],[link_checklist]]="","",HYPERLINK(p_ruta_base_checklists&amp;tblOrdenes[[#This Row],[link_checklist]],"abrir"))</f>
        <v/>
      </c>
      <c r="AT648" s="4" t="n"/>
      <c r="AU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5" t="n"/>
      <c r="K649" s="5" t="n"/>
      <c r="L649" s="18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Row],[fecha_inicio]]="","",tblOrdenes[[#This Row],[anio]]&amp;"-"&amp;TEXT(tblOrdenes[[#This Row],[mes]],"00"))</f>
        <v/>
      </c>
      <c r="S649" s="5">
        <f>IF(tblOrdenes[[#This Row],[fecha_inicio]]="","",INDEX(lista_dias,WEEKDAY(tblOrdenes[[#This Row],[fecha_inicio]],2)))</f>
        <v/>
      </c>
      <c r="T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5">
        <f>IF(tblOrdenes[[#This Row],[tipo_ot]]="","",_xlfn.XLOOKUP(tblOrdenes[[#This Row],[tipo_ot]],tblTiposOT[codigo],tblTiposOT[clasificacion],"sin_clasificar"))</f>
        <v/>
      </c>
      <c r="V6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5">
        <f>IF(tblOrdenes[[#This Row],[centro_costo]]="","",_xlfn.XLOOKUP(tblOrdenes[[#This Row],[centro_costo]],tblCECO[codigo],tblCECO[linea],"(sin catálogo)"))</f>
        <v/>
      </c>
      <c r="Y649" s="5">
        <f>IF(tblOrdenes[[#This Row],[centro_costo]]="","",_xlfn.XLOOKUP(tblOrdenes[[#This Row],[centro_costo]],tblCECO[codigo],tblCECO[area],"(sin catálogo)"))</f>
        <v/>
      </c>
      <c r="Z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5">
        <f>IF(tblOrdenes[[#This Row],[centro_costo]]="","",_xlfn.XLOOKUP(tblOrdenes[[#This Row],[centro_costo]],tblCECO[codigo],tblCECO[coordinador],"(sin catálogo)"))</f>
        <v/>
      </c>
      <c r="AB649" s="5">
        <f>IF(tblOrdenes[[#This Row],[puesto_trabajo]]="","",_xlfn.XLOOKUP(tblOrdenes[[#This Row],[puesto_trabajo]],tblPuestos[codigo],tblPuestos[especialidad],"(sin catálogo)"))</f>
        <v/>
      </c>
      <c r="AC649" s="5">
        <f>IF(tblOrdenes[[#This Row],[cod_actividad]]="","",_xlfn.XLOOKUP(tblOrdenes[[#This Row],[cod_actividad]],tblActividades[codigo],tblActividades[descripcion],"(sin catálogo)"))</f>
        <v/>
      </c>
      <c r="AD649" s="23">
        <f>IF(tblOrdenes[[#This Row],[fecha_inicio]]="","",TODAY()-tblOrdenes[[#This Row],[fecha_inicio]])</f>
        <v/>
      </c>
      <c r="AE6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5">
        <f>IF(tblOrdenes[[#This Row],[backlog_habiles]]="","",IF(tblOrdenes[[#This Row],[backlog_habiles]]&lt;0,"FUTURO",IF(tblOrdenes[[#This Row],[backlog_habiles]]&gt;p_dias_backlog_max,"BACKLOG","MES CORRIENTE")))</f>
        <v/>
      </c>
      <c r="AG649" s="5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18">
        <f>IF(tblOrdenes[[#This Row],[orden]]="","",_xlfn.XLOOKUP(tblOrdenes[[#This Row],[id_operacion]],tblEjecucion[id_operacion],tblEjecucion[precio],0))</f>
        <v/>
      </c>
      <c r="AM649" s="18">
        <f>IF(tblOrdenes[[#This Row],[orden]]="","",MAX(0,_xlfn.XLOOKUP(tblOrdenes[[#This Row],[id_operacion]],tblEjecucion[id_operacion],tblEjecucion[costo_plan_total],0)-tblOrdenes[[#This Row],[costo_servicio]]))</f>
        <v/>
      </c>
      <c r="AN649" s="18">
        <f>IF(tblOrdenes[[#This Row],[orden]]="","",tblOrdenes[[#This Row],[costo_servicio]]+tblOrdenes[[#This Row],[costo_materiales]])</f>
        <v/>
      </c>
      <c r="AO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5">
        <f>IF(tblOrdenes[[#This Row],[link_checklist]]="","",HYPERLINK(p_ruta_base_checklists&amp;tblOrdenes[[#This Row],[link_checklist]],"abrir"))</f>
        <v/>
      </c>
      <c r="AT649" s="4" t="n"/>
      <c r="AU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5" t="n"/>
      <c r="K650" s="5" t="n"/>
      <c r="L650" s="18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Row],[fecha_inicio]]="","",tblOrdenes[[#This Row],[anio]]&amp;"-"&amp;TEXT(tblOrdenes[[#This Row],[mes]],"00"))</f>
        <v/>
      </c>
      <c r="S650" s="5">
        <f>IF(tblOrdenes[[#This Row],[fecha_inicio]]="","",INDEX(lista_dias,WEEKDAY(tblOrdenes[[#This Row],[fecha_inicio]],2)))</f>
        <v/>
      </c>
      <c r="T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5">
        <f>IF(tblOrdenes[[#This Row],[tipo_ot]]="","",_xlfn.XLOOKUP(tblOrdenes[[#This Row],[tipo_ot]],tblTiposOT[codigo],tblTiposOT[clasificacion],"sin_clasificar"))</f>
        <v/>
      </c>
      <c r="V6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5">
        <f>IF(tblOrdenes[[#This Row],[centro_costo]]="","",_xlfn.XLOOKUP(tblOrdenes[[#This Row],[centro_costo]],tblCECO[codigo],tblCECO[linea],"(sin catálogo)"))</f>
        <v/>
      </c>
      <c r="Y650" s="5">
        <f>IF(tblOrdenes[[#This Row],[centro_costo]]="","",_xlfn.XLOOKUP(tblOrdenes[[#This Row],[centro_costo]],tblCECO[codigo],tblCECO[area],"(sin catálogo)"))</f>
        <v/>
      </c>
      <c r="Z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5">
        <f>IF(tblOrdenes[[#This Row],[centro_costo]]="","",_xlfn.XLOOKUP(tblOrdenes[[#This Row],[centro_costo]],tblCECO[codigo],tblCECO[coordinador],"(sin catálogo)"))</f>
        <v/>
      </c>
      <c r="AB650" s="5">
        <f>IF(tblOrdenes[[#This Row],[puesto_trabajo]]="","",_xlfn.XLOOKUP(tblOrdenes[[#This Row],[puesto_trabajo]],tblPuestos[codigo],tblPuestos[especialidad],"(sin catálogo)"))</f>
        <v/>
      </c>
      <c r="AC650" s="5">
        <f>IF(tblOrdenes[[#This Row],[cod_actividad]]="","",_xlfn.XLOOKUP(tblOrdenes[[#This Row],[cod_actividad]],tblActividades[codigo],tblActividades[descripcion],"(sin catálogo)"))</f>
        <v/>
      </c>
      <c r="AD650" s="23">
        <f>IF(tblOrdenes[[#This Row],[fecha_inicio]]="","",TODAY()-tblOrdenes[[#This Row],[fecha_inicio]])</f>
        <v/>
      </c>
      <c r="AE6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5">
        <f>IF(tblOrdenes[[#This Row],[backlog_habiles]]="","",IF(tblOrdenes[[#This Row],[backlog_habiles]]&lt;0,"FUTURO",IF(tblOrdenes[[#This Row],[backlog_habiles]]&gt;p_dias_backlog_max,"BACKLOG","MES CORRIENTE")))</f>
        <v/>
      </c>
      <c r="AG650" s="5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18">
        <f>IF(tblOrdenes[[#This Row],[orden]]="","",_xlfn.XLOOKUP(tblOrdenes[[#This Row],[id_operacion]],tblEjecucion[id_operacion],tblEjecucion[precio],0))</f>
        <v/>
      </c>
      <c r="AM650" s="18">
        <f>IF(tblOrdenes[[#This Row],[orden]]="","",MAX(0,_xlfn.XLOOKUP(tblOrdenes[[#This Row],[id_operacion]],tblEjecucion[id_operacion],tblEjecucion[costo_plan_total],0)-tblOrdenes[[#This Row],[costo_servicio]]))</f>
        <v/>
      </c>
      <c r="AN650" s="18">
        <f>IF(tblOrdenes[[#This Row],[orden]]="","",tblOrdenes[[#This Row],[costo_servicio]]+tblOrdenes[[#This Row],[costo_materiales]])</f>
        <v/>
      </c>
      <c r="AO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5">
        <f>IF(tblOrdenes[[#This Row],[link_checklist]]="","",HYPERLINK(p_ruta_base_checklists&amp;tblOrdenes[[#This Row],[link_checklist]],"abrir"))</f>
        <v/>
      </c>
      <c r="AT650" s="4" t="n"/>
      <c r="AU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5" t="n"/>
      <c r="K651" s="5" t="n"/>
      <c r="L651" s="18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Row],[fecha_inicio]]="","",tblOrdenes[[#This Row],[anio]]&amp;"-"&amp;TEXT(tblOrdenes[[#This Row],[mes]],"00"))</f>
        <v/>
      </c>
      <c r="S651" s="5">
        <f>IF(tblOrdenes[[#This Row],[fecha_inicio]]="","",INDEX(lista_dias,WEEKDAY(tblOrdenes[[#This Row],[fecha_inicio]],2)))</f>
        <v/>
      </c>
      <c r="T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5">
        <f>IF(tblOrdenes[[#This Row],[tipo_ot]]="","",_xlfn.XLOOKUP(tblOrdenes[[#This Row],[tipo_ot]],tblTiposOT[codigo],tblTiposOT[clasificacion],"sin_clasificar"))</f>
        <v/>
      </c>
      <c r="V6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5">
        <f>IF(tblOrdenes[[#This Row],[centro_costo]]="","",_xlfn.XLOOKUP(tblOrdenes[[#This Row],[centro_costo]],tblCECO[codigo],tblCECO[linea],"(sin catálogo)"))</f>
        <v/>
      </c>
      <c r="Y651" s="5">
        <f>IF(tblOrdenes[[#This Row],[centro_costo]]="","",_xlfn.XLOOKUP(tblOrdenes[[#This Row],[centro_costo]],tblCECO[codigo],tblCECO[area],"(sin catálogo)"))</f>
        <v/>
      </c>
      <c r="Z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5">
        <f>IF(tblOrdenes[[#This Row],[centro_costo]]="","",_xlfn.XLOOKUP(tblOrdenes[[#This Row],[centro_costo]],tblCECO[codigo],tblCECO[coordinador],"(sin catálogo)"))</f>
        <v/>
      </c>
      <c r="AB651" s="5">
        <f>IF(tblOrdenes[[#This Row],[puesto_trabajo]]="","",_xlfn.XLOOKUP(tblOrdenes[[#This Row],[puesto_trabajo]],tblPuestos[codigo],tblPuestos[especialidad],"(sin catálogo)"))</f>
        <v/>
      </c>
      <c r="AC651" s="5">
        <f>IF(tblOrdenes[[#This Row],[cod_actividad]]="","",_xlfn.XLOOKUP(tblOrdenes[[#This Row],[cod_actividad]],tblActividades[codigo],tblActividades[descripcion],"(sin catálogo)"))</f>
        <v/>
      </c>
      <c r="AD651" s="23">
        <f>IF(tblOrdenes[[#This Row],[fecha_inicio]]="","",TODAY()-tblOrdenes[[#This Row],[fecha_inicio]])</f>
        <v/>
      </c>
      <c r="AE6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5">
        <f>IF(tblOrdenes[[#This Row],[backlog_habiles]]="","",IF(tblOrdenes[[#This Row],[backlog_habiles]]&lt;0,"FUTURO",IF(tblOrdenes[[#This Row],[backlog_habiles]]&gt;p_dias_backlog_max,"BACKLOG","MES CORRIENTE")))</f>
        <v/>
      </c>
      <c r="AG651" s="5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18">
        <f>IF(tblOrdenes[[#This Row],[orden]]="","",_xlfn.XLOOKUP(tblOrdenes[[#This Row],[id_operacion]],tblEjecucion[id_operacion],tblEjecucion[precio],0))</f>
        <v/>
      </c>
      <c r="AM651" s="18">
        <f>IF(tblOrdenes[[#This Row],[orden]]="","",MAX(0,_xlfn.XLOOKUP(tblOrdenes[[#This Row],[id_operacion]],tblEjecucion[id_operacion],tblEjecucion[costo_plan_total],0)-tblOrdenes[[#This Row],[costo_servicio]]))</f>
        <v/>
      </c>
      <c r="AN651" s="18">
        <f>IF(tblOrdenes[[#This Row],[orden]]="","",tblOrdenes[[#This Row],[costo_servicio]]+tblOrdenes[[#This Row],[costo_materiales]])</f>
        <v/>
      </c>
      <c r="AO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5">
        <f>IF(tblOrdenes[[#This Row],[link_checklist]]="","",HYPERLINK(p_ruta_base_checklists&amp;tblOrdenes[[#This Row],[link_checklist]],"abrir"))</f>
        <v/>
      </c>
      <c r="AT651" s="4" t="n"/>
      <c r="AU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5" t="n"/>
      <c r="K652" s="5" t="n"/>
      <c r="L652" s="18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Row],[fecha_inicio]]="","",tblOrdenes[[#This Row],[anio]]&amp;"-"&amp;TEXT(tblOrdenes[[#This Row],[mes]],"00"))</f>
        <v/>
      </c>
      <c r="S652" s="5">
        <f>IF(tblOrdenes[[#This Row],[fecha_inicio]]="","",INDEX(lista_dias,WEEKDAY(tblOrdenes[[#This Row],[fecha_inicio]],2)))</f>
        <v/>
      </c>
      <c r="T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5">
        <f>IF(tblOrdenes[[#This Row],[tipo_ot]]="","",_xlfn.XLOOKUP(tblOrdenes[[#This Row],[tipo_ot]],tblTiposOT[codigo],tblTiposOT[clasificacion],"sin_clasificar"))</f>
        <v/>
      </c>
      <c r="V6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5">
        <f>IF(tblOrdenes[[#This Row],[centro_costo]]="","",_xlfn.XLOOKUP(tblOrdenes[[#This Row],[centro_costo]],tblCECO[codigo],tblCECO[linea],"(sin catálogo)"))</f>
        <v/>
      </c>
      <c r="Y652" s="5">
        <f>IF(tblOrdenes[[#This Row],[centro_costo]]="","",_xlfn.XLOOKUP(tblOrdenes[[#This Row],[centro_costo]],tblCECO[codigo],tblCECO[area],"(sin catálogo)"))</f>
        <v/>
      </c>
      <c r="Z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5">
        <f>IF(tblOrdenes[[#This Row],[centro_costo]]="","",_xlfn.XLOOKUP(tblOrdenes[[#This Row],[centro_costo]],tblCECO[codigo],tblCECO[coordinador],"(sin catálogo)"))</f>
        <v/>
      </c>
      <c r="AB652" s="5">
        <f>IF(tblOrdenes[[#This Row],[puesto_trabajo]]="","",_xlfn.XLOOKUP(tblOrdenes[[#This Row],[puesto_trabajo]],tblPuestos[codigo],tblPuestos[especialidad],"(sin catálogo)"))</f>
        <v/>
      </c>
      <c r="AC652" s="5">
        <f>IF(tblOrdenes[[#This Row],[cod_actividad]]="","",_xlfn.XLOOKUP(tblOrdenes[[#This Row],[cod_actividad]],tblActividades[codigo],tblActividades[descripcion],"(sin catálogo)"))</f>
        <v/>
      </c>
      <c r="AD652" s="23">
        <f>IF(tblOrdenes[[#This Row],[fecha_inicio]]="","",TODAY()-tblOrdenes[[#This Row],[fecha_inicio]])</f>
        <v/>
      </c>
      <c r="AE6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5">
        <f>IF(tblOrdenes[[#This Row],[backlog_habiles]]="","",IF(tblOrdenes[[#This Row],[backlog_habiles]]&lt;0,"FUTURO",IF(tblOrdenes[[#This Row],[backlog_habiles]]&gt;p_dias_backlog_max,"BACKLOG","MES CORRIENTE")))</f>
        <v/>
      </c>
      <c r="AG652" s="5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18">
        <f>IF(tblOrdenes[[#This Row],[orden]]="","",_xlfn.XLOOKUP(tblOrdenes[[#This Row],[id_operacion]],tblEjecucion[id_operacion],tblEjecucion[precio],0))</f>
        <v/>
      </c>
      <c r="AM652" s="18">
        <f>IF(tblOrdenes[[#This Row],[orden]]="","",MAX(0,_xlfn.XLOOKUP(tblOrdenes[[#This Row],[id_operacion]],tblEjecucion[id_operacion],tblEjecucion[costo_plan_total],0)-tblOrdenes[[#This Row],[costo_servicio]]))</f>
        <v/>
      </c>
      <c r="AN652" s="18">
        <f>IF(tblOrdenes[[#This Row],[orden]]="","",tblOrdenes[[#This Row],[costo_servicio]]+tblOrdenes[[#This Row],[costo_materiales]])</f>
        <v/>
      </c>
      <c r="AO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5">
        <f>IF(tblOrdenes[[#This Row],[link_checklist]]="","",HYPERLINK(p_ruta_base_checklists&amp;tblOrdenes[[#This Row],[link_checklist]],"abrir"))</f>
        <v/>
      </c>
      <c r="AT652" s="4" t="n"/>
      <c r="AU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5" t="n"/>
      <c r="K653" s="5" t="n"/>
      <c r="L653" s="18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Row],[fecha_inicio]]="","",tblOrdenes[[#This Row],[anio]]&amp;"-"&amp;TEXT(tblOrdenes[[#This Row],[mes]],"00"))</f>
        <v/>
      </c>
      <c r="S653" s="5">
        <f>IF(tblOrdenes[[#This Row],[fecha_inicio]]="","",INDEX(lista_dias,WEEKDAY(tblOrdenes[[#This Row],[fecha_inicio]],2)))</f>
        <v/>
      </c>
      <c r="T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5">
        <f>IF(tblOrdenes[[#This Row],[tipo_ot]]="","",_xlfn.XLOOKUP(tblOrdenes[[#This Row],[tipo_ot]],tblTiposOT[codigo],tblTiposOT[clasificacion],"sin_clasificar"))</f>
        <v/>
      </c>
      <c r="V6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5">
        <f>IF(tblOrdenes[[#This Row],[centro_costo]]="","",_xlfn.XLOOKUP(tblOrdenes[[#This Row],[centro_costo]],tblCECO[codigo],tblCECO[linea],"(sin catálogo)"))</f>
        <v/>
      </c>
      <c r="Y653" s="5">
        <f>IF(tblOrdenes[[#This Row],[centro_costo]]="","",_xlfn.XLOOKUP(tblOrdenes[[#This Row],[centro_costo]],tblCECO[codigo],tblCECO[area],"(sin catálogo)"))</f>
        <v/>
      </c>
      <c r="Z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5">
        <f>IF(tblOrdenes[[#This Row],[centro_costo]]="","",_xlfn.XLOOKUP(tblOrdenes[[#This Row],[centro_costo]],tblCECO[codigo],tblCECO[coordinador],"(sin catálogo)"))</f>
        <v/>
      </c>
      <c r="AB653" s="5">
        <f>IF(tblOrdenes[[#This Row],[puesto_trabajo]]="","",_xlfn.XLOOKUP(tblOrdenes[[#This Row],[puesto_trabajo]],tblPuestos[codigo],tblPuestos[especialidad],"(sin catálogo)"))</f>
        <v/>
      </c>
      <c r="AC653" s="5">
        <f>IF(tblOrdenes[[#This Row],[cod_actividad]]="","",_xlfn.XLOOKUP(tblOrdenes[[#This Row],[cod_actividad]],tblActividades[codigo],tblActividades[descripcion],"(sin catálogo)"))</f>
        <v/>
      </c>
      <c r="AD653" s="23">
        <f>IF(tblOrdenes[[#This Row],[fecha_inicio]]="","",TODAY()-tblOrdenes[[#This Row],[fecha_inicio]])</f>
        <v/>
      </c>
      <c r="AE6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5">
        <f>IF(tblOrdenes[[#This Row],[backlog_habiles]]="","",IF(tblOrdenes[[#This Row],[backlog_habiles]]&lt;0,"FUTURO",IF(tblOrdenes[[#This Row],[backlog_habiles]]&gt;p_dias_backlog_max,"BACKLOG","MES CORRIENTE")))</f>
        <v/>
      </c>
      <c r="AG653" s="5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18">
        <f>IF(tblOrdenes[[#This Row],[orden]]="","",_xlfn.XLOOKUP(tblOrdenes[[#This Row],[id_operacion]],tblEjecucion[id_operacion],tblEjecucion[precio],0))</f>
        <v/>
      </c>
      <c r="AM653" s="18">
        <f>IF(tblOrdenes[[#This Row],[orden]]="","",MAX(0,_xlfn.XLOOKUP(tblOrdenes[[#This Row],[id_operacion]],tblEjecucion[id_operacion],tblEjecucion[costo_plan_total],0)-tblOrdenes[[#This Row],[costo_servicio]]))</f>
        <v/>
      </c>
      <c r="AN653" s="18">
        <f>IF(tblOrdenes[[#This Row],[orden]]="","",tblOrdenes[[#This Row],[costo_servicio]]+tblOrdenes[[#This Row],[costo_materiales]])</f>
        <v/>
      </c>
      <c r="AO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5">
        <f>IF(tblOrdenes[[#This Row],[link_checklist]]="","",HYPERLINK(p_ruta_base_checklists&amp;tblOrdenes[[#This Row],[link_checklist]],"abrir"))</f>
        <v/>
      </c>
      <c r="AT653" s="4" t="n"/>
      <c r="AU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5" t="n"/>
      <c r="K654" s="5" t="n"/>
      <c r="L654" s="18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Row],[fecha_inicio]]="","",tblOrdenes[[#This Row],[anio]]&amp;"-"&amp;TEXT(tblOrdenes[[#This Row],[mes]],"00"))</f>
        <v/>
      </c>
      <c r="S654" s="5">
        <f>IF(tblOrdenes[[#This Row],[fecha_inicio]]="","",INDEX(lista_dias,WEEKDAY(tblOrdenes[[#This Row],[fecha_inicio]],2)))</f>
        <v/>
      </c>
      <c r="T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5">
        <f>IF(tblOrdenes[[#This Row],[tipo_ot]]="","",_xlfn.XLOOKUP(tblOrdenes[[#This Row],[tipo_ot]],tblTiposOT[codigo],tblTiposOT[clasificacion],"sin_clasificar"))</f>
        <v/>
      </c>
      <c r="V6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5">
        <f>IF(tblOrdenes[[#This Row],[centro_costo]]="","",_xlfn.XLOOKUP(tblOrdenes[[#This Row],[centro_costo]],tblCECO[codigo],tblCECO[linea],"(sin catálogo)"))</f>
        <v/>
      </c>
      <c r="Y654" s="5">
        <f>IF(tblOrdenes[[#This Row],[centro_costo]]="","",_xlfn.XLOOKUP(tblOrdenes[[#This Row],[centro_costo]],tblCECO[codigo],tblCECO[area],"(sin catálogo)"))</f>
        <v/>
      </c>
      <c r="Z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5">
        <f>IF(tblOrdenes[[#This Row],[centro_costo]]="","",_xlfn.XLOOKUP(tblOrdenes[[#This Row],[centro_costo]],tblCECO[codigo],tblCECO[coordinador],"(sin catálogo)"))</f>
        <v/>
      </c>
      <c r="AB654" s="5">
        <f>IF(tblOrdenes[[#This Row],[puesto_trabajo]]="","",_xlfn.XLOOKUP(tblOrdenes[[#This Row],[puesto_trabajo]],tblPuestos[codigo],tblPuestos[especialidad],"(sin catálogo)"))</f>
        <v/>
      </c>
      <c r="AC654" s="5">
        <f>IF(tblOrdenes[[#This Row],[cod_actividad]]="","",_xlfn.XLOOKUP(tblOrdenes[[#This Row],[cod_actividad]],tblActividades[codigo],tblActividades[descripcion],"(sin catálogo)"))</f>
        <v/>
      </c>
      <c r="AD654" s="23">
        <f>IF(tblOrdenes[[#This Row],[fecha_inicio]]="","",TODAY()-tblOrdenes[[#This Row],[fecha_inicio]])</f>
        <v/>
      </c>
      <c r="AE6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5">
        <f>IF(tblOrdenes[[#This Row],[backlog_habiles]]="","",IF(tblOrdenes[[#This Row],[backlog_habiles]]&lt;0,"FUTURO",IF(tblOrdenes[[#This Row],[backlog_habiles]]&gt;p_dias_backlog_max,"BACKLOG","MES CORRIENTE")))</f>
        <v/>
      </c>
      <c r="AG654" s="5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18">
        <f>IF(tblOrdenes[[#This Row],[orden]]="","",_xlfn.XLOOKUP(tblOrdenes[[#This Row],[id_operacion]],tblEjecucion[id_operacion],tblEjecucion[precio],0))</f>
        <v/>
      </c>
      <c r="AM654" s="18">
        <f>IF(tblOrdenes[[#This Row],[orden]]="","",MAX(0,_xlfn.XLOOKUP(tblOrdenes[[#This Row],[id_operacion]],tblEjecucion[id_operacion],tblEjecucion[costo_plan_total],0)-tblOrdenes[[#This Row],[costo_servicio]]))</f>
        <v/>
      </c>
      <c r="AN654" s="18">
        <f>IF(tblOrdenes[[#This Row],[orden]]="","",tblOrdenes[[#This Row],[costo_servicio]]+tblOrdenes[[#This Row],[costo_materiales]])</f>
        <v/>
      </c>
      <c r="AO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5">
        <f>IF(tblOrdenes[[#This Row],[link_checklist]]="","",HYPERLINK(p_ruta_base_checklists&amp;tblOrdenes[[#This Row],[link_checklist]],"abrir"))</f>
        <v/>
      </c>
      <c r="AT654" s="4" t="n"/>
      <c r="AU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5" t="n"/>
      <c r="K655" s="5" t="n"/>
      <c r="L655" s="18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Row],[fecha_inicio]]="","",tblOrdenes[[#This Row],[anio]]&amp;"-"&amp;TEXT(tblOrdenes[[#This Row],[mes]],"00"))</f>
        <v/>
      </c>
      <c r="S655" s="5">
        <f>IF(tblOrdenes[[#This Row],[fecha_inicio]]="","",INDEX(lista_dias,WEEKDAY(tblOrdenes[[#This Row],[fecha_inicio]],2)))</f>
        <v/>
      </c>
      <c r="T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5">
        <f>IF(tblOrdenes[[#This Row],[tipo_ot]]="","",_xlfn.XLOOKUP(tblOrdenes[[#This Row],[tipo_ot]],tblTiposOT[codigo],tblTiposOT[clasificacion],"sin_clasificar"))</f>
        <v/>
      </c>
      <c r="V6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5">
        <f>IF(tblOrdenes[[#This Row],[centro_costo]]="","",_xlfn.XLOOKUP(tblOrdenes[[#This Row],[centro_costo]],tblCECO[codigo],tblCECO[linea],"(sin catálogo)"))</f>
        <v/>
      </c>
      <c r="Y655" s="5">
        <f>IF(tblOrdenes[[#This Row],[centro_costo]]="","",_xlfn.XLOOKUP(tblOrdenes[[#This Row],[centro_costo]],tblCECO[codigo],tblCECO[area],"(sin catálogo)"))</f>
        <v/>
      </c>
      <c r="Z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5">
        <f>IF(tblOrdenes[[#This Row],[centro_costo]]="","",_xlfn.XLOOKUP(tblOrdenes[[#This Row],[centro_costo]],tblCECO[codigo],tblCECO[coordinador],"(sin catálogo)"))</f>
        <v/>
      </c>
      <c r="AB655" s="5">
        <f>IF(tblOrdenes[[#This Row],[puesto_trabajo]]="","",_xlfn.XLOOKUP(tblOrdenes[[#This Row],[puesto_trabajo]],tblPuestos[codigo],tblPuestos[especialidad],"(sin catálogo)"))</f>
        <v/>
      </c>
      <c r="AC655" s="5">
        <f>IF(tblOrdenes[[#This Row],[cod_actividad]]="","",_xlfn.XLOOKUP(tblOrdenes[[#This Row],[cod_actividad]],tblActividades[codigo],tblActividades[descripcion],"(sin catálogo)"))</f>
        <v/>
      </c>
      <c r="AD655" s="23">
        <f>IF(tblOrdenes[[#This Row],[fecha_inicio]]="","",TODAY()-tblOrdenes[[#This Row],[fecha_inicio]])</f>
        <v/>
      </c>
      <c r="AE6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5">
        <f>IF(tblOrdenes[[#This Row],[backlog_habiles]]="","",IF(tblOrdenes[[#This Row],[backlog_habiles]]&lt;0,"FUTURO",IF(tblOrdenes[[#This Row],[backlog_habiles]]&gt;p_dias_backlog_max,"BACKLOG","MES CORRIENTE")))</f>
        <v/>
      </c>
      <c r="AG655" s="5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18">
        <f>IF(tblOrdenes[[#This Row],[orden]]="","",_xlfn.XLOOKUP(tblOrdenes[[#This Row],[id_operacion]],tblEjecucion[id_operacion],tblEjecucion[precio],0))</f>
        <v/>
      </c>
      <c r="AM655" s="18">
        <f>IF(tblOrdenes[[#This Row],[orden]]="","",MAX(0,_xlfn.XLOOKUP(tblOrdenes[[#This Row],[id_operacion]],tblEjecucion[id_operacion],tblEjecucion[costo_plan_total],0)-tblOrdenes[[#This Row],[costo_servicio]]))</f>
        <v/>
      </c>
      <c r="AN655" s="18">
        <f>IF(tblOrdenes[[#This Row],[orden]]="","",tblOrdenes[[#This Row],[costo_servicio]]+tblOrdenes[[#This Row],[costo_materiales]])</f>
        <v/>
      </c>
      <c r="AO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5">
        <f>IF(tblOrdenes[[#This Row],[link_checklist]]="","",HYPERLINK(p_ruta_base_checklists&amp;tblOrdenes[[#This Row],[link_checklist]],"abrir"))</f>
        <v/>
      </c>
      <c r="AT655" s="4" t="n"/>
      <c r="AU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5" t="n"/>
      <c r="K656" s="5" t="n"/>
      <c r="L656" s="18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Row],[fecha_inicio]]="","",tblOrdenes[[#This Row],[anio]]&amp;"-"&amp;TEXT(tblOrdenes[[#This Row],[mes]],"00"))</f>
        <v/>
      </c>
      <c r="S656" s="5">
        <f>IF(tblOrdenes[[#This Row],[fecha_inicio]]="","",INDEX(lista_dias,WEEKDAY(tblOrdenes[[#This Row],[fecha_inicio]],2)))</f>
        <v/>
      </c>
      <c r="T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5">
        <f>IF(tblOrdenes[[#This Row],[tipo_ot]]="","",_xlfn.XLOOKUP(tblOrdenes[[#This Row],[tipo_ot]],tblTiposOT[codigo],tblTiposOT[clasificacion],"sin_clasificar"))</f>
        <v/>
      </c>
      <c r="V6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5">
        <f>IF(tblOrdenes[[#This Row],[centro_costo]]="","",_xlfn.XLOOKUP(tblOrdenes[[#This Row],[centro_costo]],tblCECO[codigo],tblCECO[linea],"(sin catálogo)"))</f>
        <v/>
      </c>
      <c r="Y656" s="5">
        <f>IF(tblOrdenes[[#This Row],[centro_costo]]="","",_xlfn.XLOOKUP(tblOrdenes[[#This Row],[centro_costo]],tblCECO[codigo],tblCECO[area],"(sin catálogo)"))</f>
        <v/>
      </c>
      <c r="Z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5">
        <f>IF(tblOrdenes[[#This Row],[centro_costo]]="","",_xlfn.XLOOKUP(tblOrdenes[[#This Row],[centro_costo]],tblCECO[codigo],tblCECO[coordinador],"(sin catálogo)"))</f>
        <v/>
      </c>
      <c r="AB656" s="5">
        <f>IF(tblOrdenes[[#This Row],[puesto_trabajo]]="","",_xlfn.XLOOKUP(tblOrdenes[[#This Row],[puesto_trabajo]],tblPuestos[codigo],tblPuestos[especialidad],"(sin catálogo)"))</f>
        <v/>
      </c>
      <c r="AC656" s="5">
        <f>IF(tblOrdenes[[#This Row],[cod_actividad]]="","",_xlfn.XLOOKUP(tblOrdenes[[#This Row],[cod_actividad]],tblActividades[codigo],tblActividades[descripcion],"(sin catálogo)"))</f>
        <v/>
      </c>
      <c r="AD656" s="23">
        <f>IF(tblOrdenes[[#This Row],[fecha_inicio]]="","",TODAY()-tblOrdenes[[#This Row],[fecha_inicio]])</f>
        <v/>
      </c>
      <c r="AE6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5">
        <f>IF(tblOrdenes[[#This Row],[backlog_habiles]]="","",IF(tblOrdenes[[#This Row],[backlog_habiles]]&lt;0,"FUTURO",IF(tblOrdenes[[#This Row],[backlog_habiles]]&gt;p_dias_backlog_max,"BACKLOG","MES CORRIENTE")))</f>
        <v/>
      </c>
      <c r="AG656" s="5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18">
        <f>IF(tblOrdenes[[#This Row],[orden]]="","",_xlfn.XLOOKUP(tblOrdenes[[#This Row],[id_operacion]],tblEjecucion[id_operacion],tblEjecucion[precio],0))</f>
        <v/>
      </c>
      <c r="AM656" s="18">
        <f>IF(tblOrdenes[[#This Row],[orden]]="","",MAX(0,_xlfn.XLOOKUP(tblOrdenes[[#This Row],[id_operacion]],tblEjecucion[id_operacion],tblEjecucion[costo_plan_total],0)-tblOrdenes[[#This Row],[costo_servicio]]))</f>
        <v/>
      </c>
      <c r="AN656" s="18">
        <f>IF(tblOrdenes[[#This Row],[orden]]="","",tblOrdenes[[#This Row],[costo_servicio]]+tblOrdenes[[#This Row],[costo_materiales]])</f>
        <v/>
      </c>
      <c r="AO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5">
        <f>IF(tblOrdenes[[#This Row],[link_checklist]]="","",HYPERLINK(p_ruta_base_checklists&amp;tblOrdenes[[#This Row],[link_checklist]],"abrir"))</f>
        <v/>
      </c>
      <c r="AT656" s="4" t="n"/>
      <c r="AU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5" t="n"/>
      <c r="K657" s="5" t="n"/>
      <c r="L657" s="18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Row],[fecha_inicio]]="","",tblOrdenes[[#This Row],[anio]]&amp;"-"&amp;TEXT(tblOrdenes[[#This Row],[mes]],"00"))</f>
        <v/>
      </c>
      <c r="S657" s="5">
        <f>IF(tblOrdenes[[#This Row],[fecha_inicio]]="","",INDEX(lista_dias,WEEKDAY(tblOrdenes[[#This Row],[fecha_inicio]],2)))</f>
        <v/>
      </c>
      <c r="T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5">
        <f>IF(tblOrdenes[[#This Row],[tipo_ot]]="","",_xlfn.XLOOKUP(tblOrdenes[[#This Row],[tipo_ot]],tblTiposOT[codigo],tblTiposOT[clasificacion],"sin_clasificar"))</f>
        <v/>
      </c>
      <c r="V6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5">
        <f>IF(tblOrdenes[[#This Row],[centro_costo]]="","",_xlfn.XLOOKUP(tblOrdenes[[#This Row],[centro_costo]],tblCECO[codigo],tblCECO[linea],"(sin catálogo)"))</f>
        <v/>
      </c>
      <c r="Y657" s="5">
        <f>IF(tblOrdenes[[#This Row],[centro_costo]]="","",_xlfn.XLOOKUP(tblOrdenes[[#This Row],[centro_costo]],tblCECO[codigo],tblCECO[area],"(sin catálogo)"))</f>
        <v/>
      </c>
      <c r="Z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5">
        <f>IF(tblOrdenes[[#This Row],[centro_costo]]="","",_xlfn.XLOOKUP(tblOrdenes[[#This Row],[centro_costo]],tblCECO[codigo],tblCECO[coordinador],"(sin catálogo)"))</f>
        <v/>
      </c>
      <c r="AB657" s="5">
        <f>IF(tblOrdenes[[#This Row],[puesto_trabajo]]="","",_xlfn.XLOOKUP(tblOrdenes[[#This Row],[puesto_trabajo]],tblPuestos[codigo],tblPuestos[especialidad],"(sin catálogo)"))</f>
        <v/>
      </c>
      <c r="AC657" s="5">
        <f>IF(tblOrdenes[[#This Row],[cod_actividad]]="","",_xlfn.XLOOKUP(tblOrdenes[[#This Row],[cod_actividad]],tblActividades[codigo],tblActividades[descripcion],"(sin catálogo)"))</f>
        <v/>
      </c>
      <c r="AD657" s="23">
        <f>IF(tblOrdenes[[#This Row],[fecha_inicio]]="","",TODAY()-tblOrdenes[[#This Row],[fecha_inicio]])</f>
        <v/>
      </c>
      <c r="AE6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5">
        <f>IF(tblOrdenes[[#This Row],[backlog_habiles]]="","",IF(tblOrdenes[[#This Row],[backlog_habiles]]&lt;0,"FUTURO",IF(tblOrdenes[[#This Row],[backlog_habiles]]&gt;p_dias_backlog_max,"BACKLOG","MES CORRIENTE")))</f>
        <v/>
      </c>
      <c r="AG657" s="5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18">
        <f>IF(tblOrdenes[[#This Row],[orden]]="","",_xlfn.XLOOKUP(tblOrdenes[[#This Row],[id_operacion]],tblEjecucion[id_operacion],tblEjecucion[precio],0))</f>
        <v/>
      </c>
      <c r="AM657" s="18">
        <f>IF(tblOrdenes[[#This Row],[orden]]="","",MAX(0,_xlfn.XLOOKUP(tblOrdenes[[#This Row],[id_operacion]],tblEjecucion[id_operacion],tblEjecucion[costo_plan_total],0)-tblOrdenes[[#This Row],[costo_servicio]]))</f>
        <v/>
      </c>
      <c r="AN657" s="18">
        <f>IF(tblOrdenes[[#This Row],[orden]]="","",tblOrdenes[[#This Row],[costo_servicio]]+tblOrdenes[[#This Row],[costo_materiales]])</f>
        <v/>
      </c>
      <c r="AO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5">
        <f>IF(tblOrdenes[[#This Row],[link_checklist]]="","",HYPERLINK(p_ruta_base_checklists&amp;tblOrdenes[[#This Row],[link_checklist]],"abrir"))</f>
        <v/>
      </c>
      <c r="AT657" s="4" t="n"/>
      <c r="AU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5" t="n"/>
      <c r="K658" s="5" t="n"/>
      <c r="L658" s="18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Row],[fecha_inicio]]="","",tblOrdenes[[#This Row],[anio]]&amp;"-"&amp;TEXT(tblOrdenes[[#This Row],[mes]],"00"))</f>
        <v/>
      </c>
      <c r="S658" s="5">
        <f>IF(tblOrdenes[[#This Row],[fecha_inicio]]="","",INDEX(lista_dias,WEEKDAY(tblOrdenes[[#This Row],[fecha_inicio]],2)))</f>
        <v/>
      </c>
      <c r="T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5">
        <f>IF(tblOrdenes[[#This Row],[tipo_ot]]="","",_xlfn.XLOOKUP(tblOrdenes[[#This Row],[tipo_ot]],tblTiposOT[codigo],tblTiposOT[clasificacion],"sin_clasificar"))</f>
        <v/>
      </c>
      <c r="V6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5">
        <f>IF(tblOrdenes[[#This Row],[centro_costo]]="","",_xlfn.XLOOKUP(tblOrdenes[[#This Row],[centro_costo]],tblCECO[codigo],tblCECO[linea],"(sin catálogo)"))</f>
        <v/>
      </c>
      <c r="Y658" s="5">
        <f>IF(tblOrdenes[[#This Row],[centro_costo]]="","",_xlfn.XLOOKUP(tblOrdenes[[#This Row],[centro_costo]],tblCECO[codigo],tblCECO[area],"(sin catálogo)"))</f>
        <v/>
      </c>
      <c r="Z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5">
        <f>IF(tblOrdenes[[#This Row],[centro_costo]]="","",_xlfn.XLOOKUP(tblOrdenes[[#This Row],[centro_costo]],tblCECO[codigo],tblCECO[coordinador],"(sin catálogo)"))</f>
        <v/>
      </c>
      <c r="AB658" s="5">
        <f>IF(tblOrdenes[[#This Row],[puesto_trabajo]]="","",_xlfn.XLOOKUP(tblOrdenes[[#This Row],[puesto_trabajo]],tblPuestos[codigo],tblPuestos[especialidad],"(sin catálogo)"))</f>
        <v/>
      </c>
      <c r="AC658" s="5">
        <f>IF(tblOrdenes[[#This Row],[cod_actividad]]="","",_xlfn.XLOOKUP(tblOrdenes[[#This Row],[cod_actividad]],tblActividades[codigo],tblActividades[descripcion],"(sin catálogo)"))</f>
        <v/>
      </c>
      <c r="AD658" s="23">
        <f>IF(tblOrdenes[[#This Row],[fecha_inicio]]="","",TODAY()-tblOrdenes[[#This Row],[fecha_inicio]])</f>
        <v/>
      </c>
      <c r="AE6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5">
        <f>IF(tblOrdenes[[#This Row],[backlog_habiles]]="","",IF(tblOrdenes[[#This Row],[backlog_habiles]]&lt;0,"FUTURO",IF(tblOrdenes[[#This Row],[backlog_habiles]]&gt;p_dias_backlog_max,"BACKLOG","MES CORRIENTE")))</f>
        <v/>
      </c>
      <c r="AG658" s="5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18">
        <f>IF(tblOrdenes[[#This Row],[orden]]="","",_xlfn.XLOOKUP(tblOrdenes[[#This Row],[id_operacion]],tblEjecucion[id_operacion],tblEjecucion[precio],0))</f>
        <v/>
      </c>
      <c r="AM658" s="18">
        <f>IF(tblOrdenes[[#This Row],[orden]]="","",MAX(0,_xlfn.XLOOKUP(tblOrdenes[[#This Row],[id_operacion]],tblEjecucion[id_operacion],tblEjecucion[costo_plan_total],0)-tblOrdenes[[#This Row],[costo_servicio]]))</f>
        <v/>
      </c>
      <c r="AN658" s="18">
        <f>IF(tblOrdenes[[#This Row],[orden]]="","",tblOrdenes[[#This Row],[costo_servicio]]+tblOrdenes[[#This Row],[costo_materiales]])</f>
        <v/>
      </c>
      <c r="AO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5">
        <f>IF(tblOrdenes[[#This Row],[link_checklist]]="","",HYPERLINK(p_ruta_base_checklists&amp;tblOrdenes[[#This Row],[link_checklist]],"abrir"))</f>
        <v/>
      </c>
      <c r="AT658" s="4" t="n"/>
      <c r="AU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5" t="n"/>
      <c r="K659" s="5" t="n"/>
      <c r="L659" s="18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Row],[fecha_inicio]]="","",tblOrdenes[[#This Row],[anio]]&amp;"-"&amp;TEXT(tblOrdenes[[#This Row],[mes]],"00"))</f>
        <v/>
      </c>
      <c r="S659" s="5">
        <f>IF(tblOrdenes[[#This Row],[fecha_inicio]]="","",INDEX(lista_dias,WEEKDAY(tblOrdenes[[#This Row],[fecha_inicio]],2)))</f>
        <v/>
      </c>
      <c r="T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5">
        <f>IF(tblOrdenes[[#This Row],[tipo_ot]]="","",_xlfn.XLOOKUP(tblOrdenes[[#This Row],[tipo_ot]],tblTiposOT[codigo],tblTiposOT[clasificacion],"sin_clasificar"))</f>
        <v/>
      </c>
      <c r="V6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5">
        <f>IF(tblOrdenes[[#This Row],[centro_costo]]="","",_xlfn.XLOOKUP(tblOrdenes[[#This Row],[centro_costo]],tblCECO[codigo],tblCECO[linea],"(sin catálogo)"))</f>
        <v/>
      </c>
      <c r="Y659" s="5">
        <f>IF(tblOrdenes[[#This Row],[centro_costo]]="","",_xlfn.XLOOKUP(tblOrdenes[[#This Row],[centro_costo]],tblCECO[codigo],tblCECO[area],"(sin catálogo)"))</f>
        <v/>
      </c>
      <c r="Z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5">
        <f>IF(tblOrdenes[[#This Row],[centro_costo]]="","",_xlfn.XLOOKUP(tblOrdenes[[#This Row],[centro_costo]],tblCECO[codigo],tblCECO[coordinador],"(sin catálogo)"))</f>
        <v/>
      </c>
      <c r="AB659" s="5">
        <f>IF(tblOrdenes[[#This Row],[puesto_trabajo]]="","",_xlfn.XLOOKUP(tblOrdenes[[#This Row],[puesto_trabajo]],tblPuestos[codigo],tblPuestos[especialidad],"(sin catálogo)"))</f>
        <v/>
      </c>
      <c r="AC659" s="5">
        <f>IF(tblOrdenes[[#This Row],[cod_actividad]]="","",_xlfn.XLOOKUP(tblOrdenes[[#This Row],[cod_actividad]],tblActividades[codigo],tblActividades[descripcion],"(sin catálogo)"))</f>
        <v/>
      </c>
      <c r="AD659" s="23">
        <f>IF(tblOrdenes[[#This Row],[fecha_inicio]]="","",TODAY()-tblOrdenes[[#This Row],[fecha_inicio]])</f>
        <v/>
      </c>
      <c r="AE6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5">
        <f>IF(tblOrdenes[[#This Row],[backlog_habiles]]="","",IF(tblOrdenes[[#This Row],[backlog_habiles]]&lt;0,"FUTURO",IF(tblOrdenes[[#This Row],[backlog_habiles]]&gt;p_dias_backlog_max,"BACKLOG","MES CORRIENTE")))</f>
        <v/>
      </c>
      <c r="AG659" s="5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18">
        <f>IF(tblOrdenes[[#This Row],[orden]]="","",_xlfn.XLOOKUP(tblOrdenes[[#This Row],[id_operacion]],tblEjecucion[id_operacion],tblEjecucion[precio],0))</f>
        <v/>
      </c>
      <c r="AM659" s="18">
        <f>IF(tblOrdenes[[#This Row],[orden]]="","",MAX(0,_xlfn.XLOOKUP(tblOrdenes[[#This Row],[id_operacion]],tblEjecucion[id_operacion],tblEjecucion[costo_plan_total],0)-tblOrdenes[[#This Row],[costo_servicio]]))</f>
        <v/>
      </c>
      <c r="AN659" s="18">
        <f>IF(tblOrdenes[[#This Row],[orden]]="","",tblOrdenes[[#This Row],[costo_servicio]]+tblOrdenes[[#This Row],[costo_materiales]])</f>
        <v/>
      </c>
      <c r="AO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5">
        <f>IF(tblOrdenes[[#This Row],[link_checklist]]="","",HYPERLINK(p_ruta_base_checklists&amp;tblOrdenes[[#This Row],[link_checklist]],"abrir"))</f>
        <v/>
      </c>
      <c r="AT659" s="4" t="n"/>
      <c r="AU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5" t="n"/>
      <c r="K660" s="5" t="n"/>
      <c r="L660" s="18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Row],[fecha_inicio]]="","",tblOrdenes[[#This Row],[anio]]&amp;"-"&amp;TEXT(tblOrdenes[[#This Row],[mes]],"00"))</f>
        <v/>
      </c>
      <c r="S660" s="5">
        <f>IF(tblOrdenes[[#This Row],[fecha_inicio]]="","",INDEX(lista_dias,WEEKDAY(tblOrdenes[[#This Row],[fecha_inicio]],2)))</f>
        <v/>
      </c>
      <c r="T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5">
        <f>IF(tblOrdenes[[#This Row],[tipo_ot]]="","",_xlfn.XLOOKUP(tblOrdenes[[#This Row],[tipo_ot]],tblTiposOT[codigo],tblTiposOT[clasificacion],"sin_clasificar"))</f>
        <v/>
      </c>
      <c r="V6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5">
        <f>IF(tblOrdenes[[#This Row],[centro_costo]]="","",_xlfn.XLOOKUP(tblOrdenes[[#This Row],[centro_costo]],tblCECO[codigo],tblCECO[linea],"(sin catálogo)"))</f>
        <v/>
      </c>
      <c r="Y660" s="5">
        <f>IF(tblOrdenes[[#This Row],[centro_costo]]="","",_xlfn.XLOOKUP(tblOrdenes[[#This Row],[centro_costo]],tblCECO[codigo],tblCECO[area],"(sin catálogo)"))</f>
        <v/>
      </c>
      <c r="Z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5">
        <f>IF(tblOrdenes[[#This Row],[centro_costo]]="","",_xlfn.XLOOKUP(tblOrdenes[[#This Row],[centro_costo]],tblCECO[codigo],tblCECO[coordinador],"(sin catálogo)"))</f>
        <v/>
      </c>
      <c r="AB660" s="5">
        <f>IF(tblOrdenes[[#This Row],[puesto_trabajo]]="","",_xlfn.XLOOKUP(tblOrdenes[[#This Row],[puesto_trabajo]],tblPuestos[codigo],tblPuestos[especialidad],"(sin catálogo)"))</f>
        <v/>
      </c>
      <c r="AC660" s="5">
        <f>IF(tblOrdenes[[#This Row],[cod_actividad]]="","",_xlfn.XLOOKUP(tblOrdenes[[#This Row],[cod_actividad]],tblActividades[codigo],tblActividades[descripcion],"(sin catálogo)"))</f>
        <v/>
      </c>
      <c r="AD660" s="23">
        <f>IF(tblOrdenes[[#This Row],[fecha_inicio]]="","",TODAY()-tblOrdenes[[#This Row],[fecha_inicio]])</f>
        <v/>
      </c>
      <c r="AE6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5">
        <f>IF(tblOrdenes[[#This Row],[backlog_habiles]]="","",IF(tblOrdenes[[#This Row],[backlog_habiles]]&lt;0,"FUTURO",IF(tblOrdenes[[#This Row],[backlog_habiles]]&gt;p_dias_backlog_max,"BACKLOG","MES CORRIENTE")))</f>
        <v/>
      </c>
      <c r="AG660" s="5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18">
        <f>IF(tblOrdenes[[#This Row],[orden]]="","",_xlfn.XLOOKUP(tblOrdenes[[#This Row],[id_operacion]],tblEjecucion[id_operacion],tblEjecucion[precio],0))</f>
        <v/>
      </c>
      <c r="AM660" s="18">
        <f>IF(tblOrdenes[[#This Row],[orden]]="","",MAX(0,_xlfn.XLOOKUP(tblOrdenes[[#This Row],[id_operacion]],tblEjecucion[id_operacion],tblEjecucion[costo_plan_total],0)-tblOrdenes[[#This Row],[costo_servicio]]))</f>
        <v/>
      </c>
      <c r="AN660" s="18">
        <f>IF(tblOrdenes[[#This Row],[orden]]="","",tblOrdenes[[#This Row],[costo_servicio]]+tblOrdenes[[#This Row],[costo_materiales]])</f>
        <v/>
      </c>
      <c r="AO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5">
        <f>IF(tblOrdenes[[#This Row],[link_checklist]]="","",HYPERLINK(p_ruta_base_checklists&amp;tblOrdenes[[#This Row],[link_checklist]],"abrir"))</f>
        <v/>
      </c>
      <c r="AT660" s="4" t="n"/>
      <c r="AU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5" t="n"/>
      <c r="K661" s="5" t="n"/>
      <c r="L661" s="18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Row],[fecha_inicio]]="","",tblOrdenes[[#This Row],[anio]]&amp;"-"&amp;TEXT(tblOrdenes[[#This Row],[mes]],"00"))</f>
        <v/>
      </c>
      <c r="S661" s="5">
        <f>IF(tblOrdenes[[#This Row],[fecha_inicio]]="","",INDEX(lista_dias,WEEKDAY(tblOrdenes[[#This Row],[fecha_inicio]],2)))</f>
        <v/>
      </c>
      <c r="T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5">
        <f>IF(tblOrdenes[[#This Row],[tipo_ot]]="","",_xlfn.XLOOKUP(tblOrdenes[[#This Row],[tipo_ot]],tblTiposOT[codigo],tblTiposOT[clasificacion],"sin_clasificar"))</f>
        <v/>
      </c>
      <c r="V6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5">
        <f>IF(tblOrdenes[[#This Row],[centro_costo]]="","",_xlfn.XLOOKUP(tblOrdenes[[#This Row],[centro_costo]],tblCECO[codigo],tblCECO[linea],"(sin catálogo)"))</f>
        <v/>
      </c>
      <c r="Y661" s="5">
        <f>IF(tblOrdenes[[#This Row],[centro_costo]]="","",_xlfn.XLOOKUP(tblOrdenes[[#This Row],[centro_costo]],tblCECO[codigo],tblCECO[area],"(sin catálogo)"))</f>
        <v/>
      </c>
      <c r="Z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5">
        <f>IF(tblOrdenes[[#This Row],[centro_costo]]="","",_xlfn.XLOOKUP(tblOrdenes[[#This Row],[centro_costo]],tblCECO[codigo],tblCECO[coordinador],"(sin catálogo)"))</f>
        <v/>
      </c>
      <c r="AB661" s="5">
        <f>IF(tblOrdenes[[#This Row],[puesto_trabajo]]="","",_xlfn.XLOOKUP(tblOrdenes[[#This Row],[puesto_trabajo]],tblPuestos[codigo],tblPuestos[especialidad],"(sin catálogo)"))</f>
        <v/>
      </c>
      <c r="AC661" s="5">
        <f>IF(tblOrdenes[[#This Row],[cod_actividad]]="","",_xlfn.XLOOKUP(tblOrdenes[[#This Row],[cod_actividad]],tblActividades[codigo],tblActividades[descripcion],"(sin catálogo)"))</f>
        <v/>
      </c>
      <c r="AD661" s="23">
        <f>IF(tblOrdenes[[#This Row],[fecha_inicio]]="","",TODAY()-tblOrdenes[[#This Row],[fecha_inicio]])</f>
        <v/>
      </c>
      <c r="AE6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5">
        <f>IF(tblOrdenes[[#This Row],[backlog_habiles]]="","",IF(tblOrdenes[[#This Row],[backlog_habiles]]&lt;0,"FUTURO",IF(tblOrdenes[[#This Row],[backlog_habiles]]&gt;p_dias_backlog_max,"BACKLOG","MES CORRIENTE")))</f>
        <v/>
      </c>
      <c r="AG661" s="5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18">
        <f>IF(tblOrdenes[[#This Row],[orden]]="","",_xlfn.XLOOKUP(tblOrdenes[[#This Row],[id_operacion]],tblEjecucion[id_operacion],tblEjecucion[precio],0))</f>
        <v/>
      </c>
      <c r="AM661" s="18">
        <f>IF(tblOrdenes[[#This Row],[orden]]="","",MAX(0,_xlfn.XLOOKUP(tblOrdenes[[#This Row],[id_operacion]],tblEjecucion[id_operacion],tblEjecucion[costo_plan_total],0)-tblOrdenes[[#This Row],[costo_servicio]]))</f>
        <v/>
      </c>
      <c r="AN661" s="18">
        <f>IF(tblOrdenes[[#This Row],[orden]]="","",tblOrdenes[[#This Row],[costo_servicio]]+tblOrdenes[[#This Row],[costo_materiales]])</f>
        <v/>
      </c>
      <c r="AO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5">
        <f>IF(tblOrdenes[[#This Row],[link_checklist]]="","",HYPERLINK(p_ruta_base_checklists&amp;tblOrdenes[[#This Row],[link_checklist]],"abrir"))</f>
        <v/>
      </c>
      <c r="AT661" s="4" t="n"/>
      <c r="AU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5" t="n"/>
      <c r="K662" s="5" t="n"/>
      <c r="L662" s="18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Row],[fecha_inicio]]="","",tblOrdenes[[#This Row],[anio]]&amp;"-"&amp;TEXT(tblOrdenes[[#This Row],[mes]],"00"))</f>
        <v/>
      </c>
      <c r="S662" s="5">
        <f>IF(tblOrdenes[[#This Row],[fecha_inicio]]="","",INDEX(lista_dias,WEEKDAY(tblOrdenes[[#This Row],[fecha_inicio]],2)))</f>
        <v/>
      </c>
      <c r="T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5">
        <f>IF(tblOrdenes[[#This Row],[tipo_ot]]="","",_xlfn.XLOOKUP(tblOrdenes[[#This Row],[tipo_ot]],tblTiposOT[codigo],tblTiposOT[clasificacion],"sin_clasificar"))</f>
        <v/>
      </c>
      <c r="V6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5">
        <f>IF(tblOrdenes[[#This Row],[centro_costo]]="","",_xlfn.XLOOKUP(tblOrdenes[[#This Row],[centro_costo]],tblCECO[codigo],tblCECO[linea],"(sin catálogo)"))</f>
        <v/>
      </c>
      <c r="Y662" s="5">
        <f>IF(tblOrdenes[[#This Row],[centro_costo]]="","",_xlfn.XLOOKUP(tblOrdenes[[#This Row],[centro_costo]],tblCECO[codigo],tblCECO[area],"(sin catálogo)"))</f>
        <v/>
      </c>
      <c r="Z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5">
        <f>IF(tblOrdenes[[#This Row],[centro_costo]]="","",_xlfn.XLOOKUP(tblOrdenes[[#This Row],[centro_costo]],tblCECO[codigo],tblCECO[coordinador],"(sin catálogo)"))</f>
        <v/>
      </c>
      <c r="AB662" s="5">
        <f>IF(tblOrdenes[[#This Row],[puesto_trabajo]]="","",_xlfn.XLOOKUP(tblOrdenes[[#This Row],[puesto_trabajo]],tblPuestos[codigo],tblPuestos[especialidad],"(sin catálogo)"))</f>
        <v/>
      </c>
      <c r="AC662" s="5">
        <f>IF(tblOrdenes[[#This Row],[cod_actividad]]="","",_xlfn.XLOOKUP(tblOrdenes[[#This Row],[cod_actividad]],tblActividades[codigo],tblActividades[descripcion],"(sin catálogo)"))</f>
        <v/>
      </c>
      <c r="AD662" s="23">
        <f>IF(tblOrdenes[[#This Row],[fecha_inicio]]="","",TODAY()-tblOrdenes[[#This Row],[fecha_inicio]])</f>
        <v/>
      </c>
      <c r="AE6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5">
        <f>IF(tblOrdenes[[#This Row],[backlog_habiles]]="","",IF(tblOrdenes[[#This Row],[backlog_habiles]]&lt;0,"FUTURO",IF(tblOrdenes[[#This Row],[backlog_habiles]]&gt;p_dias_backlog_max,"BACKLOG","MES CORRIENTE")))</f>
        <v/>
      </c>
      <c r="AG662" s="5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18">
        <f>IF(tblOrdenes[[#This Row],[orden]]="","",_xlfn.XLOOKUP(tblOrdenes[[#This Row],[id_operacion]],tblEjecucion[id_operacion],tblEjecucion[precio],0))</f>
        <v/>
      </c>
      <c r="AM662" s="18">
        <f>IF(tblOrdenes[[#This Row],[orden]]="","",MAX(0,_xlfn.XLOOKUP(tblOrdenes[[#This Row],[id_operacion]],tblEjecucion[id_operacion],tblEjecucion[costo_plan_total],0)-tblOrdenes[[#This Row],[costo_servicio]]))</f>
        <v/>
      </c>
      <c r="AN662" s="18">
        <f>IF(tblOrdenes[[#This Row],[orden]]="","",tblOrdenes[[#This Row],[costo_servicio]]+tblOrdenes[[#This Row],[costo_materiales]])</f>
        <v/>
      </c>
      <c r="AO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5">
        <f>IF(tblOrdenes[[#This Row],[link_checklist]]="","",HYPERLINK(p_ruta_base_checklists&amp;tblOrdenes[[#This Row],[link_checklist]],"abrir"))</f>
        <v/>
      </c>
      <c r="AT662" s="4" t="n"/>
      <c r="AU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5" t="n"/>
      <c r="K663" s="5" t="n"/>
      <c r="L663" s="18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Row],[fecha_inicio]]="","",tblOrdenes[[#This Row],[anio]]&amp;"-"&amp;TEXT(tblOrdenes[[#This Row],[mes]],"00"))</f>
        <v/>
      </c>
      <c r="S663" s="5">
        <f>IF(tblOrdenes[[#This Row],[fecha_inicio]]="","",INDEX(lista_dias,WEEKDAY(tblOrdenes[[#This Row],[fecha_inicio]],2)))</f>
        <v/>
      </c>
      <c r="T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5">
        <f>IF(tblOrdenes[[#This Row],[tipo_ot]]="","",_xlfn.XLOOKUP(tblOrdenes[[#This Row],[tipo_ot]],tblTiposOT[codigo],tblTiposOT[clasificacion],"sin_clasificar"))</f>
        <v/>
      </c>
      <c r="V6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5">
        <f>IF(tblOrdenes[[#This Row],[centro_costo]]="","",_xlfn.XLOOKUP(tblOrdenes[[#This Row],[centro_costo]],tblCECO[codigo],tblCECO[linea],"(sin catálogo)"))</f>
        <v/>
      </c>
      <c r="Y663" s="5">
        <f>IF(tblOrdenes[[#This Row],[centro_costo]]="","",_xlfn.XLOOKUP(tblOrdenes[[#This Row],[centro_costo]],tblCECO[codigo],tblCECO[area],"(sin catálogo)"))</f>
        <v/>
      </c>
      <c r="Z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5">
        <f>IF(tblOrdenes[[#This Row],[centro_costo]]="","",_xlfn.XLOOKUP(tblOrdenes[[#This Row],[centro_costo]],tblCECO[codigo],tblCECO[coordinador],"(sin catálogo)"))</f>
        <v/>
      </c>
      <c r="AB663" s="5">
        <f>IF(tblOrdenes[[#This Row],[puesto_trabajo]]="","",_xlfn.XLOOKUP(tblOrdenes[[#This Row],[puesto_trabajo]],tblPuestos[codigo],tblPuestos[especialidad],"(sin catálogo)"))</f>
        <v/>
      </c>
      <c r="AC663" s="5">
        <f>IF(tblOrdenes[[#This Row],[cod_actividad]]="","",_xlfn.XLOOKUP(tblOrdenes[[#This Row],[cod_actividad]],tblActividades[codigo],tblActividades[descripcion],"(sin catálogo)"))</f>
        <v/>
      </c>
      <c r="AD663" s="23">
        <f>IF(tblOrdenes[[#This Row],[fecha_inicio]]="","",TODAY()-tblOrdenes[[#This Row],[fecha_inicio]])</f>
        <v/>
      </c>
      <c r="AE6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5">
        <f>IF(tblOrdenes[[#This Row],[backlog_habiles]]="","",IF(tblOrdenes[[#This Row],[backlog_habiles]]&lt;0,"FUTURO",IF(tblOrdenes[[#This Row],[backlog_habiles]]&gt;p_dias_backlog_max,"BACKLOG","MES CORRIENTE")))</f>
        <v/>
      </c>
      <c r="AG663" s="5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18">
        <f>IF(tblOrdenes[[#This Row],[orden]]="","",_xlfn.XLOOKUP(tblOrdenes[[#This Row],[id_operacion]],tblEjecucion[id_operacion],tblEjecucion[precio],0))</f>
        <v/>
      </c>
      <c r="AM663" s="18">
        <f>IF(tblOrdenes[[#This Row],[orden]]="","",MAX(0,_xlfn.XLOOKUP(tblOrdenes[[#This Row],[id_operacion]],tblEjecucion[id_operacion],tblEjecucion[costo_plan_total],0)-tblOrdenes[[#This Row],[costo_servicio]]))</f>
        <v/>
      </c>
      <c r="AN663" s="18">
        <f>IF(tblOrdenes[[#This Row],[orden]]="","",tblOrdenes[[#This Row],[costo_servicio]]+tblOrdenes[[#This Row],[costo_materiales]])</f>
        <v/>
      </c>
      <c r="AO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5">
        <f>IF(tblOrdenes[[#This Row],[link_checklist]]="","",HYPERLINK(p_ruta_base_checklists&amp;tblOrdenes[[#This Row],[link_checklist]],"abrir"))</f>
        <v/>
      </c>
      <c r="AT663" s="4" t="n"/>
      <c r="AU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5" t="n"/>
      <c r="K664" s="5" t="n"/>
      <c r="L664" s="18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Row],[fecha_inicio]]="","",tblOrdenes[[#This Row],[anio]]&amp;"-"&amp;TEXT(tblOrdenes[[#This Row],[mes]],"00"))</f>
        <v/>
      </c>
      <c r="S664" s="5">
        <f>IF(tblOrdenes[[#This Row],[fecha_inicio]]="","",INDEX(lista_dias,WEEKDAY(tblOrdenes[[#This Row],[fecha_inicio]],2)))</f>
        <v/>
      </c>
      <c r="T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5">
        <f>IF(tblOrdenes[[#This Row],[tipo_ot]]="","",_xlfn.XLOOKUP(tblOrdenes[[#This Row],[tipo_ot]],tblTiposOT[codigo],tblTiposOT[clasificacion],"sin_clasificar"))</f>
        <v/>
      </c>
      <c r="V6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5">
        <f>IF(tblOrdenes[[#This Row],[centro_costo]]="","",_xlfn.XLOOKUP(tblOrdenes[[#This Row],[centro_costo]],tblCECO[codigo],tblCECO[linea],"(sin catálogo)"))</f>
        <v/>
      </c>
      <c r="Y664" s="5">
        <f>IF(tblOrdenes[[#This Row],[centro_costo]]="","",_xlfn.XLOOKUP(tblOrdenes[[#This Row],[centro_costo]],tblCECO[codigo],tblCECO[area],"(sin catálogo)"))</f>
        <v/>
      </c>
      <c r="Z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5">
        <f>IF(tblOrdenes[[#This Row],[centro_costo]]="","",_xlfn.XLOOKUP(tblOrdenes[[#This Row],[centro_costo]],tblCECO[codigo],tblCECO[coordinador],"(sin catálogo)"))</f>
        <v/>
      </c>
      <c r="AB664" s="5">
        <f>IF(tblOrdenes[[#This Row],[puesto_trabajo]]="","",_xlfn.XLOOKUP(tblOrdenes[[#This Row],[puesto_trabajo]],tblPuestos[codigo],tblPuestos[especialidad],"(sin catálogo)"))</f>
        <v/>
      </c>
      <c r="AC664" s="5">
        <f>IF(tblOrdenes[[#This Row],[cod_actividad]]="","",_xlfn.XLOOKUP(tblOrdenes[[#This Row],[cod_actividad]],tblActividades[codigo],tblActividades[descripcion],"(sin catálogo)"))</f>
        <v/>
      </c>
      <c r="AD664" s="23">
        <f>IF(tblOrdenes[[#This Row],[fecha_inicio]]="","",TODAY()-tblOrdenes[[#This Row],[fecha_inicio]])</f>
        <v/>
      </c>
      <c r="AE6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5">
        <f>IF(tblOrdenes[[#This Row],[backlog_habiles]]="","",IF(tblOrdenes[[#This Row],[backlog_habiles]]&lt;0,"FUTURO",IF(tblOrdenes[[#This Row],[backlog_habiles]]&gt;p_dias_backlog_max,"BACKLOG","MES CORRIENTE")))</f>
        <v/>
      </c>
      <c r="AG664" s="5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18">
        <f>IF(tblOrdenes[[#This Row],[orden]]="","",_xlfn.XLOOKUP(tblOrdenes[[#This Row],[id_operacion]],tblEjecucion[id_operacion],tblEjecucion[precio],0))</f>
        <v/>
      </c>
      <c r="AM664" s="18">
        <f>IF(tblOrdenes[[#This Row],[orden]]="","",MAX(0,_xlfn.XLOOKUP(tblOrdenes[[#This Row],[id_operacion]],tblEjecucion[id_operacion],tblEjecucion[costo_plan_total],0)-tblOrdenes[[#This Row],[costo_servicio]]))</f>
        <v/>
      </c>
      <c r="AN664" s="18">
        <f>IF(tblOrdenes[[#This Row],[orden]]="","",tblOrdenes[[#This Row],[costo_servicio]]+tblOrdenes[[#This Row],[costo_materiales]])</f>
        <v/>
      </c>
      <c r="AO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5">
        <f>IF(tblOrdenes[[#This Row],[link_checklist]]="","",HYPERLINK(p_ruta_base_checklists&amp;tblOrdenes[[#This Row],[link_checklist]],"abrir"))</f>
        <v/>
      </c>
      <c r="AT664" s="4" t="n"/>
      <c r="AU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5" t="n"/>
      <c r="K665" s="5" t="n"/>
      <c r="L665" s="18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Row],[fecha_inicio]]="","",tblOrdenes[[#This Row],[anio]]&amp;"-"&amp;TEXT(tblOrdenes[[#This Row],[mes]],"00"))</f>
        <v/>
      </c>
      <c r="S665" s="5">
        <f>IF(tblOrdenes[[#This Row],[fecha_inicio]]="","",INDEX(lista_dias,WEEKDAY(tblOrdenes[[#This Row],[fecha_inicio]],2)))</f>
        <v/>
      </c>
      <c r="T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5">
        <f>IF(tblOrdenes[[#This Row],[tipo_ot]]="","",_xlfn.XLOOKUP(tblOrdenes[[#This Row],[tipo_ot]],tblTiposOT[codigo],tblTiposOT[clasificacion],"sin_clasificar"))</f>
        <v/>
      </c>
      <c r="V6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5">
        <f>IF(tblOrdenes[[#This Row],[centro_costo]]="","",_xlfn.XLOOKUP(tblOrdenes[[#This Row],[centro_costo]],tblCECO[codigo],tblCECO[linea],"(sin catálogo)"))</f>
        <v/>
      </c>
      <c r="Y665" s="5">
        <f>IF(tblOrdenes[[#This Row],[centro_costo]]="","",_xlfn.XLOOKUP(tblOrdenes[[#This Row],[centro_costo]],tblCECO[codigo],tblCECO[area],"(sin catálogo)"))</f>
        <v/>
      </c>
      <c r="Z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5">
        <f>IF(tblOrdenes[[#This Row],[centro_costo]]="","",_xlfn.XLOOKUP(tblOrdenes[[#This Row],[centro_costo]],tblCECO[codigo],tblCECO[coordinador],"(sin catálogo)"))</f>
        <v/>
      </c>
      <c r="AB665" s="5">
        <f>IF(tblOrdenes[[#This Row],[puesto_trabajo]]="","",_xlfn.XLOOKUP(tblOrdenes[[#This Row],[puesto_trabajo]],tblPuestos[codigo],tblPuestos[especialidad],"(sin catálogo)"))</f>
        <v/>
      </c>
      <c r="AC665" s="5">
        <f>IF(tblOrdenes[[#This Row],[cod_actividad]]="","",_xlfn.XLOOKUP(tblOrdenes[[#This Row],[cod_actividad]],tblActividades[codigo],tblActividades[descripcion],"(sin catálogo)"))</f>
        <v/>
      </c>
      <c r="AD665" s="23">
        <f>IF(tblOrdenes[[#This Row],[fecha_inicio]]="","",TODAY()-tblOrdenes[[#This Row],[fecha_inicio]])</f>
        <v/>
      </c>
      <c r="AE6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5">
        <f>IF(tblOrdenes[[#This Row],[backlog_habiles]]="","",IF(tblOrdenes[[#This Row],[backlog_habiles]]&lt;0,"FUTURO",IF(tblOrdenes[[#This Row],[backlog_habiles]]&gt;p_dias_backlog_max,"BACKLOG","MES CORRIENTE")))</f>
        <v/>
      </c>
      <c r="AG665" s="5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18">
        <f>IF(tblOrdenes[[#This Row],[orden]]="","",_xlfn.XLOOKUP(tblOrdenes[[#This Row],[id_operacion]],tblEjecucion[id_operacion],tblEjecucion[precio],0))</f>
        <v/>
      </c>
      <c r="AM665" s="18">
        <f>IF(tblOrdenes[[#This Row],[orden]]="","",MAX(0,_xlfn.XLOOKUP(tblOrdenes[[#This Row],[id_operacion]],tblEjecucion[id_operacion],tblEjecucion[costo_plan_total],0)-tblOrdenes[[#This Row],[costo_servicio]]))</f>
        <v/>
      </c>
      <c r="AN665" s="18">
        <f>IF(tblOrdenes[[#This Row],[orden]]="","",tblOrdenes[[#This Row],[costo_servicio]]+tblOrdenes[[#This Row],[costo_materiales]])</f>
        <v/>
      </c>
      <c r="AO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5">
        <f>IF(tblOrdenes[[#This Row],[link_checklist]]="","",HYPERLINK(p_ruta_base_checklists&amp;tblOrdenes[[#This Row],[link_checklist]],"abrir"))</f>
        <v/>
      </c>
      <c r="AT665" s="4" t="n"/>
      <c r="AU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5" t="n"/>
      <c r="K666" s="5" t="n"/>
      <c r="L666" s="18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Row],[fecha_inicio]]="","",tblOrdenes[[#This Row],[anio]]&amp;"-"&amp;TEXT(tblOrdenes[[#This Row],[mes]],"00"))</f>
        <v/>
      </c>
      <c r="S666" s="5">
        <f>IF(tblOrdenes[[#This Row],[fecha_inicio]]="","",INDEX(lista_dias,WEEKDAY(tblOrdenes[[#This Row],[fecha_inicio]],2)))</f>
        <v/>
      </c>
      <c r="T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5">
        <f>IF(tblOrdenes[[#This Row],[tipo_ot]]="","",_xlfn.XLOOKUP(tblOrdenes[[#This Row],[tipo_ot]],tblTiposOT[codigo],tblTiposOT[clasificacion],"sin_clasificar"))</f>
        <v/>
      </c>
      <c r="V6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5">
        <f>IF(tblOrdenes[[#This Row],[centro_costo]]="","",_xlfn.XLOOKUP(tblOrdenes[[#This Row],[centro_costo]],tblCECO[codigo],tblCECO[linea],"(sin catálogo)"))</f>
        <v/>
      </c>
      <c r="Y666" s="5">
        <f>IF(tblOrdenes[[#This Row],[centro_costo]]="","",_xlfn.XLOOKUP(tblOrdenes[[#This Row],[centro_costo]],tblCECO[codigo],tblCECO[area],"(sin catálogo)"))</f>
        <v/>
      </c>
      <c r="Z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5">
        <f>IF(tblOrdenes[[#This Row],[centro_costo]]="","",_xlfn.XLOOKUP(tblOrdenes[[#This Row],[centro_costo]],tblCECO[codigo],tblCECO[coordinador],"(sin catálogo)"))</f>
        <v/>
      </c>
      <c r="AB666" s="5">
        <f>IF(tblOrdenes[[#This Row],[puesto_trabajo]]="","",_xlfn.XLOOKUP(tblOrdenes[[#This Row],[puesto_trabajo]],tblPuestos[codigo],tblPuestos[especialidad],"(sin catálogo)"))</f>
        <v/>
      </c>
      <c r="AC666" s="5">
        <f>IF(tblOrdenes[[#This Row],[cod_actividad]]="","",_xlfn.XLOOKUP(tblOrdenes[[#This Row],[cod_actividad]],tblActividades[codigo],tblActividades[descripcion],"(sin catálogo)"))</f>
        <v/>
      </c>
      <c r="AD666" s="23">
        <f>IF(tblOrdenes[[#This Row],[fecha_inicio]]="","",TODAY()-tblOrdenes[[#This Row],[fecha_inicio]])</f>
        <v/>
      </c>
      <c r="AE6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5">
        <f>IF(tblOrdenes[[#This Row],[backlog_habiles]]="","",IF(tblOrdenes[[#This Row],[backlog_habiles]]&lt;0,"FUTURO",IF(tblOrdenes[[#This Row],[backlog_habiles]]&gt;p_dias_backlog_max,"BACKLOG","MES CORRIENTE")))</f>
        <v/>
      </c>
      <c r="AG666" s="5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18">
        <f>IF(tblOrdenes[[#This Row],[orden]]="","",_xlfn.XLOOKUP(tblOrdenes[[#This Row],[id_operacion]],tblEjecucion[id_operacion],tblEjecucion[precio],0))</f>
        <v/>
      </c>
      <c r="AM666" s="18">
        <f>IF(tblOrdenes[[#This Row],[orden]]="","",MAX(0,_xlfn.XLOOKUP(tblOrdenes[[#This Row],[id_operacion]],tblEjecucion[id_operacion],tblEjecucion[costo_plan_total],0)-tblOrdenes[[#This Row],[costo_servicio]]))</f>
        <v/>
      </c>
      <c r="AN666" s="18">
        <f>IF(tblOrdenes[[#This Row],[orden]]="","",tblOrdenes[[#This Row],[costo_servicio]]+tblOrdenes[[#This Row],[costo_materiales]])</f>
        <v/>
      </c>
      <c r="AO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5">
        <f>IF(tblOrdenes[[#This Row],[link_checklist]]="","",HYPERLINK(p_ruta_base_checklists&amp;tblOrdenes[[#This Row],[link_checklist]],"abrir"))</f>
        <v/>
      </c>
      <c r="AT666" s="4" t="n"/>
      <c r="AU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5" t="n"/>
      <c r="K667" s="5" t="n"/>
      <c r="L667" s="18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Row],[fecha_inicio]]="","",tblOrdenes[[#This Row],[anio]]&amp;"-"&amp;TEXT(tblOrdenes[[#This Row],[mes]],"00"))</f>
        <v/>
      </c>
      <c r="S667" s="5">
        <f>IF(tblOrdenes[[#This Row],[fecha_inicio]]="","",INDEX(lista_dias,WEEKDAY(tblOrdenes[[#This Row],[fecha_inicio]],2)))</f>
        <v/>
      </c>
      <c r="T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5">
        <f>IF(tblOrdenes[[#This Row],[tipo_ot]]="","",_xlfn.XLOOKUP(tblOrdenes[[#This Row],[tipo_ot]],tblTiposOT[codigo],tblTiposOT[clasificacion],"sin_clasificar"))</f>
        <v/>
      </c>
      <c r="V6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5">
        <f>IF(tblOrdenes[[#This Row],[centro_costo]]="","",_xlfn.XLOOKUP(tblOrdenes[[#This Row],[centro_costo]],tblCECO[codigo],tblCECO[linea],"(sin catálogo)"))</f>
        <v/>
      </c>
      <c r="Y667" s="5">
        <f>IF(tblOrdenes[[#This Row],[centro_costo]]="","",_xlfn.XLOOKUP(tblOrdenes[[#This Row],[centro_costo]],tblCECO[codigo],tblCECO[area],"(sin catálogo)"))</f>
        <v/>
      </c>
      <c r="Z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5">
        <f>IF(tblOrdenes[[#This Row],[centro_costo]]="","",_xlfn.XLOOKUP(tblOrdenes[[#This Row],[centro_costo]],tblCECO[codigo],tblCECO[coordinador],"(sin catálogo)"))</f>
        <v/>
      </c>
      <c r="AB667" s="5">
        <f>IF(tblOrdenes[[#This Row],[puesto_trabajo]]="","",_xlfn.XLOOKUP(tblOrdenes[[#This Row],[puesto_trabajo]],tblPuestos[codigo],tblPuestos[especialidad],"(sin catálogo)"))</f>
        <v/>
      </c>
      <c r="AC667" s="5">
        <f>IF(tblOrdenes[[#This Row],[cod_actividad]]="","",_xlfn.XLOOKUP(tblOrdenes[[#This Row],[cod_actividad]],tblActividades[codigo],tblActividades[descripcion],"(sin catálogo)"))</f>
        <v/>
      </c>
      <c r="AD667" s="23">
        <f>IF(tblOrdenes[[#This Row],[fecha_inicio]]="","",TODAY()-tblOrdenes[[#This Row],[fecha_inicio]])</f>
        <v/>
      </c>
      <c r="AE6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5">
        <f>IF(tblOrdenes[[#This Row],[backlog_habiles]]="","",IF(tblOrdenes[[#This Row],[backlog_habiles]]&lt;0,"FUTURO",IF(tblOrdenes[[#This Row],[backlog_habiles]]&gt;p_dias_backlog_max,"BACKLOG","MES CORRIENTE")))</f>
        <v/>
      </c>
      <c r="AG667" s="5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18">
        <f>IF(tblOrdenes[[#This Row],[orden]]="","",_xlfn.XLOOKUP(tblOrdenes[[#This Row],[id_operacion]],tblEjecucion[id_operacion],tblEjecucion[precio],0))</f>
        <v/>
      </c>
      <c r="AM667" s="18">
        <f>IF(tblOrdenes[[#This Row],[orden]]="","",MAX(0,_xlfn.XLOOKUP(tblOrdenes[[#This Row],[id_operacion]],tblEjecucion[id_operacion],tblEjecucion[costo_plan_total],0)-tblOrdenes[[#This Row],[costo_servicio]]))</f>
        <v/>
      </c>
      <c r="AN667" s="18">
        <f>IF(tblOrdenes[[#This Row],[orden]]="","",tblOrdenes[[#This Row],[costo_servicio]]+tblOrdenes[[#This Row],[costo_materiales]])</f>
        <v/>
      </c>
      <c r="AO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5">
        <f>IF(tblOrdenes[[#This Row],[link_checklist]]="","",HYPERLINK(p_ruta_base_checklists&amp;tblOrdenes[[#This Row],[link_checklist]],"abrir"))</f>
        <v/>
      </c>
      <c r="AT667" s="4" t="n"/>
      <c r="AU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5" t="n"/>
      <c r="K668" s="5" t="n"/>
      <c r="L668" s="18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Row],[fecha_inicio]]="","",tblOrdenes[[#This Row],[anio]]&amp;"-"&amp;TEXT(tblOrdenes[[#This Row],[mes]],"00"))</f>
        <v/>
      </c>
      <c r="S668" s="5">
        <f>IF(tblOrdenes[[#This Row],[fecha_inicio]]="","",INDEX(lista_dias,WEEKDAY(tblOrdenes[[#This Row],[fecha_inicio]],2)))</f>
        <v/>
      </c>
      <c r="T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5">
        <f>IF(tblOrdenes[[#This Row],[tipo_ot]]="","",_xlfn.XLOOKUP(tblOrdenes[[#This Row],[tipo_ot]],tblTiposOT[codigo],tblTiposOT[clasificacion],"sin_clasificar"))</f>
        <v/>
      </c>
      <c r="V6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5">
        <f>IF(tblOrdenes[[#This Row],[centro_costo]]="","",_xlfn.XLOOKUP(tblOrdenes[[#This Row],[centro_costo]],tblCECO[codigo],tblCECO[linea],"(sin catálogo)"))</f>
        <v/>
      </c>
      <c r="Y668" s="5">
        <f>IF(tblOrdenes[[#This Row],[centro_costo]]="","",_xlfn.XLOOKUP(tblOrdenes[[#This Row],[centro_costo]],tblCECO[codigo],tblCECO[area],"(sin catálogo)"))</f>
        <v/>
      </c>
      <c r="Z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5">
        <f>IF(tblOrdenes[[#This Row],[centro_costo]]="","",_xlfn.XLOOKUP(tblOrdenes[[#This Row],[centro_costo]],tblCECO[codigo],tblCECO[coordinador],"(sin catálogo)"))</f>
        <v/>
      </c>
      <c r="AB668" s="5">
        <f>IF(tblOrdenes[[#This Row],[puesto_trabajo]]="","",_xlfn.XLOOKUP(tblOrdenes[[#This Row],[puesto_trabajo]],tblPuestos[codigo],tblPuestos[especialidad],"(sin catálogo)"))</f>
        <v/>
      </c>
      <c r="AC668" s="5">
        <f>IF(tblOrdenes[[#This Row],[cod_actividad]]="","",_xlfn.XLOOKUP(tblOrdenes[[#This Row],[cod_actividad]],tblActividades[codigo],tblActividades[descripcion],"(sin catálogo)"))</f>
        <v/>
      </c>
      <c r="AD668" s="23">
        <f>IF(tblOrdenes[[#This Row],[fecha_inicio]]="","",TODAY()-tblOrdenes[[#This Row],[fecha_inicio]])</f>
        <v/>
      </c>
      <c r="AE6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5">
        <f>IF(tblOrdenes[[#This Row],[backlog_habiles]]="","",IF(tblOrdenes[[#This Row],[backlog_habiles]]&lt;0,"FUTURO",IF(tblOrdenes[[#This Row],[backlog_habiles]]&gt;p_dias_backlog_max,"BACKLOG","MES CORRIENTE")))</f>
        <v/>
      </c>
      <c r="AG668" s="5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18">
        <f>IF(tblOrdenes[[#This Row],[orden]]="","",_xlfn.XLOOKUP(tblOrdenes[[#This Row],[id_operacion]],tblEjecucion[id_operacion],tblEjecucion[precio],0))</f>
        <v/>
      </c>
      <c r="AM668" s="18">
        <f>IF(tblOrdenes[[#This Row],[orden]]="","",MAX(0,_xlfn.XLOOKUP(tblOrdenes[[#This Row],[id_operacion]],tblEjecucion[id_operacion],tblEjecucion[costo_plan_total],0)-tblOrdenes[[#This Row],[costo_servicio]]))</f>
        <v/>
      </c>
      <c r="AN668" s="18">
        <f>IF(tblOrdenes[[#This Row],[orden]]="","",tblOrdenes[[#This Row],[costo_servicio]]+tblOrdenes[[#This Row],[costo_materiales]])</f>
        <v/>
      </c>
      <c r="AO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5">
        <f>IF(tblOrdenes[[#This Row],[link_checklist]]="","",HYPERLINK(p_ruta_base_checklists&amp;tblOrdenes[[#This Row],[link_checklist]],"abrir"))</f>
        <v/>
      </c>
      <c r="AT668" s="4" t="n"/>
      <c r="AU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5" t="n"/>
      <c r="K669" s="5" t="n"/>
      <c r="L669" s="18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Row],[fecha_inicio]]="","",tblOrdenes[[#This Row],[anio]]&amp;"-"&amp;TEXT(tblOrdenes[[#This Row],[mes]],"00"))</f>
        <v/>
      </c>
      <c r="S669" s="5">
        <f>IF(tblOrdenes[[#This Row],[fecha_inicio]]="","",INDEX(lista_dias,WEEKDAY(tblOrdenes[[#This Row],[fecha_inicio]],2)))</f>
        <v/>
      </c>
      <c r="T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5">
        <f>IF(tblOrdenes[[#This Row],[tipo_ot]]="","",_xlfn.XLOOKUP(tblOrdenes[[#This Row],[tipo_ot]],tblTiposOT[codigo],tblTiposOT[clasificacion],"sin_clasificar"))</f>
        <v/>
      </c>
      <c r="V6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5">
        <f>IF(tblOrdenes[[#This Row],[centro_costo]]="","",_xlfn.XLOOKUP(tblOrdenes[[#This Row],[centro_costo]],tblCECO[codigo],tblCECO[linea],"(sin catálogo)"))</f>
        <v/>
      </c>
      <c r="Y669" s="5">
        <f>IF(tblOrdenes[[#This Row],[centro_costo]]="","",_xlfn.XLOOKUP(tblOrdenes[[#This Row],[centro_costo]],tblCECO[codigo],tblCECO[area],"(sin catálogo)"))</f>
        <v/>
      </c>
      <c r="Z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5">
        <f>IF(tblOrdenes[[#This Row],[centro_costo]]="","",_xlfn.XLOOKUP(tblOrdenes[[#This Row],[centro_costo]],tblCECO[codigo],tblCECO[coordinador],"(sin catálogo)"))</f>
        <v/>
      </c>
      <c r="AB669" s="5">
        <f>IF(tblOrdenes[[#This Row],[puesto_trabajo]]="","",_xlfn.XLOOKUP(tblOrdenes[[#This Row],[puesto_trabajo]],tblPuestos[codigo],tblPuestos[especialidad],"(sin catálogo)"))</f>
        <v/>
      </c>
      <c r="AC669" s="5">
        <f>IF(tblOrdenes[[#This Row],[cod_actividad]]="","",_xlfn.XLOOKUP(tblOrdenes[[#This Row],[cod_actividad]],tblActividades[codigo],tblActividades[descripcion],"(sin catálogo)"))</f>
        <v/>
      </c>
      <c r="AD669" s="23">
        <f>IF(tblOrdenes[[#This Row],[fecha_inicio]]="","",TODAY()-tblOrdenes[[#This Row],[fecha_inicio]])</f>
        <v/>
      </c>
      <c r="AE6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5">
        <f>IF(tblOrdenes[[#This Row],[backlog_habiles]]="","",IF(tblOrdenes[[#This Row],[backlog_habiles]]&lt;0,"FUTURO",IF(tblOrdenes[[#This Row],[backlog_habiles]]&gt;p_dias_backlog_max,"BACKLOG","MES CORRIENTE")))</f>
        <v/>
      </c>
      <c r="AG669" s="5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18">
        <f>IF(tblOrdenes[[#This Row],[orden]]="","",_xlfn.XLOOKUP(tblOrdenes[[#This Row],[id_operacion]],tblEjecucion[id_operacion],tblEjecucion[precio],0))</f>
        <v/>
      </c>
      <c r="AM669" s="18">
        <f>IF(tblOrdenes[[#This Row],[orden]]="","",MAX(0,_xlfn.XLOOKUP(tblOrdenes[[#This Row],[id_operacion]],tblEjecucion[id_operacion],tblEjecucion[costo_plan_total],0)-tblOrdenes[[#This Row],[costo_servicio]]))</f>
        <v/>
      </c>
      <c r="AN669" s="18">
        <f>IF(tblOrdenes[[#This Row],[orden]]="","",tblOrdenes[[#This Row],[costo_servicio]]+tblOrdenes[[#This Row],[costo_materiales]])</f>
        <v/>
      </c>
      <c r="AO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5">
        <f>IF(tblOrdenes[[#This Row],[link_checklist]]="","",HYPERLINK(p_ruta_base_checklists&amp;tblOrdenes[[#This Row],[link_checklist]],"abrir"))</f>
        <v/>
      </c>
      <c r="AT669" s="4" t="n"/>
      <c r="AU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5" t="n"/>
      <c r="K670" s="5" t="n"/>
      <c r="L670" s="18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Row],[fecha_inicio]]="","",tblOrdenes[[#This Row],[anio]]&amp;"-"&amp;TEXT(tblOrdenes[[#This Row],[mes]],"00"))</f>
        <v/>
      </c>
      <c r="S670" s="5">
        <f>IF(tblOrdenes[[#This Row],[fecha_inicio]]="","",INDEX(lista_dias,WEEKDAY(tblOrdenes[[#This Row],[fecha_inicio]],2)))</f>
        <v/>
      </c>
      <c r="T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5">
        <f>IF(tblOrdenes[[#This Row],[tipo_ot]]="","",_xlfn.XLOOKUP(tblOrdenes[[#This Row],[tipo_ot]],tblTiposOT[codigo],tblTiposOT[clasificacion],"sin_clasificar"))</f>
        <v/>
      </c>
      <c r="V6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5">
        <f>IF(tblOrdenes[[#This Row],[centro_costo]]="","",_xlfn.XLOOKUP(tblOrdenes[[#This Row],[centro_costo]],tblCECO[codigo],tblCECO[linea],"(sin catálogo)"))</f>
        <v/>
      </c>
      <c r="Y670" s="5">
        <f>IF(tblOrdenes[[#This Row],[centro_costo]]="","",_xlfn.XLOOKUP(tblOrdenes[[#This Row],[centro_costo]],tblCECO[codigo],tblCECO[area],"(sin catálogo)"))</f>
        <v/>
      </c>
      <c r="Z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5">
        <f>IF(tblOrdenes[[#This Row],[centro_costo]]="","",_xlfn.XLOOKUP(tblOrdenes[[#This Row],[centro_costo]],tblCECO[codigo],tblCECO[coordinador],"(sin catálogo)"))</f>
        <v/>
      </c>
      <c r="AB670" s="5">
        <f>IF(tblOrdenes[[#This Row],[puesto_trabajo]]="","",_xlfn.XLOOKUP(tblOrdenes[[#This Row],[puesto_trabajo]],tblPuestos[codigo],tblPuestos[especialidad],"(sin catálogo)"))</f>
        <v/>
      </c>
      <c r="AC670" s="5">
        <f>IF(tblOrdenes[[#This Row],[cod_actividad]]="","",_xlfn.XLOOKUP(tblOrdenes[[#This Row],[cod_actividad]],tblActividades[codigo],tblActividades[descripcion],"(sin catálogo)"))</f>
        <v/>
      </c>
      <c r="AD670" s="23">
        <f>IF(tblOrdenes[[#This Row],[fecha_inicio]]="","",TODAY()-tblOrdenes[[#This Row],[fecha_inicio]])</f>
        <v/>
      </c>
      <c r="AE6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5">
        <f>IF(tblOrdenes[[#This Row],[backlog_habiles]]="","",IF(tblOrdenes[[#This Row],[backlog_habiles]]&lt;0,"FUTURO",IF(tblOrdenes[[#This Row],[backlog_habiles]]&gt;p_dias_backlog_max,"BACKLOG","MES CORRIENTE")))</f>
        <v/>
      </c>
      <c r="AG670" s="5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18">
        <f>IF(tblOrdenes[[#This Row],[orden]]="","",_xlfn.XLOOKUP(tblOrdenes[[#This Row],[id_operacion]],tblEjecucion[id_operacion],tblEjecucion[precio],0))</f>
        <v/>
      </c>
      <c r="AM670" s="18">
        <f>IF(tblOrdenes[[#This Row],[orden]]="","",MAX(0,_xlfn.XLOOKUP(tblOrdenes[[#This Row],[id_operacion]],tblEjecucion[id_operacion],tblEjecucion[costo_plan_total],0)-tblOrdenes[[#This Row],[costo_servicio]]))</f>
        <v/>
      </c>
      <c r="AN670" s="18">
        <f>IF(tblOrdenes[[#This Row],[orden]]="","",tblOrdenes[[#This Row],[costo_servicio]]+tblOrdenes[[#This Row],[costo_materiales]])</f>
        <v/>
      </c>
      <c r="AO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5">
        <f>IF(tblOrdenes[[#This Row],[link_checklist]]="","",HYPERLINK(p_ruta_base_checklists&amp;tblOrdenes[[#This Row],[link_checklist]],"abrir"))</f>
        <v/>
      </c>
      <c r="AT670" s="4" t="n"/>
      <c r="AU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5" t="n"/>
      <c r="K671" s="5" t="n"/>
      <c r="L671" s="18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Row],[fecha_inicio]]="","",tblOrdenes[[#This Row],[anio]]&amp;"-"&amp;TEXT(tblOrdenes[[#This Row],[mes]],"00"))</f>
        <v/>
      </c>
      <c r="S671" s="5">
        <f>IF(tblOrdenes[[#This Row],[fecha_inicio]]="","",INDEX(lista_dias,WEEKDAY(tblOrdenes[[#This Row],[fecha_inicio]],2)))</f>
        <v/>
      </c>
      <c r="T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5">
        <f>IF(tblOrdenes[[#This Row],[tipo_ot]]="","",_xlfn.XLOOKUP(tblOrdenes[[#This Row],[tipo_ot]],tblTiposOT[codigo],tblTiposOT[clasificacion],"sin_clasificar"))</f>
        <v/>
      </c>
      <c r="V6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5">
        <f>IF(tblOrdenes[[#This Row],[centro_costo]]="","",_xlfn.XLOOKUP(tblOrdenes[[#This Row],[centro_costo]],tblCECO[codigo],tblCECO[linea],"(sin catálogo)"))</f>
        <v/>
      </c>
      <c r="Y671" s="5">
        <f>IF(tblOrdenes[[#This Row],[centro_costo]]="","",_xlfn.XLOOKUP(tblOrdenes[[#This Row],[centro_costo]],tblCECO[codigo],tblCECO[area],"(sin catálogo)"))</f>
        <v/>
      </c>
      <c r="Z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5">
        <f>IF(tblOrdenes[[#This Row],[centro_costo]]="","",_xlfn.XLOOKUP(tblOrdenes[[#This Row],[centro_costo]],tblCECO[codigo],tblCECO[coordinador],"(sin catálogo)"))</f>
        <v/>
      </c>
      <c r="AB671" s="5">
        <f>IF(tblOrdenes[[#This Row],[puesto_trabajo]]="","",_xlfn.XLOOKUP(tblOrdenes[[#This Row],[puesto_trabajo]],tblPuestos[codigo],tblPuestos[especialidad],"(sin catálogo)"))</f>
        <v/>
      </c>
      <c r="AC671" s="5">
        <f>IF(tblOrdenes[[#This Row],[cod_actividad]]="","",_xlfn.XLOOKUP(tblOrdenes[[#This Row],[cod_actividad]],tblActividades[codigo],tblActividades[descripcion],"(sin catálogo)"))</f>
        <v/>
      </c>
      <c r="AD671" s="23">
        <f>IF(tblOrdenes[[#This Row],[fecha_inicio]]="","",TODAY()-tblOrdenes[[#This Row],[fecha_inicio]])</f>
        <v/>
      </c>
      <c r="AE6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5">
        <f>IF(tblOrdenes[[#This Row],[backlog_habiles]]="","",IF(tblOrdenes[[#This Row],[backlog_habiles]]&lt;0,"FUTURO",IF(tblOrdenes[[#This Row],[backlog_habiles]]&gt;p_dias_backlog_max,"BACKLOG","MES CORRIENTE")))</f>
        <v/>
      </c>
      <c r="AG671" s="5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18">
        <f>IF(tblOrdenes[[#This Row],[orden]]="","",_xlfn.XLOOKUP(tblOrdenes[[#This Row],[id_operacion]],tblEjecucion[id_operacion],tblEjecucion[precio],0))</f>
        <v/>
      </c>
      <c r="AM671" s="18">
        <f>IF(tblOrdenes[[#This Row],[orden]]="","",MAX(0,_xlfn.XLOOKUP(tblOrdenes[[#This Row],[id_operacion]],tblEjecucion[id_operacion],tblEjecucion[costo_plan_total],0)-tblOrdenes[[#This Row],[costo_servicio]]))</f>
        <v/>
      </c>
      <c r="AN671" s="18">
        <f>IF(tblOrdenes[[#This Row],[orden]]="","",tblOrdenes[[#This Row],[costo_servicio]]+tblOrdenes[[#This Row],[costo_materiales]])</f>
        <v/>
      </c>
      <c r="AO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5">
        <f>IF(tblOrdenes[[#This Row],[link_checklist]]="","",HYPERLINK(p_ruta_base_checklists&amp;tblOrdenes[[#This Row],[link_checklist]],"abrir"))</f>
        <v/>
      </c>
      <c r="AT671" s="4" t="n"/>
      <c r="AU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5" t="n"/>
      <c r="K672" s="5" t="n"/>
      <c r="L672" s="18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Row],[fecha_inicio]]="","",tblOrdenes[[#This Row],[anio]]&amp;"-"&amp;TEXT(tblOrdenes[[#This Row],[mes]],"00"))</f>
        <v/>
      </c>
      <c r="S672" s="5">
        <f>IF(tblOrdenes[[#This Row],[fecha_inicio]]="","",INDEX(lista_dias,WEEKDAY(tblOrdenes[[#This Row],[fecha_inicio]],2)))</f>
        <v/>
      </c>
      <c r="T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5">
        <f>IF(tblOrdenes[[#This Row],[tipo_ot]]="","",_xlfn.XLOOKUP(tblOrdenes[[#This Row],[tipo_ot]],tblTiposOT[codigo],tblTiposOT[clasificacion],"sin_clasificar"))</f>
        <v/>
      </c>
      <c r="V6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5">
        <f>IF(tblOrdenes[[#This Row],[centro_costo]]="","",_xlfn.XLOOKUP(tblOrdenes[[#This Row],[centro_costo]],tblCECO[codigo],tblCECO[linea],"(sin catálogo)"))</f>
        <v/>
      </c>
      <c r="Y672" s="5">
        <f>IF(tblOrdenes[[#This Row],[centro_costo]]="","",_xlfn.XLOOKUP(tblOrdenes[[#This Row],[centro_costo]],tblCECO[codigo],tblCECO[area],"(sin catálogo)"))</f>
        <v/>
      </c>
      <c r="Z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5">
        <f>IF(tblOrdenes[[#This Row],[centro_costo]]="","",_xlfn.XLOOKUP(tblOrdenes[[#This Row],[centro_costo]],tblCECO[codigo],tblCECO[coordinador],"(sin catálogo)"))</f>
        <v/>
      </c>
      <c r="AB672" s="5">
        <f>IF(tblOrdenes[[#This Row],[puesto_trabajo]]="","",_xlfn.XLOOKUP(tblOrdenes[[#This Row],[puesto_trabajo]],tblPuestos[codigo],tblPuestos[especialidad],"(sin catálogo)"))</f>
        <v/>
      </c>
      <c r="AC672" s="5">
        <f>IF(tblOrdenes[[#This Row],[cod_actividad]]="","",_xlfn.XLOOKUP(tblOrdenes[[#This Row],[cod_actividad]],tblActividades[codigo],tblActividades[descripcion],"(sin catálogo)"))</f>
        <v/>
      </c>
      <c r="AD672" s="23">
        <f>IF(tblOrdenes[[#This Row],[fecha_inicio]]="","",TODAY()-tblOrdenes[[#This Row],[fecha_inicio]])</f>
        <v/>
      </c>
      <c r="AE6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5">
        <f>IF(tblOrdenes[[#This Row],[backlog_habiles]]="","",IF(tblOrdenes[[#This Row],[backlog_habiles]]&lt;0,"FUTURO",IF(tblOrdenes[[#This Row],[backlog_habiles]]&gt;p_dias_backlog_max,"BACKLOG","MES CORRIENTE")))</f>
        <v/>
      </c>
      <c r="AG672" s="5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18">
        <f>IF(tblOrdenes[[#This Row],[orden]]="","",_xlfn.XLOOKUP(tblOrdenes[[#This Row],[id_operacion]],tblEjecucion[id_operacion],tblEjecucion[precio],0))</f>
        <v/>
      </c>
      <c r="AM672" s="18">
        <f>IF(tblOrdenes[[#This Row],[orden]]="","",MAX(0,_xlfn.XLOOKUP(tblOrdenes[[#This Row],[id_operacion]],tblEjecucion[id_operacion],tblEjecucion[costo_plan_total],0)-tblOrdenes[[#This Row],[costo_servicio]]))</f>
        <v/>
      </c>
      <c r="AN672" s="18">
        <f>IF(tblOrdenes[[#This Row],[orden]]="","",tblOrdenes[[#This Row],[costo_servicio]]+tblOrdenes[[#This Row],[costo_materiales]])</f>
        <v/>
      </c>
      <c r="AO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5">
        <f>IF(tblOrdenes[[#This Row],[link_checklist]]="","",HYPERLINK(p_ruta_base_checklists&amp;tblOrdenes[[#This Row],[link_checklist]],"abrir"))</f>
        <v/>
      </c>
      <c r="AT672" s="4" t="n"/>
      <c r="AU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5" t="n"/>
      <c r="K673" s="5" t="n"/>
      <c r="L673" s="18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Row],[fecha_inicio]]="","",tblOrdenes[[#This Row],[anio]]&amp;"-"&amp;TEXT(tblOrdenes[[#This Row],[mes]],"00"))</f>
        <v/>
      </c>
      <c r="S673" s="5">
        <f>IF(tblOrdenes[[#This Row],[fecha_inicio]]="","",INDEX(lista_dias,WEEKDAY(tblOrdenes[[#This Row],[fecha_inicio]],2)))</f>
        <v/>
      </c>
      <c r="T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5">
        <f>IF(tblOrdenes[[#This Row],[tipo_ot]]="","",_xlfn.XLOOKUP(tblOrdenes[[#This Row],[tipo_ot]],tblTiposOT[codigo],tblTiposOT[clasificacion],"sin_clasificar"))</f>
        <v/>
      </c>
      <c r="V6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5">
        <f>IF(tblOrdenes[[#This Row],[centro_costo]]="","",_xlfn.XLOOKUP(tblOrdenes[[#This Row],[centro_costo]],tblCECO[codigo],tblCECO[linea],"(sin catálogo)"))</f>
        <v/>
      </c>
      <c r="Y673" s="5">
        <f>IF(tblOrdenes[[#This Row],[centro_costo]]="","",_xlfn.XLOOKUP(tblOrdenes[[#This Row],[centro_costo]],tblCECO[codigo],tblCECO[area],"(sin catálogo)"))</f>
        <v/>
      </c>
      <c r="Z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5">
        <f>IF(tblOrdenes[[#This Row],[centro_costo]]="","",_xlfn.XLOOKUP(tblOrdenes[[#This Row],[centro_costo]],tblCECO[codigo],tblCECO[coordinador],"(sin catálogo)"))</f>
        <v/>
      </c>
      <c r="AB673" s="5">
        <f>IF(tblOrdenes[[#This Row],[puesto_trabajo]]="","",_xlfn.XLOOKUP(tblOrdenes[[#This Row],[puesto_trabajo]],tblPuestos[codigo],tblPuestos[especialidad],"(sin catálogo)"))</f>
        <v/>
      </c>
      <c r="AC673" s="5">
        <f>IF(tblOrdenes[[#This Row],[cod_actividad]]="","",_xlfn.XLOOKUP(tblOrdenes[[#This Row],[cod_actividad]],tblActividades[codigo],tblActividades[descripcion],"(sin catálogo)"))</f>
        <v/>
      </c>
      <c r="AD673" s="23">
        <f>IF(tblOrdenes[[#This Row],[fecha_inicio]]="","",TODAY()-tblOrdenes[[#This Row],[fecha_inicio]])</f>
        <v/>
      </c>
      <c r="AE6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5">
        <f>IF(tblOrdenes[[#This Row],[backlog_habiles]]="","",IF(tblOrdenes[[#This Row],[backlog_habiles]]&lt;0,"FUTURO",IF(tblOrdenes[[#This Row],[backlog_habiles]]&gt;p_dias_backlog_max,"BACKLOG","MES CORRIENTE")))</f>
        <v/>
      </c>
      <c r="AG673" s="5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18">
        <f>IF(tblOrdenes[[#This Row],[orden]]="","",_xlfn.XLOOKUP(tblOrdenes[[#This Row],[id_operacion]],tblEjecucion[id_operacion],tblEjecucion[precio],0))</f>
        <v/>
      </c>
      <c r="AM673" s="18">
        <f>IF(tblOrdenes[[#This Row],[orden]]="","",MAX(0,_xlfn.XLOOKUP(tblOrdenes[[#This Row],[id_operacion]],tblEjecucion[id_operacion],tblEjecucion[costo_plan_total],0)-tblOrdenes[[#This Row],[costo_servicio]]))</f>
        <v/>
      </c>
      <c r="AN673" s="18">
        <f>IF(tblOrdenes[[#This Row],[orden]]="","",tblOrdenes[[#This Row],[costo_servicio]]+tblOrdenes[[#This Row],[costo_materiales]])</f>
        <v/>
      </c>
      <c r="AO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5">
        <f>IF(tblOrdenes[[#This Row],[link_checklist]]="","",HYPERLINK(p_ruta_base_checklists&amp;tblOrdenes[[#This Row],[link_checklist]],"abrir"))</f>
        <v/>
      </c>
      <c r="AT673" s="4" t="n"/>
      <c r="AU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5" t="n"/>
      <c r="K674" s="5" t="n"/>
      <c r="L674" s="18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Row],[fecha_inicio]]="","",tblOrdenes[[#This Row],[anio]]&amp;"-"&amp;TEXT(tblOrdenes[[#This Row],[mes]],"00"))</f>
        <v/>
      </c>
      <c r="S674" s="5">
        <f>IF(tblOrdenes[[#This Row],[fecha_inicio]]="","",INDEX(lista_dias,WEEKDAY(tblOrdenes[[#This Row],[fecha_inicio]],2)))</f>
        <v/>
      </c>
      <c r="T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5">
        <f>IF(tblOrdenes[[#This Row],[tipo_ot]]="","",_xlfn.XLOOKUP(tblOrdenes[[#This Row],[tipo_ot]],tblTiposOT[codigo],tblTiposOT[clasificacion],"sin_clasificar"))</f>
        <v/>
      </c>
      <c r="V6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5">
        <f>IF(tblOrdenes[[#This Row],[centro_costo]]="","",_xlfn.XLOOKUP(tblOrdenes[[#This Row],[centro_costo]],tblCECO[codigo],tblCECO[linea],"(sin catálogo)"))</f>
        <v/>
      </c>
      <c r="Y674" s="5">
        <f>IF(tblOrdenes[[#This Row],[centro_costo]]="","",_xlfn.XLOOKUP(tblOrdenes[[#This Row],[centro_costo]],tblCECO[codigo],tblCECO[area],"(sin catálogo)"))</f>
        <v/>
      </c>
      <c r="Z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5">
        <f>IF(tblOrdenes[[#This Row],[centro_costo]]="","",_xlfn.XLOOKUP(tblOrdenes[[#This Row],[centro_costo]],tblCECO[codigo],tblCECO[coordinador],"(sin catálogo)"))</f>
        <v/>
      </c>
      <c r="AB674" s="5">
        <f>IF(tblOrdenes[[#This Row],[puesto_trabajo]]="","",_xlfn.XLOOKUP(tblOrdenes[[#This Row],[puesto_trabajo]],tblPuestos[codigo],tblPuestos[especialidad],"(sin catálogo)"))</f>
        <v/>
      </c>
      <c r="AC674" s="5">
        <f>IF(tblOrdenes[[#This Row],[cod_actividad]]="","",_xlfn.XLOOKUP(tblOrdenes[[#This Row],[cod_actividad]],tblActividades[codigo],tblActividades[descripcion],"(sin catálogo)"))</f>
        <v/>
      </c>
      <c r="AD674" s="23">
        <f>IF(tblOrdenes[[#This Row],[fecha_inicio]]="","",TODAY()-tblOrdenes[[#This Row],[fecha_inicio]])</f>
        <v/>
      </c>
      <c r="AE6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5">
        <f>IF(tblOrdenes[[#This Row],[backlog_habiles]]="","",IF(tblOrdenes[[#This Row],[backlog_habiles]]&lt;0,"FUTURO",IF(tblOrdenes[[#This Row],[backlog_habiles]]&gt;p_dias_backlog_max,"BACKLOG","MES CORRIENTE")))</f>
        <v/>
      </c>
      <c r="AG674" s="5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18">
        <f>IF(tblOrdenes[[#This Row],[orden]]="","",_xlfn.XLOOKUP(tblOrdenes[[#This Row],[id_operacion]],tblEjecucion[id_operacion],tblEjecucion[precio],0))</f>
        <v/>
      </c>
      <c r="AM674" s="18">
        <f>IF(tblOrdenes[[#This Row],[orden]]="","",MAX(0,_xlfn.XLOOKUP(tblOrdenes[[#This Row],[id_operacion]],tblEjecucion[id_operacion],tblEjecucion[costo_plan_total],0)-tblOrdenes[[#This Row],[costo_servicio]]))</f>
        <v/>
      </c>
      <c r="AN674" s="18">
        <f>IF(tblOrdenes[[#This Row],[orden]]="","",tblOrdenes[[#This Row],[costo_servicio]]+tblOrdenes[[#This Row],[costo_materiales]])</f>
        <v/>
      </c>
      <c r="AO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5">
        <f>IF(tblOrdenes[[#This Row],[link_checklist]]="","",HYPERLINK(p_ruta_base_checklists&amp;tblOrdenes[[#This Row],[link_checklist]],"abrir"))</f>
        <v/>
      </c>
      <c r="AT674" s="4" t="n"/>
      <c r="AU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5" t="n"/>
      <c r="K675" s="5" t="n"/>
      <c r="L675" s="18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Row],[fecha_inicio]]="","",tblOrdenes[[#This Row],[anio]]&amp;"-"&amp;TEXT(tblOrdenes[[#This Row],[mes]],"00"))</f>
        <v/>
      </c>
      <c r="S675" s="5">
        <f>IF(tblOrdenes[[#This Row],[fecha_inicio]]="","",INDEX(lista_dias,WEEKDAY(tblOrdenes[[#This Row],[fecha_inicio]],2)))</f>
        <v/>
      </c>
      <c r="T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5">
        <f>IF(tblOrdenes[[#This Row],[tipo_ot]]="","",_xlfn.XLOOKUP(tblOrdenes[[#This Row],[tipo_ot]],tblTiposOT[codigo],tblTiposOT[clasificacion],"sin_clasificar"))</f>
        <v/>
      </c>
      <c r="V6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5">
        <f>IF(tblOrdenes[[#This Row],[centro_costo]]="","",_xlfn.XLOOKUP(tblOrdenes[[#This Row],[centro_costo]],tblCECO[codigo],tblCECO[linea],"(sin catálogo)"))</f>
        <v/>
      </c>
      <c r="Y675" s="5">
        <f>IF(tblOrdenes[[#This Row],[centro_costo]]="","",_xlfn.XLOOKUP(tblOrdenes[[#This Row],[centro_costo]],tblCECO[codigo],tblCECO[area],"(sin catálogo)"))</f>
        <v/>
      </c>
      <c r="Z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5">
        <f>IF(tblOrdenes[[#This Row],[centro_costo]]="","",_xlfn.XLOOKUP(tblOrdenes[[#This Row],[centro_costo]],tblCECO[codigo],tblCECO[coordinador],"(sin catálogo)"))</f>
        <v/>
      </c>
      <c r="AB675" s="5">
        <f>IF(tblOrdenes[[#This Row],[puesto_trabajo]]="","",_xlfn.XLOOKUP(tblOrdenes[[#This Row],[puesto_trabajo]],tblPuestos[codigo],tblPuestos[especialidad],"(sin catálogo)"))</f>
        <v/>
      </c>
      <c r="AC675" s="5">
        <f>IF(tblOrdenes[[#This Row],[cod_actividad]]="","",_xlfn.XLOOKUP(tblOrdenes[[#This Row],[cod_actividad]],tblActividades[codigo],tblActividades[descripcion],"(sin catálogo)"))</f>
        <v/>
      </c>
      <c r="AD675" s="23">
        <f>IF(tblOrdenes[[#This Row],[fecha_inicio]]="","",TODAY()-tblOrdenes[[#This Row],[fecha_inicio]])</f>
        <v/>
      </c>
      <c r="AE6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5">
        <f>IF(tblOrdenes[[#This Row],[backlog_habiles]]="","",IF(tblOrdenes[[#This Row],[backlog_habiles]]&lt;0,"FUTURO",IF(tblOrdenes[[#This Row],[backlog_habiles]]&gt;p_dias_backlog_max,"BACKLOG","MES CORRIENTE")))</f>
        <v/>
      </c>
      <c r="AG675" s="5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18">
        <f>IF(tblOrdenes[[#This Row],[orden]]="","",_xlfn.XLOOKUP(tblOrdenes[[#This Row],[id_operacion]],tblEjecucion[id_operacion],tblEjecucion[precio],0))</f>
        <v/>
      </c>
      <c r="AM675" s="18">
        <f>IF(tblOrdenes[[#This Row],[orden]]="","",MAX(0,_xlfn.XLOOKUP(tblOrdenes[[#This Row],[id_operacion]],tblEjecucion[id_operacion],tblEjecucion[costo_plan_total],0)-tblOrdenes[[#This Row],[costo_servicio]]))</f>
        <v/>
      </c>
      <c r="AN675" s="18">
        <f>IF(tblOrdenes[[#This Row],[orden]]="","",tblOrdenes[[#This Row],[costo_servicio]]+tblOrdenes[[#This Row],[costo_materiales]])</f>
        <v/>
      </c>
      <c r="AO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5">
        <f>IF(tblOrdenes[[#This Row],[link_checklist]]="","",HYPERLINK(p_ruta_base_checklists&amp;tblOrdenes[[#This Row],[link_checklist]],"abrir"))</f>
        <v/>
      </c>
      <c r="AT675" s="4" t="n"/>
      <c r="AU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5" t="n"/>
      <c r="K676" s="5" t="n"/>
      <c r="L676" s="18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Row],[fecha_inicio]]="","",tblOrdenes[[#This Row],[anio]]&amp;"-"&amp;TEXT(tblOrdenes[[#This Row],[mes]],"00"))</f>
        <v/>
      </c>
      <c r="S676" s="5">
        <f>IF(tblOrdenes[[#This Row],[fecha_inicio]]="","",INDEX(lista_dias,WEEKDAY(tblOrdenes[[#This Row],[fecha_inicio]],2)))</f>
        <v/>
      </c>
      <c r="T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5">
        <f>IF(tblOrdenes[[#This Row],[tipo_ot]]="","",_xlfn.XLOOKUP(tblOrdenes[[#This Row],[tipo_ot]],tblTiposOT[codigo],tblTiposOT[clasificacion],"sin_clasificar"))</f>
        <v/>
      </c>
      <c r="V6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5">
        <f>IF(tblOrdenes[[#This Row],[centro_costo]]="","",_xlfn.XLOOKUP(tblOrdenes[[#This Row],[centro_costo]],tblCECO[codigo],tblCECO[linea],"(sin catálogo)"))</f>
        <v/>
      </c>
      <c r="Y676" s="5">
        <f>IF(tblOrdenes[[#This Row],[centro_costo]]="","",_xlfn.XLOOKUP(tblOrdenes[[#This Row],[centro_costo]],tblCECO[codigo],tblCECO[area],"(sin catálogo)"))</f>
        <v/>
      </c>
      <c r="Z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5">
        <f>IF(tblOrdenes[[#This Row],[centro_costo]]="","",_xlfn.XLOOKUP(tblOrdenes[[#This Row],[centro_costo]],tblCECO[codigo],tblCECO[coordinador],"(sin catálogo)"))</f>
        <v/>
      </c>
      <c r="AB676" s="5">
        <f>IF(tblOrdenes[[#This Row],[puesto_trabajo]]="","",_xlfn.XLOOKUP(tblOrdenes[[#This Row],[puesto_trabajo]],tblPuestos[codigo],tblPuestos[especialidad],"(sin catálogo)"))</f>
        <v/>
      </c>
      <c r="AC676" s="5">
        <f>IF(tblOrdenes[[#This Row],[cod_actividad]]="","",_xlfn.XLOOKUP(tblOrdenes[[#This Row],[cod_actividad]],tblActividades[codigo],tblActividades[descripcion],"(sin catálogo)"))</f>
        <v/>
      </c>
      <c r="AD676" s="23">
        <f>IF(tblOrdenes[[#This Row],[fecha_inicio]]="","",TODAY()-tblOrdenes[[#This Row],[fecha_inicio]])</f>
        <v/>
      </c>
      <c r="AE6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5">
        <f>IF(tblOrdenes[[#This Row],[backlog_habiles]]="","",IF(tblOrdenes[[#This Row],[backlog_habiles]]&lt;0,"FUTURO",IF(tblOrdenes[[#This Row],[backlog_habiles]]&gt;p_dias_backlog_max,"BACKLOG","MES CORRIENTE")))</f>
        <v/>
      </c>
      <c r="AG676" s="5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18">
        <f>IF(tblOrdenes[[#This Row],[orden]]="","",_xlfn.XLOOKUP(tblOrdenes[[#This Row],[id_operacion]],tblEjecucion[id_operacion],tblEjecucion[precio],0))</f>
        <v/>
      </c>
      <c r="AM676" s="18">
        <f>IF(tblOrdenes[[#This Row],[orden]]="","",MAX(0,_xlfn.XLOOKUP(tblOrdenes[[#This Row],[id_operacion]],tblEjecucion[id_operacion],tblEjecucion[costo_plan_total],0)-tblOrdenes[[#This Row],[costo_servicio]]))</f>
        <v/>
      </c>
      <c r="AN676" s="18">
        <f>IF(tblOrdenes[[#This Row],[orden]]="","",tblOrdenes[[#This Row],[costo_servicio]]+tblOrdenes[[#This Row],[costo_materiales]])</f>
        <v/>
      </c>
      <c r="AO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5">
        <f>IF(tblOrdenes[[#This Row],[link_checklist]]="","",HYPERLINK(p_ruta_base_checklists&amp;tblOrdenes[[#This Row],[link_checklist]],"abrir"))</f>
        <v/>
      </c>
      <c r="AT676" s="4" t="n"/>
      <c r="AU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5" t="n"/>
      <c r="K677" s="5" t="n"/>
      <c r="L677" s="18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Row],[fecha_inicio]]="","",tblOrdenes[[#This Row],[anio]]&amp;"-"&amp;TEXT(tblOrdenes[[#This Row],[mes]],"00"))</f>
        <v/>
      </c>
      <c r="S677" s="5">
        <f>IF(tblOrdenes[[#This Row],[fecha_inicio]]="","",INDEX(lista_dias,WEEKDAY(tblOrdenes[[#This Row],[fecha_inicio]],2)))</f>
        <v/>
      </c>
      <c r="T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5">
        <f>IF(tblOrdenes[[#This Row],[tipo_ot]]="","",_xlfn.XLOOKUP(tblOrdenes[[#This Row],[tipo_ot]],tblTiposOT[codigo],tblTiposOT[clasificacion],"sin_clasificar"))</f>
        <v/>
      </c>
      <c r="V6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5">
        <f>IF(tblOrdenes[[#This Row],[centro_costo]]="","",_xlfn.XLOOKUP(tblOrdenes[[#This Row],[centro_costo]],tblCECO[codigo],tblCECO[linea],"(sin catálogo)"))</f>
        <v/>
      </c>
      <c r="Y677" s="5">
        <f>IF(tblOrdenes[[#This Row],[centro_costo]]="","",_xlfn.XLOOKUP(tblOrdenes[[#This Row],[centro_costo]],tblCECO[codigo],tblCECO[area],"(sin catálogo)"))</f>
        <v/>
      </c>
      <c r="Z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5">
        <f>IF(tblOrdenes[[#This Row],[centro_costo]]="","",_xlfn.XLOOKUP(tblOrdenes[[#This Row],[centro_costo]],tblCECO[codigo],tblCECO[coordinador],"(sin catálogo)"))</f>
        <v/>
      </c>
      <c r="AB677" s="5">
        <f>IF(tblOrdenes[[#This Row],[puesto_trabajo]]="","",_xlfn.XLOOKUP(tblOrdenes[[#This Row],[puesto_trabajo]],tblPuestos[codigo],tblPuestos[especialidad],"(sin catálogo)"))</f>
        <v/>
      </c>
      <c r="AC677" s="5">
        <f>IF(tblOrdenes[[#This Row],[cod_actividad]]="","",_xlfn.XLOOKUP(tblOrdenes[[#This Row],[cod_actividad]],tblActividades[codigo],tblActividades[descripcion],"(sin catálogo)"))</f>
        <v/>
      </c>
      <c r="AD677" s="23">
        <f>IF(tblOrdenes[[#This Row],[fecha_inicio]]="","",TODAY()-tblOrdenes[[#This Row],[fecha_inicio]])</f>
        <v/>
      </c>
      <c r="AE6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5">
        <f>IF(tblOrdenes[[#This Row],[backlog_habiles]]="","",IF(tblOrdenes[[#This Row],[backlog_habiles]]&lt;0,"FUTURO",IF(tblOrdenes[[#This Row],[backlog_habiles]]&gt;p_dias_backlog_max,"BACKLOG","MES CORRIENTE")))</f>
        <v/>
      </c>
      <c r="AG677" s="5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18">
        <f>IF(tblOrdenes[[#This Row],[orden]]="","",_xlfn.XLOOKUP(tblOrdenes[[#This Row],[id_operacion]],tblEjecucion[id_operacion],tblEjecucion[precio],0))</f>
        <v/>
      </c>
      <c r="AM677" s="18">
        <f>IF(tblOrdenes[[#This Row],[orden]]="","",MAX(0,_xlfn.XLOOKUP(tblOrdenes[[#This Row],[id_operacion]],tblEjecucion[id_operacion],tblEjecucion[costo_plan_total],0)-tblOrdenes[[#This Row],[costo_servicio]]))</f>
        <v/>
      </c>
      <c r="AN677" s="18">
        <f>IF(tblOrdenes[[#This Row],[orden]]="","",tblOrdenes[[#This Row],[costo_servicio]]+tblOrdenes[[#This Row],[costo_materiales]])</f>
        <v/>
      </c>
      <c r="AO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5">
        <f>IF(tblOrdenes[[#This Row],[link_checklist]]="","",HYPERLINK(p_ruta_base_checklists&amp;tblOrdenes[[#This Row],[link_checklist]],"abrir"))</f>
        <v/>
      </c>
      <c r="AT677" s="4" t="n"/>
      <c r="AU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5" t="n"/>
      <c r="K678" s="5" t="n"/>
      <c r="L678" s="18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Row],[fecha_inicio]]="","",tblOrdenes[[#This Row],[anio]]&amp;"-"&amp;TEXT(tblOrdenes[[#This Row],[mes]],"00"))</f>
        <v/>
      </c>
      <c r="S678" s="5">
        <f>IF(tblOrdenes[[#This Row],[fecha_inicio]]="","",INDEX(lista_dias,WEEKDAY(tblOrdenes[[#This Row],[fecha_inicio]],2)))</f>
        <v/>
      </c>
      <c r="T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5">
        <f>IF(tblOrdenes[[#This Row],[tipo_ot]]="","",_xlfn.XLOOKUP(tblOrdenes[[#This Row],[tipo_ot]],tblTiposOT[codigo],tblTiposOT[clasificacion],"sin_clasificar"))</f>
        <v/>
      </c>
      <c r="V6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5">
        <f>IF(tblOrdenes[[#This Row],[centro_costo]]="","",_xlfn.XLOOKUP(tblOrdenes[[#This Row],[centro_costo]],tblCECO[codigo],tblCECO[linea],"(sin catálogo)"))</f>
        <v/>
      </c>
      <c r="Y678" s="5">
        <f>IF(tblOrdenes[[#This Row],[centro_costo]]="","",_xlfn.XLOOKUP(tblOrdenes[[#This Row],[centro_costo]],tblCECO[codigo],tblCECO[area],"(sin catálogo)"))</f>
        <v/>
      </c>
      <c r="Z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5">
        <f>IF(tblOrdenes[[#This Row],[centro_costo]]="","",_xlfn.XLOOKUP(tblOrdenes[[#This Row],[centro_costo]],tblCECO[codigo],tblCECO[coordinador],"(sin catálogo)"))</f>
        <v/>
      </c>
      <c r="AB678" s="5">
        <f>IF(tblOrdenes[[#This Row],[puesto_trabajo]]="","",_xlfn.XLOOKUP(tblOrdenes[[#This Row],[puesto_trabajo]],tblPuestos[codigo],tblPuestos[especialidad],"(sin catálogo)"))</f>
        <v/>
      </c>
      <c r="AC678" s="5">
        <f>IF(tblOrdenes[[#This Row],[cod_actividad]]="","",_xlfn.XLOOKUP(tblOrdenes[[#This Row],[cod_actividad]],tblActividades[codigo],tblActividades[descripcion],"(sin catálogo)"))</f>
        <v/>
      </c>
      <c r="AD678" s="23">
        <f>IF(tblOrdenes[[#This Row],[fecha_inicio]]="","",TODAY()-tblOrdenes[[#This Row],[fecha_inicio]])</f>
        <v/>
      </c>
      <c r="AE6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5">
        <f>IF(tblOrdenes[[#This Row],[backlog_habiles]]="","",IF(tblOrdenes[[#This Row],[backlog_habiles]]&lt;0,"FUTURO",IF(tblOrdenes[[#This Row],[backlog_habiles]]&gt;p_dias_backlog_max,"BACKLOG","MES CORRIENTE")))</f>
        <v/>
      </c>
      <c r="AG678" s="5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18">
        <f>IF(tblOrdenes[[#This Row],[orden]]="","",_xlfn.XLOOKUP(tblOrdenes[[#This Row],[id_operacion]],tblEjecucion[id_operacion],tblEjecucion[precio],0))</f>
        <v/>
      </c>
      <c r="AM678" s="18">
        <f>IF(tblOrdenes[[#This Row],[orden]]="","",MAX(0,_xlfn.XLOOKUP(tblOrdenes[[#This Row],[id_operacion]],tblEjecucion[id_operacion],tblEjecucion[costo_plan_total],0)-tblOrdenes[[#This Row],[costo_servicio]]))</f>
        <v/>
      </c>
      <c r="AN678" s="18">
        <f>IF(tblOrdenes[[#This Row],[orden]]="","",tblOrdenes[[#This Row],[costo_servicio]]+tblOrdenes[[#This Row],[costo_materiales]])</f>
        <v/>
      </c>
      <c r="AO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5">
        <f>IF(tblOrdenes[[#This Row],[link_checklist]]="","",HYPERLINK(p_ruta_base_checklists&amp;tblOrdenes[[#This Row],[link_checklist]],"abrir"))</f>
        <v/>
      </c>
      <c r="AT678" s="4" t="n"/>
      <c r="AU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5" t="n"/>
      <c r="K679" s="5" t="n"/>
      <c r="L679" s="18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Row],[fecha_inicio]]="","",tblOrdenes[[#This Row],[anio]]&amp;"-"&amp;TEXT(tblOrdenes[[#This Row],[mes]],"00"))</f>
        <v/>
      </c>
      <c r="S679" s="5">
        <f>IF(tblOrdenes[[#This Row],[fecha_inicio]]="","",INDEX(lista_dias,WEEKDAY(tblOrdenes[[#This Row],[fecha_inicio]],2)))</f>
        <v/>
      </c>
      <c r="T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5">
        <f>IF(tblOrdenes[[#This Row],[tipo_ot]]="","",_xlfn.XLOOKUP(tblOrdenes[[#This Row],[tipo_ot]],tblTiposOT[codigo],tblTiposOT[clasificacion],"sin_clasificar"))</f>
        <v/>
      </c>
      <c r="V6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5">
        <f>IF(tblOrdenes[[#This Row],[centro_costo]]="","",_xlfn.XLOOKUP(tblOrdenes[[#This Row],[centro_costo]],tblCECO[codigo],tblCECO[linea],"(sin catálogo)"))</f>
        <v/>
      </c>
      <c r="Y679" s="5">
        <f>IF(tblOrdenes[[#This Row],[centro_costo]]="","",_xlfn.XLOOKUP(tblOrdenes[[#This Row],[centro_costo]],tblCECO[codigo],tblCECO[area],"(sin catálogo)"))</f>
        <v/>
      </c>
      <c r="Z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5">
        <f>IF(tblOrdenes[[#This Row],[centro_costo]]="","",_xlfn.XLOOKUP(tblOrdenes[[#This Row],[centro_costo]],tblCECO[codigo],tblCECO[coordinador],"(sin catálogo)"))</f>
        <v/>
      </c>
      <c r="AB679" s="5">
        <f>IF(tblOrdenes[[#This Row],[puesto_trabajo]]="","",_xlfn.XLOOKUP(tblOrdenes[[#This Row],[puesto_trabajo]],tblPuestos[codigo],tblPuestos[especialidad],"(sin catálogo)"))</f>
        <v/>
      </c>
      <c r="AC679" s="5">
        <f>IF(tblOrdenes[[#This Row],[cod_actividad]]="","",_xlfn.XLOOKUP(tblOrdenes[[#This Row],[cod_actividad]],tblActividades[codigo],tblActividades[descripcion],"(sin catálogo)"))</f>
        <v/>
      </c>
      <c r="AD679" s="23">
        <f>IF(tblOrdenes[[#This Row],[fecha_inicio]]="","",TODAY()-tblOrdenes[[#This Row],[fecha_inicio]])</f>
        <v/>
      </c>
      <c r="AE6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5">
        <f>IF(tblOrdenes[[#This Row],[backlog_habiles]]="","",IF(tblOrdenes[[#This Row],[backlog_habiles]]&lt;0,"FUTURO",IF(tblOrdenes[[#This Row],[backlog_habiles]]&gt;p_dias_backlog_max,"BACKLOG","MES CORRIENTE")))</f>
        <v/>
      </c>
      <c r="AG679" s="5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18">
        <f>IF(tblOrdenes[[#This Row],[orden]]="","",_xlfn.XLOOKUP(tblOrdenes[[#This Row],[id_operacion]],tblEjecucion[id_operacion],tblEjecucion[precio],0))</f>
        <v/>
      </c>
      <c r="AM679" s="18">
        <f>IF(tblOrdenes[[#This Row],[orden]]="","",MAX(0,_xlfn.XLOOKUP(tblOrdenes[[#This Row],[id_operacion]],tblEjecucion[id_operacion],tblEjecucion[costo_plan_total],0)-tblOrdenes[[#This Row],[costo_servicio]]))</f>
        <v/>
      </c>
      <c r="AN679" s="18">
        <f>IF(tblOrdenes[[#This Row],[orden]]="","",tblOrdenes[[#This Row],[costo_servicio]]+tblOrdenes[[#This Row],[costo_materiales]])</f>
        <v/>
      </c>
      <c r="AO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5">
        <f>IF(tblOrdenes[[#This Row],[link_checklist]]="","",HYPERLINK(p_ruta_base_checklists&amp;tblOrdenes[[#This Row],[link_checklist]],"abrir"))</f>
        <v/>
      </c>
      <c r="AT679" s="4" t="n"/>
      <c r="AU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5" t="n"/>
      <c r="K680" s="5" t="n"/>
      <c r="L680" s="18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Row],[fecha_inicio]]="","",tblOrdenes[[#This Row],[anio]]&amp;"-"&amp;TEXT(tblOrdenes[[#This Row],[mes]],"00"))</f>
        <v/>
      </c>
      <c r="S680" s="5">
        <f>IF(tblOrdenes[[#This Row],[fecha_inicio]]="","",INDEX(lista_dias,WEEKDAY(tblOrdenes[[#This Row],[fecha_inicio]],2)))</f>
        <v/>
      </c>
      <c r="T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5">
        <f>IF(tblOrdenes[[#This Row],[tipo_ot]]="","",_xlfn.XLOOKUP(tblOrdenes[[#This Row],[tipo_ot]],tblTiposOT[codigo],tblTiposOT[clasificacion],"sin_clasificar"))</f>
        <v/>
      </c>
      <c r="V6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5">
        <f>IF(tblOrdenes[[#This Row],[centro_costo]]="","",_xlfn.XLOOKUP(tblOrdenes[[#This Row],[centro_costo]],tblCECO[codigo],tblCECO[linea],"(sin catálogo)"))</f>
        <v/>
      </c>
      <c r="Y680" s="5">
        <f>IF(tblOrdenes[[#This Row],[centro_costo]]="","",_xlfn.XLOOKUP(tblOrdenes[[#This Row],[centro_costo]],tblCECO[codigo],tblCECO[area],"(sin catálogo)"))</f>
        <v/>
      </c>
      <c r="Z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5">
        <f>IF(tblOrdenes[[#This Row],[centro_costo]]="","",_xlfn.XLOOKUP(tblOrdenes[[#This Row],[centro_costo]],tblCECO[codigo],tblCECO[coordinador],"(sin catálogo)"))</f>
        <v/>
      </c>
      <c r="AB680" s="5">
        <f>IF(tblOrdenes[[#This Row],[puesto_trabajo]]="","",_xlfn.XLOOKUP(tblOrdenes[[#This Row],[puesto_trabajo]],tblPuestos[codigo],tblPuestos[especialidad],"(sin catálogo)"))</f>
        <v/>
      </c>
      <c r="AC680" s="5">
        <f>IF(tblOrdenes[[#This Row],[cod_actividad]]="","",_xlfn.XLOOKUP(tblOrdenes[[#This Row],[cod_actividad]],tblActividades[codigo],tblActividades[descripcion],"(sin catálogo)"))</f>
        <v/>
      </c>
      <c r="AD680" s="23">
        <f>IF(tblOrdenes[[#This Row],[fecha_inicio]]="","",TODAY()-tblOrdenes[[#This Row],[fecha_inicio]])</f>
        <v/>
      </c>
      <c r="AE6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5">
        <f>IF(tblOrdenes[[#This Row],[backlog_habiles]]="","",IF(tblOrdenes[[#This Row],[backlog_habiles]]&lt;0,"FUTURO",IF(tblOrdenes[[#This Row],[backlog_habiles]]&gt;p_dias_backlog_max,"BACKLOG","MES CORRIENTE")))</f>
        <v/>
      </c>
      <c r="AG680" s="5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18">
        <f>IF(tblOrdenes[[#This Row],[orden]]="","",_xlfn.XLOOKUP(tblOrdenes[[#This Row],[id_operacion]],tblEjecucion[id_operacion],tblEjecucion[precio],0))</f>
        <v/>
      </c>
      <c r="AM680" s="18">
        <f>IF(tblOrdenes[[#This Row],[orden]]="","",MAX(0,_xlfn.XLOOKUP(tblOrdenes[[#This Row],[id_operacion]],tblEjecucion[id_operacion],tblEjecucion[costo_plan_total],0)-tblOrdenes[[#This Row],[costo_servicio]]))</f>
        <v/>
      </c>
      <c r="AN680" s="18">
        <f>IF(tblOrdenes[[#This Row],[orden]]="","",tblOrdenes[[#This Row],[costo_servicio]]+tblOrdenes[[#This Row],[costo_materiales]])</f>
        <v/>
      </c>
      <c r="AO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5">
        <f>IF(tblOrdenes[[#This Row],[link_checklist]]="","",HYPERLINK(p_ruta_base_checklists&amp;tblOrdenes[[#This Row],[link_checklist]],"abrir"))</f>
        <v/>
      </c>
      <c r="AT680" s="4" t="n"/>
      <c r="AU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5" t="n"/>
      <c r="K681" s="5" t="n"/>
      <c r="L681" s="18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Row],[fecha_inicio]]="","",tblOrdenes[[#This Row],[anio]]&amp;"-"&amp;TEXT(tblOrdenes[[#This Row],[mes]],"00"))</f>
        <v/>
      </c>
      <c r="S681" s="5">
        <f>IF(tblOrdenes[[#This Row],[fecha_inicio]]="","",INDEX(lista_dias,WEEKDAY(tblOrdenes[[#This Row],[fecha_inicio]],2)))</f>
        <v/>
      </c>
      <c r="T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5">
        <f>IF(tblOrdenes[[#This Row],[tipo_ot]]="","",_xlfn.XLOOKUP(tblOrdenes[[#This Row],[tipo_ot]],tblTiposOT[codigo],tblTiposOT[clasificacion],"sin_clasificar"))</f>
        <v/>
      </c>
      <c r="V6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5">
        <f>IF(tblOrdenes[[#This Row],[centro_costo]]="","",_xlfn.XLOOKUP(tblOrdenes[[#This Row],[centro_costo]],tblCECO[codigo],tblCECO[linea],"(sin catálogo)"))</f>
        <v/>
      </c>
      <c r="Y681" s="5">
        <f>IF(tblOrdenes[[#This Row],[centro_costo]]="","",_xlfn.XLOOKUP(tblOrdenes[[#This Row],[centro_costo]],tblCECO[codigo],tblCECO[area],"(sin catálogo)"))</f>
        <v/>
      </c>
      <c r="Z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5">
        <f>IF(tblOrdenes[[#This Row],[centro_costo]]="","",_xlfn.XLOOKUP(tblOrdenes[[#This Row],[centro_costo]],tblCECO[codigo],tblCECO[coordinador],"(sin catálogo)"))</f>
        <v/>
      </c>
      <c r="AB681" s="5">
        <f>IF(tblOrdenes[[#This Row],[puesto_trabajo]]="","",_xlfn.XLOOKUP(tblOrdenes[[#This Row],[puesto_trabajo]],tblPuestos[codigo],tblPuestos[especialidad],"(sin catálogo)"))</f>
        <v/>
      </c>
      <c r="AC681" s="5">
        <f>IF(tblOrdenes[[#This Row],[cod_actividad]]="","",_xlfn.XLOOKUP(tblOrdenes[[#This Row],[cod_actividad]],tblActividades[codigo],tblActividades[descripcion],"(sin catálogo)"))</f>
        <v/>
      </c>
      <c r="AD681" s="23">
        <f>IF(tblOrdenes[[#This Row],[fecha_inicio]]="","",TODAY()-tblOrdenes[[#This Row],[fecha_inicio]])</f>
        <v/>
      </c>
      <c r="AE6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5">
        <f>IF(tblOrdenes[[#This Row],[backlog_habiles]]="","",IF(tblOrdenes[[#This Row],[backlog_habiles]]&lt;0,"FUTURO",IF(tblOrdenes[[#This Row],[backlog_habiles]]&gt;p_dias_backlog_max,"BACKLOG","MES CORRIENTE")))</f>
        <v/>
      </c>
      <c r="AG681" s="5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18">
        <f>IF(tblOrdenes[[#This Row],[orden]]="","",_xlfn.XLOOKUP(tblOrdenes[[#This Row],[id_operacion]],tblEjecucion[id_operacion],tblEjecucion[precio],0))</f>
        <v/>
      </c>
      <c r="AM681" s="18">
        <f>IF(tblOrdenes[[#This Row],[orden]]="","",MAX(0,_xlfn.XLOOKUP(tblOrdenes[[#This Row],[id_operacion]],tblEjecucion[id_operacion],tblEjecucion[costo_plan_total],0)-tblOrdenes[[#This Row],[costo_servicio]]))</f>
        <v/>
      </c>
      <c r="AN681" s="18">
        <f>IF(tblOrdenes[[#This Row],[orden]]="","",tblOrdenes[[#This Row],[costo_servicio]]+tblOrdenes[[#This Row],[costo_materiales]])</f>
        <v/>
      </c>
      <c r="AO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5">
        <f>IF(tblOrdenes[[#This Row],[link_checklist]]="","",HYPERLINK(p_ruta_base_checklists&amp;tblOrdenes[[#This Row],[link_checklist]],"abrir"))</f>
        <v/>
      </c>
      <c r="AT681" s="4" t="n"/>
      <c r="AU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5" t="n"/>
      <c r="K682" s="5" t="n"/>
      <c r="L682" s="18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Row],[fecha_inicio]]="","",tblOrdenes[[#This Row],[anio]]&amp;"-"&amp;TEXT(tblOrdenes[[#This Row],[mes]],"00"))</f>
        <v/>
      </c>
      <c r="S682" s="5">
        <f>IF(tblOrdenes[[#This Row],[fecha_inicio]]="","",INDEX(lista_dias,WEEKDAY(tblOrdenes[[#This Row],[fecha_inicio]],2)))</f>
        <v/>
      </c>
      <c r="T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5">
        <f>IF(tblOrdenes[[#This Row],[tipo_ot]]="","",_xlfn.XLOOKUP(tblOrdenes[[#This Row],[tipo_ot]],tblTiposOT[codigo],tblTiposOT[clasificacion],"sin_clasificar"))</f>
        <v/>
      </c>
      <c r="V6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5">
        <f>IF(tblOrdenes[[#This Row],[centro_costo]]="","",_xlfn.XLOOKUP(tblOrdenes[[#This Row],[centro_costo]],tblCECO[codigo],tblCECO[linea],"(sin catálogo)"))</f>
        <v/>
      </c>
      <c r="Y682" s="5">
        <f>IF(tblOrdenes[[#This Row],[centro_costo]]="","",_xlfn.XLOOKUP(tblOrdenes[[#This Row],[centro_costo]],tblCECO[codigo],tblCECO[area],"(sin catálogo)"))</f>
        <v/>
      </c>
      <c r="Z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5">
        <f>IF(tblOrdenes[[#This Row],[centro_costo]]="","",_xlfn.XLOOKUP(tblOrdenes[[#This Row],[centro_costo]],tblCECO[codigo],tblCECO[coordinador],"(sin catálogo)"))</f>
        <v/>
      </c>
      <c r="AB682" s="5">
        <f>IF(tblOrdenes[[#This Row],[puesto_trabajo]]="","",_xlfn.XLOOKUP(tblOrdenes[[#This Row],[puesto_trabajo]],tblPuestos[codigo],tblPuestos[especialidad],"(sin catálogo)"))</f>
        <v/>
      </c>
      <c r="AC682" s="5">
        <f>IF(tblOrdenes[[#This Row],[cod_actividad]]="","",_xlfn.XLOOKUP(tblOrdenes[[#This Row],[cod_actividad]],tblActividades[codigo],tblActividades[descripcion],"(sin catálogo)"))</f>
        <v/>
      </c>
      <c r="AD682" s="23">
        <f>IF(tblOrdenes[[#This Row],[fecha_inicio]]="","",TODAY()-tblOrdenes[[#This Row],[fecha_inicio]])</f>
        <v/>
      </c>
      <c r="AE6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5">
        <f>IF(tblOrdenes[[#This Row],[backlog_habiles]]="","",IF(tblOrdenes[[#This Row],[backlog_habiles]]&lt;0,"FUTURO",IF(tblOrdenes[[#This Row],[backlog_habiles]]&gt;p_dias_backlog_max,"BACKLOG","MES CORRIENTE")))</f>
        <v/>
      </c>
      <c r="AG682" s="5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18">
        <f>IF(tblOrdenes[[#This Row],[orden]]="","",_xlfn.XLOOKUP(tblOrdenes[[#This Row],[id_operacion]],tblEjecucion[id_operacion],tblEjecucion[precio],0))</f>
        <v/>
      </c>
      <c r="AM682" s="18">
        <f>IF(tblOrdenes[[#This Row],[orden]]="","",MAX(0,_xlfn.XLOOKUP(tblOrdenes[[#This Row],[id_operacion]],tblEjecucion[id_operacion],tblEjecucion[costo_plan_total],0)-tblOrdenes[[#This Row],[costo_servicio]]))</f>
        <v/>
      </c>
      <c r="AN682" s="18">
        <f>IF(tblOrdenes[[#This Row],[orden]]="","",tblOrdenes[[#This Row],[costo_servicio]]+tblOrdenes[[#This Row],[costo_materiales]])</f>
        <v/>
      </c>
      <c r="AO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5">
        <f>IF(tblOrdenes[[#This Row],[link_checklist]]="","",HYPERLINK(p_ruta_base_checklists&amp;tblOrdenes[[#This Row],[link_checklist]],"abrir"))</f>
        <v/>
      </c>
      <c r="AT682" s="4" t="n"/>
      <c r="AU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5" t="n"/>
      <c r="K683" s="5" t="n"/>
      <c r="L683" s="18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Row],[fecha_inicio]]="","",tblOrdenes[[#This Row],[anio]]&amp;"-"&amp;TEXT(tblOrdenes[[#This Row],[mes]],"00"))</f>
        <v/>
      </c>
      <c r="S683" s="5">
        <f>IF(tblOrdenes[[#This Row],[fecha_inicio]]="","",INDEX(lista_dias,WEEKDAY(tblOrdenes[[#This Row],[fecha_inicio]],2)))</f>
        <v/>
      </c>
      <c r="T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5">
        <f>IF(tblOrdenes[[#This Row],[tipo_ot]]="","",_xlfn.XLOOKUP(tblOrdenes[[#This Row],[tipo_ot]],tblTiposOT[codigo],tblTiposOT[clasificacion],"sin_clasificar"))</f>
        <v/>
      </c>
      <c r="V6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5">
        <f>IF(tblOrdenes[[#This Row],[centro_costo]]="","",_xlfn.XLOOKUP(tblOrdenes[[#This Row],[centro_costo]],tblCECO[codigo],tblCECO[linea],"(sin catálogo)"))</f>
        <v/>
      </c>
      <c r="Y683" s="5">
        <f>IF(tblOrdenes[[#This Row],[centro_costo]]="","",_xlfn.XLOOKUP(tblOrdenes[[#This Row],[centro_costo]],tblCECO[codigo],tblCECO[area],"(sin catálogo)"))</f>
        <v/>
      </c>
      <c r="Z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5">
        <f>IF(tblOrdenes[[#This Row],[centro_costo]]="","",_xlfn.XLOOKUP(tblOrdenes[[#This Row],[centro_costo]],tblCECO[codigo],tblCECO[coordinador],"(sin catálogo)"))</f>
        <v/>
      </c>
      <c r="AB683" s="5">
        <f>IF(tblOrdenes[[#This Row],[puesto_trabajo]]="","",_xlfn.XLOOKUP(tblOrdenes[[#This Row],[puesto_trabajo]],tblPuestos[codigo],tblPuestos[especialidad],"(sin catálogo)"))</f>
        <v/>
      </c>
      <c r="AC683" s="5">
        <f>IF(tblOrdenes[[#This Row],[cod_actividad]]="","",_xlfn.XLOOKUP(tblOrdenes[[#This Row],[cod_actividad]],tblActividades[codigo],tblActividades[descripcion],"(sin catálogo)"))</f>
        <v/>
      </c>
      <c r="AD683" s="23">
        <f>IF(tblOrdenes[[#This Row],[fecha_inicio]]="","",TODAY()-tblOrdenes[[#This Row],[fecha_inicio]])</f>
        <v/>
      </c>
      <c r="AE6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5">
        <f>IF(tblOrdenes[[#This Row],[backlog_habiles]]="","",IF(tblOrdenes[[#This Row],[backlog_habiles]]&lt;0,"FUTURO",IF(tblOrdenes[[#This Row],[backlog_habiles]]&gt;p_dias_backlog_max,"BACKLOG","MES CORRIENTE")))</f>
        <v/>
      </c>
      <c r="AG683" s="5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18">
        <f>IF(tblOrdenes[[#This Row],[orden]]="","",_xlfn.XLOOKUP(tblOrdenes[[#This Row],[id_operacion]],tblEjecucion[id_operacion],tblEjecucion[precio],0))</f>
        <v/>
      </c>
      <c r="AM683" s="18">
        <f>IF(tblOrdenes[[#This Row],[orden]]="","",MAX(0,_xlfn.XLOOKUP(tblOrdenes[[#This Row],[id_operacion]],tblEjecucion[id_operacion],tblEjecucion[costo_plan_total],0)-tblOrdenes[[#This Row],[costo_servicio]]))</f>
        <v/>
      </c>
      <c r="AN683" s="18">
        <f>IF(tblOrdenes[[#This Row],[orden]]="","",tblOrdenes[[#This Row],[costo_servicio]]+tblOrdenes[[#This Row],[costo_materiales]])</f>
        <v/>
      </c>
      <c r="AO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5">
        <f>IF(tblOrdenes[[#This Row],[link_checklist]]="","",HYPERLINK(p_ruta_base_checklists&amp;tblOrdenes[[#This Row],[link_checklist]],"abrir"))</f>
        <v/>
      </c>
      <c r="AT683" s="4" t="n"/>
      <c r="AU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5" t="n"/>
      <c r="K684" s="5" t="n"/>
      <c r="L684" s="18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Row],[fecha_inicio]]="","",tblOrdenes[[#This Row],[anio]]&amp;"-"&amp;TEXT(tblOrdenes[[#This Row],[mes]],"00"))</f>
        <v/>
      </c>
      <c r="S684" s="5">
        <f>IF(tblOrdenes[[#This Row],[fecha_inicio]]="","",INDEX(lista_dias,WEEKDAY(tblOrdenes[[#This Row],[fecha_inicio]],2)))</f>
        <v/>
      </c>
      <c r="T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5">
        <f>IF(tblOrdenes[[#This Row],[tipo_ot]]="","",_xlfn.XLOOKUP(tblOrdenes[[#This Row],[tipo_ot]],tblTiposOT[codigo],tblTiposOT[clasificacion],"sin_clasificar"))</f>
        <v/>
      </c>
      <c r="V6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5">
        <f>IF(tblOrdenes[[#This Row],[centro_costo]]="","",_xlfn.XLOOKUP(tblOrdenes[[#This Row],[centro_costo]],tblCECO[codigo],tblCECO[linea],"(sin catálogo)"))</f>
        <v/>
      </c>
      <c r="Y684" s="5">
        <f>IF(tblOrdenes[[#This Row],[centro_costo]]="","",_xlfn.XLOOKUP(tblOrdenes[[#This Row],[centro_costo]],tblCECO[codigo],tblCECO[area],"(sin catálogo)"))</f>
        <v/>
      </c>
      <c r="Z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5">
        <f>IF(tblOrdenes[[#This Row],[centro_costo]]="","",_xlfn.XLOOKUP(tblOrdenes[[#This Row],[centro_costo]],tblCECO[codigo],tblCECO[coordinador],"(sin catálogo)"))</f>
        <v/>
      </c>
      <c r="AB684" s="5">
        <f>IF(tblOrdenes[[#This Row],[puesto_trabajo]]="","",_xlfn.XLOOKUP(tblOrdenes[[#This Row],[puesto_trabajo]],tblPuestos[codigo],tblPuestos[especialidad],"(sin catálogo)"))</f>
        <v/>
      </c>
      <c r="AC684" s="5">
        <f>IF(tblOrdenes[[#This Row],[cod_actividad]]="","",_xlfn.XLOOKUP(tblOrdenes[[#This Row],[cod_actividad]],tblActividades[codigo],tblActividades[descripcion],"(sin catálogo)"))</f>
        <v/>
      </c>
      <c r="AD684" s="23">
        <f>IF(tblOrdenes[[#This Row],[fecha_inicio]]="","",TODAY()-tblOrdenes[[#This Row],[fecha_inicio]])</f>
        <v/>
      </c>
      <c r="AE6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5">
        <f>IF(tblOrdenes[[#This Row],[backlog_habiles]]="","",IF(tblOrdenes[[#This Row],[backlog_habiles]]&lt;0,"FUTURO",IF(tblOrdenes[[#This Row],[backlog_habiles]]&gt;p_dias_backlog_max,"BACKLOG","MES CORRIENTE")))</f>
        <v/>
      </c>
      <c r="AG684" s="5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18">
        <f>IF(tblOrdenes[[#This Row],[orden]]="","",_xlfn.XLOOKUP(tblOrdenes[[#This Row],[id_operacion]],tblEjecucion[id_operacion],tblEjecucion[precio],0))</f>
        <v/>
      </c>
      <c r="AM684" s="18">
        <f>IF(tblOrdenes[[#This Row],[orden]]="","",MAX(0,_xlfn.XLOOKUP(tblOrdenes[[#This Row],[id_operacion]],tblEjecucion[id_operacion],tblEjecucion[costo_plan_total],0)-tblOrdenes[[#This Row],[costo_servicio]]))</f>
        <v/>
      </c>
      <c r="AN684" s="18">
        <f>IF(tblOrdenes[[#This Row],[orden]]="","",tblOrdenes[[#This Row],[costo_servicio]]+tblOrdenes[[#This Row],[costo_materiales]])</f>
        <v/>
      </c>
      <c r="AO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5">
        <f>IF(tblOrdenes[[#This Row],[link_checklist]]="","",HYPERLINK(p_ruta_base_checklists&amp;tblOrdenes[[#This Row],[link_checklist]],"abrir"))</f>
        <v/>
      </c>
      <c r="AT684" s="4" t="n"/>
      <c r="AU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5" t="n"/>
      <c r="K685" s="5" t="n"/>
      <c r="L685" s="18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Row],[fecha_inicio]]="","",tblOrdenes[[#This Row],[anio]]&amp;"-"&amp;TEXT(tblOrdenes[[#This Row],[mes]],"00"))</f>
        <v/>
      </c>
      <c r="S685" s="5">
        <f>IF(tblOrdenes[[#This Row],[fecha_inicio]]="","",INDEX(lista_dias,WEEKDAY(tblOrdenes[[#This Row],[fecha_inicio]],2)))</f>
        <v/>
      </c>
      <c r="T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5">
        <f>IF(tblOrdenes[[#This Row],[tipo_ot]]="","",_xlfn.XLOOKUP(tblOrdenes[[#This Row],[tipo_ot]],tblTiposOT[codigo],tblTiposOT[clasificacion],"sin_clasificar"))</f>
        <v/>
      </c>
      <c r="V6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5">
        <f>IF(tblOrdenes[[#This Row],[centro_costo]]="","",_xlfn.XLOOKUP(tblOrdenes[[#This Row],[centro_costo]],tblCECO[codigo],tblCECO[linea],"(sin catálogo)"))</f>
        <v/>
      </c>
      <c r="Y685" s="5">
        <f>IF(tblOrdenes[[#This Row],[centro_costo]]="","",_xlfn.XLOOKUP(tblOrdenes[[#This Row],[centro_costo]],tblCECO[codigo],tblCECO[area],"(sin catálogo)"))</f>
        <v/>
      </c>
      <c r="Z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5">
        <f>IF(tblOrdenes[[#This Row],[centro_costo]]="","",_xlfn.XLOOKUP(tblOrdenes[[#This Row],[centro_costo]],tblCECO[codigo],tblCECO[coordinador],"(sin catálogo)"))</f>
        <v/>
      </c>
      <c r="AB685" s="5">
        <f>IF(tblOrdenes[[#This Row],[puesto_trabajo]]="","",_xlfn.XLOOKUP(tblOrdenes[[#This Row],[puesto_trabajo]],tblPuestos[codigo],tblPuestos[especialidad],"(sin catálogo)"))</f>
        <v/>
      </c>
      <c r="AC685" s="5">
        <f>IF(tblOrdenes[[#This Row],[cod_actividad]]="","",_xlfn.XLOOKUP(tblOrdenes[[#This Row],[cod_actividad]],tblActividades[codigo],tblActividades[descripcion],"(sin catálogo)"))</f>
        <v/>
      </c>
      <c r="AD685" s="23">
        <f>IF(tblOrdenes[[#This Row],[fecha_inicio]]="","",TODAY()-tblOrdenes[[#This Row],[fecha_inicio]])</f>
        <v/>
      </c>
      <c r="AE6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5">
        <f>IF(tblOrdenes[[#This Row],[backlog_habiles]]="","",IF(tblOrdenes[[#This Row],[backlog_habiles]]&lt;0,"FUTURO",IF(tblOrdenes[[#This Row],[backlog_habiles]]&gt;p_dias_backlog_max,"BACKLOG","MES CORRIENTE")))</f>
        <v/>
      </c>
      <c r="AG685" s="5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18">
        <f>IF(tblOrdenes[[#This Row],[orden]]="","",_xlfn.XLOOKUP(tblOrdenes[[#This Row],[id_operacion]],tblEjecucion[id_operacion],tblEjecucion[precio],0))</f>
        <v/>
      </c>
      <c r="AM685" s="18">
        <f>IF(tblOrdenes[[#This Row],[orden]]="","",MAX(0,_xlfn.XLOOKUP(tblOrdenes[[#This Row],[id_operacion]],tblEjecucion[id_operacion],tblEjecucion[costo_plan_total],0)-tblOrdenes[[#This Row],[costo_servicio]]))</f>
        <v/>
      </c>
      <c r="AN685" s="18">
        <f>IF(tblOrdenes[[#This Row],[orden]]="","",tblOrdenes[[#This Row],[costo_servicio]]+tblOrdenes[[#This Row],[costo_materiales]])</f>
        <v/>
      </c>
      <c r="AO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5">
        <f>IF(tblOrdenes[[#This Row],[link_checklist]]="","",HYPERLINK(p_ruta_base_checklists&amp;tblOrdenes[[#This Row],[link_checklist]],"abrir"))</f>
        <v/>
      </c>
      <c r="AT685" s="4" t="n"/>
      <c r="AU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5" t="n"/>
      <c r="K686" s="5" t="n"/>
      <c r="L686" s="18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Row],[fecha_inicio]]="","",tblOrdenes[[#This Row],[anio]]&amp;"-"&amp;TEXT(tblOrdenes[[#This Row],[mes]],"00"))</f>
        <v/>
      </c>
      <c r="S686" s="5">
        <f>IF(tblOrdenes[[#This Row],[fecha_inicio]]="","",INDEX(lista_dias,WEEKDAY(tblOrdenes[[#This Row],[fecha_inicio]],2)))</f>
        <v/>
      </c>
      <c r="T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5">
        <f>IF(tblOrdenes[[#This Row],[tipo_ot]]="","",_xlfn.XLOOKUP(tblOrdenes[[#This Row],[tipo_ot]],tblTiposOT[codigo],tblTiposOT[clasificacion],"sin_clasificar"))</f>
        <v/>
      </c>
      <c r="V6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5">
        <f>IF(tblOrdenes[[#This Row],[centro_costo]]="","",_xlfn.XLOOKUP(tblOrdenes[[#This Row],[centro_costo]],tblCECO[codigo],tblCECO[linea],"(sin catálogo)"))</f>
        <v/>
      </c>
      <c r="Y686" s="5">
        <f>IF(tblOrdenes[[#This Row],[centro_costo]]="","",_xlfn.XLOOKUP(tblOrdenes[[#This Row],[centro_costo]],tblCECO[codigo],tblCECO[area],"(sin catálogo)"))</f>
        <v/>
      </c>
      <c r="Z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5">
        <f>IF(tblOrdenes[[#This Row],[centro_costo]]="","",_xlfn.XLOOKUP(tblOrdenes[[#This Row],[centro_costo]],tblCECO[codigo],tblCECO[coordinador],"(sin catálogo)"))</f>
        <v/>
      </c>
      <c r="AB686" s="5">
        <f>IF(tblOrdenes[[#This Row],[puesto_trabajo]]="","",_xlfn.XLOOKUP(tblOrdenes[[#This Row],[puesto_trabajo]],tblPuestos[codigo],tblPuestos[especialidad],"(sin catálogo)"))</f>
        <v/>
      </c>
      <c r="AC686" s="5">
        <f>IF(tblOrdenes[[#This Row],[cod_actividad]]="","",_xlfn.XLOOKUP(tblOrdenes[[#This Row],[cod_actividad]],tblActividades[codigo],tblActividades[descripcion],"(sin catálogo)"))</f>
        <v/>
      </c>
      <c r="AD686" s="23">
        <f>IF(tblOrdenes[[#This Row],[fecha_inicio]]="","",TODAY()-tblOrdenes[[#This Row],[fecha_inicio]])</f>
        <v/>
      </c>
      <c r="AE6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5">
        <f>IF(tblOrdenes[[#This Row],[backlog_habiles]]="","",IF(tblOrdenes[[#This Row],[backlog_habiles]]&lt;0,"FUTURO",IF(tblOrdenes[[#This Row],[backlog_habiles]]&gt;p_dias_backlog_max,"BACKLOG","MES CORRIENTE")))</f>
        <v/>
      </c>
      <c r="AG686" s="5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18">
        <f>IF(tblOrdenes[[#This Row],[orden]]="","",_xlfn.XLOOKUP(tblOrdenes[[#This Row],[id_operacion]],tblEjecucion[id_operacion],tblEjecucion[precio],0))</f>
        <v/>
      </c>
      <c r="AM686" s="18">
        <f>IF(tblOrdenes[[#This Row],[orden]]="","",MAX(0,_xlfn.XLOOKUP(tblOrdenes[[#This Row],[id_operacion]],tblEjecucion[id_operacion],tblEjecucion[costo_plan_total],0)-tblOrdenes[[#This Row],[costo_servicio]]))</f>
        <v/>
      </c>
      <c r="AN686" s="18">
        <f>IF(tblOrdenes[[#This Row],[orden]]="","",tblOrdenes[[#This Row],[costo_servicio]]+tblOrdenes[[#This Row],[costo_materiales]])</f>
        <v/>
      </c>
      <c r="AO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5">
        <f>IF(tblOrdenes[[#This Row],[link_checklist]]="","",HYPERLINK(p_ruta_base_checklists&amp;tblOrdenes[[#This Row],[link_checklist]],"abrir"))</f>
        <v/>
      </c>
      <c r="AT686" s="4" t="n"/>
      <c r="AU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5" t="n"/>
      <c r="K687" s="5" t="n"/>
      <c r="L687" s="18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Row],[fecha_inicio]]="","",tblOrdenes[[#This Row],[anio]]&amp;"-"&amp;TEXT(tblOrdenes[[#This Row],[mes]],"00"))</f>
        <v/>
      </c>
      <c r="S687" s="5">
        <f>IF(tblOrdenes[[#This Row],[fecha_inicio]]="","",INDEX(lista_dias,WEEKDAY(tblOrdenes[[#This Row],[fecha_inicio]],2)))</f>
        <v/>
      </c>
      <c r="T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5">
        <f>IF(tblOrdenes[[#This Row],[tipo_ot]]="","",_xlfn.XLOOKUP(tblOrdenes[[#This Row],[tipo_ot]],tblTiposOT[codigo],tblTiposOT[clasificacion],"sin_clasificar"))</f>
        <v/>
      </c>
      <c r="V6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5">
        <f>IF(tblOrdenes[[#This Row],[centro_costo]]="","",_xlfn.XLOOKUP(tblOrdenes[[#This Row],[centro_costo]],tblCECO[codigo],tblCECO[linea],"(sin catálogo)"))</f>
        <v/>
      </c>
      <c r="Y687" s="5">
        <f>IF(tblOrdenes[[#This Row],[centro_costo]]="","",_xlfn.XLOOKUP(tblOrdenes[[#This Row],[centro_costo]],tblCECO[codigo],tblCECO[area],"(sin catálogo)"))</f>
        <v/>
      </c>
      <c r="Z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5">
        <f>IF(tblOrdenes[[#This Row],[centro_costo]]="","",_xlfn.XLOOKUP(tblOrdenes[[#This Row],[centro_costo]],tblCECO[codigo],tblCECO[coordinador],"(sin catálogo)"))</f>
        <v/>
      </c>
      <c r="AB687" s="5">
        <f>IF(tblOrdenes[[#This Row],[puesto_trabajo]]="","",_xlfn.XLOOKUP(tblOrdenes[[#This Row],[puesto_trabajo]],tblPuestos[codigo],tblPuestos[especialidad],"(sin catálogo)"))</f>
        <v/>
      </c>
      <c r="AC687" s="5">
        <f>IF(tblOrdenes[[#This Row],[cod_actividad]]="","",_xlfn.XLOOKUP(tblOrdenes[[#This Row],[cod_actividad]],tblActividades[codigo],tblActividades[descripcion],"(sin catálogo)"))</f>
        <v/>
      </c>
      <c r="AD687" s="23">
        <f>IF(tblOrdenes[[#This Row],[fecha_inicio]]="","",TODAY()-tblOrdenes[[#This Row],[fecha_inicio]])</f>
        <v/>
      </c>
      <c r="AE6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5">
        <f>IF(tblOrdenes[[#This Row],[backlog_habiles]]="","",IF(tblOrdenes[[#This Row],[backlog_habiles]]&lt;0,"FUTURO",IF(tblOrdenes[[#This Row],[backlog_habiles]]&gt;p_dias_backlog_max,"BACKLOG","MES CORRIENTE")))</f>
        <v/>
      </c>
      <c r="AG687" s="5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18">
        <f>IF(tblOrdenes[[#This Row],[orden]]="","",_xlfn.XLOOKUP(tblOrdenes[[#This Row],[id_operacion]],tblEjecucion[id_operacion],tblEjecucion[precio],0))</f>
        <v/>
      </c>
      <c r="AM687" s="18">
        <f>IF(tblOrdenes[[#This Row],[orden]]="","",MAX(0,_xlfn.XLOOKUP(tblOrdenes[[#This Row],[id_operacion]],tblEjecucion[id_operacion],tblEjecucion[costo_plan_total],0)-tblOrdenes[[#This Row],[costo_servicio]]))</f>
        <v/>
      </c>
      <c r="AN687" s="18">
        <f>IF(tblOrdenes[[#This Row],[orden]]="","",tblOrdenes[[#This Row],[costo_servicio]]+tblOrdenes[[#This Row],[costo_materiales]])</f>
        <v/>
      </c>
      <c r="AO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5">
        <f>IF(tblOrdenes[[#This Row],[link_checklist]]="","",HYPERLINK(p_ruta_base_checklists&amp;tblOrdenes[[#This Row],[link_checklist]],"abrir"))</f>
        <v/>
      </c>
      <c r="AT687" s="4" t="n"/>
      <c r="AU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5" t="n"/>
      <c r="K688" s="5" t="n"/>
      <c r="L688" s="18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Row],[fecha_inicio]]="","",tblOrdenes[[#This Row],[anio]]&amp;"-"&amp;TEXT(tblOrdenes[[#This Row],[mes]],"00"))</f>
        <v/>
      </c>
      <c r="S688" s="5">
        <f>IF(tblOrdenes[[#This Row],[fecha_inicio]]="","",INDEX(lista_dias,WEEKDAY(tblOrdenes[[#This Row],[fecha_inicio]],2)))</f>
        <v/>
      </c>
      <c r="T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5">
        <f>IF(tblOrdenes[[#This Row],[tipo_ot]]="","",_xlfn.XLOOKUP(tblOrdenes[[#This Row],[tipo_ot]],tblTiposOT[codigo],tblTiposOT[clasificacion],"sin_clasificar"))</f>
        <v/>
      </c>
      <c r="V6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5">
        <f>IF(tblOrdenes[[#This Row],[centro_costo]]="","",_xlfn.XLOOKUP(tblOrdenes[[#This Row],[centro_costo]],tblCECO[codigo],tblCECO[linea],"(sin catálogo)"))</f>
        <v/>
      </c>
      <c r="Y688" s="5">
        <f>IF(tblOrdenes[[#This Row],[centro_costo]]="","",_xlfn.XLOOKUP(tblOrdenes[[#This Row],[centro_costo]],tblCECO[codigo],tblCECO[area],"(sin catálogo)"))</f>
        <v/>
      </c>
      <c r="Z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5">
        <f>IF(tblOrdenes[[#This Row],[centro_costo]]="","",_xlfn.XLOOKUP(tblOrdenes[[#This Row],[centro_costo]],tblCECO[codigo],tblCECO[coordinador],"(sin catálogo)"))</f>
        <v/>
      </c>
      <c r="AB688" s="5">
        <f>IF(tblOrdenes[[#This Row],[puesto_trabajo]]="","",_xlfn.XLOOKUP(tblOrdenes[[#This Row],[puesto_trabajo]],tblPuestos[codigo],tblPuestos[especialidad],"(sin catálogo)"))</f>
        <v/>
      </c>
      <c r="AC688" s="5">
        <f>IF(tblOrdenes[[#This Row],[cod_actividad]]="","",_xlfn.XLOOKUP(tblOrdenes[[#This Row],[cod_actividad]],tblActividades[codigo],tblActividades[descripcion],"(sin catálogo)"))</f>
        <v/>
      </c>
      <c r="AD688" s="23">
        <f>IF(tblOrdenes[[#This Row],[fecha_inicio]]="","",TODAY()-tblOrdenes[[#This Row],[fecha_inicio]])</f>
        <v/>
      </c>
      <c r="AE6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5">
        <f>IF(tblOrdenes[[#This Row],[backlog_habiles]]="","",IF(tblOrdenes[[#This Row],[backlog_habiles]]&lt;0,"FUTURO",IF(tblOrdenes[[#This Row],[backlog_habiles]]&gt;p_dias_backlog_max,"BACKLOG","MES CORRIENTE")))</f>
        <v/>
      </c>
      <c r="AG688" s="5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18">
        <f>IF(tblOrdenes[[#This Row],[orden]]="","",_xlfn.XLOOKUP(tblOrdenes[[#This Row],[id_operacion]],tblEjecucion[id_operacion],tblEjecucion[precio],0))</f>
        <v/>
      </c>
      <c r="AM688" s="18">
        <f>IF(tblOrdenes[[#This Row],[orden]]="","",MAX(0,_xlfn.XLOOKUP(tblOrdenes[[#This Row],[id_operacion]],tblEjecucion[id_operacion],tblEjecucion[costo_plan_total],0)-tblOrdenes[[#This Row],[costo_servicio]]))</f>
        <v/>
      </c>
      <c r="AN688" s="18">
        <f>IF(tblOrdenes[[#This Row],[orden]]="","",tblOrdenes[[#This Row],[costo_servicio]]+tblOrdenes[[#This Row],[costo_materiales]])</f>
        <v/>
      </c>
      <c r="AO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5">
        <f>IF(tblOrdenes[[#This Row],[link_checklist]]="","",HYPERLINK(p_ruta_base_checklists&amp;tblOrdenes[[#This Row],[link_checklist]],"abrir"))</f>
        <v/>
      </c>
      <c r="AT688" s="4" t="n"/>
      <c r="AU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5" t="n"/>
      <c r="K689" s="5" t="n"/>
      <c r="L689" s="18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Row],[fecha_inicio]]="","",tblOrdenes[[#This Row],[anio]]&amp;"-"&amp;TEXT(tblOrdenes[[#This Row],[mes]],"00"))</f>
        <v/>
      </c>
      <c r="S689" s="5">
        <f>IF(tblOrdenes[[#This Row],[fecha_inicio]]="","",INDEX(lista_dias,WEEKDAY(tblOrdenes[[#This Row],[fecha_inicio]],2)))</f>
        <v/>
      </c>
      <c r="T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5">
        <f>IF(tblOrdenes[[#This Row],[tipo_ot]]="","",_xlfn.XLOOKUP(tblOrdenes[[#This Row],[tipo_ot]],tblTiposOT[codigo],tblTiposOT[clasificacion],"sin_clasificar"))</f>
        <v/>
      </c>
      <c r="V6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5">
        <f>IF(tblOrdenes[[#This Row],[centro_costo]]="","",_xlfn.XLOOKUP(tblOrdenes[[#This Row],[centro_costo]],tblCECO[codigo],tblCECO[linea],"(sin catálogo)"))</f>
        <v/>
      </c>
      <c r="Y689" s="5">
        <f>IF(tblOrdenes[[#This Row],[centro_costo]]="","",_xlfn.XLOOKUP(tblOrdenes[[#This Row],[centro_costo]],tblCECO[codigo],tblCECO[area],"(sin catálogo)"))</f>
        <v/>
      </c>
      <c r="Z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5">
        <f>IF(tblOrdenes[[#This Row],[centro_costo]]="","",_xlfn.XLOOKUP(tblOrdenes[[#This Row],[centro_costo]],tblCECO[codigo],tblCECO[coordinador],"(sin catálogo)"))</f>
        <v/>
      </c>
      <c r="AB689" s="5">
        <f>IF(tblOrdenes[[#This Row],[puesto_trabajo]]="","",_xlfn.XLOOKUP(tblOrdenes[[#This Row],[puesto_trabajo]],tblPuestos[codigo],tblPuestos[especialidad],"(sin catálogo)"))</f>
        <v/>
      </c>
      <c r="AC689" s="5">
        <f>IF(tblOrdenes[[#This Row],[cod_actividad]]="","",_xlfn.XLOOKUP(tblOrdenes[[#This Row],[cod_actividad]],tblActividades[codigo],tblActividades[descripcion],"(sin catálogo)"))</f>
        <v/>
      </c>
      <c r="AD689" s="23">
        <f>IF(tblOrdenes[[#This Row],[fecha_inicio]]="","",TODAY()-tblOrdenes[[#This Row],[fecha_inicio]])</f>
        <v/>
      </c>
      <c r="AE6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5">
        <f>IF(tblOrdenes[[#This Row],[backlog_habiles]]="","",IF(tblOrdenes[[#This Row],[backlog_habiles]]&lt;0,"FUTURO",IF(tblOrdenes[[#This Row],[backlog_habiles]]&gt;p_dias_backlog_max,"BACKLOG","MES CORRIENTE")))</f>
        <v/>
      </c>
      <c r="AG689" s="5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18">
        <f>IF(tblOrdenes[[#This Row],[orden]]="","",_xlfn.XLOOKUP(tblOrdenes[[#This Row],[id_operacion]],tblEjecucion[id_operacion],tblEjecucion[precio],0))</f>
        <v/>
      </c>
      <c r="AM689" s="18">
        <f>IF(tblOrdenes[[#This Row],[orden]]="","",MAX(0,_xlfn.XLOOKUP(tblOrdenes[[#This Row],[id_operacion]],tblEjecucion[id_operacion],tblEjecucion[costo_plan_total],0)-tblOrdenes[[#This Row],[costo_servicio]]))</f>
        <v/>
      </c>
      <c r="AN689" s="18">
        <f>IF(tblOrdenes[[#This Row],[orden]]="","",tblOrdenes[[#This Row],[costo_servicio]]+tblOrdenes[[#This Row],[costo_materiales]])</f>
        <v/>
      </c>
      <c r="AO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5">
        <f>IF(tblOrdenes[[#This Row],[link_checklist]]="","",HYPERLINK(p_ruta_base_checklists&amp;tblOrdenes[[#This Row],[link_checklist]],"abrir"))</f>
        <v/>
      </c>
      <c r="AT689" s="4" t="n"/>
      <c r="AU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5" t="n"/>
      <c r="K690" s="5" t="n"/>
      <c r="L690" s="18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Row],[fecha_inicio]]="","",tblOrdenes[[#This Row],[anio]]&amp;"-"&amp;TEXT(tblOrdenes[[#This Row],[mes]],"00"))</f>
        <v/>
      </c>
      <c r="S690" s="5">
        <f>IF(tblOrdenes[[#This Row],[fecha_inicio]]="","",INDEX(lista_dias,WEEKDAY(tblOrdenes[[#This Row],[fecha_inicio]],2)))</f>
        <v/>
      </c>
      <c r="T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5">
        <f>IF(tblOrdenes[[#This Row],[tipo_ot]]="","",_xlfn.XLOOKUP(tblOrdenes[[#This Row],[tipo_ot]],tblTiposOT[codigo],tblTiposOT[clasificacion],"sin_clasificar"))</f>
        <v/>
      </c>
      <c r="V6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5">
        <f>IF(tblOrdenes[[#This Row],[centro_costo]]="","",_xlfn.XLOOKUP(tblOrdenes[[#This Row],[centro_costo]],tblCECO[codigo],tblCECO[linea],"(sin catálogo)"))</f>
        <v/>
      </c>
      <c r="Y690" s="5">
        <f>IF(tblOrdenes[[#This Row],[centro_costo]]="","",_xlfn.XLOOKUP(tblOrdenes[[#This Row],[centro_costo]],tblCECO[codigo],tblCECO[area],"(sin catálogo)"))</f>
        <v/>
      </c>
      <c r="Z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5">
        <f>IF(tblOrdenes[[#This Row],[centro_costo]]="","",_xlfn.XLOOKUP(tblOrdenes[[#This Row],[centro_costo]],tblCECO[codigo],tblCECO[coordinador],"(sin catálogo)"))</f>
        <v/>
      </c>
      <c r="AB690" s="5">
        <f>IF(tblOrdenes[[#This Row],[puesto_trabajo]]="","",_xlfn.XLOOKUP(tblOrdenes[[#This Row],[puesto_trabajo]],tblPuestos[codigo],tblPuestos[especialidad],"(sin catálogo)"))</f>
        <v/>
      </c>
      <c r="AC690" s="5">
        <f>IF(tblOrdenes[[#This Row],[cod_actividad]]="","",_xlfn.XLOOKUP(tblOrdenes[[#This Row],[cod_actividad]],tblActividades[codigo],tblActividades[descripcion],"(sin catálogo)"))</f>
        <v/>
      </c>
      <c r="AD690" s="23">
        <f>IF(tblOrdenes[[#This Row],[fecha_inicio]]="","",TODAY()-tblOrdenes[[#This Row],[fecha_inicio]])</f>
        <v/>
      </c>
      <c r="AE6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5">
        <f>IF(tblOrdenes[[#This Row],[backlog_habiles]]="","",IF(tblOrdenes[[#This Row],[backlog_habiles]]&lt;0,"FUTURO",IF(tblOrdenes[[#This Row],[backlog_habiles]]&gt;p_dias_backlog_max,"BACKLOG","MES CORRIENTE")))</f>
        <v/>
      </c>
      <c r="AG690" s="5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18">
        <f>IF(tblOrdenes[[#This Row],[orden]]="","",_xlfn.XLOOKUP(tblOrdenes[[#This Row],[id_operacion]],tblEjecucion[id_operacion],tblEjecucion[precio],0))</f>
        <v/>
      </c>
      <c r="AM690" s="18">
        <f>IF(tblOrdenes[[#This Row],[orden]]="","",MAX(0,_xlfn.XLOOKUP(tblOrdenes[[#This Row],[id_operacion]],tblEjecucion[id_operacion],tblEjecucion[costo_plan_total],0)-tblOrdenes[[#This Row],[costo_servicio]]))</f>
        <v/>
      </c>
      <c r="AN690" s="18">
        <f>IF(tblOrdenes[[#This Row],[orden]]="","",tblOrdenes[[#This Row],[costo_servicio]]+tblOrdenes[[#This Row],[costo_materiales]])</f>
        <v/>
      </c>
      <c r="AO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5">
        <f>IF(tblOrdenes[[#This Row],[link_checklist]]="","",HYPERLINK(p_ruta_base_checklists&amp;tblOrdenes[[#This Row],[link_checklist]],"abrir"))</f>
        <v/>
      </c>
      <c r="AT690" s="4" t="n"/>
      <c r="AU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5" t="n"/>
      <c r="K691" s="5" t="n"/>
      <c r="L691" s="18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Row],[fecha_inicio]]="","",tblOrdenes[[#This Row],[anio]]&amp;"-"&amp;TEXT(tblOrdenes[[#This Row],[mes]],"00"))</f>
        <v/>
      </c>
      <c r="S691" s="5">
        <f>IF(tblOrdenes[[#This Row],[fecha_inicio]]="","",INDEX(lista_dias,WEEKDAY(tblOrdenes[[#This Row],[fecha_inicio]],2)))</f>
        <v/>
      </c>
      <c r="T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5">
        <f>IF(tblOrdenes[[#This Row],[tipo_ot]]="","",_xlfn.XLOOKUP(tblOrdenes[[#This Row],[tipo_ot]],tblTiposOT[codigo],tblTiposOT[clasificacion],"sin_clasificar"))</f>
        <v/>
      </c>
      <c r="V6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5">
        <f>IF(tblOrdenes[[#This Row],[centro_costo]]="","",_xlfn.XLOOKUP(tblOrdenes[[#This Row],[centro_costo]],tblCECO[codigo],tblCECO[linea],"(sin catálogo)"))</f>
        <v/>
      </c>
      <c r="Y691" s="5">
        <f>IF(tblOrdenes[[#This Row],[centro_costo]]="","",_xlfn.XLOOKUP(tblOrdenes[[#This Row],[centro_costo]],tblCECO[codigo],tblCECO[area],"(sin catálogo)"))</f>
        <v/>
      </c>
      <c r="Z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5">
        <f>IF(tblOrdenes[[#This Row],[centro_costo]]="","",_xlfn.XLOOKUP(tblOrdenes[[#This Row],[centro_costo]],tblCECO[codigo],tblCECO[coordinador],"(sin catálogo)"))</f>
        <v/>
      </c>
      <c r="AB691" s="5">
        <f>IF(tblOrdenes[[#This Row],[puesto_trabajo]]="","",_xlfn.XLOOKUP(tblOrdenes[[#This Row],[puesto_trabajo]],tblPuestos[codigo],tblPuestos[especialidad],"(sin catálogo)"))</f>
        <v/>
      </c>
      <c r="AC691" s="5">
        <f>IF(tblOrdenes[[#This Row],[cod_actividad]]="","",_xlfn.XLOOKUP(tblOrdenes[[#This Row],[cod_actividad]],tblActividades[codigo],tblActividades[descripcion],"(sin catálogo)"))</f>
        <v/>
      </c>
      <c r="AD691" s="23">
        <f>IF(tblOrdenes[[#This Row],[fecha_inicio]]="","",TODAY()-tblOrdenes[[#This Row],[fecha_inicio]])</f>
        <v/>
      </c>
      <c r="AE6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5">
        <f>IF(tblOrdenes[[#This Row],[backlog_habiles]]="","",IF(tblOrdenes[[#This Row],[backlog_habiles]]&lt;0,"FUTURO",IF(tblOrdenes[[#This Row],[backlog_habiles]]&gt;p_dias_backlog_max,"BACKLOG","MES CORRIENTE")))</f>
        <v/>
      </c>
      <c r="AG691" s="5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18">
        <f>IF(tblOrdenes[[#This Row],[orden]]="","",_xlfn.XLOOKUP(tblOrdenes[[#This Row],[id_operacion]],tblEjecucion[id_operacion],tblEjecucion[precio],0))</f>
        <v/>
      </c>
      <c r="AM691" s="18">
        <f>IF(tblOrdenes[[#This Row],[orden]]="","",MAX(0,_xlfn.XLOOKUP(tblOrdenes[[#This Row],[id_operacion]],tblEjecucion[id_operacion],tblEjecucion[costo_plan_total],0)-tblOrdenes[[#This Row],[costo_servicio]]))</f>
        <v/>
      </c>
      <c r="AN691" s="18">
        <f>IF(tblOrdenes[[#This Row],[orden]]="","",tblOrdenes[[#This Row],[costo_servicio]]+tblOrdenes[[#This Row],[costo_materiales]])</f>
        <v/>
      </c>
      <c r="AO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5">
        <f>IF(tblOrdenes[[#This Row],[link_checklist]]="","",HYPERLINK(p_ruta_base_checklists&amp;tblOrdenes[[#This Row],[link_checklist]],"abrir"))</f>
        <v/>
      </c>
      <c r="AT691" s="4" t="n"/>
      <c r="AU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5" t="n"/>
      <c r="K692" s="5" t="n"/>
      <c r="L692" s="18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Row],[fecha_inicio]]="","",tblOrdenes[[#This Row],[anio]]&amp;"-"&amp;TEXT(tblOrdenes[[#This Row],[mes]],"00"))</f>
        <v/>
      </c>
      <c r="S692" s="5">
        <f>IF(tblOrdenes[[#This Row],[fecha_inicio]]="","",INDEX(lista_dias,WEEKDAY(tblOrdenes[[#This Row],[fecha_inicio]],2)))</f>
        <v/>
      </c>
      <c r="T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5">
        <f>IF(tblOrdenes[[#This Row],[tipo_ot]]="","",_xlfn.XLOOKUP(tblOrdenes[[#This Row],[tipo_ot]],tblTiposOT[codigo],tblTiposOT[clasificacion],"sin_clasificar"))</f>
        <v/>
      </c>
      <c r="V6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5">
        <f>IF(tblOrdenes[[#This Row],[centro_costo]]="","",_xlfn.XLOOKUP(tblOrdenes[[#This Row],[centro_costo]],tblCECO[codigo],tblCECO[linea],"(sin catálogo)"))</f>
        <v/>
      </c>
      <c r="Y692" s="5">
        <f>IF(tblOrdenes[[#This Row],[centro_costo]]="","",_xlfn.XLOOKUP(tblOrdenes[[#This Row],[centro_costo]],tblCECO[codigo],tblCECO[area],"(sin catálogo)"))</f>
        <v/>
      </c>
      <c r="Z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5">
        <f>IF(tblOrdenes[[#This Row],[centro_costo]]="","",_xlfn.XLOOKUP(tblOrdenes[[#This Row],[centro_costo]],tblCECO[codigo],tblCECO[coordinador],"(sin catálogo)"))</f>
        <v/>
      </c>
      <c r="AB692" s="5">
        <f>IF(tblOrdenes[[#This Row],[puesto_trabajo]]="","",_xlfn.XLOOKUP(tblOrdenes[[#This Row],[puesto_trabajo]],tblPuestos[codigo],tblPuestos[especialidad],"(sin catálogo)"))</f>
        <v/>
      </c>
      <c r="AC692" s="5">
        <f>IF(tblOrdenes[[#This Row],[cod_actividad]]="","",_xlfn.XLOOKUP(tblOrdenes[[#This Row],[cod_actividad]],tblActividades[codigo],tblActividades[descripcion],"(sin catálogo)"))</f>
        <v/>
      </c>
      <c r="AD692" s="23">
        <f>IF(tblOrdenes[[#This Row],[fecha_inicio]]="","",TODAY()-tblOrdenes[[#This Row],[fecha_inicio]])</f>
        <v/>
      </c>
      <c r="AE6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5">
        <f>IF(tblOrdenes[[#This Row],[backlog_habiles]]="","",IF(tblOrdenes[[#This Row],[backlog_habiles]]&lt;0,"FUTURO",IF(tblOrdenes[[#This Row],[backlog_habiles]]&gt;p_dias_backlog_max,"BACKLOG","MES CORRIENTE")))</f>
        <v/>
      </c>
      <c r="AG692" s="5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18">
        <f>IF(tblOrdenes[[#This Row],[orden]]="","",_xlfn.XLOOKUP(tblOrdenes[[#This Row],[id_operacion]],tblEjecucion[id_operacion],tblEjecucion[precio],0))</f>
        <v/>
      </c>
      <c r="AM692" s="18">
        <f>IF(tblOrdenes[[#This Row],[orden]]="","",MAX(0,_xlfn.XLOOKUP(tblOrdenes[[#This Row],[id_operacion]],tblEjecucion[id_operacion],tblEjecucion[costo_plan_total],0)-tblOrdenes[[#This Row],[costo_servicio]]))</f>
        <v/>
      </c>
      <c r="AN692" s="18">
        <f>IF(tblOrdenes[[#This Row],[orden]]="","",tblOrdenes[[#This Row],[costo_servicio]]+tblOrdenes[[#This Row],[costo_materiales]])</f>
        <v/>
      </c>
      <c r="AO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5">
        <f>IF(tblOrdenes[[#This Row],[link_checklist]]="","",HYPERLINK(p_ruta_base_checklists&amp;tblOrdenes[[#This Row],[link_checklist]],"abrir"))</f>
        <v/>
      </c>
      <c r="AT692" s="4" t="n"/>
      <c r="AU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5" t="n"/>
      <c r="K693" s="5" t="n"/>
      <c r="L693" s="18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Row],[fecha_inicio]]="","",tblOrdenes[[#This Row],[anio]]&amp;"-"&amp;TEXT(tblOrdenes[[#This Row],[mes]],"00"))</f>
        <v/>
      </c>
      <c r="S693" s="5">
        <f>IF(tblOrdenes[[#This Row],[fecha_inicio]]="","",INDEX(lista_dias,WEEKDAY(tblOrdenes[[#This Row],[fecha_inicio]],2)))</f>
        <v/>
      </c>
      <c r="T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5">
        <f>IF(tblOrdenes[[#This Row],[tipo_ot]]="","",_xlfn.XLOOKUP(tblOrdenes[[#This Row],[tipo_ot]],tblTiposOT[codigo],tblTiposOT[clasificacion],"sin_clasificar"))</f>
        <v/>
      </c>
      <c r="V6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5">
        <f>IF(tblOrdenes[[#This Row],[centro_costo]]="","",_xlfn.XLOOKUP(tblOrdenes[[#This Row],[centro_costo]],tblCECO[codigo],tblCECO[linea],"(sin catálogo)"))</f>
        <v/>
      </c>
      <c r="Y693" s="5">
        <f>IF(tblOrdenes[[#This Row],[centro_costo]]="","",_xlfn.XLOOKUP(tblOrdenes[[#This Row],[centro_costo]],tblCECO[codigo],tblCECO[area],"(sin catálogo)"))</f>
        <v/>
      </c>
      <c r="Z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5">
        <f>IF(tblOrdenes[[#This Row],[centro_costo]]="","",_xlfn.XLOOKUP(tblOrdenes[[#This Row],[centro_costo]],tblCECO[codigo],tblCECO[coordinador],"(sin catálogo)"))</f>
        <v/>
      </c>
      <c r="AB693" s="5">
        <f>IF(tblOrdenes[[#This Row],[puesto_trabajo]]="","",_xlfn.XLOOKUP(tblOrdenes[[#This Row],[puesto_trabajo]],tblPuestos[codigo],tblPuestos[especialidad],"(sin catálogo)"))</f>
        <v/>
      </c>
      <c r="AC693" s="5">
        <f>IF(tblOrdenes[[#This Row],[cod_actividad]]="","",_xlfn.XLOOKUP(tblOrdenes[[#This Row],[cod_actividad]],tblActividades[codigo],tblActividades[descripcion],"(sin catálogo)"))</f>
        <v/>
      </c>
      <c r="AD693" s="23">
        <f>IF(tblOrdenes[[#This Row],[fecha_inicio]]="","",TODAY()-tblOrdenes[[#This Row],[fecha_inicio]])</f>
        <v/>
      </c>
      <c r="AE6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5">
        <f>IF(tblOrdenes[[#This Row],[backlog_habiles]]="","",IF(tblOrdenes[[#This Row],[backlog_habiles]]&lt;0,"FUTURO",IF(tblOrdenes[[#This Row],[backlog_habiles]]&gt;p_dias_backlog_max,"BACKLOG","MES CORRIENTE")))</f>
        <v/>
      </c>
      <c r="AG693" s="5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18">
        <f>IF(tblOrdenes[[#This Row],[orden]]="","",_xlfn.XLOOKUP(tblOrdenes[[#This Row],[id_operacion]],tblEjecucion[id_operacion],tblEjecucion[precio],0))</f>
        <v/>
      </c>
      <c r="AM693" s="18">
        <f>IF(tblOrdenes[[#This Row],[orden]]="","",MAX(0,_xlfn.XLOOKUP(tblOrdenes[[#This Row],[id_operacion]],tblEjecucion[id_operacion],tblEjecucion[costo_plan_total],0)-tblOrdenes[[#This Row],[costo_servicio]]))</f>
        <v/>
      </c>
      <c r="AN693" s="18">
        <f>IF(tblOrdenes[[#This Row],[orden]]="","",tblOrdenes[[#This Row],[costo_servicio]]+tblOrdenes[[#This Row],[costo_materiales]])</f>
        <v/>
      </c>
      <c r="AO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5">
        <f>IF(tblOrdenes[[#This Row],[link_checklist]]="","",HYPERLINK(p_ruta_base_checklists&amp;tblOrdenes[[#This Row],[link_checklist]],"abrir"))</f>
        <v/>
      </c>
      <c r="AT693" s="4" t="n"/>
      <c r="AU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5" t="n"/>
      <c r="K694" s="5" t="n"/>
      <c r="L694" s="18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Row],[fecha_inicio]]="","",tblOrdenes[[#This Row],[anio]]&amp;"-"&amp;TEXT(tblOrdenes[[#This Row],[mes]],"00"))</f>
        <v/>
      </c>
      <c r="S694" s="5">
        <f>IF(tblOrdenes[[#This Row],[fecha_inicio]]="","",INDEX(lista_dias,WEEKDAY(tblOrdenes[[#This Row],[fecha_inicio]],2)))</f>
        <v/>
      </c>
      <c r="T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5">
        <f>IF(tblOrdenes[[#This Row],[tipo_ot]]="","",_xlfn.XLOOKUP(tblOrdenes[[#This Row],[tipo_ot]],tblTiposOT[codigo],tblTiposOT[clasificacion],"sin_clasificar"))</f>
        <v/>
      </c>
      <c r="V6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5">
        <f>IF(tblOrdenes[[#This Row],[centro_costo]]="","",_xlfn.XLOOKUP(tblOrdenes[[#This Row],[centro_costo]],tblCECO[codigo],tblCECO[linea],"(sin catálogo)"))</f>
        <v/>
      </c>
      <c r="Y694" s="5">
        <f>IF(tblOrdenes[[#This Row],[centro_costo]]="","",_xlfn.XLOOKUP(tblOrdenes[[#This Row],[centro_costo]],tblCECO[codigo],tblCECO[area],"(sin catálogo)"))</f>
        <v/>
      </c>
      <c r="Z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5">
        <f>IF(tblOrdenes[[#This Row],[centro_costo]]="","",_xlfn.XLOOKUP(tblOrdenes[[#This Row],[centro_costo]],tblCECO[codigo],tblCECO[coordinador],"(sin catálogo)"))</f>
        <v/>
      </c>
      <c r="AB694" s="5">
        <f>IF(tblOrdenes[[#This Row],[puesto_trabajo]]="","",_xlfn.XLOOKUP(tblOrdenes[[#This Row],[puesto_trabajo]],tblPuestos[codigo],tblPuestos[especialidad],"(sin catálogo)"))</f>
        <v/>
      </c>
      <c r="AC694" s="5">
        <f>IF(tblOrdenes[[#This Row],[cod_actividad]]="","",_xlfn.XLOOKUP(tblOrdenes[[#This Row],[cod_actividad]],tblActividades[codigo],tblActividades[descripcion],"(sin catálogo)"))</f>
        <v/>
      </c>
      <c r="AD694" s="23">
        <f>IF(tblOrdenes[[#This Row],[fecha_inicio]]="","",TODAY()-tblOrdenes[[#This Row],[fecha_inicio]])</f>
        <v/>
      </c>
      <c r="AE6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5">
        <f>IF(tblOrdenes[[#This Row],[backlog_habiles]]="","",IF(tblOrdenes[[#This Row],[backlog_habiles]]&lt;0,"FUTURO",IF(tblOrdenes[[#This Row],[backlog_habiles]]&gt;p_dias_backlog_max,"BACKLOG","MES CORRIENTE")))</f>
        <v/>
      </c>
      <c r="AG694" s="5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18">
        <f>IF(tblOrdenes[[#This Row],[orden]]="","",_xlfn.XLOOKUP(tblOrdenes[[#This Row],[id_operacion]],tblEjecucion[id_operacion],tblEjecucion[precio],0))</f>
        <v/>
      </c>
      <c r="AM694" s="18">
        <f>IF(tblOrdenes[[#This Row],[orden]]="","",MAX(0,_xlfn.XLOOKUP(tblOrdenes[[#This Row],[id_operacion]],tblEjecucion[id_operacion],tblEjecucion[costo_plan_total],0)-tblOrdenes[[#This Row],[costo_servicio]]))</f>
        <v/>
      </c>
      <c r="AN694" s="18">
        <f>IF(tblOrdenes[[#This Row],[orden]]="","",tblOrdenes[[#This Row],[costo_servicio]]+tblOrdenes[[#This Row],[costo_materiales]])</f>
        <v/>
      </c>
      <c r="AO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5">
        <f>IF(tblOrdenes[[#This Row],[link_checklist]]="","",HYPERLINK(p_ruta_base_checklists&amp;tblOrdenes[[#This Row],[link_checklist]],"abrir"))</f>
        <v/>
      </c>
      <c r="AT694" s="4" t="n"/>
      <c r="AU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5" t="n"/>
      <c r="K695" s="5" t="n"/>
      <c r="L695" s="18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Row],[fecha_inicio]]="","",tblOrdenes[[#This Row],[anio]]&amp;"-"&amp;TEXT(tblOrdenes[[#This Row],[mes]],"00"))</f>
        <v/>
      </c>
      <c r="S695" s="5">
        <f>IF(tblOrdenes[[#This Row],[fecha_inicio]]="","",INDEX(lista_dias,WEEKDAY(tblOrdenes[[#This Row],[fecha_inicio]],2)))</f>
        <v/>
      </c>
      <c r="T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5">
        <f>IF(tblOrdenes[[#This Row],[tipo_ot]]="","",_xlfn.XLOOKUP(tblOrdenes[[#This Row],[tipo_ot]],tblTiposOT[codigo],tblTiposOT[clasificacion],"sin_clasificar"))</f>
        <v/>
      </c>
      <c r="V6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5">
        <f>IF(tblOrdenes[[#This Row],[centro_costo]]="","",_xlfn.XLOOKUP(tblOrdenes[[#This Row],[centro_costo]],tblCECO[codigo],tblCECO[linea],"(sin catálogo)"))</f>
        <v/>
      </c>
      <c r="Y695" s="5">
        <f>IF(tblOrdenes[[#This Row],[centro_costo]]="","",_xlfn.XLOOKUP(tblOrdenes[[#This Row],[centro_costo]],tblCECO[codigo],tblCECO[area],"(sin catálogo)"))</f>
        <v/>
      </c>
      <c r="Z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5">
        <f>IF(tblOrdenes[[#This Row],[centro_costo]]="","",_xlfn.XLOOKUP(tblOrdenes[[#This Row],[centro_costo]],tblCECO[codigo],tblCECO[coordinador],"(sin catálogo)"))</f>
        <v/>
      </c>
      <c r="AB695" s="5">
        <f>IF(tblOrdenes[[#This Row],[puesto_trabajo]]="","",_xlfn.XLOOKUP(tblOrdenes[[#This Row],[puesto_trabajo]],tblPuestos[codigo],tblPuestos[especialidad],"(sin catálogo)"))</f>
        <v/>
      </c>
      <c r="AC695" s="5">
        <f>IF(tblOrdenes[[#This Row],[cod_actividad]]="","",_xlfn.XLOOKUP(tblOrdenes[[#This Row],[cod_actividad]],tblActividades[codigo],tblActividades[descripcion],"(sin catálogo)"))</f>
        <v/>
      </c>
      <c r="AD695" s="23">
        <f>IF(tblOrdenes[[#This Row],[fecha_inicio]]="","",TODAY()-tblOrdenes[[#This Row],[fecha_inicio]])</f>
        <v/>
      </c>
      <c r="AE6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5">
        <f>IF(tblOrdenes[[#This Row],[backlog_habiles]]="","",IF(tblOrdenes[[#This Row],[backlog_habiles]]&lt;0,"FUTURO",IF(tblOrdenes[[#This Row],[backlog_habiles]]&gt;p_dias_backlog_max,"BACKLOG","MES CORRIENTE")))</f>
        <v/>
      </c>
      <c r="AG695" s="5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18">
        <f>IF(tblOrdenes[[#This Row],[orden]]="","",_xlfn.XLOOKUP(tblOrdenes[[#This Row],[id_operacion]],tblEjecucion[id_operacion],tblEjecucion[precio],0))</f>
        <v/>
      </c>
      <c r="AM695" s="18">
        <f>IF(tblOrdenes[[#This Row],[orden]]="","",MAX(0,_xlfn.XLOOKUP(tblOrdenes[[#This Row],[id_operacion]],tblEjecucion[id_operacion],tblEjecucion[costo_plan_total],0)-tblOrdenes[[#This Row],[costo_servicio]]))</f>
        <v/>
      </c>
      <c r="AN695" s="18">
        <f>IF(tblOrdenes[[#This Row],[orden]]="","",tblOrdenes[[#This Row],[costo_servicio]]+tblOrdenes[[#This Row],[costo_materiales]])</f>
        <v/>
      </c>
      <c r="AO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5">
        <f>IF(tblOrdenes[[#This Row],[link_checklist]]="","",HYPERLINK(p_ruta_base_checklists&amp;tblOrdenes[[#This Row],[link_checklist]],"abrir"))</f>
        <v/>
      </c>
      <c r="AT695" s="4" t="n"/>
      <c r="AU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5" t="n"/>
      <c r="K696" s="5" t="n"/>
      <c r="L696" s="18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Row],[fecha_inicio]]="","",tblOrdenes[[#This Row],[anio]]&amp;"-"&amp;TEXT(tblOrdenes[[#This Row],[mes]],"00"))</f>
        <v/>
      </c>
      <c r="S696" s="5">
        <f>IF(tblOrdenes[[#This Row],[fecha_inicio]]="","",INDEX(lista_dias,WEEKDAY(tblOrdenes[[#This Row],[fecha_inicio]],2)))</f>
        <v/>
      </c>
      <c r="T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5">
        <f>IF(tblOrdenes[[#This Row],[tipo_ot]]="","",_xlfn.XLOOKUP(tblOrdenes[[#This Row],[tipo_ot]],tblTiposOT[codigo],tblTiposOT[clasificacion],"sin_clasificar"))</f>
        <v/>
      </c>
      <c r="V6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5">
        <f>IF(tblOrdenes[[#This Row],[centro_costo]]="","",_xlfn.XLOOKUP(tblOrdenes[[#This Row],[centro_costo]],tblCECO[codigo],tblCECO[linea],"(sin catálogo)"))</f>
        <v/>
      </c>
      <c r="Y696" s="5">
        <f>IF(tblOrdenes[[#This Row],[centro_costo]]="","",_xlfn.XLOOKUP(tblOrdenes[[#This Row],[centro_costo]],tblCECO[codigo],tblCECO[area],"(sin catálogo)"))</f>
        <v/>
      </c>
      <c r="Z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5">
        <f>IF(tblOrdenes[[#This Row],[centro_costo]]="","",_xlfn.XLOOKUP(tblOrdenes[[#This Row],[centro_costo]],tblCECO[codigo],tblCECO[coordinador],"(sin catálogo)"))</f>
        <v/>
      </c>
      <c r="AB696" s="5">
        <f>IF(tblOrdenes[[#This Row],[puesto_trabajo]]="","",_xlfn.XLOOKUP(tblOrdenes[[#This Row],[puesto_trabajo]],tblPuestos[codigo],tblPuestos[especialidad],"(sin catálogo)"))</f>
        <v/>
      </c>
      <c r="AC696" s="5">
        <f>IF(tblOrdenes[[#This Row],[cod_actividad]]="","",_xlfn.XLOOKUP(tblOrdenes[[#This Row],[cod_actividad]],tblActividades[codigo],tblActividades[descripcion],"(sin catálogo)"))</f>
        <v/>
      </c>
      <c r="AD696" s="23">
        <f>IF(tblOrdenes[[#This Row],[fecha_inicio]]="","",TODAY()-tblOrdenes[[#This Row],[fecha_inicio]])</f>
        <v/>
      </c>
      <c r="AE6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5">
        <f>IF(tblOrdenes[[#This Row],[backlog_habiles]]="","",IF(tblOrdenes[[#This Row],[backlog_habiles]]&lt;0,"FUTURO",IF(tblOrdenes[[#This Row],[backlog_habiles]]&gt;p_dias_backlog_max,"BACKLOG","MES CORRIENTE")))</f>
        <v/>
      </c>
      <c r="AG696" s="5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18">
        <f>IF(tblOrdenes[[#This Row],[orden]]="","",_xlfn.XLOOKUP(tblOrdenes[[#This Row],[id_operacion]],tblEjecucion[id_operacion],tblEjecucion[precio],0))</f>
        <v/>
      </c>
      <c r="AM696" s="18">
        <f>IF(tblOrdenes[[#This Row],[orden]]="","",MAX(0,_xlfn.XLOOKUP(tblOrdenes[[#This Row],[id_operacion]],tblEjecucion[id_operacion],tblEjecucion[costo_plan_total],0)-tblOrdenes[[#This Row],[costo_servicio]]))</f>
        <v/>
      </c>
      <c r="AN696" s="18">
        <f>IF(tblOrdenes[[#This Row],[orden]]="","",tblOrdenes[[#This Row],[costo_servicio]]+tblOrdenes[[#This Row],[costo_materiales]])</f>
        <v/>
      </c>
      <c r="AO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5">
        <f>IF(tblOrdenes[[#This Row],[link_checklist]]="","",HYPERLINK(p_ruta_base_checklists&amp;tblOrdenes[[#This Row],[link_checklist]],"abrir"))</f>
        <v/>
      </c>
      <c r="AT696" s="4" t="n"/>
      <c r="AU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5" t="n"/>
      <c r="K697" s="5" t="n"/>
      <c r="L697" s="18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Row],[fecha_inicio]]="","",tblOrdenes[[#This Row],[anio]]&amp;"-"&amp;TEXT(tblOrdenes[[#This Row],[mes]],"00"))</f>
        <v/>
      </c>
      <c r="S697" s="5">
        <f>IF(tblOrdenes[[#This Row],[fecha_inicio]]="","",INDEX(lista_dias,WEEKDAY(tblOrdenes[[#This Row],[fecha_inicio]],2)))</f>
        <v/>
      </c>
      <c r="T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5">
        <f>IF(tblOrdenes[[#This Row],[tipo_ot]]="","",_xlfn.XLOOKUP(tblOrdenes[[#This Row],[tipo_ot]],tblTiposOT[codigo],tblTiposOT[clasificacion],"sin_clasificar"))</f>
        <v/>
      </c>
      <c r="V6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5">
        <f>IF(tblOrdenes[[#This Row],[centro_costo]]="","",_xlfn.XLOOKUP(tblOrdenes[[#This Row],[centro_costo]],tblCECO[codigo],tblCECO[linea],"(sin catálogo)"))</f>
        <v/>
      </c>
      <c r="Y697" s="5">
        <f>IF(tblOrdenes[[#This Row],[centro_costo]]="","",_xlfn.XLOOKUP(tblOrdenes[[#This Row],[centro_costo]],tblCECO[codigo],tblCECO[area],"(sin catálogo)"))</f>
        <v/>
      </c>
      <c r="Z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5">
        <f>IF(tblOrdenes[[#This Row],[centro_costo]]="","",_xlfn.XLOOKUP(tblOrdenes[[#This Row],[centro_costo]],tblCECO[codigo],tblCECO[coordinador],"(sin catálogo)"))</f>
        <v/>
      </c>
      <c r="AB697" s="5">
        <f>IF(tblOrdenes[[#This Row],[puesto_trabajo]]="","",_xlfn.XLOOKUP(tblOrdenes[[#This Row],[puesto_trabajo]],tblPuestos[codigo],tblPuestos[especialidad],"(sin catálogo)"))</f>
        <v/>
      </c>
      <c r="AC697" s="5">
        <f>IF(tblOrdenes[[#This Row],[cod_actividad]]="","",_xlfn.XLOOKUP(tblOrdenes[[#This Row],[cod_actividad]],tblActividades[codigo],tblActividades[descripcion],"(sin catálogo)"))</f>
        <v/>
      </c>
      <c r="AD697" s="23">
        <f>IF(tblOrdenes[[#This Row],[fecha_inicio]]="","",TODAY()-tblOrdenes[[#This Row],[fecha_inicio]])</f>
        <v/>
      </c>
      <c r="AE6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5">
        <f>IF(tblOrdenes[[#This Row],[backlog_habiles]]="","",IF(tblOrdenes[[#This Row],[backlog_habiles]]&lt;0,"FUTURO",IF(tblOrdenes[[#This Row],[backlog_habiles]]&gt;p_dias_backlog_max,"BACKLOG","MES CORRIENTE")))</f>
        <v/>
      </c>
      <c r="AG697" s="5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18">
        <f>IF(tblOrdenes[[#This Row],[orden]]="","",_xlfn.XLOOKUP(tblOrdenes[[#This Row],[id_operacion]],tblEjecucion[id_operacion],tblEjecucion[precio],0))</f>
        <v/>
      </c>
      <c r="AM697" s="18">
        <f>IF(tblOrdenes[[#This Row],[orden]]="","",MAX(0,_xlfn.XLOOKUP(tblOrdenes[[#This Row],[id_operacion]],tblEjecucion[id_operacion],tblEjecucion[costo_plan_total],0)-tblOrdenes[[#This Row],[costo_servicio]]))</f>
        <v/>
      </c>
      <c r="AN697" s="18">
        <f>IF(tblOrdenes[[#This Row],[orden]]="","",tblOrdenes[[#This Row],[costo_servicio]]+tblOrdenes[[#This Row],[costo_materiales]])</f>
        <v/>
      </c>
      <c r="AO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5">
        <f>IF(tblOrdenes[[#This Row],[link_checklist]]="","",HYPERLINK(p_ruta_base_checklists&amp;tblOrdenes[[#This Row],[link_checklist]],"abrir"))</f>
        <v/>
      </c>
      <c r="AT697" s="4" t="n"/>
      <c r="AU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5" t="n"/>
      <c r="K698" s="5" t="n"/>
      <c r="L698" s="18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Row],[fecha_inicio]]="","",tblOrdenes[[#This Row],[anio]]&amp;"-"&amp;TEXT(tblOrdenes[[#This Row],[mes]],"00"))</f>
        <v/>
      </c>
      <c r="S698" s="5">
        <f>IF(tblOrdenes[[#This Row],[fecha_inicio]]="","",INDEX(lista_dias,WEEKDAY(tblOrdenes[[#This Row],[fecha_inicio]],2)))</f>
        <v/>
      </c>
      <c r="T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5">
        <f>IF(tblOrdenes[[#This Row],[tipo_ot]]="","",_xlfn.XLOOKUP(tblOrdenes[[#This Row],[tipo_ot]],tblTiposOT[codigo],tblTiposOT[clasificacion],"sin_clasificar"))</f>
        <v/>
      </c>
      <c r="V6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5">
        <f>IF(tblOrdenes[[#This Row],[centro_costo]]="","",_xlfn.XLOOKUP(tblOrdenes[[#This Row],[centro_costo]],tblCECO[codigo],tblCECO[linea],"(sin catálogo)"))</f>
        <v/>
      </c>
      <c r="Y698" s="5">
        <f>IF(tblOrdenes[[#This Row],[centro_costo]]="","",_xlfn.XLOOKUP(tblOrdenes[[#This Row],[centro_costo]],tblCECO[codigo],tblCECO[area],"(sin catálogo)"))</f>
        <v/>
      </c>
      <c r="Z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5">
        <f>IF(tblOrdenes[[#This Row],[centro_costo]]="","",_xlfn.XLOOKUP(tblOrdenes[[#This Row],[centro_costo]],tblCECO[codigo],tblCECO[coordinador],"(sin catálogo)"))</f>
        <v/>
      </c>
      <c r="AB698" s="5">
        <f>IF(tblOrdenes[[#This Row],[puesto_trabajo]]="","",_xlfn.XLOOKUP(tblOrdenes[[#This Row],[puesto_trabajo]],tblPuestos[codigo],tblPuestos[especialidad],"(sin catálogo)"))</f>
        <v/>
      </c>
      <c r="AC698" s="5">
        <f>IF(tblOrdenes[[#This Row],[cod_actividad]]="","",_xlfn.XLOOKUP(tblOrdenes[[#This Row],[cod_actividad]],tblActividades[codigo],tblActividades[descripcion],"(sin catálogo)"))</f>
        <v/>
      </c>
      <c r="AD698" s="23">
        <f>IF(tblOrdenes[[#This Row],[fecha_inicio]]="","",TODAY()-tblOrdenes[[#This Row],[fecha_inicio]])</f>
        <v/>
      </c>
      <c r="AE6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5">
        <f>IF(tblOrdenes[[#This Row],[backlog_habiles]]="","",IF(tblOrdenes[[#This Row],[backlog_habiles]]&lt;0,"FUTURO",IF(tblOrdenes[[#This Row],[backlog_habiles]]&gt;p_dias_backlog_max,"BACKLOG","MES CORRIENTE")))</f>
        <v/>
      </c>
      <c r="AG698" s="5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18">
        <f>IF(tblOrdenes[[#This Row],[orden]]="","",_xlfn.XLOOKUP(tblOrdenes[[#This Row],[id_operacion]],tblEjecucion[id_operacion],tblEjecucion[precio],0))</f>
        <v/>
      </c>
      <c r="AM698" s="18">
        <f>IF(tblOrdenes[[#This Row],[orden]]="","",MAX(0,_xlfn.XLOOKUP(tblOrdenes[[#This Row],[id_operacion]],tblEjecucion[id_operacion],tblEjecucion[costo_plan_total],0)-tblOrdenes[[#This Row],[costo_servicio]]))</f>
        <v/>
      </c>
      <c r="AN698" s="18">
        <f>IF(tblOrdenes[[#This Row],[orden]]="","",tblOrdenes[[#This Row],[costo_servicio]]+tblOrdenes[[#This Row],[costo_materiales]])</f>
        <v/>
      </c>
      <c r="AO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5">
        <f>IF(tblOrdenes[[#This Row],[link_checklist]]="","",HYPERLINK(p_ruta_base_checklists&amp;tblOrdenes[[#This Row],[link_checklist]],"abrir"))</f>
        <v/>
      </c>
      <c r="AT698" s="4" t="n"/>
      <c r="AU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5" t="n"/>
      <c r="K699" s="5" t="n"/>
      <c r="L699" s="18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Row],[fecha_inicio]]="","",tblOrdenes[[#This Row],[anio]]&amp;"-"&amp;TEXT(tblOrdenes[[#This Row],[mes]],"00"))</f>
        <v/>
      </c>
      <c r="S699" s="5">
        <f>IF(tblOrdenes[[#This Row],[fecha_inicio]]="","",INDEX(lista_dias,WEEKDAY(tblOrdenes[[#This Row],[fecha_inicio]],2)))</f>
        <v/>
      </c>
      <c r="T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5">
        <f>IF(tblOrdenes[[#This Row],[tipo_ot]]="","",_xlfn.XLOOKUP(tblOrdenes[[#This Row],[tipo_ot]],tblTiposOT[codigo],tblTiposOT[clasificacion],"sin_clasificar"))</f>
        <v/>
      </c>
      <c r="V6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5">
        <f>IF(tblOrdenes[[#This Row],[centro_costo]]="","",_xlfn.XLOOKUP(tblOrdenes[[#This Row],[centro_costo]],tblCECO[codigo],tblCECO[linea],"(sin catálogo)"))</f>
        <v/>
      </c>
      <c r="Y699" s="5">
        <f>IF(tblOrdenes[[#This Row],[centro_costo]]="","",_xlfn.XLOOKUP(tblOrdenes[[#This Row],[centro_costo]],tblCECO[codigo],tblCECO[area],"(sin catálogo)"))</f>
        <v/>
      </c>
      <c r="Z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5">
        <f>IF(tblOrdenes[[#This Row],[centro_costo]]="","",_xlfn.XLOOKUP(tblOrdenes[[#This Row],[centro_costo]],tblCECO[codigo],tblCECO[coordinador],"(sin catálogo)"))</f>
        <v/>
      </c>
      <c r="AB699" s="5">
        <f>IF(tblOrdenes[[#This Row],[puesto_trabajo]]="","",_xlfn.XLOOKUP(tblOrdenes[[#This Row],[puesto_trabajo]],tblPuestos[codigo],tblPuestos[especialidad],"(sin catálogo)"))</f>
        <v/>
      </c>
      <c r="AC699" s="5">
        <f>IF(tblOrdenes[[#This Row],[cod_actividad]]="","",_xlfn.XLOOKUP(tblOrdenes[[#This Row],[cod_actividad]],tblActividades[codigo],tblActividades[descripcion],"(sin catálogo)"))</f>
        <v/>
      </c>
      <c r="AD699" s="23">
        <f>IF(tblOrdenes[[#This Row],[fecha_inicio]]="","",TODAY()-tblOrdenes[[#This Row],[fecha_inicio]])</f>
        <v/>
      </c>
      <c r="AE6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5">
        <f>IF(tblOrdenes[[#This Row],[backlog_habiles]]="","",IF(tblOrdenes[[#This Row],[backlog_habiles]]&lt;0,"FUTURO",IF(tblOrdenes[[#This Row],[backlog_habiles]]&gt;p_dias_backlog_max,"BACKLOG","MES CORRIENTE")))</f>
        <v/>
      </c>
      <c r="AG699" s="5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18">
        <f>IF(tblOrdenes[[#This Row],[orden]]="","",_xlfn.XLOOKUP(tblOrdenes[[#This Row],[id_operacion]],tblEjecucion[id_operacion],tblEjecucion[precio],0))</f>
        <v/>
      </c>
      <c r="AM699" s="18">
        <f>IF(tblOrdenes[[#This Row],[orden]]="","",MAX(0,_xlfn.XLOOKUP(tblOrdenes[[#This Row],[id_operacion]],tblEjecucion[id_operacion],tblEjecucion[costo_plan_total],0)-tblOrdenes[[#This Row],[costo_servicio]]))</f>
        <v/>
      </c>
      <c r="AN699" s="18">
        <f>IF(tblOrdenes[[#This Row],[orden]]="","",tblOrdenes[[#This Row],[costo_servicio]]+tblOrdenes[[#This Row],[costo_materiales]])</f>
        <v/>
      </c>
      <c r="AO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5">
        <f>IF(tblOrdenes[[#This Row],[link_checklist]]="","",HYPERLINK(p_ruta_base_checklists&amp;tblOrdenes[[#This Row],[link_checklist]],"abrir"))</f>
        <v/>
      </c>
      <c r="AT699" s="4" t="n"/>
      <c r="AU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5" t="n"/>
      <c r="K700" s="5" t="n"/>
      <c r="L700" s="18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Row],[fecha_inicio]]="","",tblOrdenes[[#This Row],[anio]]&amp;"-"&amp;TEXT(tblOrdenes[[#This Row],[mes]],"00"))</f>
        <v/>
      </c>
      <c r="S700" s="5">
        <f>IF(tblOrdenes[[#This Row],[fecha_inicio]]="","",INDEX(lista_dias,WEEKDAY(tblOrdenes[[#This Row],[fecha_inicio]],2)))</f>
        <v/>
      </c>
      <c r="T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5">
        <f>IF(tblOrdenes[[#This Row],[tipo_ot]]="","",_xlfn.XLOOKUP(tblOrdenes[[#This Row],[tipo_ot]],tblTiposOT[codigo],tblTiposOT[clasificacion],"sin_clasificar"))</f>
        <v/>
      </c>
      <c r="V7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5">
        <f>IF(tblOrdenes[[#This Row],[centro_costo]]="","",_xlfn.XLOOKUP(tblOrdenes[[#This Row],[centro_costo]],tblCECO[codigo],tblCECO[linea],"(sin catálogo)"))</f>
        <v/>
      </c>
      <c r="Y700" s="5">
        <f>IF(tblOrdenes[[#This Row],[centro_costo]]="","",_xlfn.XLOOKUP(tblOrdenes[[#This Row],[centro_costo]],tblCECO[codigo],tblCECO[area],"(sin catálogo)"))</f>
        <v/>
      </c>
      <c r="Z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5">
        <f>IF(tblOrdenes[[#This Row],[centro_costo]]="","",_xlfn.XLOOKUP(tblOrdenes[[#This Row],[centro_costo]],tblCECO[codigo],tblCECO[coordinador],"(sin catálogo)"))</f>
        <v/>
      </c>
      <c r="AB700" s="5">
        <f>IF(tblOrdenes[[#This Row],[puesto_trabajo]]="","",_xlfn.XLOOKUP(tblOrdenes[[#This Row],[puesto_trabajo]],tblPuestos[codigo],tblPuestos[especialidad],"(sin catálogo)"))</f>
        <v/>
      </c>
      <c r="AC700" s="5">
        <f>IF(tblOrdenes[[#This Row],[cod_actividad]]="","",_xlfn.XLOOKUP(tblOrdenes[[#This Row],[cod_actividad]],tblActividades[codigo],tblActividades[descripcion],"(sin catálogo)"))</f>
        <v/>
      </c>
      <c r="AD700" s="23">
        <f>IF(tblOrdenes[[#This Row],[fecha_inicio]]="","",TODAY()-tblOrdenes[[#This Row],[fecha_inicio]])</f>
        <v/>
      </c>
      <c r="AE7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5">
        <f>IF(tblOrdenes[[#This Row],[backlog_habiles]]="","",IF(tblOrdenes[[#This Row],[backlog_habiles]]&lt;0,"FUTURO",IF(tblOrdenes[[#This Row],[backlog_habiles]]&gt;p_dias_backlog_max,"BACKLOG","MES CORRIENTE")))</f>
        <v/>
      </c>
      <c r="AG700" s="5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18">
        <f>IF(tblOrdenes[[#This Row],[orden]]="","",_xlfn.XLOOKUP(tblOrdenes[[#This Row],[id_operacion]],tblEjecucion[id_operacion],tblEjecucion[precio],0))</f>
        <v/>
      </c>
      <c r="AM700" s="18">
        <f>IF(tblOrdenes[[#This Row],[orden]]="","",MAX(0,_xlfn.XLOOKUP(tblOrdenes[[#This Row],[id_operacion]],tblEjecucion[id_operacion],tblEjecucion[costo_plan_total],0)-tblOrdenes[[#This Row],[costo_servicio]]))</f>
        <v/>
      </c>
      <c r="AN700" s="18">
        <f>IF(tblOrdenes[[#This Row],[orden]]="","",tblOrdenes[[#This Row],[costo_servicio]]+tblOrdenes[[#This Row],[costo_materiales]])</f>
        <v/>
      </c>
      <c r="AO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5">
        <f>IF(tblOrdenes[[#This Row],[link_checklist]]="","",HYPERLINK(p_ruta_base_checklists&amp;tblOrdenes[[#This Row],[link_checklist]],"abrir"))</f>
        <v/>
      </c>
      <c r="AT700" s="4" t="n"/>
      <c r="AU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5" t="n"/>
      <c r="K701" s="5" t="n"/>
      <c r="L701" s="18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Row],[fecha_inicio]]="","",tblOrdenes[[#This Row],[anio]]&amp;"-"&amp;TEXT(tblOrdenes[[#This Row],[mes]],"00"))</f>
        <v/>
      </c>
      <c r="S701" s="5">
        <f>IF(tblOrdenes[[#This Row],[fecha_inicio]]="","",INDEX(lista_dias,WEEKDAY(tblOrdenes[[#This Row],[fecha_inicio]],2)))</f>
        <v/>
      </c>
      <c r="T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5">
        <f>IF(tblOrdenes[[#This Row],[tipo_ot]]="","",_xlfn.XLOOKUP(tblOrdenes[[#This Row],[tipo_ot]],tblTiposOT[codigo],tblTiposOT[clasificacion],"sin_clasificar"))</f>
        <v/>
      </c>
      <c r="V7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5">
        <f>IF(tblOrdenes[[#This Row],[centro_costo]]="","",_xlfn.XLOOKUP(tblOrdenes[[#This Row],[centro_costo]],tblCECO[codigo],tblCECO[linea],"(sin catálogo)"))</f>
        <v/>
      </c>
      <c r="Y701" s="5">
        <f>IF(tblOrdenes[[#This Row],[centro_costo]]="","",_xlfn.XLOOKUP(tblOrdenes[[#This Row],[centro_costo]],tblCECO[codigo],tblCECO[area],"(sin catálogo)"))</f>
        <v/>
      </c>
      <c r="Z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5">
        <f>IF(tblOrdenes[[#This Row],[centro_costo]]="","",_xlfn.XLOOKUP(tblOrdenes[[#This Row],[centro_costo]],tblCECO[codigo],tblCECO[coordinador],"(sin catálogo)"))</f>
        <v/>
      </c>
      <c r="AB701" s="5">
        <f>IF(tblOrdenes[[#This Row],[puesto_trabajo]]="","",_xlfn.XLOOKUP(tblOrdenes[[#This Row],[puesto_trabajo]],tblPuestos[codigo],tblPuestos[especialidad],"(sin catálogo)"))</f>
        <v/>
      </c>
      <c r="AC701" s="5">
        <f>IF(tblOrdenes[[#This Row],[cod_actividad]]="","",_xlfn.XLOOKUP(tblOrdenes[[#This Row],[cod_actividad]],tblActividades[codigo],tblActividades[descripcion],"(sin catálogo)"))</f>
        <v/>
      </c>
      <c r="AD701" s="23">
        <f>IF(tblOrdenes[[#This Row],[fecha_inicio]]="","",TODAY()-tblOrdenes[[#This Row],[fecha_inicio]])</f>
        <v/>
      </c>
      <c r="AE7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5">
        <f>IF(tblOrdenes[[#This Row],[backlog_habiles]]="","",IF(tblOrdenes[[#This Row],[backlog_habiles]]&lt;0,"FUTURO",IF(tblOrdenes[[#This Row],[backlog_habiles]]&gt;p_dias_backlog_max,"BACKLOG","MES CORRIENTE")))</f>
        <v/>
      </c>
      <c r="AG701" s="5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18">
        <f>IF(tblOrdenes[[#This Row],[orden]]="","",_xlfn.XLOOKUP(tblOrdenes[[#This Row],[id_operacion]],tblEjecucion[id_operacion],tblEjecucion[precio],0))</f>
        <v/>
      </c>
      <c r="AM701" s="18">
        <f>IF(tblOrdenes[[#This Row],[orden]]="","",MAX(0,_xlfn.XLOOKUP(tblOrdenes[[#This Row],[id_operacion]],tblEjecucion[id_operacion],tblEjecucion[costo_plan_total],0)-tblOrdenes[[#This Row],[costo_servicio]]))</f>
        <v/>
      </c>
      <c r="AN701" s="18">
        <f>IF(tblOrdenes[[#This Row],[orden]]="","",tblOrdenes[[#This Row],[costo_servicio]]+tblOrdenes[[#This Row],[costo_materiales]])</f>
        <v/>
      </c>
      <c r="AO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5">
        <f>IF(tblOrdenes[[#This Row],[link_checklist]]="","",HYPERLINK(p_ruta_base_checklists&amp;tblOrdenes[[#This Row],[link_checklist]],"abrir"))</f>
        <v/>
      </c>
      <c r="AT701" s="4" t="n"/>
      <c r="AU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5" t="n"/>
      <c r="K702" s="5" t="n"/>
      <c r="L702" s="18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Row],[fecha_inicio]]="","",tblOrdenes[[#This Row],[anio]]&amp;"-"&amp;TEXT(tblOrdenes[[#This Row],[mes]],"00"))</f>
        <v/>
      </c>
      <c r="S702" s="5">
        <f>IF(tblOrdenes[[#This Row],[fecha_inicio]]="","",INDEX(lista_dias,WEEKDAY(tblOrdenes[[#This Row],[fecha_inicio]],2)))</f>
        <v/>
      </c>
      <c r="T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5">
        <f>IF(tblOrdenes[[#This Row],[tipo_ot]]="","",_xlfn.XLOOKUP(tblOrdenes[[#This Row],[tipo_ot]],tblTiposOT[codigo],tblTiposOT[clasificacion],"sin_clasificar"))</f>
        <v/>
      </c>
      <c r="V7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5">
        <f>IF(tblOrdenes[[#This Row],[centro_costo]]="","",_xlfn.XLOOKUP(tblOrdenes[[#This Row],[centro_costo]],tblCECO[codigo],tblCECO[linea],"(sin catálogo)"))</f>
        <v/>
      </c>
      <c r="Y702" s="5">
        <f>IF(tblOrdenes[[#This Row],[centro_costo]]="","",_xlfn.XLOOKUP(tblOrdenes[[#This Row],[centro_costo]],tblCECO[codigo],tblCECO[area],"(sin catálogo)"))</f>
        <v/>
      </c>
      <c r="Z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5">
        <f>IF(tblOrdenes[[#This Row],[centro_costo]]="","",_xlfn.XLOOKUP(tblOrdenes[[#This Row],[centro_costo]],tblCECO[codigo],tblCECO[coordinador],"(sin catálogo)"))</f>
        <v/>
      </c>
      <c r="AB702" s="5">
        <f>IF(tblOrdenes[[#This Row],[puesto_trabajo]]="","",_xlfn.XLOOKUP(tblOrdenes[[#This Row],[puesto_trabajo]],tblPuestos[codigo],tblPuestos[especialidad],"(sin catálogo)"))</f>
        <v/>
      </c>
      <c r="AC702" s="5">
        <f>IF(tblOrdenes[[#This Row],[cod_actividad]]="","",_xlfn.XLOOKUP(tblOrdenes[[#This Row],[cod_actividad]],tblActividades[codigo],tblActividades[descripcion],"(sin catálogo)"))</f>
        <v/>
      </c>
      <c r="AD702" s="23">
        <f>IF(tblOrdenes[[#This Row],[fecha_inicio]]="","",TODAY()-tblOrdenes[[#This Row],[fecha_inicio]])</f>
        <v/>
      </c>
      <c r="AE7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5">
        <f>IF(tblOrdenes[[#This Row],[backlog_habiles]]="","",IF(tblOrdenes[[#This Row],[backlog_habiles]]&lt;0,"FUTURO",IF(tblOrdenes[[#This Row],[backlog_habiles]]&gt;p_dias_backlog_max,"BACKLOG","MES CORRIENTE")))</f>
        <v/>
      </c>
      <c r="AG702" s="5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18">
        <f>IF(tblOrdenes[[#This Row],[orden]]="","",_xlfn.XLOOKUP(tblOrdenes[[#This Row],[id_operacion]],tblEjecucion[id_operacion],tblEjecucion[precio],0))</f>
        <v/>
      </c>
      <c r="AM702" s="18">
        <f>IF(tblOrdenes[[#This Row],[orden]]="","",MAX(0,_xlfn.XLOOKUP(tblOrdenes[[#This Row],[id_operacion]],tblEjecucion[id_operacion],tblEjecucion[costo_plan_total],0)-tblOrdenes[[#This Row],[costo_servicio]]))</f>
        <v/>
      </c>
      <c r="AN702" s="18">
        <f>IF(tblOrdenes[[#This Row],[orden]]="","",tblOrdenes[[#This Row],[costo_servicio]]+tblOrdenes[[#This Row],[costo_materiales]])</f>
        <v/>
      </c>
      <c r="AO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5">
        <f>IF(tblOrdenes[[#This Row],[link_checklist]]="","",HYPERLINK(p_ruta_base_checklists&amp;tblOrdenes[[#This Row],[link_checklist]],"abrir"))</f>
        <v/>
      </c>
      <c r="AT702" s="4" t="n"/>
      <c r="AU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5" t="n"/>
      <c r="K703" s="5" t="n"/>
      <c r="L703" s="18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Row],[fecha_inicio]]="","",tblOrdenes[[#This Row],[anio]]&amp;"-"&amp;TEXT(tblOrdenes[[#This Row],[mes]],"00"))</f>
        <v/>
      </c>
      <c r="S703" s="5">
        <f>IF(tblOrdenes[[#This Row],[fecha_inicio]]="","",INDEX(lista_dias,WEEKDAY(tblOrdenes[[#This Row],[fecha_inicio]],2)))</f>
        <v/>
      </c>
      <c r="T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5">
        <f>IF(tblOrdenes[[#This Row],[tipo_ot]]="","",_xlfn.XLOOKUP(tblOrdenes[[#This Row],[tipo_ot]],tblTiposOT[codigo],tblTiposOT[clasificacion],"sin_clasificar"))</f>
        <v/>
      </c>
      <c r="V7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5">
        <f>IF(tblOrdenes[[#This Row],[centro_costo]]="","",_xlfn.XLOOKUP(tblOrdenes[[#This Row],[centro_costo]],tblCECO[codigo],tblCECO[linea],"(sin catálogo)"))</f>
        <v/>
      </c>
      <c r="Y703" s="5">
        <f>IF(tblOrdenes[[#This Row],[centro_costo]]="","",_xlfn.XLOOKUP(tblOrdenes[[#This Row],[centro_costo]],tblCECO[codigo],tblCECO[area],"(sin catálogo)"))</f>
        <v/>
      </c>
      <c r="Z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5">
        <f>IF(tblOrdenes[[#This Row],[centro_costo]]="","",_xlfn.XLOOKUP(tblOrdenes[[#This Row],[centro_costo]],tblCECO[codigo],tblCECO[coordinador],"(sin catálogo)"))</f>
        <v/>
      </c>
      <c r="AB703" s="5">
        <f>IF(tblOrdenes[[#This Row],[puesto_trabajo]]="","",_xlfn.XLOOKUP(tblOrdenes[[#This Row],[puesto_trabajo]],tblPuestos[codigo],tblPuestos[especialidad],"(sin catálogo)"))</f>
        <v/>
      </c>
      <c r="AC703" s="5">
        <f>IF(tblOrdenes[[#This Row],[cod_actividad]]="","",_xlfn.XLOOKUP(tblOrdenes[[#This Row],[cod_actividad]],tblActividades[codigo],tblActividades[descripcion],"(sin catálogo)"))</f>
        <v/>
      </c>
      <c r="AD703" s="23">
        <f>IF(tblOrdenes[[#This Row],[fecha_inicio]]="","",TODAY()-tblOrdenes[[#This Row],[fecha_inicio]])</f>
        <v/>
      </c>
      <c r="AE7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5">
        <f>IF(tblOrdenes[[#This Row],[backlog_habiles]]="","",IF(tblOrdenes[[#This Row],[backlog_habiles]]&lt;0,"FUTURO",IF(tblOrdenes[[#This Row],[backlog_habiles]]&gt;p_dias_backlog_max,"BACKLOG","MES CORRIENTE")))</f>
        <v/>
      </c>
      <c r="AG703" s="5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18">
        <f>IF(tblOrdenes[[#This Row],[orden]]="","",_xlfn.XLOOKUP(tblOrdenes[[#This Row],[id_operacion]],tblEjecucion[id_operacion],tblEjecucion[precio],0))</f>
        <v/>
      </c>
      <c r="AM703" s="18">
        <f>IF(tblOrdenes[[#This Row],[orden]]="","",MAX(0,_xlfn.XLOOKUP(tblOrdenes[[#This Row],[id_operacion]],tblEjecucion[id_operacion],tblEjecucion[costo_plan_total],0)-tblOrdenes[[#This Row],[costo_servicio]]))</f>
        <v/>
      </c>
      <c r="AN703" s="18">
        <f>IF(tblOrdenes[[#This Row],[orden]]="","",tblOrdenes[[#This Row],[costo_servicio]]+tblOrdenes[[#This Row],[costo_materiales]])</f>
        <v/>
      </c>
      <c r="AO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5">
        <f>IF(tblOrdenes[[#This Row],[link_checklist]]="","",HYPERLINK(p_ruta_base_checklists&amp;tblOrdenes[[#This Row],[link_checklist]],"abrir"))</f>
        <v/>
      </c>
      <c r="AT703" s="4" t="n"/>
      <c r="AU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5" t="n"/>
      <c r="K704" s="5" t="n"/>
      <c r="L704" s="18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Row],[fecha_inicio]]="","",tblOrdenes[[#This Row],[anio]]&amp;"-"&amp;TEXT(tblOrdenes[[#This Row],[mes]],"00"))</f>
        <v/>
      </c>
      <c r="S704" s="5">
        <f>IF(tblOrdenes[[#This Row],[fecha_inicio]]="","",INDEX(lista_dias,WEEKDAY(tblOrdenes[[#This Row],[fecha_inicio]],2)))</f>
        <v/>
      </c>
      <c r="T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5">
        <f>IF(tblOrdenes[[#This Row],[tipo_ot]]="","",_xlfn.XLOOKUP(tblOrdenes[[#This Row],[tipo_ot]],tblTiposOT[codigo],tblTiposOT[clasificacion],"sin_clasificar"))</f>
        <v/>
      </c>
      <c r="V7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5">
        <f>IF(tblOrdenes[[#This Row],[centro_costo]]="","",_xlfn.XLOOKUP(tblOrdenes[[#This Row],[centro_costo]],tblCECO[codigo],tblCECO[linea],"(sin catálogo)"))</f>
        <v/>
      </c>
      <c r="Y704" s="5">
        <f>IF(tblOrdenes[[#This Row],[centro_costo]]="","",_xlfn.XLOOKUP(tblOrdenes[[#This Row],[centro_costo]],tblCECO[codigo],tblCECO[area],"(sin catálogo)"))</f>
        <v/>
      </c>
      <c r="Z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5">
        <f>IF(tblOrdenes[[#This Row],[centro_costo]]="","",_xlfn.XLOOKUP(tblOrdenes[[#This Row],[centro_costo]],tblCECO[codigo],tblCECO[coordinador],"(sin catálogo)"))</f>
        <v/>
      </c>
      <c r="AB704" s="5">
        <f>IF(tblOrdenes[[#This Row],[puesto_trabajo]]="","",_xlfn.XLOOKUP(tblOrdenes[[#This Row],[puesto_trabajo]],tblPuestos[codigo],tblPuestos[especialidad],"(sin catálogo)"))</f>
        <v/>
      </c>
      <c r="AC704" s="5">
        <f>IF(tblOrdenes[[#This Row],[cod_actividad]]="","",_xlfn.XLOOKUP(tblOrdenes[[#This Row],[cod_actividad]],tblActividades[codigo],tblActividades[descripcion],"(sin catálogo)"))</f>
        <v/>
      </c>
      <c r="AD704" s="23">
        <f>IF(tblOrdenes[[#This Row],[fecha_inicio]]="","",TODAY()-tblOrdenes[[#This Row],[fecha_inicio]])</f>
        <v/>
      </c>
      <c r="AE7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5">
        <f>IF(tblOrdenes[[#This Row],[backlog_habiles]]="","",IF(tblOrdenes[[#This Row],[backlog_habiles]]&lt;0,"FUTURO",IF(tblOrdenes[[#This Row],[backlog_habiles]]&gt;p_dias_backlog_max,"BACKLOG","MES CORRIENTE")))</f>
        <v/>
      </c>
      <c r="AG704" s="5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18">
        <f>IF(tblOrdenes[[#This Row],[orden]]="","",_xlfn.XLOOKUP(tblOrdenes[[#This Row],[id_operacion]],tblEjecucion[id_operacion],tblEjecucion[precio],0))</f>
        <v/>
      </c>
      <c r="AM704" s="18">
        <f>IF(tblOrdenes[[#This Row],[orden]]="","",MAX(0,_xlfn.XLOOKUP(tblOrdenes[[#This Row],[id_operacion]],tblEjecucion[id_operacion],tblEjecucion[costo_plan_total],0)-tblOrdenes[[#This Row],[costo_servicio]]))</f>
        <v/>
      </c>
      <c r="AN704" s="18">
        <f>IF(tblOrdenes[[#This Row],[orden]]="","",tblOrdenes[[#This Row],[costo_servicio]]+tblOrdenes[[#This Row],[costo_materiales]])</f>
        <v/>
      </c>
      <c r="AO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5">
        <f>IF(tblOrdenes[[#This Row],[link_checklist]]="","",HYPERLINK(p_ruta_base_checklists&amp;tblOrdenes[[#This Row],[link_checklist]],"abrir"))</f>
        <v/>
      </c>
      <c r="AT704" s="4" t="n"/>
      <c r="AU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5" t="n"/>
      <c r="K705" s="5" t="n"/>
      <c r="L705" s="18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Row],[fecha_inicio]]="","",tblOrdenes[[#This Row],[anio]]&amp;"-"&amp;TEXT(tblOrdenes[[#This Row],[mes]],"00"))</f>
        <v/>
      </c>
      <c r="S705" s="5">
        <f>IF(tblOrdenes[[#This Row],[fecha_inicio]]="","",INDEX(lista_dias,WEEKDAY(tblOrdenes[[#This Row],[fecha_inicio]],2)))</f>
        <v/>
      </c>
      <c r="T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5">
        <f>IF(tblOrdenes[[#This Row],[tipo_ot]]="","",_xlfn.XLOOKUP(tblOrdenes[[#This Row],[tipo_ot]],tblTiposOT[codigo],tblTiposOT[clasificacion],"sin_clasificar"))</f>
        <v/>
      </c>
      <c r="V7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5">
        <f>IF(tblOrdenes[[#This Row],[centro_costo]]="","",_xlfn.XLOOKUP(tblOrdenes[[#This Row],[centro_costo]],tblCECO[codigo],tblCECO[linea],"(sin catálogo)"))</f>
        <v/>
      </c>
      <c r="Y705" s="5">
        <f>IF(tblOrdenes[[#This Row],[centro_costo]]="","",_xlfn.XLOOKUP(tblOrdenes[[#This Row],[centro_costo]],tblCECO[codigo],tblCECO[area],"(sin catálogo)"))</f>
        <v/>
      </c>
      <c r="Z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5">
        <f>IF(tblOrdenes[[#This Row],[centro_costo]]="","",_xlfn.XLOOKUP(tblOrdenes[[#This Row],[centro_costo]],tblCECO[codigo],tblCECO[coordinador],"(sin catálogo)"))</f>
        <v/>
      </c>
      <c r="AB705" s="5">
        <f>IF(tblOrdenes[[#This Row],[puesto_trabajo]]="","",_xlfn.XLOOKUP(tblOrdenes[[#This Row],[puesto_trabajo]],tblPuestos[codigo],tblPuestos[especialidad],"(sin catálogo)"))</f>
        <v/>
      </c>
      <c r="AC705" s="5">
        <f>IF(tblOrdenes[[#This Row],[cod_actividad]]="","",_xlfn.XLOOKUP(tblOrdenes[[#This Row],[cod_actividad]],tblActividades[codigo],tblActividades[descripcion],"(sin catálogo)"))</f>
        <v/>
      </c>
      <c r="AD705" s="23">
        <f>IF(tblOrdenes[[#This Row],[fecha_inicio]]="","",TODAY()-tblOrdenes[[#This Row],[fecha_inicio]])</f>
        <v/>
      </c>
      <c r="AE7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5">
        <f>IF(tblOrdenes[[#This Row],[backlog_habiles]]="","",IF(tblOrdenes[[#This Row],[backlog_habiles]]&lt;0,"FUTURO",IF(tblOrdenes[[#This Row],[backlog_habiles]]&gt;p_dias_backlog_max,"BACKLOG","MES CORRIENTE")))</f>
        <v/>
      </c>
      <c r="AG705" s="5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18">
        <f>IF(tblOrdenes[[#This Row],[orden]]="","",_xlfn.XLOOKUP(tblOrdenes[[#This Row],[id_operacion]],tblEjecucion[id_operacion],tblEjecucion[precio],0))</f>
        <v/>
      </c>
      <c r="AM705" s="18">
        <f>IF(tblOrdenes[[#This Row],[orden]]="","",MAX(0,_xlfn.XLOOKUP(tblOrdenes[[#This Row],[id_operacion]],tblEjecucion[id_operacion],tblEjecucion[costo_plan_total],0)-tblOrdenes[[#This Row],[costo_servicio]]))</f>
        <v/>
      </c>
      <c r="AN705" s="18">
        <f>IF(tblOrdenes[[#This Row],[orden]]="","",tblOrdenes[[#This Row],[costo_servicio]]+tblOrdenes[[#This Row],[costo_materiales]])</f>
        <v/>
      </c>
      <c r="AO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5">
        <f>IF(tblOrdenes[[#This Row],[link_checklist]]="","",HYPERLINK(p_ruta_base_checklists&amp;tblOrdenes[[#This Row],[link_checklist]],"abrir"))</f>
        <v/>
      </c>
      <c r="AT705" s="4" t="n"/>
      <c r="AU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5" t="n"/>
      <c r="K706" s="5" t="n"/>
      <c r="L706" s="18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Row],[fecha_inicio]]="","",tblOrdenes[[#This Row],[anio]]&amp;"-"&amp;TEXT(tblOrdenes[[#This Row],[mes]],"00"))</f>
        <v/>
      </c>
      <c r="S706" s="5">
        <f>IF(tblOrdenes[[#This Row],[fecha_inicio]]="","",INDEX(lista_dias,WEEKDAY(tblOrdenes[[#This Row],[fecha_inicio]],2)))</f>
        <v/>
      </c>
      <c r="T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5">
        <f>IF(tblOrdenes[[#This Row],[tipo_ot]]="","",_xlfn.XLOOKUP(tblOrdenes[[#This Row],[tipo_ot]],tblTiposOT[codigo],tblTiposOT[clasificacion],"sin_clasificar"))</f>
        <v/>
      </c>
      <c r="V7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5">
        <f>IF(tblOrdenes[[#This Row],[centro_costo]]="","",_xlfn.XLOOKUP(tblOrdenes[[#This Row],[centro_costo]],tblCECO[codigo],tblCECO[linea],"(sin catálogo)"))</f>
        <v/>
      </c>
      <c r="Y706" s="5">
        <f>IF(tblOrdenes[[#This Row],[centro_costo]]="","",_xlfn.XLOOKUP(tblOrdenes[[#This Row],[centro_costo]],tblCECO[codigo],tblCECO[area],"(sin catálogo)"))</f>
        <v/>
      </c>
      <c r="Z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5">
        <f>IF(tblOrdenes[[#This Row],[centro_costo]]="","",_xlfn.XLOOKUP(tblOrdenes[[#This Row],[centro_costo]],tblCECO[codigo],tblCECO[coordinador],"(sin catálogo)"))</f>
        <v/>
      </c>
      <c r="AB706" s="5">
        <f>IF(tblOrdenes[[#This Row],[puesto_trabajo]]="","",_xlfn.XLOOKUP(tblOrdenes[[#This Row],[puesto_trabajo]],tblPuestos[codigo],tblPuestos[especialidad],"(sin catálogo)"))</f>
        <v/>
      </c>
      <c r="AC706" s="5">
        <f>IF(tblOrdenes[[#This Row],[cod_actividad]]="","",_xlfn.XLOOKUP(tblOrdenes[[#This Row],[cod_actividad]],tblActividades[codigo],tblActividades[descripcion],"(sin catálogo)"))</f>
        <v/>
      </c>
      <c r="AD706" s="23">
        <f>IF(tblOrdenes[[#This Row],[fecha_inicio]]="","",TODAY()-tblOrdenes[[#This Row],[fecha_inicio]])</f>
        <v/>
      </c>
      <c r="AE7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5">
        <f>IF(tblOrdenes[[#This Row],[backlog_habiles]]="","",IF(tblOrdenes[[#This Row],[backlog_habiles]]&lt;0,"FUTURO",IF(tblOrdenes[[#This Row],[backlog_habiles]]&gt;p_dias_backlog_max,"BACKLOG","MES CORRIENTE")))</f>
        <v/>
      </c>
      <c r="AG706" s="5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18">
        <f>IF(tblOrdenes[[#This Row],[orden]]="","",_xlfn.XLOOKUP(tblOrdenes[[#This Row],[id_operacion]],tblEjecucion[id_operacion],tblEjecucion[precio],0))</f>
        <v/>
      </c>
      <c r="AM706" s="18">
        <f>IF(tblOrdenes[[#This Row],[orden]]="","",MAX(0,_xlfn.XLOOKUP(tblOrdenes[[#This Row],[id_operacion]],tblEjecucion[id_operacion],tblEjecucion[costo_plan_total],0)-tblOrdenes[[#This Row],[costo_servicio]]))</f>
        <v/>
      </c>
      <c r="AN706" s="18">
        <f>IF(tblOrdenes[[#This Row],[orden]]="","",tblOrdenes[[#This Row],[costo_servicio]]+tblOrdenes[[#This Row],[costo_materiales]])</f>
        <v/>
      </c>
      <c r="AO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5">
        <f>IF(tblOrdenes[[#This Row],[link_checklist]]="","",HYPERLINK(p_ruta_base_checklists&amp;tblOrdenes[[#This Row],[link_checklist]],"abrir"))</f>
        <v/>
      </c>
      <c r="AT706" s="4" t="n"/>
      <c r="AU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5" t="n"/>
      <c r="K707" s="5" t="n"/>
      <c r="L707" s="18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Row],[fecha_inicio]]="","",tblOrdenes[[#This Row],[anio]]&amp;"-"&amp;TEXT(tblOrdenes[[#This Row],[mes]],"00"))</f>
        <v/>
      </c>
      <c r="S707" s="5">
        <f>IF(tblOrdenes[[#This Row],[fecha_inicio]]="","",INDEX(lista_dias,WEEKDAY(tblOrdenes[[#This Row],[fecha_inicio]],2)))</f>
        <v/>
      </c>
      <c r="T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5">
        <f>IF(tblOrdenes[[#This Row],[tipo_ot]]="","",_xlfn.XLOOKUP(tblOrdenes[[#This Row],[tipo_ot]],tblTiposOT[codigo],tblTiposOT[clasificacion],"sin_clasificar"))</f>
        <v/>
      </c>
      <c r="V7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5">
        <f>IF(tblOrdenes[[#This Row],[centro_costo]]="","",_xlfn.XLOOKUP(tblOrdenes[[#This Row],[centro_costo]],tblCECO[codigo],tblCECO[linea],"(sin catálogo)"))</f>
        <v/>
      </c>
      <c r="Y707" s="5">
        <f>IF(tblOrdenes[[#This Row],[centro_costo]]="","",_xlfn.XLOOKUP(tblOrdenes[[#This Row],[centro_costo]],tblCECO[codigo],tblCECO[area],"(sin catálogo)"))</f>
        <v/>
      </c>
      <c r="Z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5">
        <f>IF(tblOrdenes[[#This Row],[centro_costo]]="","",_xlfn.XLOOKUP(tblOrdenes[[#This Row],[centro_costo]],tblCECO[codigo],tblCECO[coordinador],"(sin catálogo)"))</f>
        <v/>
      </c>
      <c r="AB707" s="5">
        <f>IF(tblOrdenes[[#This Row],[puesto_trabajo]]="","",_xlfn.XLOOKUP(tblOrdenes[[#This Row],[puesto_trabajo]],tblPuestos[codigo],tblPuestos[especialidad],"(sin catálogo)"))</f>
        <v/>
      </c>
      <c r="AC707" s="5">
        <f>IF(tblOrdenes[[#This Row],[cod_actividad]]="","",_xlfn.XLOOKUP(tblOrdenes[[#This Row],[cod_actividad]],tblActividades[codigo],tblActividades[descripcion],"(sin catálogo)"))</f>
        <v/>
      </c>
      <c r="AD707" s="23">
        <f>IF(tblOrdenes[[#This Row],[fecha_inicio]]="","",TODAY()-tblOrdenes[[#This Row],[fecha_inicio]])</f>
        <v/>
      </c>
      <c r="AE7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5">
        <f>IF(tblOrdenes[[#This Row],[backlog_habiles]]="","",IF(tblOrdenes[[#This Row],[backlog_habiles]]&lt;0,"FUTURO",IF(tblOrdenes[[#This Row],[backlog_habiles]]&gt;p_dias_backlog_max,"BACKLOG","MES CORRIENTE")))</f>
        <v/>
      </c>
      <c r="AG707" s="5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18">
        <f>IF(tblOrdenes[[#This Row],[orden]]="","",_xlfn.XLOOKUP(tblOrdenes[[#This Row],[id_operacion]],tblEjecucion[id_operacion],tblEjecucion[precio],0))</f>
        <v/>
      </c>
      <c r="AM707" s="18">
        <f>IF(tblOrdenes[[#This Row],[orden]]="","",MAX(0,_xlfn.XLOOKUP(tblOrdenes[[#This Row],[id_operacion]],tblEjecucion[id_operacion],tblEjecucion[costo_plan_total],0)-tblOrdenes[[#This Row],[costo_servicio]]))</f>
        <v/>
      </c>
      <c r="AN707" s="18">
        <f>IF(tblOrdenes[[#This Row],[orden]]="","",tblOrdenes[[#This Row],[costo_servicio]]+tblOrdenes[[#This Row],[costo_materiales]])</f>
        <v/>
      </c>
      <c r="AO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5">
        <f>IF(tblOrdenes[[#This Row],[link_checklist]]="","",HYPERLINK(p_ruta_base_checklists&amp;tblOrdenes[[#This Row],[link_checklist]],"abrir"))</f>
        <v/>
      </c>
      <c r="AT707" s="4" t="n"/>
      <c r="AU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5" t="n"/>
      <c r="K708" s="5" t="n"/>
      <c r="L708" s="18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Row],[fecha_inicio]]="","",tblOrdenes[[#This Row],[anio]]&amp;"-"&amp;TEXT(tblOrdenes[[#This Row],[mes]],"00"))</f>
        <v/>
      </c>
      <c r="S708" s="5">
        <f>IF(tblOrdenes[[#This Row],[fecha_inicio]]="","",INDEX(lista_dias,WEEKDAY(tblOrdenes[[#This Row],[fecha_inicio]],2)))</f>
        <v/>
      </c>
      <c r="T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5">
        <f>IF(tblOrdenes[[#This Row],[tipo_ot]]="","",_xlfn.XLOOKUP(tblOrdenes[[#This Row],[tipo_ot]],tblTiposOT[codigo],tblTiposOT[clasificacion],"sin_clasificar"))</f>
        <v/>
      </c>
      <c r="V7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5">
        <f>IF(tblOrdenes[[#This Row],[centro_costo]]="","",_xlfn.XLOOKUP(tblOrdenes[[#This Row],[centro_costo]],tblCECO[codigo],tblCECO[linea],"(sin catálogo)"))</f>
        <v/>
      </c>
      <c r="Y708" s="5">
        <f>IF(tblOrdenes[[#This Row],[centro_costo]]="","",_xlfn.XLOOKUP(tblOrdenes[[#This Row],[centro_costo]],tblCECO[codigo],tblCECO[area],"(sin catálogo)"))</f>
        <v/>
      </c>
      <c r="Z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5">
        <f>IF(tblOrdenes[[#This Row],[centro_costo]]="","",_xlfn.XLOOKUP(tblOrdenes[[#This Row],[centro_costo]],tblCECO[codigo],tblCECO[coordinador],"(sin catálogo)"))</f>
        <v/>
      </c>
      <c r="AB708" s="5">
        <f>IF(tblOrdenes[[#This Row],[puesto_trabajo]]="","",_xlfn.XLOOKUP(tblOrdenes[[#This Row],[puesto_trabajo]],tblPuestos[codigo],tblPuestos[especialidad],"(sin catálogo)"))</f>
        <v/>
      </c>
      <c r="AC708" s="5">
        <f>IF(tblOrdenes[[#This Row],[cod_actividad]]="","",_xlfn.XLOOKUP(tblOrdenes[[#This Row],[cod_actividad]],tblActividades[codigo],tblActividades[descripcion],"(sin catálogo)"))</f>
        <v/>
      </c>
      <c r="AD708" s="23">
        <f>IF(tblOrdenes[[#This Row],[fecha_inicio]]="","",TODAY()-tblOrdenes[[#This Row],[fecha_inicio]])</f>
        <v/>
      </c>
      <c r="AE7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5">
        <f>IF(tblOrdenes[[#This Row],[backlog_habiles]]="","",IF(tblOrdenes[[#This Row],[backlog_habiles]]&lt;0,"FUTURO",IF(tblOrdenes[[#This Row],[backlog_habiles]]&gt;p_dias_backlog_max,"BACKLOG","MES CORRIENTE")))</f>
        <v/>
      </c>
      <c r="AG708" s="5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18">
        <f>IF(tblOrdenes[[#This Row],[orden]]="","",_xlfn.XLOOKUP(tblOrdenes[[#This Row],[id_operacion]],tblEjecucion[id_operacion],tblEjecucion[precio],0))</f>
        <v/>
      </c>
      <c r="AM708" s="18">
        <f>IF(tblOrdenes[[#This Row],[orden]]="","",MAX(0,_xlfn.XLOOKUP(tblOrdenes[[#This Row],[id_operacion]],tblEjecucion[id_operacion],tblEjecucion[costo_plan_total],0)-tblOrdenes[[#This Row],[costo_servicio]]))</f>
        <v/>
      </c>
      <c r="AN708" s="18">
        <f>IF(tblOrdenes[[#This Row],[orden]]="","",tblOrdenes[[#This Row],[costo_servicio]]+tblOrdenes[[#This Row],[costo_materiales]])</f>
        <v/>
      </c>
      <c r="AO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5">
        <f>IF(tblOrdenes[[#This Row],[link_checklist]]="","",HYPERLINK(p_ruta_base_checklists&amp;tblOrdenes[[#This Row],[link_checklist]],"abrir"))</f>
        <v/>
      </c>
      <c r="AT708" s="4" t="n"/>
      <c r="AU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5" t="n"/>
      <c r="K709" s="5" t="n"/>
      <c r="L709" s="18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Row],[fecha_inicio]]="","",tblOrdenes[[#This Row],[anio]]&amp;"-"&amp;TEXT(tblOrdenes[[#This Row],[mes]],"00"))</f>
        <v/>
      </c>
      <c r="S709" s="5">
        <f>IF(tblOrdenes[[#This Row],[fecha_inicio]]="","",INDEX(lista_dias,WEEKDAY(tblOrdenes[[#This Row],[fecha_inicio]],2)))</f>
        <v/>
      </c>
      <c r="T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5">
        <f>IF(tblOrdenes[[#This Row],[tipo_ot]]="","",_xlfn.XLOOKUP(tblOrdenes[[#This Row],[tipo_ot]],tblTiposOT[codigo],tblTiposOT[clasificacion],"sin_clasificar"))</f>
        <v/>
      </c>
      <c r="V7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5">
        <f>IF(tblOrdenes[[#This Row],[centro_costo]]="","",_xlfn.XLOOKUP(tblOrdenes[[#This Row],[centro_costo]],tblCECO[codigo],tblCECO[linea],"(sin catálogo)"))</f>
        <v/>
      </c>
      <c r="Y709" s="5">
        <f>IF(tblOrdenes[[#This Row],[centro_costo]]="","",_xlfn.XLOOKUP(tblOrdenes[[#This Row],[centro_costo]],tblCECO[codigo],tblCECO[area],"(sin catálogo)"))</f>
        <v/>
      </c>
      <c r="Z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5">
        <f>IF(tblOrdenes[[#This Row],[centro_costo]]="","",_xlfn.XLOOKUP(tblOrdenes[[#This Row],[centro_costo]],tblCECO[codigo],tblCECO[coordinador],"(sin catálogo)"))</f>
        <v/>
      </c>
      <c r="AB709" s="5">
        <f>IF(tblOrdenes[[#This Row],[puesto_trabajo]]="","",_xlfn.XLOOKUP(tblOrdenes[[#This Row],[puesto_trabajo]],tblPuestos[codigo],tblPuestos[especialidad],"(sin catálogo)"))</f>
        <v/>
      </c>
      <c r="AC709" s="5">
        <f>IF(tblOrdenes[[#This Row],[cod_actividad]]="","",_xlfn.XLOOKUP(tblOrdenes[[#This Row],[cod_actividad]],tblActividades[codigo],tblActividades[descripcion],"(sin catálogo)"))</f>
        <v/>
      </c>
      <c r="AD709" s="23">
        <f>IF(tblOrdenes[[#This Row],[fecha_inicio]]="","",TODAY()-tblOrdenes[[#This Row],[fecha_inicio]])</f>
        <v/>
      </c>
      <c r="AE7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5">
        <f>IF(tblOrdenes[[#This Row],[backlog_habiles]]="","",IF(tblOrdenes[[#This Row],[backlog_habiles]]&lt;0,"FUTURO",IF(tblOrdenes[[#This Row],[backlog_habiles]]&gt;p_dias_backlog_max,"BACKLOG","MES CORRIENTE")))</f>
        <v/>
      </c>
      <c r="AG709" s="5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18">
        <f>IF(tblOrdenes[[#This Row],[orden]]="","",_xlfn.XLOOKUP(tblOrdenes[[#This Row],[id_operacion]],tblEjecucion[id_operacion],tblEjecucion[precio],0))</f>
        <v/>
      </c>
      <c r="AM709" s="18">
        <f>IF(tblOrdenes[[#This Row],[orden]]="","",MAX(0,_xlfn.XLOOKUP(tblOrdenes[[#This Row],[id_operacion]],tblEjecucion[id_operacion],tblEjecucion[costo_plan_total],0)-tblOrdenes[[#This Row],[costo_servicio]]))</f>
        <v/>
      </c>
      <c r="AN709" s="18">
        <f>IF(tblOrdenes[[#This Row],[orden]]="","",tblOrdenes[[#This Row],[costo_servicio]]+tblOrdenes[[#This Row],[costo_materiales]])</f>
        <v/>
      </c>
      <c r="AO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5">
        <f>IF(tblOrdenes[[#This Row],[link_checklist]]="","",HYPERLINK(p_ruta_base_checklists&amp;tblOrdenes[[#This Row],[link_checklist]],"abrir"))</f>
        <v/>
      </c>
      <c r="AT709" s="4" t="n"/>
      <c r="AU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5" t="n"/>
      <c r="K710" s="5" t="n"/>
      <c r="L710" s="18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Row],[fecha_inicio]]="","",tblOrdenes[[#This Row],[anio]]&amp;"-"&amp;TEXT(tblOrdenes[[#This Row],[mes]],"00"))</f>
        <v/>
      </c>
      <c r="S710" s="5">
        <f>IF(tblOrdenes[[#This Row],[fecha_inicio]]="","",INDEX(lista_dias,WEEKDAY(tblOrdenes[[#This Row],[fecha_inicio]],2)))</f>
        <v/>
      </c>
      <c r="T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5">
        <f>IF(tblOrdenes[[#This Row],[tipo_ot]]="","",_xlfn.XLOOKUP(tblOrdenes[[#This Row],[tipo_ot]],tblTiposOT[codigo],tblTiposOT[clasificacion],"sin_clasificar"))</f>
        <v/>
      </c>
      <c r="V7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5">
        <f>IF(tblOrdenes[[#This Row],[centro_costo]]="","",_xlfn.XLOOKUP(tblOrdenes[[#This Row],[centro_costo]],tblCECO[codigo],tblCECO[linea],"(sin catálogo)"))</f>
        <v/>
      </c>
      <c r="Y710" s="5">
        <f>IF(tblOrdenes[[#This Row],[centro_costo]]="","",_xlfn.XLOOKUP(tblOrdenes[[#This Row],[centro_costo]],tblCECO[codigo],tblCECO[area],"(sin catálogo)"))</f>
        <v/>
      </c>
      <c r="Z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5">
        <f>IF(tblOrdenes[[#This Row],[centro_costo]]="","",_xlfn.XLOOKUP(tblOrdenes[[#This Row],[centro_costo]],tblCECO[codigo],tblCECO[coordinador],"(sin catálogo)"))</f>
        <v/>
      </c>
      <c r="AB710" s="5">
        <f>IF(tblOrdenes[[#This Row],[puesto_trabajo]]="","",_xlfn.XLOOKUP(tblOrdenes[[#This Row],[puesto_trabajo]],tblPuestos[codigo],tblPuestos[especialidad],"(sin catálogo)"))</f>
        <v/>
      </c>
      <c r="AC710" s="5">
        <f>IF(tblOrdenes[[#This Row],[cod_actividad]]="","",_xlfn.XLOOKUP(tblOrdenes[[#This Row],[cod_actividad]],tblActividades[codigo],tblActividades[descripcion],"(sin catálogo)"))</f>
        <v/>
      </c>
      <c r="AD710" s="23">
        <f>IF(tblOrdenes[[#This Row],[fecha_inicio]]="","",TODAY()-tblOrdenes[[#This Row],[fecha_inicio]])</f>
        <v/>
      </c>
      <c r="AE7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5">
        <f>IF(tblOrdenes[[#This Row],[backlog_habiles]]="","",IF(tblOrdenes[[#This Row],[backlog_habiles]]&lt;0,"FUTURO",IF(tblOrdenes[[#This Row],[backlog_habiles]]&gt;p_dias_backlog_max,"BACKLOG","MES CORRIENTE")))</f>
        <v/>
      </c>
      <c r="AG710" s="5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18">
        <f>IF(tblOrdenes[[#This Row],[orden]]="","",_xlfn.XLOOKUP(tblOrdenes[[#This Row],[id_operacion]],tblEjecucion[id_operacion],tblEjecucion[precio],0))</f>
        <v/>
      </c>
      <c r="AM710" s="18">
        <f>IF(tblOrdenes[[#This Row],[orden]]="","",MAX(0,_xlfn.XLOOKUP(tblOrdenes[[#This Row],[id_operacion]],tblEjecucion[id_operacion],tblEjecucion[costo_plan_total],0)-tblOrdenes[[#This Row],[costo_servicio]]))</f>
        <v/>
      </c>
      <c r="AN710" s="18">
        <f>IF(tblOrdenes[[#This Row],[orden]]="","",tblOrdenes[[#This Row],[costo_servicio]]+tblOrdenes[[#This Row],[costo_materiales]])</f>
        <v/>
      </c>
      <c r="AO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5">
        <f>IF(tblOrdenes[[#This Row],[link_checklist]]="","",HYPERLINK(p_ruta_base_checklists&amp;tblOrdenes[[#This Row],[link_checklist]],"abrir"))</f>
        <v/>
      </c>
      <c r="AT710" s="4" t="n"/>
      <c r="AU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5" t="n"/>
      <c r="K711" s="5" t="n"/>
      <c r="L711" s="18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Row],[fecha_inicio]]="","",tblOrdenes[[#This Row],[anio]]&amp;"-"&amp;TEXT(tblOrdenes[[#This Row],[mes]],"00"))</f>
        <v/>
      </c>
      <c r="S711" s="5">
        <f>IF(tblOrdenes[[#This Row],[fecha_inicio]]="","",INDEX(lista_dias,WEEKDAY(tblOrdenes[[#This Row],[fecha_inicio]],2)))</f>
        <v/>
      </c>
      <c r="T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5">
        <f>IF(tblOrdenes[[#This Row],[tipo_ot]]="","",_xlfn.XLOOKUP(tblOrdenes[[#This Row],[tipo_ot]],tblTiposOT[codigo],tblTiposOT[clasificacion],"sin_clasificar"))</f>
        <v/>
      </c>
      <c r="V7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5">
        <f>IF(tblOrdenes[[#This Row],[centro_costo]]="","",_xlfn.XLOOKUP(tblOrdenes[[#This Row],[centro_costo]],tblCECO[codigo],tblCECO[linea],"(sin catálogo)"))</f>
        <v/>
      </c>
      <c r="Y711" s="5">
        <f>IF(tblOrdenes[[#This Row],[centro_costo]]="","",_xlfn.XLOOKUP(tblOrdenes[[#This Row],[centro_costo]],tblCECO[codigo],tblCECO[area],"(sin catálogo)"))</f>
        <v/>
      </c>
      <c r="Z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5">
        <f>IF(tblOrdenes[[#This Row],[centro_costo]]="","",_xlfn.XLOOKUP(tblOrdenes[[#This Row],[centro_costo]],tblCECO[codigo],tblCECO[coordinador],"(sin catálogo)"))</f>
        <v/>
      </c>
      <c r="AB711" s="5">
        <f>IF(tblOrdenes[[#This Row],[puesto_trabajo]]="","",_xlfn.XLOOKUP(tblOrdenes[[#This Row],[puesto_trabajo]],tblPuestos[codigo],tblPuestos[especialidad],"(sin catálogo)"))</f>
        <v/>
      </c>
      <c r="AC711" s="5">
        <f>IF(tblOrdenes[[#This Row],[cod_actividad]]="","",_xlfn.XLOOKUP(tblOrdenes[[#This Row],[cod_actividad]],tblActividades[codigo],tblActividades[descripcion],"(sin catálogo)"))</f>
        <v/>
      </c>
      <c r="AD711" s="23">
        <f>IF(tblOrdenes[[#This Row],[fecha_inicio]]="","",TODAY()-tblOrdenes[[#This Row],[fecha_inicio]])</f>
        <v/>
      </c>
      <c r="AE7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5">
        <f>IF(tblOrdenes[[#This Row],[backlog_habiles]]="","",IF(tblOrdenes[[#This Row],[backlog_habiles]]&lt;0,"FUTURO",IF(tblOrdenes[[#This Row],[backlog_habiles]]&gt;p_dias_backlog_max,"BACKLOG","MES CORRIENTE")))</f>
        <v/>
      </c>
      <c r="AG711" s="5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18">
        <f>IF(tblOrdenes[[#This Row],[orden]]="","",_xlfn.XLOOKUP(tblOrdenes[[#This Row],[id_operacion]],tblEjecucion[id_operacion],tblEjecucion[precio],0))</f>
        <v/>
      </c>
      <c r="AM711" s="18">
        <f>IF(tblOrdenes[[#This Row],[orden]]="","",MAX(0,_xlfn.XLOOKUP(tblOrdenes[[#This Row],[id_operacion]],tblEjecucion[id_operacion],tblEjecucion[costo_plan_total],0)-tblOrdenes[[#This Row],[costo_servicio]]))</f>
        <v/>
      </c>
      <c r="AN711" s="18">
        <f>IF(tblOrdenes[[#This Row],[orden]]="","",tblOrdenes[[#This Row],[costo_servicio]]+tblOrdenes[[#This Row],[costo_materiales]])</f>
        <v/>
      </c>
      <c r="AO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5">
        <f>IF(tblOrdenes[[#This Row],[link_checklist]]="","",HYPERLINK(p_ruta_base_checklists&amp;tblOrdenes[[#This Row],[link_checklist]],"abrir"))</f>
        <v/>
      </c>
      <c r="AT711" s="4" t="n"/>
      <c r="AU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5" t="n"/>
      <c r="K712" s="5" t="n"/>
      <c r="L712" s="18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Row],[fecha_inicio]]="","",tblOrdenes[[#This Row],[anio]]&amp;"-"&amp;TEXT(tblOrdenes[[#This Row],[mes]],"00"))</f>
        <v/>
      </c>
      <c r="S712" s="5">
        <f>IF(tblOrdenes[[#This Row],[fecha_inicio]]="","",INDEX(lista_dias,WEEKDAY(tblOrdenes[[#This Row],[fecha_inicio]],2)))</f>
        <v/>
      </c>
      <c r="T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5">
        <f>IF(tblOrdenes[[#This Row],[tipo_ot]]="","",_xlfn.XLOOKUP(tblOrdenes[[#This Row],[tipo_ot]],tblTiposOT[codigo],tblTiposOT[clasificacion],"sin_clasificar"))</f>
        <v/>
      </c>
      <c r="V7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5">
        <f>IF(tblOrdenes[[#This Row],[centro_costo]]="","",_xlfn.XLOOKUP(tblOrdenes[[#This Row],[centro_costo]],tblCECO[codigo],tblCECO[linea],"(sin catálogo)"))</f>
        <v/>
      </c>
      <c r="Y712" s="5">
        <f>IF(tblOrdenes[[#This Row],[centro_costo]]="","",_xlfn.XLOOKUP(tblOrdenes[[#This Row],[centro_costo]],tblCECO[codigo],tblCECO[area],"(sin catálogo)"))</f>
        <v/>
      </c>
      <c r="Z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5">
        <f>IF(tblOrdenes[[#This Row],[centro_costo]]="","",_xlfn.XLOOKUP(tblOrdenes[[#This Row],[centro_costo]],tblCECO[codigo],tblCECO[coordinador],"(sin catálogo)"))</f>
        <v/>
      </c>
      <c r="AB712" s="5">
        <f>IF(tblOrdenes[[#This Row],[puesto_trabajo]]="","",_xlfn.XLOOKUP(tblOrdenes[[#This Row],[puesto_trabajo]],tblPuestos[codigo],tblPuestos[especialidad],"(sin catálogo)"))</f>
        <v/>
      </c>
      <c r="AC712" s="5">
        <f>IF(tblOrdenes[[#This Row],[cod_actividad]]="","",_xlfn.XLOOKUP(tblOrdenes[[#This Row],[cod_actividad]],tblActividades[codigo],tblActividades[descripcion],"(sin catálogo)"))</f>
        <v/>
      </c>
      <c r="AD712" s="23">
        <f>IF(tblOrdenes[[#This Row],[fecha_inicio]]="","",TODAY()-tblOrdenes[[#This Row],[fecha_inicio]])</f>
        <v/>
      </c>
      <c r="AE7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5">
        <f>IF(tblOrdenes[[#This Row],[backlog_habiles]]="","",IF(tblOrdenes[[#This Row],[backlog_habiles]]&lt;0,"FUTURO",IF(tblOrdenes[[#This Row],[backlog_habiles]]&gt;p_dias_backlog_max,"BACKLOG","MES CORRIENTE")))</f>
        <v/>
      </c>
      <c r="AG712" s="5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18">
        <f>IF(tblOrdenes[[#This Row],[orden]]="","",_xlfn.XLOOKUP(tblOrdenes[[#This Row],[id_operacion]],tblEjecucion[id_operacion],tblEjecucion[precio],0))</f>
        <v/>
      </c>
      <c r="AM712" s="18">
        <f>IF(tblOrdenes[[#This Row],[orden]]="","",MAX(0,_xlfn.XLOOKUP(tblOrdenes[[#This Row],[id_operacion]],tblEjecucion[id_operacion],tblEjecucion[costo_plan_total],0)-tblOrdenes[[#This Row],[costo_servicio]]))</f>
        <v/>
      </c>
      <c r="AN712" s="18">
        <f>IF(tblOrdenes[[#This Row],[orden]]="","",tblOrdenes[[#This Row],[costo_servicio]]+tblOrdenes[[#This Row],[costo_materiales]])</f>
        <v/>
      </c>
      <c r="AO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5">
        <f>IF(tblOrdenes[[#This Row],[link_checklist]]="","",HYPERLINK(p_ruta_base_checklists&amp;tblOrdenes[[#This Row],[link_checklist]],"abrir"))</f>
        <v/>
      </c>
      <c r="AT712" s="4" t="n"/>
      <c r="AU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5" t="n"/>
      <c r="K713" s="5" t="n"/>
      <c r="L713" s="18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Row],[fecha_inicio]]="","",tblOrdenes[[#This Row],[anio]]&amp;"-"&amp;TEXT(tblOrdenes[[#This Row],[mes]],"00"))</f>
        <v/>
      </c>
      <c r="S713" s="5">
        <f>IF(tblOrdenes[[#This Row],[fecha_inicio]]="","",INDEX(lista_dias,WEEKDAY(tblOrdenes[[#This Row],[fecha_inicio]],2)))</f>
        <v/>
      </c>
      <c r="T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5">
        <f>IF(tblOrdenes[[#This Row],[tipo_ot]]="","",_xlfn.XLOOKUP(tblOrdenes[[#This Row],[tipo_ot]],tblTiposOT[codigo],tblTiposOT[clasificacion],"sin_clasificar"))</f>
        <v/>
      </c>
      <c r="V7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5">
        <f>IF(tblOrdenes[[#This Row],[centro_costo]]="","",_xlfn.XLOOKUP(tblOrdenes[[#This Row],[centro_costo]],tblCECO[codigo],tblCECO[linea],"(sin catálogo)"))</f>
        <v/>
      </c>
      <c r="Y713" s="5">
        <f>IF(tblOrdenes[[#This Row],[centro_costo]]="","",_xlfn.XLOOKUP(tblOrdenes[[#This Row],[centro_costo]],tblCECO[codigo],tblCECO[area],"(sin catálogo)"))</f>
        <v/>
      </c>
      <c r="Z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5">
        <f>IF(tblOrdenes[[#This Row],[centro_costo]]="","",_xlfn.XLOOKUP(tblOrdenes[[#This Row],[centro_costo]],tblCECO[codigo],tblCECO[coordinador],"(sin catálogo)"))</f>
        <v/>
      </c>
      <c r="AB713" s="5">
        <f>IF(tblOrdenes[[#This Row],[puesto_trabajo]]="","",_xlfn.XLOOKUP(tblOrdenes[[#This Row],[puesto_trabajo]],tblPuestos[codigo],tblPuestos[especialidad],"(sin catálogo)"))</f>
        <v/>
      </c>
      <c r="AC713" s="5">
        <f>IF(tblOrdenes[[#This Row],[cod_actividad]]="","",_xlfn.XLOOKUP(tblOrdenes[[#This Row],[cod_actividad]],tblActividades[codigo],tblActividades[descripcion],"(sin catálogo)"))</f>
        <v/>
      </c>
      <c r="AD713" s="23">
        <f>IF(tblOrdenes[[#This Row],[fecha_inicio]]="","",TODAY()-tblOrdenes[[#This Row],[fecha_inicio]])</f>
        <v/>
      </c>
      <c r="AE7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5">
        <f>IF(tblOrdenes[[#This Row],[backlog_habiles]]="","",IF(tblOrdenes[[#This Row],[backlog_habiles]]&lt;0,"FUTURO",IF(tblOrdenes[[#This Row],[backlog_habiles]]&gt;p_dias_backlog_max,"BACKLOG","MES CORRIENTE")))</f>
        <v/>
      </c>
      <c r="AG713" s="5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18">
        <f>IF(tblOrdenes[[#This Row],[orden]]="","",_xlfn.XLOOKUP(tblOrdenes[[#This Row],[id_operacion]],tblEjecucion[id_operacion],tblEjecucion[precio],0))</f>
        <v/>
      </c>
      <c r="AM713" s="18">
        <f>IF(tblOrdenes[[#This Row],[orden]]="","",MAX(0,_xlfn.XLOOKUP(tblOrdenes[[#This Row],[id_operacion]],tblEjecucion[id_operacion],tblEjecucion[costo_plan_total],0)-tblOrdenes[[#This Row],[costo_servicio]]))</f>
        <v/>
      </c>
      <c r="AN713" s="18">
        <f>IF(tblOrdenes[[#This Row],[orden]]="","",tblOrdenes[[#This Row],[costo_servicio]]+tblOrdenes[[#This Row],[costo_materiales]])</f>
        <v/>
      </c>
      <c r="AO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5">
        <f>IF(tblOrdenes[[#This Row],[link_checklist]]="","",HYPERLINK(p_ruta_base_checklists&amp;tblOrdenes[[#This Row],[link_checklist]],"abrir"))</f>
        <v/>
      </c>
      <c r="AT713" s="4" t="n"/>
      <c r="AU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5" t="n"/>
      <c r="K714" s="5" t="n"/>
      <c r="L714" s="18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Row],[fecha_inicio]]="","",tblOrdenes[[#This Row],[anio]]&amp;"-"&amp;TEXT(tblOrdenes[[#This Row],[mes]],"00"))</f>
        <v/>
      </c>
      <c r="S714" s="5">
        <f>IF(tblOrdenes[[#This Row],[fecha_inicio]]="","",INDEX(lista_dias,WEEKDAY(tblOrdenes[[#This Row],[fecha_inicio]],2)))</f>
        <v/>
      </c>
      <c r="T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5">
        <f>IF(tblOrdenes[[#This Row],[tipo_ot]]="","",_xlfn.XLOOKUP(tblOrdenes[[#This Row],[tipo_ot]],tblTiposOT[codigo],tblTiposOT[clasificacion],"sin_clasificar"))</f>
        <v/>
      </c>
      <c r="V7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5">
        <f>IF(tblOrdenes[[#This Row],[centro_costo]]="","",_xlfn.XLOOKUP(tblOrdenes[[#This Row],[centro_costo]],tblCECO[codigo],tblCECO[linea],"(sin catálogo)"))</f>
        <v/>
      </c>
      <c r="Y714" s="5">
        <f>IF(tblOrdenes[[#This Row],[centro_costo]]="","",_xlfn.XLOOKUP(tblOrdenes[[#This Row],[centro_costo]],tblCECO[codigo],tblCECO[area],"(sin catálogo)"))</f>
        <v/>
      </c>
      <c r="Z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5">
        <f>IF(tblOrdenes[[#This Row],[centro_costo]]="","",_xlfn.XLOOKUP(tblOrdenes[[#This Row],[centro_costo]],tblCECO[codigo],tblCECO[coordinador],"(sin catálogo)"))</f>
        <v/>
      </c>
      <c r="AB714" s="5">
        <f>IF(tblOrdenes[[#This Row],[puesto_trabajo]]="","",_xlfn.XLOOKUP(tblOrdenes[[#This Row],[puesto_trabajo]],tblPuestos[codigo],tblPuestos[especialidad],"(sin catálogo)"))</f>
        <v/>
      </c>
      <c r="AC714" s="5">
        <f>IF(tblOrdenes[[#This Row],[cod_actividad]]="","",_xlfn.XLOOKUP(tblOrdenes[[#This Row],[cod_actividad]],tblActividades[codigo],tblActividades[descripcion],"(sin catálogo)"))</f>
        <v/>
      </c>
      <c r="AD714" s="23">
        <f>IF(tblOrdenes[[#This Row],[fecha_inicio]]="","",TODAY()-tblOrdenes[[#This Row],[fecha_inicio]])</f>
        <v/>
      </c>
      <c r="AE7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5">
        <f>IF(tblOrdenes[[#This Row],[backlog_habiles]]="","",IF(tblOrdenes[[#This Row],[backlog_habiles]]&lt;0,"FUTURO",IF(tblOrdenes[[#This Row],[backlog_habiles]]&gt;p_dias_backlog_max,"BACKLOG","MES CORRIENTE")))</f>
        <v/>
      </c>
      <c r="AG714" s="5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18">
        <f>IF(tblOrdenes[[#This Row],[orden]]="","",_xlfn.XLOOKUP(tblOrdenes[[#This Row],[id_operacion]],tblEjecucion[id_operacion],tblEjecucion[precio],0))</f>
        <v/>
      </c>
      <c r="AM714" s="18">
        <f>IF(tblOrdenes[[#This Row],[orden]]="","",MAX(0,_xlfn.XLOOKUP(tblOrdenes[[#This Row],[id_operacion]],tblEjecucion[id_operacion],tblEjecucion[costo_plan_total],0)-tblOrdenes[[#This Row],[costo_servicio]]))</f>
        <v/>
      </c>
      <c r="AN714" s="18">
        <f>IF(tblOrdenes[[#This Row],[orden]]="","",tblOrdenes[[#This Row],[costo_servicio]]+tblOrdenes[[#This Row],[costo_materiales]])</f>
        <v/>
      </c>
      <c r="AO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5">
        <f>IF(tblOrdenes[[#This Row],[link_checklist]]="","",HYPERLINK(p_ruta_base_checklists&amp;tblOrdenes[[#This Row],[link_checklist]],"abrir"))</f>
        <v/>
      </c>
      <c r="AT714" s="4" t="n"/>
      <c r="AU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5" t="n"/>
      <c r="K715" s="5" t="n"/>
      <c r="L715" s="18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Row],[fecha_inicio]]="","",tblOrdenes[[#This Row],[anio]]&amp;"-"&amp;TEXT(tblOrdenes[[#This Row],[mes]],"00"))</f>
        <v/>
      </c>
      <c r="S715" s="5">
        <f>IF(tblOrdenes[[#This Row],[fecha_inicio]]="","",INDEX(lista_dias,WEEKDAY(tblOrdenes[[#This Row],[fecha_inicio]],2)))</f>
        <v/>
      </c>
      <c r="T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5">
        <f>IF(tblOrdenes[[#This Row],[tipo_ot]]="","",_xlfn.XLOOKUP(tblOrdenes[[#This Row],[tipo_ot]],tblTiposOT[codigo],tblTiposOT[clasificacion],"sin_clasificar"))</f>
        <v/>
      </c>
      <c r="V7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5">
        <f>IF(tblOrdenes[[#This Row],[centro_costo]]="","",_xlfn.XLOOKUP(tblOrdenes[[#This Row],[centro_costo]],tblCECO[codigo],tblCECO[linea],"(sin catálogo)"))</f>
        <v/>
      </c>
      <c r="Y715" s="5">
        <f>IF(tblOrdenes[[#This Row],[centro_costo]]="","",_xlfn.XLOOKUP(tblOrdenes[[#This Row],[centro_costo]],tblCECO[codigo],tblCECO[area],"(sin catálogo)"))</f>
        <v/>
      </c>
      <c r="Z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5">
        <f>IF(tblOrdenes[[#This Row],[centro_costo]]="","",_xlfn.XLOOKUP(tblOrdenes[[#This Row],[centro_costo]],tblCECO[codigo],tblCECO[coordinador],"(sin catálogo)"))</f>
        <v/>
      </c>
      <c r="AB715" s="5">
        <f>IF(tblOrdenes[[#This Row],[puesto_trabajo]]="","",_xlfn.XLOOKUP(tblOrdenes[[#This Row],[puesto_trabajo]],tblPuestos[codigo],tblPuestos[especialidad],"(sin catálogo)"))</f>
        <v/>
      </c>
      <c r="AC715" s="5">
        <f>IF(tblOrdenes[[#This Row],[cod_actividad]]="","",_xlfn.XLOOKUP(tblOrdenes[[#This Row],[cod_actividad]],tblActividades[codigo],tblActividades[descripcion],"(sin catálogo)"))</f>
        <v/>
      </c>
      <c r="AD715" s="23">
        <f>IF(tblOrdenes[[#This Row],[fecha_inicio]]="","",TODAY()-tblOrdenes[[#This Row],[fecha_inicio]])</f>
        <v/>
      </c>
      <c r="AE7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5">
        <f>IF(tblOrdenes[[#This Row],[backlog_habiles]]="","",IF(tblOrdenes[[#This Row],[backlog_habiles]]&lt;0,"FUTURO",IF(tblOrdenes[[#This Row],[backlog_habiles]]&gt;p_dias_backlog_max,"BACKLOG","MES CORRIENTE")))</f>
        <v/>
      </c>
      <c r="AG715" s="5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18">
        <f>IF(tblOrdenes[[#This Row],[orden]]="","",_xlfn.XLOOKUP(tblOrdenes[[#This Row],[id_operacion]],tblEjecucion[id_operacion],tblEjecucion[precio],0))</f>
        <v/>
      </c>
      <c r="AM715" s="18">
        <f>IF(tblOrdenes[[#This Row],[orden]]="","",MAX(0,_xlfn.XLOOKUP(tblOrdenes[[#This Row],[id_operacion]],tblEjecucion[id_operacion],tblEjecucion[costo_plan_total],0)-tblOrdenes[[#This Row],[costo_servicio]]))</f>
        <v/>
      </c>
      <c r="AN715" s="18">
        <f>IF(tblOrdenes[[#This Row],[orden]]="","",tblOrdenes[[#This Row],[costo_servicio]]+tblOrdenes[[#This Row],[costo_materiales]])</f>
        <v/>
      </c>
      <c r="AO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5">
        <f>IF(tblOrdenes[[#This Row],[link_checklist]]="","",HYPERLINK(p_ruta_base_checklists&amp;tblOrdenes[[#This Row],[link_checklist]],"abrir"))</f>
        <v/>
      </c>
      <c r="AT715" s="4" t="n"/>
      <c r="AU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5" t="n"/>
      <c r="K716" s="5" t="n"/>
      <c r="L716" s="18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Row],[fecha_inicio]]="","",tblOrdenes[[#This Row],[anio]]&amp;"-"&amp;TEXT(tblOrdenes[[#This Row],[mes]],"00"))</f>
        <v/>
      </c>
      <c r="S716" s="5">
        <f>IF(tblOrdenes[[#This Row],[fecha_inicio]]="","",INDEX(lista_dias,WEEKDAY(tblOrdenes[[#This Row],[fecha_inicio]],2)))</f>
        <v/>
      </c>
      <c r="T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5">
        <f>IF(tblOrdenes[[#This Row],[tipo_ot]]="","",_xlfn.XLOOKUP(tblOrdenes[[#This Row],[tipo_ot]],tblTiposOT[codigo],tblTiposOT[clasificacion],"sin_clasificar"))</f>
        <v/>
      </c>
      <c r="V7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5">
        <f>IF(tblOrdenes[[#This Row],[centro_costo]]="","",_xlfn.XLOOKUP(tblOrdenes[[#This Row],[centro_costo]],tblCECO[codigo],tblCECO[linea],"(sin catálogo)"))</f>
        <v/>
      </c>
      <c r="Y716" s="5">
        <f>IF(tblOrdenes[[#This Row],[centro_costo]]="","",_xlfn.XLOOKUP(tblOrdenes[[#This Row],[centro_costo]],tblCECO[codigo],tblCECO[area],"(sin catálogo)"))</f>
        <v/>
      </c>
      <c r="Z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5">
        <f>IF(tblOrdenes[[#This Row],[centro_costo]]="","",_xlfn.XLOOKUP(tblOrdenes[[#This Row],[centro_costo]],tblCECO[codigo],tblCECO[coordinador],"(sin catálogo)"))</f>
        <v/>
      </c>
      <c r="AB716" s="5">
        <f>IF(tblOrdenes[[#This Row],[puesto_trabajo]]="","",_xlfn.XLOOKUP(tblOrdenes[[#This Row],[puesto_trabajo]],tblPuestos[codigo],tblPuestos[especialidad],"(sin catálogo)"))</f>
        <v/>
      </c>
      <c r="AC716" s="5">
        <f>IF(tblOrdenes[[#This Row],[cod_actividad]]="","",_xlfn.XLOOKUP(tblOrdenes[[#This Row],[cod_actividad]],tblActividades[codigo],tblActividades[descripcion],"(sin catálogo)"))</f>
        <v/>
      </c>
      <c r="AD716" s="23">
        <f>IF(tblOrdenes[[#This Row],[fecha_inicio]]="","",TODAY()-tblOrdenes[[#This Row],[fecha_inicio]])</f>
        <v/>
      </c>
      <c r="AE7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5">
        <f>IF(tblOrdenes[[#This Row],[backlog_habiles]]="","",IF(tblOrdenes[[#This Row],[backlog_habiles]]&lt;0,"FUTURO",IF(tblOrdenes[[#This Row],[backlog_habiles]]&gt;p_dias_backlog_max,"BACKLOG","MES CORRIENTE")))</f>
        <v/>
      </c>
      <c r="AG716" s="5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18">
        <f>IF(tblOrdenes[[#This Row],[orden]]="","",_xlfn.XLOOKUP(tblOrdenes[[#This Row],[id_operacion]],tblEjecucion[id_operacion],tblEjecucion[precio],0))</f>
        <v/>
      </c>
      <c r="AM716" s="18">
        <f>IF(tblOrdenes[[#This Row],[orden]]="","",MAX(0,_xlfn.XLOOKUP(tblOrdenes[[#This Row],[id_operacion]],tblEjecucion[id_operacion],tblEjecucion[costo_plan_total],0)-tblOrdenes[[#This Row],[costo_servicio]]))</f>
        <v/>
      </c>
      <c r="AN716" s="18">
        <f>IF(tblOrdenes[[#This Row],[orden]]="","",tblOrdenes[[#This Row],[costo_servicio]]+tblOrdenes[[#This Row],[costo_materiales]])</f>
        <v/>
      </c>
      <c r="AO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5">
        <f>IF(tblOrdenes[[#This Row],[link_checklist]]="","",HYPERLINK(p_ruta_base_checklists&amp;tblOrdenes[[#This Row],[link_checklist]],"abrir"))</f>
        <v/>
      </c>
      <c r="AT716" s="4" t="n"/>
      <c r="AU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5" t="n"/>
      <c r="K717" s="5" t="n"/>
      <c r="L717" s="18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Row],[fecha_inicio]]="","",tblOrdenes[[#This Row],[anio]]&amp;"-"&amp;TEXT(tblOrdenes[[#This Row],[mes]],"00"))</f>
        <v/>
      </c>
      <c r="S717" s="5">
        <f>IF(tblOrdenes[[#This Row],[fecha_inicio]]="","",INDEX(lista_dias,WEEKDAY(tblOrdenes[[#This Row],[fecha_inicio]],2)))</f>
        <v/>
      </c>
      <c r="T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5">
        <f>IF(tblOrdenes[[#This Row],[tipo_ot]]="","",_xlfn.XLOOKUP(tblOrdenes[[#This Row],[tipo_ot]],tblTiposOT[codigo],tblTiposOT[clasificacion],"sin_clasificar"))</f>
        <v/>
      </c>
      <c r="V7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5">
        <f>IF(tblOrdenes[[#This Row],[centro_costo]]="","",_xlfn.XLOOKUP(tblOrdenes[[#This Row],[centro_costo]],tblCECO[codigo],tblCECO[linea],"(sin catálogo)"))</f>
        <v/>
      </c>
      <c r="Y717" s="5">
        <f>IF(tblOrdenes[[#This Row],[centro_costo]]="","",_xlfn.XLOOKUP(tblOrdenes[[#This Row],[centro_costo]],tblCECO[codigo],tblCECO[area],"(sin catálogo)"))</f>
        <v/>
      </c>
      <c r="Z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5">
        <f>IF(tblOrdenes[[#This Row],[centro_costo]]="","",_xlfn.XLOOKUP(tblOrdenes[[#This Row],[centro_costo]],tblCECO[codigo],tblCECO[coordinador],"(sin catálogo)"))</f>
        <v/>
      </c>
      <c r="AB717" s="5">
        <f>IF(tblOrdenes[[#This Row],[puesto_trabajo]]="","",_xlfn.XLOOKUP(tblOrdenes[[#This Row],[puesto_trabajo]],tblPuestos[codigo],tblPuestos[especialidad],"(sin catálogo)"))</f>
        <v/>
      </c>
      <c r="AC717" s="5">
        <f>IF(tblOrdenes[[#This Row],[cod_actividad]]="","",_xlfn.XLOOKUP(tblOrdenes[[#This Row],[cod_actividad]],tblActividades[codigo],tblActividades[descripcion],"(sin catálogo)"))</f>
        <v/>
      </c>
      <c r="AD717" s="23">
        <f>IF(tblOrdenes[[#This Row],[fecha_inicio]]="","",TODAY()-tblOrdenes[[#This Row],[fecha_inicio]])</f>
        <v/>
      </c>
      <c r="AE7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5">
        <f>IF(tblOrdenes[[#This Row],[backlog_habiles]]="","",IF(tblOrdenes[[#This Row],[backlog_habiles]]&lt;0,"FUTURO",IF(tblOrdenes[[#This Row],[backlog_habiles]]&gt;p_dias_backlog_max,"BACKLOG","MES CORRIENTE")))</f>
        <v/>
      </c>
      <c r="AG717" s="5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18">
        <f>IF(tblOrdenes[[#This Row],[orden]]="","",_xlfn.XLOOKUP(tblOrdenes[[#This Row],[id_operacion]],tblEjecucion[id_operacion],tblEjecucion[precio],0))</f>
        <v/>
      </c>
      <c r="AM717" s="18">
        <f>IF(tblOrdenes[[#This Row],[orden]]="","",MAX(0,_xlfn.XLOOKUP(tblOrdenes[[#This Row],[id_operacion]],tblEjecucion[id_operacion],tblEjecucion[costo_plan_total],0)-tblOrdenes[[#This Row],[costo_servicio]]))</f>
        <v/>
      </c>
      <c r="AN717" s="18">
        <f>IF(tblOrdenes[[#This Row],[orden]]="","",tblOrdenes[[#This Row],[costo_servicio]]+tblOrdenes[[#This Row],[costo_materiales]])</f>
        <v/>
      </c>
      <c r="AO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5">
        <f>IF(tblOrdenes[[#This Row],[link_checklist]]="","",HYPERLINK(p_ruta_base_checklists&amp;tblOrdenes[[#This Row],[link_checklist]],"abrir"))</f>
        <v/>
      </c>
      <c r="AT717" s="4" t="n"/>
      <c r="AU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5" t="n"/>
      <c r="K718" s="5" t="n"/>
      <c r="L718" s="18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Row],[fecha_inicio]]="","",tblOrdenes[[#This Row],[anio]]&amp;"-"&amp;TEXT(tblOrdenes[[#This Row],[mes]],"00"))</f>
        <v/>
      </c>
      <c r="S718" s="5">
        <f>IF(tblOrdenes[[#This Row],[fecha_inicio]]="","",INDEX(lista_dias,WEEKDAY(tblOrdenes[[#This Row],[fecha_inicio]],2)))</f>
        <v/>
      </c>
      <c r="T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5">
        <f>IF(tblOrdenes[[#This Row],[tipo_ot]]="","",_xlfn.XLOOKUP(tblOrdenes[[#This Row],[tipo_ot]],tblTiposOT[codigo],tblTiposOT[clasificacion],"sin_clasificar"))</f>
        <v/>
      </c>
      <c r="V7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5">
        <f>IF(tblOrdenes[[#This Row],[centro_costo]]="","",_xlfn.XLOOKUP(tblOrdenes[[#This Row],[centro_costo]],tblCECO[codigo],tblCECO[linea],"(sin catálogo)"))</f>
        <v/>
      </c>
      <c r="Y718" s="5">
        <f>IF(tblOrdenes[[#This Row],[centro_costo]]="","",_xlfn.XLOOKUP(tblOrdenes[[#This Row],[centro_costo]],tblCECO[codigo],tblCECO[area],"(sin catálogo)"))</f>
        <v/>
      </c>
      <c r="Z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5">
        <f>IF(tblOrdenes[[#This Row],[centro_costo]]="","",_xlfn.XLOOKUP(tblOrdenes[[#This Row],[centro_costo]],tblCECO[codigo],tblCECO[coordinador],"(sin catálogo)"))</f>
        <v/>
      </c>
      <c r="AB718" s="5">
        <f>IF(tblOrdenes[[#This Row],[puesto_trabajo]]="","",_xlfn.XLOOKUP(tblOrdenes[[#This Row],[puesto_trabajo]],tblPuestos[codigo],tblPuestos[especialidad],"(sin catálogo)"))</f>
        <v/>
      </c>
      <c r="AC718" s="5">
        <f>IF(tblOrdenes[[#This Row],[cod_actividad]]="","",_xlfn.XLOOKUP(tblOrdenes[[#This Row],[cod_actividad]],tblActividades[codigo],tblActividades[descripcion],"(sin catálogo)"))</f>
        <v/>
      </c>
      <c r="AD718" s="23">
        <f>IF(tblOrdenes[[#This Row],[fecha_inicio]]="","",TODAY()-tblOrdenes[[#This Row],[fecha_inicio]])</f>
        <v/>
      </c>
      <c r="AE7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5">
        <f>IF(tblOrdenes[[#This Row],[backlog_habiles]]="","",IF(tblOrdenes[[#This Row],[backlog_habiles]]&lt;0,"FUTURO",IF(tblOrdenes[[#This Row],[backlog_habiles]]&gt;p_dias_backlog_max,"BACKLOG","MES CORRIENTE")))</f>
        <v/>
      </c>
      <c r="AG718" s="5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18">
        <f>IF(tblOrdenes[[#This Row],[orden]]="","",_xlfn.XLOOKUP(tblOrdenes[[#This Row],[id_operacion]],tblEjecucion[id_operacion],tblEjecucion[precio],0))</f>
        <v/>
      </c>
      <c r="AM718" s="18">
        <f>IF(tblOrdenes[[#This Row],[orden]]="","",MAX(0,_xlfn.XLOOKUP(tblOrdenes[[#This Row],[id_operacion]],tblEjecucion[id_operacion],tblEjecucion[costo_plan_total],0)-tblOrdenes[[#This Row],[costo_servicio]]))</f>
        <v/>
      </c>
      <c r="AN718" s="18">
        <f>IF(tblOrdenes[[#This Row],[orden]]="","",tblOrdenes[[#This Row],[costo_servicio]]+tblOrdenes[[#This Row],[costo_materiales]])</f>
        <v/>
      </c>
      <c r="AO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5">
        <f>IF(tblOrdenes[[#This Row],[link_checklist]]="","",HYPERLINK(p_ruta_base_checklists&amp;tblOrdenes[[#This Row],[link_checklist]],"abrir"))</f>
        <v/>
      </c>
      <c r="AT718" s="4" t="n"/>
      <c r="AU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5" t="n"/>
      <c r="K719" s="5" t="n"/>
      <c r="L719" s="18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Row],[fecha_inicio]]="","",tblOrdenes[[#This Row],[anio]]&amp;"-"&amp;TEXT(tblOrdenes[[#This Row],[mes]],"00"))</f>
        <v/>
      </c>
      <c r="S719" s="5">
        <f>IF(tblOrdenes[[#This Row],[fecha_inicio]]="","",INDEX(lista_dias,WEEKDAY(tblOrdenes[[#This Row],[fecha_inicio]],2)))</f>
        <v/>
      </c>
      <c r="T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5">
        <f>IF(tblOrdenes[[#This Row],[tipo_ot]]="","",_xlfn.XLOOKUP(tblOrdenes[[#This Row],[tipo_ot]],tblTiposOT[codigo],tblTiposOT[clasificacion],"sin_clasificar"))</f>
        <v/>
      </c>
      <c r="V7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5">
        <f>IF(tblOrdenes[[#This Row],[centro_costo]]="","",_xlfn.XLOOKUP(tblOrdenes[[#This Row],[centro_costo]],tblCECO[codigo],tblCECO[linea],"(sin catálogo)"))</f>
        <v/>
      </c>
      <c r="Y719" s="5">
        <f>IF(tblOrdenes[[#This Row],[centro_costo]]="","",_xlfn.XLOOKUP(tblOrdenes[[#This Row],[centro_costo]],tblCECO[codigo],tblCECO[area],"(sin catálogo)"))</f>
        <v/>
      </c>
      <c r="Z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5">
        <f>IF(tblOrdenes[[#This Row],[centro_costo]]="","",_xlfn.XLOOKUP(tblOrdenes[[#This Row],[centro_costo]],tblCECO[codigo],tblCECO[coordinador],"(sin catálogo)"))</f>
        <v/>
      </c>
      <c r="AB719" s="5">
        <f>IF(tblOrdenes[[#This Row],[puesto_trabajo]]="","",_xlfn.XLOOKUP(tblOrdenes[[#This Row],[puesto_trabajo]],tblPuestos[codigo],tblPuestos[especialidad],"(sin catálogo)"))</f>
        <v/>
      </c>
      <c r="AC719" s="5">
        <f>IF(tblOrdenes[[#This Row],[cod_actividad]]="","",_xlfn.XLOOKUP(tblOrdenes[[#This Row],[cod_actividad]],tblActividades[codigo],tblActividades[descripcion],"(sin catálogo)"))</f>
        <v/>
      </c>
      <c r="AD719" s="23">
        <f>IF(tblOrdenes[[#This Row],[fecha_inicio]]="","",TODAY()-tblOrdenes[[#This Row],[fecha_inicio]])</f>
        <v/>
      </c>
      <c r="AE7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5">
        <f>IF(tblOrdenes[[#This Row],[backlog_habiles]]="","",IF(tblOrdenes[[#This Row],[backlog_habiles]]&lt;0,"FUTURO",IF(tblOrdenes[[#This Row],[backlog_habiles]]&gt;p_dias_backlog_max,"BACKLOG","MES CORRIENTE")))</f>
        <v/>
      </c>
      <c r="AG719" s="5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18">
        <f>IF(tblOrdenes[[#This Row],[orden]]="","",_xlfn.XLOOKUP(tblOrdenes[[#This Row],[id_operacion]],tblEjecucion[id_operacion],tblEjecucion[precio],0))</f>
        <v/>
      </c>
      <c r="AM719" s="18">
        <f>IF(tblOrdenes[[#This Row],[orden]]="","",MAX(0,_xlfn.XLOOKUP(tblOrdenes[[#This Row],[id_operacion]],tblEjecucion[id_operacion],tblEjecucion[costo_plan_total],0)-tblOrdenes[[#This Row],[costo_servicio]]))</f>
        <v/>
      </c>
      <c r="AN719" s="18">
        <f>IF(tblOrdenes[[#This Row],[orden]]="","",tblOrdenes[[#This Row],[costo_servicio]]+tblOrdenes[[#This Row],[costo_materiales]])</f>
        <v/>
      </c>
      <c r="AO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5">
        <f>IF(tblOrdenes[[#This Row],[link_checklist]]="","",HYPERLINK(p_ruta_base_checklists&amp;tblOrdenes[[#This Row],[link_checklist]],"abrir"))</f>
        <v/>
      </c>
      <c r="AT719" s="4" t="n"/>
      <c r="AU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5" t="n"/>
      <c r="K720" s="5" t="n"/>
      <c r="L720" s="18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Row],[fecha_inicio]]="","",tblOrdenes[[#This Row],[anio]]&amp;"-"&amp;TEXT(tblOrdenes[[#This Row],[mes]],"00"))</f>
        <v/>
      </c>
      <c r="S720" s="5">
        <f>IF(tblOrdenes[[#This Row],[fecha_inicio]]="","",INDEX(lista_dias,WEEKDAY(tblOrdenes[[#This Row],[fecha_inicio]],2)))</f>
        <v/>
      </c>
      <c r="T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5">
        <f>IF(tblOrdenes[[#This Row],[tipo_ot]]="","",_xlfn.XLOOKUP(tblOrdenes[[#This Row],[tipo_ot]],tblTiposOT[codigo],tblTiposOT[clasificacion],"sin_clasificar"))</f>
        <v/>
      </c>
      <c r="V7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5">
        <f>IF(tblOrdenes[[#This Row],[centro_costo]]="","",_xlfn.XLOOKUP(tblOrdenes[[#This Row],[centro_costo]],tblCECO[codigo],tblCECO[linea],"(sin catálogo)"))</f>
        <v/>
      </c>
      <c r="Y720" s="5">
        <f>IF(tblOrdenes[[#This Row],[centro_costo]]="","",_xlfn.XLOOKUP(tblOrdenes[[#This Row],[centro_costo]],tblCECO[codigo],tblCECO[area],"(sin catálogo)"))</f>
        <v/>
      </c>
      <c r="Z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5">
        <f>IF(tblOrdenes[[#This Row],[centro_costo]]="","",_xlfn.XLOOKUP(tblOrdenes[[#This Row],[centro_costo]],tblCECO[codigo],tblCECO[coordinador],"(sin catálogo)"))</f>
        <v/>
      </c>
      <c r="AB720" s="5">
        <f>IF(tblOrdenes[[#This Row],[puesto_trabajo]]="","",_xlfn.XLOOKUP(tblOrdenes[[#This Row],[puesto_trabajo]],tblPuestos[codigo],tblPuestos[especialidad],"(sin catálogo)"))</f>
        <v/>
      </c>
      <c r="AC720" s="5">
        <f>IF(tblOrdenes[[#This Row],[cod_actividad]]="","",_xlfn.XLOOKUP(tblOrdenes[[#This Row],[cod_actividad]],tblActividades[codigo],tblActividades[descripcion],"(sin catálogo)"))</f>
        <v/>
      </c>
      <c r="AD720" s="23">
        <f>IF(tblOrdenes[[#This Row],[fecha_inicio]]="","",TODAY()-tblOrdenes[[#This Row],[fecha_inicio]])</f>
        <v/>
      </c>
      <c r="AE7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5">
        <f>IF(tblOrdenes[[#This Row],[backlog_habiles]]="","",IF(tblOrdenes[[#This Row],[backlog_habiles]]&lt;0,"FUTURO",IF(tblOrdenes[[#This Row],[backlog_habiles]]&gt;p_dias_backlog_max,"BACKLOG","MES CORRIENTE")))</f>
        <v/>
      </c>
      <c r="AG720" s="5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18">
        <f>IF(tblOrdenes[[#This Row],[orden]]="","",_xlfn.XLOOKUP(tblOrdenes[[#This Row],[id_operacion]],tblEjecucion[id_operacion],tblEjecucion[precio],0))</f>
        <v/>
      </c>
      <c r="AM720" s="18">
        <f>IF(tblOrdenes[[#This Row],[orden]]="","",MAX(0,_xlfn.XLOOKUP(tblOrdenes[[#This Row],[id_operacion]],tblEjecucion[id_operacion],tblEjecucion[costo_plan_total],0)-tblOrdenes[[#This Row],[costo_servicio]]))</f>
        <v/>
      </c>
      <c r="AN720" s="18">
        <f>IF(tblOrdenes[[#This Row],[orden]]="","",tblOrdenes[[#This Row],[costo_servicio]]+tblOrdenes[[#This Row],[costo_materiales]])</f>
        <v/>
      </c>
      <c r="AO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5">
        <f>IF(tblOrdenes[[#This Row],[link_checklist]]="","",HYPERLINK(p_ruta_base_checklists&amp;tblOrdenes[[#This Row],[link_checklist]],"abrir"))</f>
        <v/>
      </c>
      <c r="AT720" s="4" t="n"/>
      <c r="AU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5" t="n"/>
      <c r="K721" s="5" t="n"/>
      <c r="L721" s="18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Row],[fecha_inicio]]="","",tblOrdenes[[#This Row],[anio]]&amp;"-"&amp;TEXT(tblOrdenes[[#This Row],[mes]],"00"))</f>
        <v/>
      </c>
      <c r="S721" s="5">
        <f>IF(tblOrdenes[[#This Row],[fecha_inicio]]="","",INDEX(lista_dias,WEEKDAY(tblOrdenes[[#This Row],[fecha_inicio]],2)))</f>
        <v/>
      </c>
      <c r="T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5">
        <f>IF(tblOrdenes[[#This Row],[tipo_ot]]="","",_xlfn.XLOOKUP(tblOrdenes[[#This Row],[tipo_ot]],tblTiposOT[codigo],tblTiposOT[clasificacion],"sin_clasificar"))</f>
        <v/>
      </c>
      <c r="V7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5">
        <f>IF(tblOrdenes[[#This Row],[centro_costo]]="","",_xlfn.XLOOKUP(tblOrdenes[[#This Row],[centro_costo]],tblCECO[codigo],tblCECO[linea],"(sin catálogo)"))</f>
        <v/>
      </c>
      <c r="Y721" s="5">
        <f>IF(tblOrdenes[[#This Row],[centro_costo]]="","",_xlfn.XLOOKUP(tblOrdenes[[#This Row],[centro_costo]],tblCECO[codigo],tblCECO[area],"(sin catálogo)"))</f>
        <v/>
      </c>
      <c r="Z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5">
        <f>IF(tblOrdenes[[#This Row],[centro_costo]]="","",_xlfn.XLOOKUP(tblOrdenes[[#This Row],[centro_costo]],tblCECO[codigo],tblCECO[coordinador],"(sin catálogo)"))</f>
        <v/>
      </c>
      <c r="AB721" s="5">
        <f>IF(tblOrdenes[[#This Row],[puesto_trabajo]]="","",_xlfn.XLOOKUP(tblOrdenes[[#This Row],[puesto_trabajo]],tblPuestos[codigo],tblPuestos[especialidad],"(sin catálogo)"))</f>
        <v/>
      </c>
      <c r="AC721" s="5">
        <f>IF(tblOrdenes[[#This Row],[cod_actividad]]="","",_xlfn.XLOOKUP(tblOrdenes[[#This Row],[cod_actividad]],tblActividades[codigo],tblActividades[descripcion],"(sin catálogo)"))</f>
        <v/>
      </c>
      <c r="AD721" s="23">
        <f>IF(tblOrdenes[[#This Row],[fecha_inicio]]="","",TODAY()-tblOrdenes[[#This Row],[fecha_inicio]])</f>
        <v/>
      </c>
      <c r="AE7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5">
        <f>IF(tblOrdenes[[#This Row],[backlog_habiles]]="","",IF(tblOrdenes[[#This Row],[backlog_habiles]]&lt;0,"FUTURO",IF(tblOrdenes[[#This Row],[backlog_habiles]]&gt;p_dias_backlog_max,"BACKLOG","MES CORRIENTE")))</f>
        <v/>
      </c>
      <c r="AG721" s="5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18">
        <f>IF(tblOrdenes[[#This Row],[orden]]="","",_xlfn.XLOOKUP(tblOrdenes[[#This Row],[id_operacion]],tblEjecucion[id_operacion],tblEjecucion[precio],0))</f>
        <v/>
      </c>
      <c r="AM721" s="18">
        <f>IF(tblOrdenes[[#This Row],[orden]]="","",MAX(0,_xlfn.XLOOKUP(tblOrdenes[[#This Row],[id_operacion]],tblEjecucion[id_operacion],tblEjecucion[costo_plan_total],0)-tblOrdenes[[#This Row],[costo_servicio]]))</f>
        <v/>
      </c>
      <c r="AN721" s="18">
        <f>IF(tblOrdenes[[#This Row],[orden]]="","",tblOrdenes[[#This Row],[costo_servicio]]+tblOrdenes[[#This Row],[costo_materiales]])</f>
        <v/>
      </c>
      <c r="AO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5">
        <f>IF(tblOrdenes[[#This Row],[link_checklist]]="","",HYPERLINK(p_ruta_base_checklists&amp;tblOrdenes[[#This Row],[link_checklist]],"abrir"))</f>
        <v/>
      </c>
      <c r="AT721" s="4" t="n"/>
      <c r="AU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5" t="n"/>
      <c r="K722" s="5" t="n"/>
      <c r="L722" s="18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Row],[fecha_inicio]]="","",tblOrdenes[[#This Row],[anio]]&amp;"-"&amp;TEXT(tblOrdenes[[#This Row],[mes]],"00"))</f>
        <v/>
      </c>
      <c r="S722" s="5">
        <f>IF(tblOrdenes[[#This Row],[fecha_inicio]]="","",INDEX(lista_dias,WEEKDAY(tblOrdenes[[#This Row],[fecha_inicio]],2)))</f>
        <v/>
      </c>
      <c r="T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5">
        <f>IF(tblOrdenes[[#This Row],[tipo_ot]]="","",_xlfn.XLOOKUP(tblOrdenes[[#This Row],[tipo_ot]],tblTiposOT[codigo],tblTiposOT[clasificacion],"sin_clasificar"))</f>
        <v/>
      </c>
      <c r="V7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5">
        <f>IF(tblOrdenes[[#This Row],[centro_costo]]="","",_xlfn.XLOOKUP(tblOrdenes[[#This Row],[centro_costo]],tblCECO[codigo],tblCECO[linea],"(sin catálogo)"))</f>
        <v/>
      </c>
      <c r="Y722" s="5">
        <f>IF(tblOrdenes[[#This Row],[centro_costo]]="","",_xlfn.XLOOKUP(tblOrdenes[[#This Row],[centro_costo]],tblCECO[codigo],tblCECO[area],"(sin catálogo)"))</f>
        <v/>
      </c>
      <c r="Z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5">
        <f>IF(tblOrdenes[[#This Row],[centro_costo]]="","",_xlfn.XLOOKUP(tblOrdenes[[#This Row],[centro_costo]],tblCECO[codigo],tblCECO[coordinador],"(sin catálogo)"))</f>
        <v/>
      </c>
      <c r="AB722" s="5">
        <f>IF(tblOrdenes[[#This Row],[puesto_trabajo]]="","",_xlfn.XLOOKUP(tblOrdenes[[#This Row],[puesto_trabajo]],tblPuestos[codigo],tblPuestos[especialidad],"(sin catálogo)"))</f>
        <v/>
      </c>
      <c r="AC722" s="5">
        <f>IF(tblOrdenes[[#This Row],[cod_actividad]]="","",_xlfn.XLOOKUP(tblOrdenes[[#This Row],[cod_actividad]],tblActividades[codigo],tblActividades[descripcion],"(sin catálogo)"))</f>
        <v/>
      </c>
      <c r="AD722" s="23">
        <f>IF(tblOrdenes[[#This Row],[fecha_inicio]]="","",TODAY()-tblOrdenes[[#This Row],[fecha_inicio]])</f>
        <v/>
      </c>
      <c r="AE7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5">
        <f>IF(tblOrdenes[[#This Row],[backlog_habiles]]="","",IF(tblOrdenes[[#This Row],[backlog_habiles]]&lt;0,"FUTURO",IF(tblOrdenes[[#This Row],[backlog_habiles]]&gt;p_dias_backlog_max,"BACKLOG","MES CORRIENTE")))</f>
        <v/>
      </c>
      <c r="AG722" s="5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18">
        <f>IF(tblOrdenes[[#This Row],[orden]]="","",_xlfn.XLOOKUP(tblOrdenes[[#This Row],[id_operacion]],tblEjecucion[id_operacion],tblEjecucion[precio],0))</f>
        <v/>
      </c>
      <c r="AM722" s="18">
        <f>IF(tblOrdenes[[#This Row],[orden]]="","",MAX(0,_xlfn.XLOOKUP(tblOrdenes[[#This Row],[id_operacion]],tblEjecucion[id_operacion],tblEjecucion[costo_plan_total],0)-tblOrdenes[[#This Row],[costo_servicio]]))</f>
        <v/>
      </c>
      <c r="AN722" s="18">
        <f>IF(tblOrdenes[[#This Row],[orden]]="","",tblOrdenes[[#This Row],[costo_servicio]]+tblOrdenes[[#This Row],[costo_materiales]])</f>
        <v/>
      </c>
      <c r="AO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5">
        <f>IF(tblOrdenes[[#This Row],[link_checklist]]="","",HYPERLINK(p_ruta_base_checklists&amp;tblOrdenes[[#This Row],[link_checklist]],"abrir"))</f>
        <v/>
      </c>
      <c r="AT722" s="4" t="n"/>
      <c r="AU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5" t="n"/>
      <c r="K723" s="5" t="n"/>
      <c r="L723" s="18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Row],[fecha_inicio]]="","",tblOrdenes[[#This Row],[anio]]&amp;"-"&amp;TEXT(tblOrdenes[[#This Row],[mes]],"00"))</f>
        <v/>
      </c>
      <c r="S723" s="5">
        <f>IF(tblOrdenes[[#This Row],[fecha_inicio]]="","",INDEX(lista_dias,WEEKDAY(tblOrdenes[[#This Row],[fecha_inicio]],2)))</f>
        <v/>
      </c>
      <c r="T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5">
        <f>IF(tblOrdenes[[#This Row],[tipo_ot]]="","",_xlfn.XLOOKUP(tblOrdenes[[#This Row],[tipo_ot]],tblTiposOT[codigo],tblTiposOT[clasificacion],"sin_clasificar"))</f>
        <v/>
      </c>
      <c r="V7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5">
        <f>IF(tblOrdenes[[#This Row],[centro_costo]]="","",_xlfn.XLOOKUP(tblOrdenes[[#This Row],[centro_costo]],tblCECO[codigo],tblCECO[linea],"(sin catálogo)"))</f>
        <v/>
      </c>
      <c r="Y723" s="5">
        <f>IF(tblOrdenes[[#This Row],[centro_costo]]="","",_xlfn.XLOOKUP(tblOrdenes[[#This Row],[centro_costo]],tblCECO[codigo],tblCECO[area],"(sin catálogo)"))</f>
        <v/>
      </c>
      <c r="Z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5">
        <f>IF(tblOrdenes[[#This Row],[centro_costo]]="","",_xlfn.XLOOKUP(tblOrdenes[[#This Row],[centro_costo]],tblCECO[codigo],tblCECO[coordinador],"(sin catálogo)"))</f>
        <v/>
      </c>
      <c r="AB723" s="5">
        <f>IF(tblOrdenes[[#This Row],[puesto_trabajo]]="","",_xlfn.XLOOKUP(tblOrdenes[[#This Row],[puesto_trabajo]],tblPuestos[codigo],tblPuestos[especialidad],"(sin catálogo)"))</f>
        <v/>
      </c>
      <c r="AC723" s="5">
        <f>IF(tblOrdenes[[#This Row],[cod_actividad]]="","",_xlfn.XLOOKUP(tblOrdenes[[#This Row],[cod_actividad]],tblActividades[codigo],tblActividades[descripcion],"(sin catálogo)"))</f>
        <v/>
      </c>
      <c r="AD723" s="23">
        <f>IF(tblOrdenes[[#This Row],[fecha_inicio]]="","",TODAY()-tblOrdenes[[#This Row],[fecha_inicio]])</f>
        <v/>
      </c>
      <c r="AE7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5">
        <f>IF(tblOrdenes[[#This Row],[backlog_habiles]]="","",IF(tblOrdenes[[#This Row],[backlog_habiles]]&lt;0,"FUTURO",IF(tblOrdenes[[#This Row],[backlog_habiles]]&gt;p_dias_backlog_max,"BACKLOG","MES CORRIENTE")))</f>
        <v/>
      </c>
      <c r="AG723" s="5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18">
        <f>IF(tblOrdenes[[#This Row],[orden]]="","",_xlfn.XLOOKUP(tblOrdenes[[#This Row],[id_operacion]],tblEjecucion[id_operacion],tblEjecucion[precio],0))</f>
        <v/>
      </c>
      <c r="AM723" s="18">
        <f>IF(tblOrdenes[[#This Row],[orden]]="","",MAX(0,_xlfn.XLOOKUP(tblOrdenes[[#This Row],[id_operacion]],tblEjecucion[id_operacion],tblEjecucion[costo_plan_total],0)-tblOrdenes[[#This Row],[costo_servicio]]))</f>
        <v/>
      </c>
      <c r="AN723" s="18">
        <f>IF(tblOrdenes[[#This Row],[orden]]="","",tblOrdenes[[#This Row],[costo_servicio]]+tblOrdenes[[#This Row],[costo_materiales]])</f>
        <v/>
      </c>
      <c r="AO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5">
        <f>IF(tblOrdenes[[#This Row],[link_checklist]]="","",HYPERLINK(p_ruta_base_checklists&amp;tblOrdenes[[#This Row],[link_checklist]],"abrir"))</f>
        <v/>
      </c>
      <c r="AT723" s="4" t="n"/>
      <c r="AU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5" t="n"/>
      <c r="K724" s="5" t="n"/>
      <c r="L724" s="18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Row],[fecha_inicio]]="","",tblOrdenes[[#This Row],[anio]]&amp;"-"&amp;TEXT(tblOrdenes[[#This Row],[mes]],"00"))</f>
        <v/>
      </c>
      <c r="S724" s="5">
        <f>IF(tblOrdenes[[#This Row],[fecha_inicio]]="","",INDEX(lista_dias,WEEKDAY(tblOrdenes[[#This Row],[fecha_inicio]],2)))</f>
        <v/>
      </c>
      <c r="T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5">
        <f>IF(tblOrdenes[[#This Row],[tipo_ot]]="","",_xlfn.XLOOKUP(tblOrdenes[[#This Row],[tipo_ot]],tblTiposOT[codigo],tblTiposOT[clasificacion],"sin_clasificar"))</f>
        <v/>
      </c>
      <c r="V7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5">
        <f>IF(tblOrdenes[[#This Row],[centro_costo]]="","",_xlfn.XLOOKUP(tblOrdenes[[#This Row],[centro_costo]],tblCECO[codigo],tblCECO[linea],"(sin catálogo)"))</f>
        <v/>
      </c>
      <c r="Y724" s="5">
        <f>IF(tblOrdenes[[#This Row],[centro_costo]]="","",_xlfn.XLOOKUP(tblOrdenes[[#This Row],[centro_costo]],tblCECO[codigo],tblCECO[area],"(sin catálogo)"))</f>
        <v/>
      </c>
      <c r="Z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5">
        <f>IF(tblOrdenes[[#This Row],[centro_costo]]="","",_xlfn.XLOOKUP(tblOrdenes[[#This Row],[centro_costo]],tblCECO[codigo],tblCECO[coordinador],"(sin catálogo)"))</f>
        <v/>
      </c>
      <c r="AB724" s="5">
        <f>IF(tblOrdenes[[#This Row],[puesto_trabajo]]="","",_xlfn.XLOOKUP(tblOrdenes[[#This Row],[puesto_trabajo]],tblPuestos[codigo],tblPuestos[especialidad],"(sin catálogo)"))</f>
        <v/>
      </c>
      <c r="AC724" s="5">
        <f>IF(tblOrdenes[[#This Row],[cod_actividad]]="","",_xlfn.XLOOKUP(tblOrdenes[[#This Row],[cod_actividad]],tblActividades[codigo],tblActividades[descripcion],"(sin catálogo)"))</f>
        <v/>
      </c>
      <c r="AD724" s="23">
        <f>IF(tblOrdenes[[#This Row],[fecha_inicio]]="","",TODAY()-tblOrdenes[[#This Row],[fecha_inicio]])</f>
        <v/>
      </c>
      <c r="AE7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5">
        <f>IF(tblOrdenes[[#This Row],[backlog_habiles]]="","",IF(tblOrdenes[[#This Row],[backlog_habiles]]&lt;0,"FUTURO",IF(tblOrdenes[[#This Row],[backlog_habiles]]&gt;p_dias_backlog_max,"BACKLOG","MES CORRIENTE")))</f>
        <v/>
      </c>
      <c r="AG724" s="5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18">
        <f>IF(tblOrdenes[[#This Row],[orden]]="","",_xlfn.XLOOKUP(tblOrdenes[[#This Row],[id_operacion]],tblEjecucion[id_operacion],tblEjecucion[precio],0))</f>
        <v/>
      </c>
      <c r="AM724" s="18">
        <f>IF(tblOrdenes[[#This Row],[orden]]="","",MAX(0,_xlfn.XLOOKUP(tblOrdenes[[#This Row],[id_operacion]],tblEjecucion[id_operacion],tblEjecucion[costo_plan_total],0)-tblOrdenes[[#This Row],[costo_servicio]]))</f>
        <v/>
      </c>
      <c r="AN724" s="18">
        <f>IF(tblOrdenes[[#This Row],[orden]]="","",tblOrdenes[[#This Row],[costo_servicio]]+tblOrdenes[[#This Row],[costo_materiales]])</f>
        <v/>
      </c>
      <c r="AO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5">
        <f>IF(tblOrdenes[[#This Row],[link_checklist]]="","",HYPERLINK(p_ruta_base_checklists&amp;tblOrdenes[[#This Row],[link_checklist]],"abrir"))</f>
        <v/>
      </c>
      <c r="AT724" s="4" t="n"/>
      <c r="AU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5" t="n"/>
      <c r="K725" s="5" t="n"/>
      <c r="L725" s="18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Row],[fecha_inicio]]="","",tblOrdenes[[#This Row],[anio]]&amp;"-"&amp;TEXT(tblOrdenes[[#This Row],[mes]],"00"))</f>
        <v/>
      </c>
      <c r="S725" s="5">
        <f>IF(tblOrdenes[[#This Row],[fecha_inicio]]="","",INDEX(lista_dias,WEEKDAY(tblOrdenes[[#This Row],[fecha_inicio]],2)))</f>
        <v/>
      </c>
      <c r="T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5">
        <f>IF(tblOrdenes[[#This Row],[tipo_ot]]="","",_xlfn.XLOOKUP(tblOrdenes[[#This Row],[tipo_ot]],tblTiposOT[codigo],tblTiposOT[clasificacion],"sin_clasificar"))</f>
        <v/>
      </c>
      <c r="V7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5">
        <f>IF(tblOrdenes[[#This Row],[centro_costo]]="","",_xlfn.XLOOKUP(tblOrdenes[[#This Row],[centro_costo]],tblCECO[codigo],tblCECO[linea],"(sin catálogo)"))</f>
        <v/>
      </c>
      <c r="Y725" s="5">
        <f>IF(tblOrdenes[[#This Row],[centro_costo]]="","",_xlfn.XLOOKUP(tblOrdenes[[#This Row],[centro_costo]],tblCECO[codigo],tblCECO[area],"(sin catálogo)"))</f>
        <v/>
      </c>
      <c r="Z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5">
        <f>IF(tblOrdenes[[#This Row],[centro_costo]]="","",_xlfn.XLOOKUP(tblOrdenes[[#This Row],[centro_costo]],tblCECO[codigo],tblCECO[coordinador],"(sin catálogo)"))</f>
        <v/>
      </c>
      <c r="AB725" s="5">
        <f>IF(tblOrdenes[[#This Row],[puesto_trabajo]]="","",_xlfn.XLOOKUP(tblOrdenes[[#This Row],[puesto_trabajo]],tblPuestos[codigo],tblPuestos[especialidad],"(sin catálogo)"))</f>
        <v/>
      </c>
      <c r="AC725" s="5">
        <f>IF(tblOrdenes[[#This Row],[cod_actividad]]="","",_xlfn.XLOOKUP(tblOrdenes[[#This Row],[cod_actividad]],tblActividades[codigo],tblActividades[descripcion],"(sin catálogo)"))</f>
        <v/>
      </c>
      <c r="AD725" s="23">
        <f>IF(tblOrdenes[[#This Row],[fecha_inicio]]="","",TODAY()-tblOrdenes[[#This Row],[fecha_inicio]])</f>
        <v/>
      </c>
      <c r="AE7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5">
        <f>IF(tblOrdenes[[#This Row],[backlog_habiles]]="","",IF(tblOrdenes[[#This Row],[backlog_habiles]]&lt;0,"FUTURO",IF(tblOrdenes[[#This Row],[backlog_habiles]]&gt;p_dias_backlog_max,"BACKLOG","MES CORRIENTE")))</f>
        <v/>
      </c>
      <c r="AG725" s="5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18">
        <f>IF(tblOrdenes[[#This Row],[orden]]="","",_xlfn.XLOOKUP(tblOrdenes[[#This Row],[id_operacion]],tblEjecucion[id_operacion],tblEjecucion[precio],0))</f>
        <v/>
      </c>
      <c r="AM725" s="18">
        <f>IF(tblOrdenes[[#This Row],[orden]]="","",MAX(0,_xlfn.XLOOKUP(tblOrdenes[[#This Row],[id_operacion]],tblEjecucion[id_operacion],tblEjecucion[costo_plan_total],0)-tblOrdenes[[#This Row],[costo_servicio]]))</f>
        <v/>
      </c>
      <c r="AN725" s="18">
        <f>IF(tblOrdenes[[#This Row],[orden]]="","",tblOrdenes[[#This Row],[costo_servicio]]+tblOrdenes[[#This Row],[costo_materiales]])</f>
        <v/>
      </c>
      <c r="AO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5">
        <f>IF(tblOrdenes[[#This Row],[link_checklist]]="","",HYPERLINK(p_ruta_base_checklists&amp;tblOrdenes[[#This Row],[link_checklist]],"abrir"))</f>
        <v/>
      </c>
      <c r="AT725" s="4" t="n"/>
      <c r="AU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5" t="n"/>
      <c r="K726" s="5" t="n"/>
      <c r="L726" s="18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Row],[fecha_inicio]]="","",tblOrdenes[[#This Row],[anio]]&amp;"-"&amp;TEXT(tblOrdenes[[#This Row],[mes]],"00"))</f>
        <v/>
      </c>
      <c r="S726" s="5">
        <f>IF(tblOrdenes[[#This Row],[fecha_inicio]]="","",INDEX(lista_dias,WEEKDAY(tblOrdenes[[#This Row],[fecha_inicio]],2)))</f>
        <v/>
      </c>
      <c r="T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5">
        <f>IF(tblOrdenes[[#This Row],[tipo_ot]]="","",_xlfn.XLOOKUP(tblOrdenes[[#This Row],[tipo_ot]],tblTiposOT[codigo],tblTiposOT[clasificacion],"sin_clasificar"))</f>
        <v/>
      </c>
      <c r="V7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5">
        <f>IF(tblOrdenes[[#This Row],[centro_costo]]="","",_xlfn.XLOOKUP(tblOrdenes[[#This Row],[centro_costo]],tblCECO[codigo],tblCECO[linea],"(sin catálogo)"))</f>
        <v/>
      </c>
      <c r="Y726" s="5">
        <f>IF(tblOrdenes[[#This Row],[centro_costo]]="","",_xlfn.XLOOKUP(tblOrdenes[[#This Row],[centro_costo]],tblCECO[codigo],tblCECO[area],"(sin catálogo)"))</f>
        <v/>
      </c>
      <c r="Z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5">
        <f>IF(tblOrdenes[[#This Row],[centro_costo]]="","",_xlfn.XLOOKUP(tblOrdenes[[#This Row],[centro_costo]],tblCECO[codigo],tblCECO[coordinador],"(sin catálogo)"))</f>
        <v/>
      </c>
      <c r="AB726" s="5">
        <f>IF(tblOrdenes[[#This Row],[puesto_trabajo]]="","",_xlfn.XLOOKUP(tblOrdenes[[#This Row],[puesto_trabajo]],tblPuestos[codigo],tblPuestos[especialidad],"(sin catálogo)"))</f>
        <v/>
      </c>
      <c r="AC726" s="5">
        <f>IF(tblOrdenes[[#This Row],[cod_actividad]]="","",_xlfn.XLOOKUP(tblOrdenes[[#This Row],[cod_actividad]],tblActividades[codigo],tblActividades[descripcion],"(sin catálogo)"))</f>
        <v/>
      </c>
      <c r="AD726" s="23">
        <f>IF(tblOrdenes[[#This Row],[fecha_inicio]]="","",TODAY()-tblOrdenes[[#This Row],[fecha_inicio]])</f>
        <v/>
      </c>
      <c r="AE7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5">
        <f>IF(tblOrdenes[[#This Row],[backlog_habiles]]="","",IF(tblOrdenes[[#This Row],[backlog_habiles]]&lt;0,"FUTURO",IF(tblOrdenes[[#This Row],[backlog_habiles]]&gt;p_dias_backlog_max,"BACKLOG","MES CORRIENTE")))</f>
        <v/>
      </c>
      <c r="AG726" s="5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18">
        <f>IF(tblOrdenes[[#This Row],[orden]]="","",_xlfn.XLOOKUP(tblOrdenes[[#This Row],[id_operacion]],tblEjecucion[id_operacion],tblEjecucion[precio],0))</f>
        <v/>
      </c>
      <c r="AM726" s="18">
        <f>IF(tblOrdenes[[#This Row],[orden]]="","",MAX(0,_xlfn.XLOOKUP(tblOrdenes[[#This Row],[id_operacion]],tblEjecucion[id_operacion],tblEjecucion[costo_plan_total],0)-tblOrdenes[[#This Row],[costo_servicio]]))</f>
        <v/>
      </c>
      <c r="AN726" s="18">
        <f>IF(tblOrdenes[[#This Row],[orden]]="","",tblOrdenes[[#This Row],[costo_servicio]]+tblOrdenes[[#This Row],[costo_materiales]])</f>
        <v/>
      </c>
      <c r="AO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5">
        <f>IF(tblOrdenes[[#This Row],[link_checklist]]="","",HYPERLINK(p_ruta_base_checklists&amp;tblOrdenes[[#This Row],[link_checklist]],"abrir"))</f>
        <v/>
      </c>
      <c r="AT726" s="4" t="n"/>
      <c r="AU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5" t="n"/>
      <c r="K727" s="5" t="n"/>
      <c r="L727" s="18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Row],[fecha_inicio]]="","",tblOrdenes[[#This Row],[anio]]&amp;"-"&amp;TEXT(tblOrdenes[[#This Row],[mes]],"00"))</f>
        <v/>
      </c>
      <c r="S727" s="5">
        <f>IF(tblOrdenes[[#This Row],[fecha_inicio]]="","",INDEX(lista_dias,WEEKDAY(tblOrdenes[[#This Row],[fecha_inicio]],2)))</f>
        <v/>
      </c>
      <c r="T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5">
        <f>IF(tblOrdenes[[#This Row],[tipo_ot]]="","",_xlfn.XLOOKUP(tblOrdenes[[#This Row],[tipo_ot]],tblTiposOT[codigo],tblTiposOT[clasificacion],"sin_clasificar"))</f>
        <v/>
      </c>
      <c r="V7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5">
        <f>IF(tblOrdenes[[#This Row],[centro_costo]]="","",_xlfn.XLOOKUP(tblOrdenes[[#This Row],[centro_costo]],tblCECO[codigo],tblCECO[linea],"(sin catálogo)"))</f>
        <v/>
      </c>
      <c r="Y727" s="5">
        <f>IF(tblOrdenes[[#This Row],[centro_costo]]="","",_xlfn.XLOOKUP(tblOrdenes[[#This Row],[centro_costo]],tblCECO[codigo],tblCECO[area],"(sin catálogo)"))</f>
        <v/>
      </c>
      <c r="Z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5">
        <f>IF(tblOrdenes[[#This Row],[centro_costo]]="","",_xlfn.XLOOKUP(tblOrdenes[[#This Row],[centro_costo]],tblCECO[codigo],tblCECO[coordinador],"(sin catálogo)"))</f>
        <v/>
      </c>
      <c r="AB727" s="5">
        <f>IF(tblOrdenes[[#This Row],[puesto_trabajo]]="","",_xlfn.XLOOKUP(tblOrdenes[[#This Row],[puesto_trabajo]],tblPuestos[codigo],tblPuestos[especialidad],"(sin catálogo)"))</f>
        <v/>
      </c>
      <c r="AC727" s="5">
        <f>IF(tblOrdenes[[#This Row],[cod_actividad]]="","",_xlfn.XLOOKUP(tblOrdenes[[#This Row],[cod_actividad]],tblActividades[codigo],tblActividades[descripcion],"(sin catálogo)"))</f>
        <v/>
      </c>
      <c r="AD727" s="23">
        <f>IF(tblOrdenes[[#This Row],[fecha_inicio]]="","",TODAY()-tblOrdenes[[#This Row],[fecha_inicio]])</f>
        <v/>
      </c>
      <c r="AE7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5">
        <f>IF(tblOrdenes[[#This Row],[backlog_habiles]]="","",IF(tblOrdenes[[#This Row],[backlog_habiles]]&lt;0,"FUTURO",IF(tblOrdenes[[#This Row],[backlog_habiles]]&gt;p_dias_backlog_max,"BACKLOG","MES CORRIENTE")))</f>
        <v/>
      </c>
      <c r="AG727" s="5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18">
        <f>IF(tblOrdenes[[#This Row],[orden]]="","",_xlfn.XLOOKUP(tblOrdenes[[#This Row],[id_operacion]],tblEjecucion[id_operacion],tblEjecucion[precio],0))</f>
        <v/>
      </c>
      <c r="AM727" s="18">
        <f>IF(tblOrdenes[[#This Row],[orden]]="","",MAX(0,_xlfn.XLOOKUP(tblOrdenes[[#This Row],[id_operacion]],tblEjecucion[id_operacion],tblEjecucion[costo_plan_total],0)-tblOrdenes[[#This Row],[costo_servicio]]))</f>
        <v/>
      </c>
      <c r="AN727" s="18">
        <f>IF(tblOrdenes[[#This Row],[orden]]="","",tblOrdenes[[#This Row],[costo_servicio]]+tblOrdenes[[#This Row],[costo_materiales]])</f>
        <v/>
      </c>
      <c r="AO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5">
        <f>IF(tblOrdenes[[#This Row],[link_checklist]]="","",HYPERLINK(p_ruta_base_checklists&amp;tblOrdenes[[#This Row],[link_checklist]],"abrir"))</f>
        <v/>
      </c>
      <c r="AT727" s="4" t="n"/>
      <c r="AU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5" t="n"/>
      <c r="K728" s="5" t="n"/>
      <c r="L728" s="18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Row],[fecha_inicio]]="","",tblOrdenes[[#This Row],[anio]]&amp;"-"&amp;TEXT(tblOrdenes[[#This Row],[mes]],"00"))</f>
        <v/>
      </c>
      <c r="S728" s="5">
        <f>IF(tblOrdenes[[#This Row],[fecha_inicio]]="","",INDEX(lista_dias,WEEKDAY(tblOrdenes[[#This Row],[fecha_inicio]],2)))</f>
        <v/>
      </c>
      <c r="T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5">
        <f>IF(tblOrdenes[[#This Row],[tipo_ot]]="","",_xlfn.XLOOKUP(tblOrdenes[[#This Row],[tipo_ot]],tblTiposOT[codigo],tblTiposOT[clasificacion],"sin_clasificar"))</f>
        <v/>
      </c>
      <c r="V7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5">
        <f>IF(tblOrdenes[[#This Row],[centro_costo]]="","",_xlfn.XLOOKUP(tblOrdenes[[#This Row],[centro_costo]],tblCECO[codigo],tblCECO[linea],"(sin catálogo)"))</f>
        <v/>
      </c>
      <c r="Y728" s="5">
        <f>IF(tblOrdenes[[#This Row],[centro_costo]]="","",_xlfn.XLOOKUP(tblOrdenes[[#This Row],[centro_costo]],tblCECO[codigo],tblCECO[area],"(sin catálogo)"))</f>
        <v/>
      </c>
      <c r="Z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5">
        <f>IF(tblOrdenes[[#This Row],[centro_costo]]="","",_xlfn.XLOOKUP(tblOrdenes[[#This Row],[centro_costo]],tblCECO[codigo],tblCECO[coordinador],"(sin catálogo)"))</f>
        <v/>
      </c>
      <c r="AB728" s="5">
        <f>IF(tblOrdenes[[#This Row],[puesto_trabajo]]="","",_xlfn.XLOOKUP(tblOrdenes[[#This Row],[puesto_trabajo]],tblPuestos[codigo],tblPuestos[especialidad],"(sin catálogo)"))</f>
        <v/>
      </c>
      <c r="AC728" s="5">
        <f>IF(tblOrdenes[[#This Row],[cod_actividad]]="","",_xlfn.XLOOKUP(tblOrdenes[[#This Row],[cod_actividad]],tblActividades[codigo],tblActividades[descripcion],"(sin catálogo)"))</f>
        <v/>
      </c>
      <c r="AD728" s="23">
        <f>IF(tblOrdenes[[#This Row],[fecha_inicio]]="","",TODAY()-tblOrdenes[[#This Row],[fecha_inicio]])</f>
        <v/>
      </c>
      <c r="AE7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5">
        <f>IF(tblOrdenes[[#This Row],[backlog_habiles]]="","",IF(tblOrdenes[[#This Row],[backlog_habiles]]&lt;0,"FUTURO",IF(tblOrdenes[[#This Row],[backlog_habiles]]&gt;p_dias_backlog_max,"BACKLOG","MES CORRIENTE")))</f>
        <v/>
      </c>
      <c r="AG728" s="5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18">
        <f>IF(tblOrdenes[[#This Row],[orden]]="","",_xlfn.XLOOKUP(tblOrdenes[[#This Row],[id_operacion]],tblEjecucion[id_operacion],tblEjecucion[precio],0))</f>
        <v/>
      </c>
      <c r="AM728" s="18">
        <f>IF(tblOrdenes[[#This Row],[orden]]="","",MAX(0,_xlfn.XLOOKUP(tblOrdenes[[#This Row],[id_operacion]],tblEjecucion[id_operacion],tblEjecucion[costo_plan_total],0)-tblOrdenes[[#This Row],[costo_servicio]]))</f>
        <v/>
      </c>
      <c r="AN728" s="18">
        <f>IF(tblOrdenes[[#This Row],[orden]]="","",tblOrdenes[[#This Row],[costo_servicio]]+tblOrdenes[[#This Row],[costo_materiales]])</f>
        <v/>
      </c>
      <c r="AO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5">
        <f>IF(tblOrdenes[[#This Row],[link_checklist]]="","",HYPERLINK(p_ruta_base_checklists&amp;tblOrdenes[[#This Row],[link_checklist]],"abrir"))</f>
        <v/>
      </c>
      <c r="AT728" s="4" t="n"/>
      <c r="AU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5" t="n"/>
      <c r="K729" s="5" t="n"/>
      <c r="L729" s="18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Row],[fecha_inicio]]="","",tblOrdenes[[#This Row],[anio]]&amp;"-"&amp;TEXT(tblOrdenes[[#This Row],[mes]],"00"))</f>
        <v/>
      </c>
      <c r="S729" s="5">
        <f>IF(tblOrdenes[[#This Row],[fecha_inicio]]="","",INDEX(lista_dias,WEEKDAY(tblOrdenes[[#This Row],[fecha_inicio]],2)))</f>
        <v/>
      </c>
      <c r="T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5">
        <f>IF(tblOrdenes[[#This Row],[tipo_ot]]="","",_xlfn.XLOOKUP(tblOrdenes[[#This Row],[tipo_ot]],tblTiposOT[codigo],tblTiposOT[clasificacion],"sin_clasificar"))</f>
        <v/>
      </c>
      <c r="V7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5">
        <f>IF(tblOrdenes[[#This Row],[centro_costo]]="","",_xlfn.XLOOKUP(tblOrdenes[[#This Row],[centro_costo]],tblCECO[codigo],tblCECO[linea],"(sin catálogo)"))</f>
        <v/>
      </c>
      <c r="Y729" s="5">
        <f>IF(tblOrdenes[[#This Row],[centro_costo]]="","",_xlfn.XLOOKUP(tblOrdenes[[#This Row],[centro_costo]],tblCECO[codigo],tblCECO[area],"(sin catálogo)"))</f>
        <v/>
      </c>
      <c r="Z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5">
        <f>IF(tblOrdenes[[#This Row],[centro_costo]]="","",_xlfn.XLOOKUP(tblOrdenes[[#This Row],[centro_costo]],tblCECO[codigo],tblCECO[coordinador],"(sin catálogo)"))</f>
        <v/>
      </c>
      <c r="AB729" s="5">
        <f>IF(tblOrdenes[[#This Row],[puesto_trabajo]]="","",_xlfn.XLOOKUP(tblOrdenes[[#This Row],[puesto_trabajo]],tblPuestos[codigo],tblPuestos[especialidad],"(sin catálogo)"))</f>
        <v/>
      </c>
      <c r="AC729" s="5">
        <f>IF(tblOrdenes[[#This Row],[cod_actividad]]="","",_xlfn.XLOOKUP(tblOrdenes[[#This Row],[cod_actividad]],tblActividades[codigo],tblActividades[descripcion],"(sin catálogo)"))</f>
        <v/>
      </c>
      <c r="AD729" s="23">
        <f>IF(tblOrdenes[[#This Row],[fecha_inicio]]="","",TODAY()-tblOrdenes[[#This Row],[fecha_inicio]])</f>
        <v/>
      </c>
      <c r="AE7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5">
        <f>IF(tblOrdenes[[#This Row],[backlog_habiles]]="","",IF(tblOrdenes[[#This Row],[backlog_habiles]]&lt;0,"FUTURO",IF(tblOrdenes[[#This Row],[backlog_habiles]]&gt;p_dias_backlog_max,"BACKLOG","MES CORRIENTE")))</f>
        <v/>
      </c>
      <c r="AG729" s="5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18">
        <f>IF(tblOrdenes[[#This Row],[orden]]="","",_xlfn.XLOOKUP(tblOrdenes[[#This Row],[id_operacion]],tblEjecucion[id_operacion],tblEjecucion[precio],0))</f>
        <v/>
      </c>
      <c r="AM729" s="18">
        <f>IF(tblOrdenes[[#This Row],[orden]]="","",MAX(0,_xlfn.XLOOKUP(tblOrdenes[[#This Row],[id_operacion]],tblEjecucion[id_operacion],tblEjecucion[costo_plan_total],0)-tblOrdenes[[#This Row],[costo_servicio]]))</f>
        <v/>
      </c>
      <c r="AN729" s="18">
        <f>IF(tblOrdenes[[#This Row],[orden]]="","",tblOrdenes[[#This Row],[costo_servicio]]+tblOrdenes[[#This Row],[costo_materiales]])</f>
        <v/>
      </c>
      <c r="AO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5">
        <f>IF(tblOrdenes[[#This Row],[link_checklist]]="","",HYPERLINK(p_ruta_base_checklists&amp;tblOrdenes[[#This Row],[link_checklist]],"abrir"))</f>
        <v/>
      </c>
      <c r="AT729" s="4" t="n"/>
      <c r="AU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5" t="n"/>
      <c r="K730" s="5" t="n"/>
      <c r="L730" s="18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Row],[fecha_inicio]]="","",tblOrdenes[[#This Row],[anio]]&amp;"-"&amp;TEXT(tblOrdenes[[#This Row],[mes]],"00"))</f>
        <v/>
      </c>
      <c r="S730" s="5">
        <f>IF(tblOrdenes[[#This Row],[fecha_inicio]]="","",INDEX(lista_dias,WEEKDAY(tblOrdenes[[#This Row],[fecha_inicio]],2)))</f>
        <v/>
      </c>
      <c r="T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5">
        <f>IF(tblOrdenes[[#This Row],[tipo_ot]]="","",_xlfn.XLOOKUP(tblOrdenes[[#This Row],[tipo_ot]],tblTiposOT[codigo],tblTiposOT[clasificacion],"sin_clasificar"))</f>
        <v/>
      </c>
      <c r="V7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5">
        <f>IF(tblOrdenes[[#This Row],[centro_costo]]="","",_xlfn.XLOOKUP(tblOrdenes[[#This Row],[centro_costo]],tblCECO[codigo],tblCECO[linea],"(sin catálogo)"))</f>
        <v/>
      </c>
      <c r="Y730" s="5">
        <f>IF(tblOrdenes[[#This Row],[centro_costo]]="","",_xlfn.XLOOKUP(tblOrdenes[[#This Row],[centro_costo]],tblCECO[codigo],tblCECO[area],"(sin catálogo)"))</f>
        <v/>
      </c>
      <c r="Z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5">
        <f>IF(tblOrdenes[[#This Row],[centro_costo]]="","",_xlfn.XLOOKUP(tblOrdenes[[#This Row],[centro_costo]],tblCECO[codigo],tblCECO[coordinador],"(sin catálogo)"))</f>
        <v/>
      </c>
      <c r="AB730" s="5">
        <f>IF(tblOrdenes[[#This Row],[puesto_trabajo]]="","",_xlfn.XLOOKUP(tblOrdenes[[#This Row],[puesto_trabajo]],tblPuestos[codigo],tblPuestos[especialidad],"(sin catálogo)"))</f>
        <v/>
      </c>
      <c r="AC730" s="5">
        <f>IF(tblOrdenes[[#This Row],[cod_actividad]]="","",_xlfn.XLOOKUP(tblOrdenes[[#This Row],[cod_actividad]],tblActividades[codigo],tblActividades[descripcion],"(sin catálogo)"))</f>
        <v/>
      </c>
      <c r="AD730" s="23">
        <f>IF(tblOrdenes[[#This Row],[fecha_inicio]]="","",TODAY()-tblOrdenes[[#This Row],[fecha_inicio]])</f>
        <v/>
      </c>
      <c r="AE7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5">
        <f>IF(tblOrdenes[[#This Row],[backlog_habiles]]="","",IF(tblOrdenes[[#This Row],[backlog_habiles]]&lt;0,"FUTURO",IF(tblOrdenes[[#This Row],[backlog_habiles]]&gt;p_dias_backlog_max,"BACKLOG","MES CORRIENTE")))</f>
        <v/>
      </c>
      <c r="AG730" s="5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18">
        <f>IF(tblOrdenes[[#This Row],[orden]]="","",_xlfn.XLOOKUP(tblOrdenes[[#This Row],[id_operacion]],tblEjecucion[id_operacion],tblEjecucion[precio],0))</f>
        <v/>
      </c>
      <c r="AM730" s="18">
        <f>IF(tblOrdenes[[#This Row],[orden]]="","",MAX(0,_xlfn.XLOOKUP(tblOrdenes[[#This Row],[id_operacion]],tblEjecucion[id_operacion],tblEjecucion[costo_plan_total],0)-tblOrdenes[[#This Row],[costo_servicio]]))</f>
        <v/>
      </c>
      <c r="AN730" s="18">
        <f>IF(tblOrdenes[[#This Row],[orden]]="","",tblOrdenes[[#This Row],[costo_servicio]]+tblOrdenes[[#This Row],[costo_materiales]])</f>
        <v/>
      </c>
      <c r="AO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5">
        <f>IF(tblOrdenes[[#This Row],[link_checklist]]="","",HYPERLINK(p_ruta_base_checklists&amp;tblOrdenes[[#This Row],[link_checklist]],"abrir"))</f>
        <v/>
      </c>
      <c r="AT730" s="4" t="n"/>
      <c r="AU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5" t="n"/>
      <c r="K731" s="5" t="n"/>
      <c r="L731" s="18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Row],[fecha_inicio]]="","",tblOrdenes[[#This Row],[anio]]&amp;"-"&amp;TEXT(tblOrdenes[[#This Row],[mes]],"00"))</f>
        <v/>
      </c>
      <c r="S731" s="5">
        <f>IF(tblOrdenes[[#This Row],[fecha_inicio]]="","",INDEX(lista_dias,WEEKDAY(tblOrdenes[[#This Row],[fecha_inicio]],2)))</f>
        <v/>
      </c>
      <c r="T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5">
        <f>IF(tblOrdenes[[#This Row],[tipo_ot]]="","",_xlfn.XLOOKUP(tblOrdenes[[#This Row],[tipo_ot]],tblTiposOT[codigo],tblTiposOT[clasificacion],"sin_clasificar"))</f>
        <v/>
      </c>
      <c r="V7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5">
        <f>IF(tblOrdenes[[#This Row],[centro_costo]]="","",_xlfn.XLOOKUP(tblOrdenes[[#This Row],[centro_costo]],tblCECO[codigo],tblCECO[linea],"(sin catálogo)"))</f>
        <v/>
      </c>
      <c r="Y731" s="5">
        <f>IF(tblOrdenes[[#This Row],[centro_costo]]="","",_xlfn.XLOOKUP(tblOrdenes[[#This Row],[centro_costo]],tblCECO[codigo],tblCECO[area],"(sin catálogo)"))</f>
        <v/>
      </c>
      <c r="Z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5">
        <f>IF(tblOrdenes[[#This Row],[centro_costo]]="","",_xlfn.XLOOKUP(tblOrdenes[[#This Row],[centro_costo]],tblCECO[codigo],tblCECO[coordinador],"(sin catálogo)"))</f>
        <v/>
      </c>
      <c r="AB731" s="5">
        <f>IF(tblOrdenes[[#This Row],[puesto_trabajo]]="","",_xlfn.XLOOKUP(tblOrdenes[[#This Row],[puesto_trabajo]],tblPuestos[codigo],tblPuestos[especialidad],"(sin catálogo)"))</f>
        <v/>
      </c>
      <c r="AC731" s="5">
        <f>IF(tblOrdenes[[#This Row],[cod_actividad]]="","",_xlfn.XLOOKUP(tblOrdenes[[#This Row],[cod_actividad]],tblActividades[codigo],tblActividades[descripcion],"(sin catálogo)"))</f>
        <v/>
      </c>
      <c r="AD731" s="23">
        <f>IF(tblOrdenes[[#This Row],[fecha_inicio]]="","",TODAY()-tblOrdenes[[#This Row],[fecha_inicio]])</f>
        <v/>
      </c>
      <c r="AE7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5">
        <f>IF(tblOrdenes[[#This Row],[backlog_habiles]]="","",IF(tblOrdenes[[#This Row],[backlog_habiles]]&lt;0,"FUTURO",IF(tblOrdenes[[#This Row],[backlog_habiles]]&gt;p_dias_backlog_max,"BACKLOG","MES CORRIENTE")))</f>
        <v/>
      </c>
      <c r="AG731" s="5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18">
        <f>IF(tblOrdenes[[#This Row],[orden]]="","",_xlfn.XLOOKUP(tblOrdenes[[#This Row],[id_operacion]],tblEjecucion[id_operacion],tblEjecucion[precio],0))</f>
        <v/>
      </c>
      <c r="AM731" s="18">
        <f>IF(tblOrdenes[[#This Row],[orden]]="","",MAX(0,_xlfn.XLOOKUP(tblOrdenes[[#This Row],[id_operacion]],tblEjecucion[id_operacion],tblEjecucion[costo_plan_total],0)-tblOrdenes[[#This Row],[costo_servicio]]))</f>
        <v/>
      </c>
      <c r="AN731" s="18">
        <f>IF(tblOrdenes[[#This Row],[orden]]="","",tblOrdenes[[#This Row],[costo_servicio]]+tblOrdenes[[#This Row],[costo_materiales]])</f>
        <v/>
      </c>
      <c r="AO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5">
        <f>IF(tblOrdenes[[#This Row],[link_checklist]]="","",HYPERLINK(p_ruta_base_checklists&amp;tblOrdenes[[#This Row],[link_checklist]],"abrir"))</f>
        <v/>
      </c>
      <c r="AT731" s="4" t="n"/>
      <c r="AU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5" t="n"/>
      <c r="K732" s="5" t="n"/>
      <c r="L732" s="18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Row],[fecha_inicio]]="","",tblOrdenes[[#This Row],[anio]]&amp;"-"&amp;TEXT(tblOrdenes[[#This Row],[mes]],"00"))</f>
        <v/>
      </c>
      <c r="S732" s="5">
        <f>IF(tblOrdenes[[#This Row],[fecha_inicio]]="","",INDEX(lista_dias,WEEKDAY(tblOrdenes[[#This Row],[fecha_inicio]],2)))</f>
        <v/>
      </c>
      <c r="T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5">
        <f>IF(tblOrdenes[[#This Row],[tipo_ot]]="","",_xlfn.XLOOKUP(tblOrdenes[[#This Row],[tipo_ot]],tblTiposOT[codigo],tblTiposOT[clasificacion],"sin_clasificar"))</f>
        <v/>
      </c>
      <c r="V7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5">
        <f>IF(tblOrdenes[[#This Row],[centro_costo]]="","",_xlfn.XLOOKUP(tblOrdenes[[#This Row],[centro_costo]],tblCECO[codigo],tblCECO[linea],"(sin catálogo)"))</f>
        <v/>
      </c>
      <c r="Y732" s="5">
        <f>IF(tblOrdenes[[#This Row],[centro_costo]]="","",_xlfn.XLOOKUP(tblOrdenes[[#This Row],[centro_costo]],tblCECO[codigo],tblCECO[area],"(sin catálogo)"))</f>
        <v/>
      </c>
      <c r="Z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5">
        <f>IF(tblOrdenes[[#This Row],[centro_costo]]="","",_xlfn.XLOOKUP(tblOrdenes[[#This Row],[centro_costo]],tblCECO[codigo],tblCECO[coordinador],"(sin catálogo)"))</f>
        <v/>
      </c>
      <c r="AB732" s="5">
        <f>IF(tblOrdenes[[#This Row],[puesto_trabajo]]="","",_xlfn.XLOOKUP(tblOrdenes[[#This Row],[puesto_trabajo]],tblPuestos[codigo],tblPuestos[especialidad],"(sin catálogo)"))</f>
        <v/>
      </c>
      <c r="AC732" s="5">
        <f>IF(tblOrdenes[[#This Row],[cod_actividad]]="","",_xlfn.XLOOKUP(tblOrdenes[[#This Row],[cod_actividad]],tblActividades[codigo],tblActividades[descripcion],"(sin catálogo)"))</f>
        <v/>
      </c>
      <c r="AD732" s="23">
        <f>IF(tblOrdenes[[#This Row],[fecha_inicio]]="","",TODAY()-tblOrdenes[[#This Row],[fecha_inicio]])</f>
        <v/>
      </c>
      <c r="AE7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5">
        <f>IF(tblOrdenes[[#This Row],[backlog_habiles]]="","",IF(tblOrdenes[[#This Row],[backlog_habiles]]&lt;0,"FUTURO",IF(tblOrdenes[[#This Row],[backlog_habiles]]&gt;p_dias_backlog_max,"BACKLOG","MES CORRIENTE")))</f>
        <v/>
      </c>
      <c r="AG732" s="5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18">
        <f>IF(tblOrdenes[[#This Row],[orden]]="","",_xlfn.XLOOKUP(tblOrdenes[[#This Row],[id_operacion]],tblEjecucion[id_operacion],tblEjecucion[precio],0))</f>
        <v/>
      </c>
      <c r="AM732" s="18">
        <f>IF(tblOrdenes[[#This Row],[orden]]="","",MAX(0,_xlfn.XLOOKUP(tblOrdenes[[#This Row],[id_operacion]],tblEjecucion[id_operacion],tblEjecucion[costo_plan_total],0)-tblOrdenes[[#This Row],[costo_servicio]]))</f>
        <v/>
      </c>
      <c r="AN732" s="18">
        <f>IF(tblOrdenes[[#This Row],[orden]]="","",tblOrdenes[[#This Row],[costo_servicio]]+tblOrdenes[[#This Row],[costo_materiales]])</f>
        <v/>
      </c>
      <c r="AO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5">
        <f>IF(tblOrdenes[[#This Row],[link_checklist]]="","",HYPERLINK(p_ruta_base_checklists&amp;tblOrdenes[[#This Row],[link_checklist]],"abrir"))</f>
        <v/>
      </c>
      <c r="AT732" s="4" t="n"/>
      <c r="AU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5" t="n"/>
      <c r="K733" s="5" t="n"/>
      <c r="L733" s="18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Row],[fecha_inicio]]="","",tblOrdenes[[#This Row],[anio]]&amp;"-"&amp;TEXT(tblOrdenes[[#This Row],[mes]],"00"))</f>
        <v/>
      </c>
      <c r="S733" s="5">
        <f>IF(tblOrdenes[[#This Row],[fecha_inicio]]="","",INDEX(lista_dias,WEEKDAY(tblOrdenes[[#This Row],[fecha_inicio]],2)))</f>
        <v/>
      </c>
      <c r="T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5">
        <f>IF(tblOrdenes[[#This Row],[tipo_ot]]="","",_xlfn.XLOOKUP(tblOrdenes[[#This Row],[tipo_ot]],tblTiposOT[codigo],tblTiposOT[clasificacion],"sin_clasificar"))</f>
        <v/>
      </c>
      <c r="V7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5">
        <f>IF(tblOrdenes[[#This Row],[centro_costo]]="","",_xlfn.XLOOKUP(tblOrdenes[[#This Row],[centro_costo]],tblCECO[codigo],tblCECO[linea],"(sin catálogo)"))</f>
        <v/>
      </c>
      <c r="Y733" s="5">
        <f>IF(tblOrdenes[[#This Row],[centro_costo]]="","",_xlfn.XLOOKUP(tblOrdenes[[#This Row],[centro_costo]],tblCECO[codigo],tblCECO[area],"(sin catálogo)"))</f>
        <v/>
      </c>
      <c r="Z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5">
        <f>IF(tblOrdenes[[#This Row],[centro_costo]]="","",_xlfn.XLOOKUP(tblOrdenes[[#This Row],[centro_costo]],tblCECO[codigo],tblCECO[coordinador],"(sin catálogo)"))</f>
        <v/>
      </c>
      <c r="AB733" s="5">
        <f>IF(tblOrdenes[[#This Row],[puesto_trabajo]]="","",_xlfn.XLOOKUP(tblOrdenes[[#This Row],[puesto_trabajo]],tblPuestos[codigo],tblPuestos[especialidad],"(sin catálogo)"))</f>
        <v/>
      </c>
      <c r="AC733" s="5">
        <f>IF(tblOrdenes[[#This Row],[cod_actividad]]="","",_xlfn.XLOOKUP(tblOrdenes[[#This Row],[cod_actividad]],tblActividades[codigo],tblActividades[descripcion],"(sin catálogo)"))</f>
        <v/>
      </c>
      <c r="AD733" s="23">
        <f>IF(tblOrdenes[[#This Row],[fecha_inicio]]="","",TODAY()-tblOrdenes[[#This Row],[fecha_inicio]])</f>
        <v/>
      </c>
      <c r="AE7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5">
        <f>IF(tblOrdenes[[#This Row],[backlog_habiles]]="","",IF(tblOrdenes[[#This Row],[backlog_habiles]]&lt;0,"FUTURO",IF(tblOrdenes[[#This Row],[backlog_habiles]]&gt;p_dias_backlog_max,"BACKLOG","MES CORRIENTE")))</f>
        <v/>
      </c>
      <c r="AG733" s="5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18">
        <f>IF(tblOrdenes[[#This Row],[orden]]="","",_xlfn.XLOOKUP(tblOrdenes[[#This Row],[id_operacion]],tblEjecucion[id_operacion],tblEjecucion[precio],0))</f>
        <v/>
      </c>
      <c r="AM733" s="18">
        <f>IF(tblOrdenes[[#This Row],[orden]]="","",MAX(0,_xlfn.XLOOKUP(tblOrdenes[[#This Row],[id_operacion]],tblEjecucion[id_operacion],tblEjecucion[costo_plan_total],0)-tblOrdenes[[#This Row],[costo_servicio]]))</f>
        <v/>
      </c>
      <c r="AN733" s="18">
        <f>IF(tblOrdenes[[#This Row],[orden]]="","",tblOrdenes[[#This Row],[costo_servicio]]+tblOrdenes[[#This Row],[costo_materiales]])</f>
        <v/>
      </c>
      <c r="AO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5">
        <f>IF(tblOrdenes[[#This Row],[link_checklist]]="","",HYPERLINK(p_ruta_base_checklists&amp;tblOrdenes[[#This Row],[link_checklist]],"abrir"))</f>
        <v/>
      </c>
      <c r="AT733" s="4" t="n"/>
      <c r="AU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5" t="n"/>
      <c r="K734" s="5" t="n"/>
      <c r="L734" s="18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Row],[fecha_inicio]]="","",tblOrdenes[[#This Row],[anio]]&amp;"-"&amp;TEXT(tblOrdenes[[#This Row],[mes]],"00"))</f>
        <v/>
      </c>
      <c r="S734" s="5">
        <f>IF(tblOrdenes[[#This Row],[fecha_inicio]]="","",INDEX(lista_dias,WEEKDAY(tblOrdenes[[#This Row],[fecha_inicio]],2)))</f>
        <v/>
      </c>
      <c r="T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5">
        <f>IF(tblOrdenes[[#This Row],[tipo_ot]]="","",_xlfn.XLOOKUP(tblOrdenes[[#This Row],[tipo_ot]],tblTiposOT[codigo],tblTiposOT[clasificacion],"sin_clasificar"))</f>
        <v/>
      </c>
      <c r="V7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5">
        <f>IF(tblOrdenes[[#This Row],[centro_costo]]="","",_xlfn.XLOOKUP(tblOrdenes[[#This Row],[centro_costo]],tblCECO[codigo],tblCECO[linea],"(sin catálogo)"))</f>
        <v/>
      </c>
      <c r="Y734" s="5">
        <f>IF(tblOrdenes[[#This Row],[centro_costo]]="","",_xlfn.XLOOKUP(tblOrdenes[[#This Row],[centro_costo]],tblCECO[codigo],tblCECO[area],"(sin catálogo)"))</f>
        <v/>
      </c>
      <c r="Z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5">
        <f>IF(tblOrdenes[[#This Row],[centro_costo]]="","",_xlfn.XLOOKUP(tblOrdenes[[#This Row],[centro_costo]],tblCECO[codigo],tblCECO[coordinador],"(sin catálogo)"))</f>
        <v/>
      </c>
      <c r="AB734" s="5">
        <f>IF(tblOrdenes[[#This Row],[puesto_trabajo]]="","",_xlfn.XLOOKUP(tblOrdenes[[#This Row],[puesto_trabajo]],tblPuestos[codigo],tblPuestos[especialidad],"(sin catálogo)"))</f>
        <v/>
      </c>
      <c r="AC734" s="5">
        <f>IF(tblOrdenes[[#This Row],[cod_actividad]]="","",_xlfn.XLOOKUP(tblOrdenes[[#This Row],[cod_actividad]],tblActividades[codigo],tblActividades[descripcion],"(sin catálogo)"))</f>
        <v/>
      </c>
      <c r="AD734" s="23">
        <f>IF(tblOrdenes[[#This Row],[fecha_inicio]]="","",TODAY()-tblOrdenes[[#This Row],[fecha_inicio]])</f>
        <v/>
      </c>
      <c r="AE7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5">
        <f>IF(tblOrdenes[[#This Row],[backlog_habiles]]="","",IF(tblOrdenes[[#This Row],[backlog_habiles]]&lt;0,"FUTURO",IF(tblOrdenes[[#This Row],[backlog_habiles]]&gt;p_dias_backlog_max,"BACKLOG","MES CORRIENTE")))</f>
        <v/>
      </c>
      <c r="AG734" s="5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18">
        <f>IF(tblOrdenes[[#This Row],[orden]]="","",_xlfn.XLOOKUP(tblOrdenes[[#This Row],[id_operacion]],tblEjecucion[id_operacion],tblEjecucion[precio],0))</f>
        <v/>
      </c>
      <c r="AM734" s="18">
        <f>IF(tblOrdenes[[#This Row],[orden]]="","",MAX(0,_xlfn.XLOOKUP(tblOrdenes[[#This Row],[id_operacion]],tblEjecucion[id_operacion],tblEjecucion[costo_plan_total],0)-tblOrdenes[[#This Row],[costo_servicio]]))</f>
        <v/>
      </c>
      <c r="AN734" s="18">
        <f>IF(tblOrdenes[[#This Row],[orden]]="","",tblOrdenes[[#This Row],[costo_servicio]]+tblOrdenes[[#This Row],[costo_materiales]])</f>
        <v/>
      </c>
      <c r="AO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5">
        <f>IF(tblOrdenes[[#This Row],[link_checklist]]="","",HYPERLINK(p_ruta_base_checklists&amp;tblOrdenes[[#This Row],[link_checklist]],"abrir"))</f>
        <v/>
      </c>
      <c r="AT734" s="4" t="n"/>
      <c r="AU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5" t="n"/>
      <c r="K735" s="5" t="n"/>
      <c r="L735" s="18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Row],[fecha_inicio]]="","",tblOrdenes[[#This Row],[anio]]&amp;"-"&amp;TEXT(tblOrdenes[[#This Row],[mes]],"00"))</f>
        <v/>
      </c>
      <c r="S735" s="5">
        <f>IF(tblOrdenes[[#This Row],[fecha_inicio]]="","",INDEX(lista_dias,WEEKDAY(tblOrdenes[[#This Row],[fecha_inicio]],2)))</f>
        <v/>
      </c>
      <c r="T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5">
        <f>IF(tblOrdenes[[#This Row],[tipo_ot]]="","",_xlfn.XLOOKUP(tblOrdenes[[#This Row],[tipo_ot]],tblTiposOT[codigo],tblTiposOT[clasificacion],"sin_clasificar"))</f>
        <v/>
      </c>
      <c r="V7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5">
        <f>IF(tblOrdenes[[#This Row],[centro_costo]]="","",_xlfn.XLOOKUP(tblOrdenes[[#This Row],[centro_costo]],tblCECO[codigo],tblCECO[linea],"(sin catálogo)"))</f>
        <v/>
      </c>
      <c r="Y735" s="5">
        <f>IF(tblOrdenes[[#This Row],[centro_costo]]="","",_xlfn.XLOOKUP(tblOrdenes[[#This Row],[centro_costo]],tblCECO[codigo],tblCECO[area],"(sin catálogo)"))</f>
        <v/>
      </c>
      <c r="Z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5">
        <f>IF(tblOrdenes[[#This Row],[centro_costo]]="","",_xlfn.XLOOKUP(tblOrdenes[[#This Row],[centro_costo]],tblCECO[codigo],tblCECO[coordinador],"(sin catálogo)"))</f>
        <v/>
      </c>
      <c r="AB735" s="5">
        <f>IF(tblOrdenes[[#This Row],[puesto_trabajo]]="","",_xlfn.XLOOKUP(tblOrdenes[[#This Row],[puesto_trabajo]],tblPuestos[codigo],tblPuestos[especialidad],"(sin catálogo)"))</f>
        <v/>
      </c>
      <c r="AC735" s="5">
        <f>IF(tblOrdenes[[#This Row],[cod_actividad]]="","",_xlfn.XLOOKUP(tblOrdenes[[#This Row],[cod_actividad]],tblActividades[codigo],tblActividades[descripcion],"(sin catálogo)"))</f>
        <v/>
      </c>
      <c r="AD735" s="23">
        <f>IF(tblOrdenes[[#This Row],[fecha_inicio]]="","",TODAY()-tblOrdenes[[#This Row],[fecha_inicio]])</f>
        <v/>
      </c>
      <c r="AE7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5">
        <f>IF(tblOrdenes[[#This Row],[backlog_habiles]]="","",IF(tblOrdenes[[#This Row],[backlog_habiles]]&lt;0,"FUTURO",IF(tblOrdenes[[#This Row],[backlog_habiles]]&gt;p_dias_backlog_max,"BACKLOG","MES CORRIENTE")))</f>
        <v/>
      </c>
      <c r="AG735" s="5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18">
        <f>IF(tblOrdenes[[#This Row],[orden]]="","",_xlfn.XLOOKUP(tblOrdenes[[#This Row],[id_operacion]],tblEjecucion[id_operacion],tblEjecucion[precio],0))</f>
        <v/>
      </c>
      <c r="AM735" s="18">
        <f>IF(tblOrdenes[[#This Row],[orden]]="","",MAX(0,_xlfn.XLOOKUP(tblOrdenes[[#This Row],[id_operacion]],tblEjecucion[id_operacion],tblEjecucion[costo_plan_total],0)-tblOrdenes[[#This Row],[costo_servicio]]))</f>
        <v/>
      </c>
      <c r="AN735" s="18">
        <f>IF(tblOrdenes[[#This Row],[orden]]="","",tblOrdenes[[#This Row],[costo_servicio]]+tblOrdenes[[#This Row],[costo_materiales]])</f>
        <v/>
      </c>
      <c r="AO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5">
        <f>IF(tblOrdenes[[#This Row],[link_checklist]]="","",HYPERLINK(p_ruta_base_checklists&amp;tblOrdenes[[#This Row],[link_checklist]],"abrir"))</f>
        <v/>
      </c>
      <c r="AT735" s="4" t="n"/>
      <c r="AU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5" t="n"/>
      <c r="K736" s="5" t="n"/>
      <c r="L736" s="18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Row],[fecha_inicio]]="","",tblOrdenes[[#This Row],[anio]]&amp;"-"&amp;TEXT(tblOrdenes[[#This Row],[mes]],"00"))</f>
        <v/>
      </c>
      <c r="S736" s="5">
        <f>IF(tblOrdenes[[#This Row],[fecha_inicio]]="","",INDEX(lista_dias,WEEKDAY(tblOrdenes[[#This Row],[fecha_inicio]],2)))</f>
        <v/>
      </c>
      <c r="T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5">
        <f>IF(tblOrdenes[[#This Row],[tipo_ot]]="","",_xlfn.XLOOKUP(tblOrdenes[[#This Row],[tipo_ot]],tblTiposOT[codigo],tblTiposOT[clasificacion],"sin_clasificar"))</f>
        <v/>
      </c>
      <c r="V7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5">
        <f>IF(tblOrdenes[[#This Row],[centro_costo]]="","",_xlfn.XLOOKUP(tblOrdenes[[#This Row],[centro_costo]],tblCECO[codigo],tblCECO[linea],"(sin catálogo)"))</f>
        <v/>
      </c>
      <c r="Y736" s="5">
        <f>IF(tblOrdenes[[#This Row],[centro_costo]]="","",_xlfn.XLOOKUP(tblOrdenes[[#This Row],[centro_costo]],tblCECO[codigo],tblCECO[area],"(sin catálogo)"))</f>
        <v/>
      </c>
      <c r="Z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5">
        <f>IF(tblOrdenes[[#This Row],[centro_costo]]="","",_xlfn.XLOOKUP(tblOrdenes[[#This Row],[centro_costo]],tblCECO[codigo],tblCECO[coordinador],"(sin catálogo)"))</f>
        <v/>
      </c>
      <c r="AB736" s="5">
        <f>IF(tblOrdenes[[#This Row],[puesto_trabajo]]="","",_xlfn.XLOOKUP(tblOrdenes[[#This Row],[puesto_trabajo]],tblPuestos[codigo],tblPuestos[especialidad],"(sin catálogo)"))</f>
        <v/>
      </c>
      <c r="AC736" s="5">
        <f>IF(tblOrdenes[[#This Row],[cod_actividad]]="","",_xlfn.XLOOKUP(tblOrdenes[[#This Row],[cod_actividad]],tblActividades[codigo],tblActividades[descripcion],"(sin catálogo)"))</f>
        <v/>
      </c>
      <c r="AD736" s="23">
        <f>IF(tblOrdenes[[#This Row],[fecha_inicio]]="","",TODAY()-tblOrdenes[[#This Row],[fecha_inicio]])</f>
        <v/>
      </c>
      <c r="AE7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5">
        <f>IF(tblOrdenes[[#This Row],[backlog_habiles]]="","",IF(tblOrdenes[[#This Row],[backlog_habiles]]&lt;0,"FUTURO",IF(tblOrdenes[[#This Row],[backlog_habiles]]&gt;p_dias_backlog_max,"BACKLOG","MES CORRIENTE")))</f>
        <v/>
      </c>
      <c r="AG736" s="5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18">
        <f>IF(tblOrdenes[[#This Row],[orden]]="","",_xlfn.XLOOKUP(tblOrdenes[[#This Row],[id_operacion]],tblEjecucion[id_operacion],tblEjecucion[precio],0))</f>
        <v/>
      </c>
      <c r="AM736" s="18">
        <f>IF(tblOrdenes[[#This Row],[orden]]="","",MAX(0,_xlfn.XLOOKUP(tblOrdenes[[#This Row],[id_operacion]],tblEjecucion[id_operacion],tblEjecucion[costo_plan_total],0)-tblOrdenes[[#This Row],[costo_servicio]]))</f>
        <v/>
      </c>
      <c r="AN736" s="18">
        <f>IF(tblOrdenes[[#This Row],[orden]]="","",tblOrdenes[[#This Row],[costo_servicio]]+tblOrdenes[[#This Row],[costo_materiales]])</f>
        <v/>
      </c>
      <c r="AO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5">
        <f>IF(tblOrdenes[[#This Row],[link_checklist]]="","",HYPERLINK(p_ruta_base_checklists&amp;tblOrdenes[[#This Row],[link_checklist]],"abrir"))</f>
        <v/>
      </c>
      <c r="AT736" s="4" t="n"/>
      <c r="AU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5" t="n"/>
      <c r="K737" s="5" t="n"/>
      <c r="L737" s="18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Row],[fecha_inicio]]="","",tblOrdenes[[#This Row],[anio]]&amp;"-"&amp;TEXT(tblOrdenes[[#This Row],[mes]],"00"))</f>
        <v/>
      </c>
      <c r="S737" s="5">
        <f>IF(tblOrdenes[[#This Row],[fecha_inicio]]="","",INDEX(lista_dias,WEEKDAY(tblOrdenes[[#This Row],[fecha_inicio]],2)))</f>
        <v/>
      </c>
      <c r="T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5">
        <f>IF(tblOrdenes[[#This Row],[tipo_ot]]="","",_xlfn.XLOOKUP(tblOrdenes[[#This Row],[tipo_ot]],tblTiposOT[codigo],tblTiposOT[clasificacion],"sin_clasificar"))</f>
        <v/>
      </c>
      <c r="V7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5">
        <f>IF(tblOrdenes[[#This Row],[centro_costo]]="","",_xlfn.XLOOKUP(tblOrdenes[[#This Row],[centro_costo]],tblCECO[codigo],tblCECO[linea],"(sin catálogo)"))</f>
        <v/>
      </c>
      <c r="Y737" s="5">
        <f>IF(tblOrdenes[[#This Row],[centro_costo]]="","",_xlfn.XLOOKUP(tblOrdenes[[#This Row],[centro_costo]],tblCECO[codigo],tblCECO[area],"(sin catálogo)"))</f>
        <v/>
      </c>
      <c r="Z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5">
        <f>IF(tblOrdenes[[#This Row],[centro_costo]]="","",_xlfn.XLOOKUP(tblOrdenes[[#This Row],[centro_costo]],tblCECO[codigo],tblCECO[coordinador],"(sin catálogo)"))</f>
        <v/>
      </c>
      <c r="AB737" s="5">
        <f>IF(tblOrdenes[[#This Row],[puesto_trabajo]]="","",_xlfn.XLOOKUP(tblOrdenes[[#This Row],[puesto_trabajo]],tblPuestos[codigo],tblPuestos[especialidad],"(sin catálogo)"))</f>
        <v/>
      </c>
      <c r="AC737" s="5">
        <f>IF(tblOrdenes[[#This Row],[cod_actividad]]="","",_xlfn.XLOOKUP(tblOrdenes[[#This Row],[cod_actividad]],tblActividades[codigo],tblActividades[descripcion],"(sin catálogo)"))</f>
        <v/>
      </c>
      <c r="AD737" s="23">
        <f>IF(tblOrdenes[[#This Row],[fecha_inicio]]="","",TODAY()-tblOrdenes[[#This Row],[fecha_inicio]])</f>
        <v/>
      </c>
      <c r="AE7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5">
        <f>IF(tblOrdenes[[#This Row],[backlog_habiles]]="","",IF(tblOrdenes[[#This Row],[backlog_habiles]]&lt;0,"FUTURO",IF(tblOrdenes[[#This Row],[backlog_habiles]]&gt;p_dias_backlog_max,"BACKLOG","MES CORRIENTE")))</f>
        <v/>
      </c>
      <c r="AG737" s="5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18">
        <f>IF(tblOrdenes[[#This Row],[orden]]="","",_xlfn.XLOOKUP(tblOrdenes[[#This Row],[id_operacion]],tblEjecucion[id_operacion],tblEjecucion[precio],0))</f>
        <v/>
      </c>
      <c r="AM737" s="18">
        <f>IF(tblOrdenes[[#This Row],[orden]]="","",MAX(0,_xlfn.XLOOKUP(tblOrdenes[[#This Row],[id_operacion]],tblEjecucion[id_operacion],tblEjecucion[costo_plan_total],0)-tblOrdenes[[#This Row],[costo_servicio]]))</f>
        <v/>
      </c>
      <c r="AN737" s="18">
        <f>IF(tblOrdenes[[#This Row],[orden]]="","",tblOrdenes[[#This Row],[costo_servicio]]+tblOrdenes[[#This Row],[costo_materiales]])</f>
        <v/>
      </c>
      <c r="AO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5">
        <f>IF(tblOrdenes[[#This Row],[link_checklist]]="","",HYPERLINK(p_ruta_base_checklists&amp;tblOrdenes[[#This Row],[link_checklist]],"abrir"))</f>
        <v/>
      </c>
      <c r="AT737" s="4" t="n"/>
      <c r="AU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5" t="n"/>
      <c r="K738" s="5" t="n"/>
      <c r="L738" s="18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Row],[fecha_inicio]]="","",tblOrdenes[[#This Row],[anio]]&amp;"-"&amp;TEXT(tblOrdenes[[#This Row],[mes]],"00"))</f>
        <v/>
      </c>
      <c r="S738" s="5">
        <f>IF(tblOrdenes[[#This Row],[fecha_inicio]]="","",INDEX(lista_dias,WEEKDAY(tblOrdenes[[#This Row],[fecha_inicio]],2)))</f>
        <v/>
      </c>
      <c r="T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5">
        <f>IF(tblOrdenes[[#This Row],[tipo_ot]]="","",_xlfn.XLOOKUP(tblOrdenes[[#This Row],[tipo_ot]],tblTiposOT[codigo],tblTiposOT[clasificacion],"sin_clasificar"))</f>
        <v/>
      </c>
      <c r="V7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5">
        <f>IF(tblOrdenes[[#This Row],[centro_costo]]="","",_xlfn.XLOOKUP(tblOrdenes[[#This Row],[centro_costo]],tblCECO[codigo],tblCECO[linea],"(sin catálogo)"))</f>
        <v/>
      </c>
      <c r="Y738" s="5">
        <f>IF(tblOrdenes[[#This Row],[centro_costo]]="","",_xlfn.XLOOKUP(tblOrdenes[[#This Row],[centro_costo]],tblCECO[codigo],tblCECO[area],"(sin catálogo)"))</f>
        <v/>
      </c>
      <c r="Z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5">
        <f>IF(tblOrdenes[[#This Row],[centro_costo]]="","",_xlfn.XLOOKUP(tblOrdenes[[#This Row],[centro_costo]],tblCECO[codigo],tblCECO[coordinador],"(sin catálogo)"))</f>
        <v/>
      </c>
      <c r="AB738" s="5">
        <f>IF(tblOrdenes[[#This Row],[puesto_trabajo]]="","",_xlfn.XLOOKUP(tblOrdenes[[#This Row],[puesto_trabajo]],tblPuestos[codigo],tblPuestos[especialidad],"(sin catálogo)"))</f>
        <v/>
      </c>
      <c r="AC738" s="5">
        <f>IF(tblOrdenes[[#This Row],[cod_actividad]]="","",_xlfn.XLOOKUP(tblOrdenes[[#This Row],[cod_actividad]],tblActividades[codigo],tblActividades[descripcion],"(sin catálogo)"))</f>
        <v/>
      </c>
      <c r="AD738" s="23">
        <f>IF(tblOrdenes[[#This Row],[fecha_inicio]]="","",TODAY()-tblOrdenes[[#This Row],[fecha_inicio]])</f>
        <v/>
      </c>
      <c r="AE7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5">
        <f>IF(tblOrdenes[[#This Row],[backlog_habiles]]="","",IF(tblOrdenes[[#This Row],[backlog_habiles]]&lt;0,"FUTURO",IF(tblOrdenes[[#This Row],[backlog_habiles]]&gt;p_dias_backlog_max,"BACKLOG","MES CORRIENTE")))</f>
        <v/>
      </c>
      <c r="AG738" s="5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18">
        <f>IF(tblOrdenes[[#This Row],[orden]]="","",_xlfn.XLOOKUP(tblOrdenes[[#This Row],[id_operacion]],tblEjecucion[id_operacion],tblEjecucion[precio],0))</f>
        <v/>
      </c>
      <c r="AM738" s="18">
        <f>IF(tblOrdenes[[#This Row],[orden]]="","",MAX(0,_xlfn.XLOOKUP(tblOrdenes[[#This Row],[id_operacion]],tblEjecucion[id_operacion],tblEjecucion[costo_plan_total],0)-tblOrdenes[[#This Row],[costo_servicio]]))</f>
        <v/>
      </c>
      <c r="AN738" s="18">
        <f>IF(tblOrdenes[[#This Row],[orden]]="","",tblOrdenes[[#This Row],[costo_servicio]]+tblOrdenes[[#This Row],[costo_materiales]])</f>
        <v/>
      </c>
      <c r="AO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5">
        <f>IF(tblOrdenes[[#This Row],[link_checklist]]="","",HYPERLINK(p_ruta_base_checklists&amp;tblOrdenes[[#This Row],[link_checklist]],"abrir"))</f>
        <v/>
      </c>
      <c r="AT738" s="4" t="n"/>
      <c r="AU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5" t="n"/>
      <c r="K739" s="5" t="n"/>
      <c r="L739" s="18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Row],[fecha_inicio]]="","",tblOrdenes[[#This Row],[anio]]&amp;"-"&amp;TEXT(tblOrdenes[[#This Row],[mes]],"00"))</f>
        <v/>
      </c>
      <c r="S739" s="5">
        <f>IF(tblOrdenes[[#This Row],[fecha_inicio]]="","",INDEX(lista_dias,WEEKDAY(tblOrdenes[[#This Row],[fecha_inicio]],2)))</f>
        <v/>
      </c>
      <c r="T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5">
        <f>IF(tblOrdenes[[#This Row],[tipo_ot]]="","",_xlfn.XLOOKUP(tblOrdenes[[#This Row],[tipo_ot]],tblTiposOT[codigo],tblTiposOT[clasificacion],"sin_clasificar"))</f>
        <v/>
      </c>
      <c r="V7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5">
        <f>IF(tblOrdenes[[#This Row],[centro_costo]]="","",_xlfn.XLOOKUP(tblOrdenes[[#This Row],[centro_costo]],tblCECO[codigo],tblCECO[linea],"(sin catálogo)"))</f>
        <v/>
      </c>
      <c r="Y739" s="5">
        <f>IF(tblOrdenes[[#This Row],[centro_costo]]="","",_xlfn.XLOOKUP(tblOrdenes[[#This Row],[centro_costo]],tblCECO[codigo],tblCECO[area],"(sin catálogo)"))</f>
        <v/>
      </c>
      <c r="Z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5">
        <f>IF(tblOrdenes[[#This Row],[centro_costo]]="","",_xlfn.XLOOKUP(tblOrdenes[[#This Row],[centro_costo]],tblCECO[codigo],tblCECO[coordinador],"(sin catálogo)"))</f>
        <v/>
      </c>
      <c r="AB739" s="5">
        <f>IF(tblOrdenes[[#This Row],[puesto_trabajo]]="","",_xlfn.XLOOKUP(tblOrdenes[[#This Row],[puesto_trabajo]],tblPuestos[codigo],tblPuestos[especialidad],"(sin catálogo)"))</f>
        <v/>
      </c>
      <c r="AC739" s="5">
        <f>IF(tblOrdenes[[#This Row],[cod_actividad]]="","",_xlfn.XLOOKUP(tblOrdenes[[#This Row],[cod_actividad]],tblActividades[codigo],tblActividades[descripcion],"(sin catálogo)"))</f>
        <v/>
      </c>
      <c r="AD739" s="23">
        <f>IF(tblOrdenes[[#This Row],[fecha_inicio]]="","",TODAY()-tblOrdenes[[#This Row],[fecha_inicio]])</f>
        <v/>
      </c>
      <c r="AE7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5">
        <f>IF(tblOrdenes[[#This Row],[backlog_habiles]]="","",IF(tblOrdenes[[#This Row],[backlog_habiles]]&lt;0,"FUTURO",IF(tblOrdenes[[#This Row],[backlog_habiles]]&gt;p_dias_backlog_max,"BACKLOG","MES CORRIENTE")))</f>
        <v/>
      </c>
      <c r="AG739" s="5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18">
        <f>IF(tblOrdenes[[#This Row],[orden]]="","",_xlfn.XLOOKUP(tblOrdenes[[#This Row],[id_operacion]],tblEjecucion[id_operacion],tblEjecucion[precio],0))</f>
        <v/>
      </c>
      <c r="AM739" s="18">
        <f>IF(tblOrdenes[[#This Row],[orden]]="","",MAX(0,_xlfn.XLOOKUP(tblOrdenes[[#This Row],[id_operacion]],tblEjecucion[id_operacion],tblEjecucion[costo_plan_total],0)-tblOrdenes[[#This Row],[costo_servicio]]))</f>
        <v/>
      </c>
      <c r="AN739" s="18">
        <f>IF(tblOrdenes[[#This Row],[orden]]="","",tblOrdenes[[#This Row],[costo_servicio]]+tblOrdenes[[#This Row],[costo_materiales]])</f>
        <v/>
      </c>
      <c r="AO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5">
        <f>IF(tblOrdenes[[#This Row],[link_checklist]]="","",HYPERLINK(p_ruta_base_checklists&amp;tblOrdenes[[#This Row],[link_checklist]],"abrir"))</f>
        <v/>
      </c>
      <c r="AT739" s="4" t="n"/>
      <c r="AU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5" t="n"/>
      <c r="K740" s="5" t="n"/>
      <c r="L740" s="18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Row],[fecha_inicio]]="","",tblOrdenes[[#This Row],[anio]]&amp;"-"&amp;TEXT(tblOrdenes[[#This Row],[mes]],"00"))</f>
        <v/>
      </c>
      <c r="S740" s="5">
        <f>IF(tblOrdenes[[#This Row],[fecha_inicio]]="","",INDEX(lista_dias,WEEKDAY(tblOrdenes[[#This Row],[fecha_inicio]],2)))</f>
        <v/>
      </c>
      <c r="T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5">
        <f>IF(tblOrdenes[[#This Row],[tipo_ot]]="","",_xlfn.XLOOKUP(tblOrdenes[[#This Row],[tipo_ot]],tblTiposOT[codigo],tblTiposOT[clasificacion],"sin_clasificar"))</f>
        <v/>
      </c>
      <c r="V7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5">
        <f>IF(tblOrdenes[[#This Row],[centro_costo]]="","",_xlfn.XLOOKUP(tblOrdenes[[#This Row],[centro_costo]],tblCECO[codigo],tblCECO[linea],"(sin catálogo)"))</f>
        <v/>
      </c>
      <c r="Y740" s="5">
        <f>IF(tblOrdenes[[#This Row],[centro_costo]]="","",_xlfn.XLOOKUP(tblOrdenes[[#This Row],[centro_costo]],tblCECO[codigo],tblCECO[area],"(sin catálogo)"))</f>
        <v/>
      </c>
      <c r="Z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5">
        <f>IF(tblOrdenes[[#This Row],[centro_costo]]="","",_xlfn.XLOOKUP(tblOrdenes[[#This Row],[centro_costo]],tblCECO[codigo],tblCECO[coordinador],"(sin catálogo)"))</f>
        <v/>
      </c>
      <c r="AB740" s="5">
        <f>IF(tblOrdenes[[#This Row],[puesto_trabajo]]="","",_xlfn.XLOOKUP(tblOrdenes[[#This Row],[puesto_trabajo]],tblPuestos[codigo],tblPuestos[especialidad],"(sin catálogo)"))</f>
        <v/>
      </c>
      <c r="AC740" s="5">
        <f>IF(tblOrdenes[[#This Row],[cod_actividad]]="","",_xlfn.XLOOKUP(tblOrdenes[[#This Row],[cod_actividad]],tblActividades[codigo],tblActividades[descripcion],"(sin catálogo)"))</f>
        <v/>
      </c>
      <c r="AD740" s="23">
        <f>IF(tblOrdenes[[#This Row],[fecha_inicio]]="","",TODAY()-tblOrdenes[[#This Row],[fecha_inicio]])</f>
        <v/>
      </c>
      <c r="AE7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5">
        <f>IF(tblOrdenes[[#This Row],[backlog_habiles]]="","",IF(tblOrdenes[[#This Row],[backlog_habiles]]&lt;0,"FUTURO",IF(tblOrdenes[[#This Row],[backlog_habiles]]&gt;p_dias_backlog_max,"BACKLOG","MES CORRIENTE")))</f>
        <v/>
      </c>
      <c r="AG740" s="5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18">
        <f>IF(tblOrdenes[[#This Row],[orden]]="","",_xlfn.XLOOKUP(tblOrdenes[[#This Row],[id_operacion]],tblEjecucion[id_operacion],tblEjecucion[precio],0))</f>
        <v/>
      </c>
      <c r="AM740" s="18">
        <f>IF(tblOrdenes[[#This Row],[orden]]="","",MAX(0,_xlfn.XLOOKUP(tblOrdenes[[#This Row],[id_operacion]],tblEjecucion[id_operacion],tblEjecucion[costo_plan_total],0)-tblOrdenes[[#This Row],[costo_servicio]]))</f>
        <v/>
      </c>
      <c r="AN740" s="18">
        <f>IF(tblOrdenes[[#This Row],[orden]]="","",tblOrdenes[[#This Row],[costo_servicio]]+tblOrdenes[[#This Row],[costo_materiales]])</f>
        <v/>
      </c>
      <c r="AO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5">
        <f>IF(tblOrdenes[[#This Row],[link_checklist]]="","",HYPERLINK(p_ruta_base_checklists&amp;tblOrdenes[[#This Row],[link_checklist]],"abrir"))</f>
        <v/>
      </c>
      <c r="AT740" s="4" t="n"/>
      <c r="AU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5" t="n"/>
      <c r="K741" s="5" t="n"/>
      <c r="L741" s="18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Row],[fecha_inicio]]="","",tblOrdenes[[#This Row],[anio]]&amp;"-"&amp;TEXT(tblOrdenes[[#This Row],[mes]],"00"))</f>
        <v/>
      </c>
      <c r="S741" s="5">
        <f>IF(tblOrdenes[[#This Row],[fecha_inicio]]="","",INDEX(lista_dias,WEEKDAY(tblOrdenes[[#This Row],[fecha_inicio]],2)))</f>
        <v/>
      </c>
      <c r="T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5">
        <f>IF(tblOrdenes[[#This Row],[tipo_ot]]="","",_xlfn.XLOOKUP(tblOrdenes[[#This Row],[tipo_ot]],tblTiposOT[codigo],tblTiposOT[clasificacion],"sin_clasificar"))</f>
        <v/>
      </c>
      <c r="V7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5">
        <f>IF(tblOrdenes[[#This Row],[centro_costo]]="","",_xlfn.XLOOKUP(tblOrdenes[[#This Row],[centro_costo]],tblCECO[codigo],tblCECO[linea],"(sin catálogo)"))</f>
        <v/>
      </c>
      <c r="Y741" s="5">
        <f>IF(tblOrdenes[[#This Row],[centro_costo]]="","",_xlfn.XLOOKUP(tblOrdenes[[#This Row],[centro_costo]],tblCECO[codigo],tblCECO[area],"(sin catálogo)"))</f>
        <v/>
      </c>
      <c r="Z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5">
        <f>IF(tblOrdenes[[#This Row],[centro_costo]]="","",_xlfn.XLOOKUP(tblOrdenes[[#This Row],[centro_costo]],tblCECO[codigo],tblCECO[coordinador],"(sin catálogo)"))</f>
        <v/>
      </c>
      <c r="AB741" s="5">
        <f>IF(tblOrdenes[[#This Row],[puesto_trabajo]]="","",_xlfn.XLOOKUP(tblOrdenes[[#This Row],[puesto_trabajo]],tblPuestos[codigo],tblPuestos[especialidad],"(sin catálogo)"))</f>
        <v/>
      </c>
      <c r="AC741" s="5">
        <f>IF(tblOrdenes[[#This Row],[cod_actividad]]="","",_xlfn.XLOOKUP(tblOrdenes[[#This Row],[cod_actividad]],tblActividades[codigo],tblActividades[descripcion],"(sin catálogo)"))</f>
        <v/>
      </c>
      <c r="AD741" s="23">
        <f>IF(tblOrdenes[[#This Row],[fecha_inicio]]="","",TODAY()-tblOrdenes[[#This Row],[fecha_inicio]])</f>
        <v/>
      </c>
      <c r="AE7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5">
        <f>IF(tblOrdenes[[#This Row],[backlog_habiles]]="","",IF(tblOrdenes[[#This Row],[backlog_habiles]]&lt;0,"FUTURO",IF(tblOrdenes[[#This Row],[backlog_habiles]]&gt;p_dias_backlog_max,"BACKLOG","MES CORRIENTE")))</f>
        <v/>
      </c>
      <c r="AG741" s="5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18">
        <f>IF(tblOrdenes[[#This Row],[orden]]="","",_xlfn.XLOOKUP(tblOrdenes[[#This Row],[id_operacion]],tblEjecucion[id_operacion],tblEjecucion[precio],0))</f>
        <v/>
      </c>
      <c r="AM741" s="18">
        <f>IF(tblOrdenes[[#This Row],[orden]]="","",MAX(0,_xlfn.XLOOKUP(tblOrdenes[[#This Row],[id_operacion]],tblEjecucion[id_operacion],tblEjecucion[costo_plan_total],0)-tblOrdenes[[#This Row],[costo_servicio]]))</f>
        <v/>
      </c>
      <c r="AN741" s="18">
        <f>IF(tblOrdenes[[#This Row],[orden]]="","",tblOrdenes[[#This Row],[costo_servicio]]+tblOrdenes[[#This Row],[costo_materiales]])</f>
        <v/>
      </c>
      <c r="AO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5">
        <f>IF(tblOrdenes[[#This Row],[link_checklist]]="","",HYPERLINK(p_ruta_base_checklists&amp;tblOrdenes[[#This Row],[link_checklist]],"abrir"))</f>
        <v/>
      </c>
      <c r="AT741" s="4" t="n"/>
      <c r="AU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5" t="n"/>
      <c r="K742" s="5" t="n"/>
      <c r="L742" s="18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Row],[fecha_inicio]]="","",tblOrdenes[[#This Row],[anio]]&amp;"-"&amp;TEXT(tblOrdenes[[#This Row],[mes]],"00"))</f>
        <v/>
      </c>
      <c r="S742" s="5">
        <f>IF(tblOrdenes[[#This Row],[fecha_inicio]]="","",INDEX(lista_dias,WEEKDAY(tblOrdenes[[#This Row],[fecha_inicio]],2)))</f>
        <v/>
      </c>
      <c r="T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5">
        <f>IF(tblOrdenes[[#This Row],[tipo_ot]]="","",_xlfn.XLOOKUP(tblOrdenes[[#This Row],[tipo_ot]],tblTiposOT[codigo],tblTiposOT[clasificacion],"sin_clasificar"))</f>
        <v/>
      </c>
      <c r="V7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5">
        <f>IF(tblOrdenes[[#This Row],[centro_costo]]="","",_xlfn.XLOOKUP(tblOrdenes[[#This Row],[centro_costo]],tblCECO[codigo],tblCECO[linea],"(sin catálogo)"))</f>
        <v/>
      </c>
      <c r="Y742" s="5">
        <f>IF(tblOrdenes[[#This Row],[centro_costo]]="","",_xlfn.XLOOKUP(tblOrdenes[[#This Row],[centro_costo]],tblCECO[codigo],tblCECO[area],"(sin catálogo)"))</f>
        <v/>
      </c>
      <c r="Z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5">
        <f>IF(tblOrdenes[[#This Row],[centro_costo]]="","",_xlfn.XLOOKUP(tblOrdenes[[#This Row],[centro_costo]],tblCECO[codigo],tblCECO[coordinador],"(sin catálogo)"))</f>
        <v/>
      </c>
      <c r="AB742" s="5">
        <f>IF(tblOrdenes[[#This Row],[puesto_trabajo]]="","",_xlfn.XLOOKUP(tblOrdenes[[#This Row],[puesto_trabajo]],tblPuestos[codigo],tblPuestos[especialidad],"(sin catálogo)"))</f>
        <v/>
      </c>
      <c r="AC742" s="5">
        <f>IF(tblOrdenes[[#This Row],[cod_actividad]]="","",_xlfn.XLOOKUP(tblOrdenes[[#This Row],[cod_actividad]],tblActividades[codigo],tblActividades[descripcion],"(sin catálogo)"))</f>
        <v/>
      </c>
      <c r="AD742" s="23">
        <f>IF(tblOrdenes[[#This Row],[fecha_inicio]]="","",TODAY()-tblOrdenes[[#This Row],[fecha_inicio]])</f>
        <v/>
      </c>
      <c r="AE7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5">
        <f>IF(tblOrdenes[[#This Row],[backlog_habiles]]="","",IF(tblOrdenes[[#This Row],[backlog_habiles]]&lt;0,"FUTURO",IF(tblOrdenes[[#This Row],[backlog_habiles]]&gt;p_dias_backlog_max,"BACKLOG","MES CORRIENTE")))</f>
        <v/>
      </c>
      <c r="AG742" s="5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18">
        <f>IF(tblOrdenes[[#This Row],[orden]]="","",_xlfn.XLOOKUP(tblOrdenes[[#This Row],[id_operacion]],tblEjecucion[id_operacion],tblEjecucion[precio],0))</f>
        <v/>
      </c>
      <c r="AM742" s="18">
        <f>IF(tblOrdenes[[#This Row],[orden]]="","",MAX(0,_xlfn.XLOOKUP(tblOrdenes[[#This Row],[id_operacion]],tblEjecucion[id_operacion],tblEjecucion[costo_plan_total],0)-tblOrdenes[[#This Row],[costo_servicio]]))</f>
        <v/>
      </c>
      <c r="AN742" s="18">
        <f>IF(tblOrdenes[[#This Row],[orden]]="","",tblOrdenes[[#This Row],[costo_servicio]]+tblOrdenes[[#This Row],[costo_materiales]])</f>
        <v/>
      </c>
      <c r="AO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5">
        <f>IF(tblOrdenes[[#This Row],[link_checklist]]="","",HYPERLINK(p_ruta_base_checklists&amp;tblOrdenes[[#This Row],[link_checklist]],"abrir"))</f>
        <v/>
      </c>
      <c r="AT742" s="4" t="n"/>
      <c r="AU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5" t="n"/>
      <c r="K743" s="5" t="n"/>
      <c r="L743" s="18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Row],[fecha_inicio]]="","",tblOrdenes[[#This Row],[anio]]&amp;"-"&amp;TEXT(tblOrdenes[[#This Row],[mes]],"00"))</f>
        <v/>
      </c>
      <c r="S743" s="5">
        <f>IF(tblOrdenes[[#This Row],[fecha_inicio]]="","",INDEX(lista_dias,WEEKDAY(tblOrdenes[[#This Row],[fecha_inicio]],2)))</f>
        <v/>
      </c>
      <c r="T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5">
        <f>IF(tblOrdenes[[#This Row],[tipo_ot]]="","",_xlfn.XLOOKUP(tblOrdenes[[#This Row],[tipo_ot]],tblTiposOT[codigo],tblTiposOT[clasificacion],"sin_clasificar"))</f>
        <v/>
      </c>
      <c r="V7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5">
        <f>IF(tblOrdenes[[#This Row],[centro_costo]]="","",_xlfn.XLOOKUP(tblOrdenes[[#This Row],[centro_costo]],tblCECO[codigo],tblCECO[linea],"(sin catálogo)"))</f>
        <v/>
      </c>
      <c r="Y743" s="5">
        <f>IF(tblOrdenes[[#This Row],[centro_costo]]="","",_xlfn.XLOOKUP(tblOrdenes[[#This Row],[centro_costo]],tblCECO[codigo],tblCECO[area],"(sin catálogo)"))</f>
        <v/>
      </c>
      <c r="Z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5">
        <f>IF(tblOrdenes[[#This Row],[centro_costo]]="","",_xlfn.XLOOKUP(tblOrdenes[[#This Row],[centro_costo]],tblCECO[codigo],tblCECO[coordinador],"(sin catálogo)"))</f>
        <v/>
      </c>
      <c r="AB743" s="5">
        <f>IF(tblOrdenes[[#This Row],[puesto_trabajo]]="","",_xlfn.XLOOKUP(tblOrdenes[[#This Row],[puesto_trabajo]],tblPuestos[codigo],tblPuestos[especialidad],"(sin catálogo)"))</f>
        <v/>
      </c>
      <c r="AC743" s="5">
        <f>IF(tblOrdenes[[#This Row],[cod_actividad]]="","",_xlfn.XLOOKUP(tblOrdenes[[#This Row],[cod_actividad]],tblActividades[codigo],tblActividades[descripcion],"(sin catálogo)"))</f>
        <v/>
      </c>
      <c r="AD743" s="23">
        <f>IF(tblOrdenes[[#This Row],[fecha_inicio]]="","",TODAY()-tblOrdenes[[#This Row],[fecha_inicio]])</f>
        <v/>
      </c>
      <c r="AE7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5">
        <f>IF(tblOrdenes[[#This Row],[backlog_habiles]]="","",IF(tblOrdenes[[#This Row],[backlog_habiles]]&lt;0,"FUTURO",IF(tblOrdenes[[#This Row],[backlog_habiles]]&gt;p_dias_backlog_max,"BACKLOG","MES CORRIENTE")))</f>
        <v/>
      </c>
      <c r="AG743" s="5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18">
        <f>IF(tblOrdenes[[#This Row],[orden]]="","",_xlfn.XLOOKUP(tblOrdenes[[#This Row],[id_operacion]],tblEjecucion[id_operacion],tblEjecucion[precio],0))</f>
        <v/>
      </c>
      <c r="AM743" s="18">
        <f>IF(tblOrdenes[[#This Row],[orden]]="","",MAX(0,_xlfn.XLOOKUP(tblOrdenes[[#This Row],[id_operacion]],tblEjecucion[id_operacion],tblEjecucion[costo_plan_total],0)-tblOrdenes[[#This Row],[costo_servicio]]))</f>
        <v/>
      </c>
      <c r="AN743" s="18">
        <f>IF(tblOrdenes[[#This Row],[orden]]="","",tblOrdenes[[#This Row],[costo_servicio]]+tblOrdenes[[#This Row],[costo_materiales]])</f>
        <v/>
      </c>
      <c r="AO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5">
        <f>IF(tblOrdenes[[#This Row],[link_checklist]]="","",HYPERLINK(p_ruta_base_checklists&amp;tblOrdenes[[#This Row],[link_checklist]],"abrir"))</f>
        <v/>
      </c>
      <c r="AT743" s="4" t="n"/>
      <c r="AU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5" t="n"/>
      <c r="K744" s="5" t="n"/>
      <c r="L744" s="18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Row],[fecha_inicio]]="","",tblOrdenes[[#This Row],[anio]]&amp;"-"&amp;TEXT(tblOrdenes[[#This Row],[mes]],"00"))</f>
        <v/>
      </c>
      <c r="S744" s="5">
        <f>IF(tblOrdenes[[#This Row],[fecha_inicio]]="","",INDEX(lista_dias,WEEKDAY(tblOrdenes[[#This Row],[fecha_inicio]],2)))</f>
        <v/>
      </c>
      <c r="T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5">
        <f>IF(tblOrdenes[[#This Row],[tipo_ot]]="","",_xlfn.XLOOKUP(tblOrdenes[[#This Row],[tipo_ot]],tblTiposOT[codigo],tblTiposOT[clasificacion],"sin_clasificar"))</f>
        <v/>
      </c>
      <c r="V7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5">
        <f>IF(tblOrdenes[[#This Row],[centro_costo]]="","",_xlfn.XLOOKUP(tblOrdenes[[#This Row],[centro_costo]],tblCECO[codigo],tblCECO[linea],"(sin catálogo)"))</f>
        <v/>
      </c>
      <c r="Y744" s="5">
        <f>IF(tblOrdenes[[#This Row],[centro_costo]]="","",_xlfn.XLOOKUP(tblOrdenes[[#This Row],[centro_costo]],tblCECO[codigo],tblCECO[area],"(sin catálogo)"))</f>
        <v/>
      </c>
      <c r="Z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5">
        <f>IF(tblOrdenes[[#This Row],[centro_costo]]="","",_xlfn.XLOOKUP(tblOrdenes[[#This Row],[centro_costo]],tblCECO[codigo],tblCECO[coordinador],"(sin catálogo)"))</f>
        <v/>
      </c>
      <c r="AB744" s="5">
        <f>IF(tblOrdenes[[#This Row],[puesto_trabajo]]="","",_xlfn.XLOOKUP(tblOrdenes[[#This Row],[puesto_trabajo]],tblPuestos[codigo],tblPuestos[especialidad],"(sin catálogo)"))</f>
        <v/>
      </c>
      <c r="AC744" s="5">
        <f>IF(tblOrdenes[[#This Row],[cod_actividad]]="","",_xlfn.XLOOKUP(tblOrdenes[[#This Row],[cod_actividad]],tblActividades[codigo],tblActividades[descripcion],"(sin catálogo)"))</f>
        <v/>
      </c>
      <c r="AD744" s="23">
        <f>IF(tblOrdenes[[#This Row],[fecha_inicio]]="","",TODAY()-tblOrdenes[[#This Row],[fecha_inicio]])</f>
        <v/>
      </c>
      <c r="AE7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5">
        <f>IF(tblOrdenes[[#This Row],[backlog_habiles]]="","",IF(tblOrdenes[[#This Row],[backlog_habiles]]&lt;0,"FUTURO",IF(tblOrdenes[[#This Row],[backlog_habiles]]&gt;p_dias_backlog_max,"BACKLOG","MES CORRIENTE")))</f>
        <v/>
      </c>
      <c r="AG744" s="5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18">
        <f>IF(tblOrdenes[[#This Row],[orden]]="","",_xlfn.XLOOKUP(tblOrdenes[[#This Row],[id_operacion]],tblEjecucion[id_operacion],tblEjecucion[precio],0))</f>
        <v/>
      </c>
      <c r="AM744" s="18">
        <f>IF(tblOrdenes[[#This Row],[orden]]="","",MAX(0,_xlfn.XLOOKUP(tblOrdenes[[#This Row],[id_operacion]],tblEjecucion[id_operacion],tblEjecucion[costo_plan_total],0)-tblOrdenes[[#This Row],[costo_servicio]]))</f>
        <v/>
      </c>
      <c r="AN744" s="18">
        <f>IF(tblOrdenes[[#This Row],[orden]]="","",tblOrdenes[[#This Row],[costo_servicio]]+tblOrdenes[[#This Row],[costo_materiales]])</f>
        <v/>
      </c>
      <c r="AO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5">
        <f>IF(tblOrdenes[[#This Row],[link_checklist]]="","",HYPERLINK(p_ruta_base_checklists&amp;tblOrdenes[[#This Row],[link_checklist]],"abrir"))</f>
        <v/>
      </c>
      <c r="AT744" s="4" t="n"/>
      <c r="AU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5" t="n"/>
      <c r="K745" s="5" t="n"/>
      <c r="L745" s="18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Row],[fecha_inicio]]="","",tblOrdenes[[#This Row],[anio]]&amp;"-"&amp;TEXT(tblOrdenes[[#This Row],[mes]],"00"))</f>
        <v/>
      </c>
      <c r="S745" s="5">
        <f>IF(tblOrdenes[[#This Row],[fecha_inicio]]="","",INDEX(lista_dias,WEEKDAY(tblOrdenes[[#This Row],[fecha_inicio]],2)))</f>
        <v/>
      </c>
      <c r="T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5">
        <f>IF(tblOrdenes[[#This Row],[tipo_ot]]="","",_xlfn.XLOOKUP(tblOrdenes[[#This Row],[tipo_ot]],tblTiposOT[codigo],tblTiposOT[clasificacion],"sin_clasificar"))</f>
        <v/>
      </c>
      <c r="V7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5">
        <f>IF(tblOrdenes[[#This Row],[centro_costo]]="","",_xlfn.XLOOKUP(tblOrdenes[[#This Row],[centro_costo]],tblCECO[codigo],tblCECO[linea],"(sin catálogo)"))</f>
        <v/>
      </c>
      <c r="Y745" s="5">
        <f>IF(tblOrdenes[[#This Row],[centro_costo]]="","",_xlfn.XLOOKUP(tblOrdenes[[#This Row],[centro_costo]],tblCECO[codigo],tblCECO[area],"(sin catálogo)"))</f>
        <v/>
      </c>
      <c r="Z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5">
        <f>IF(tblOrdenes[[#This Row],[centro_costo]]="","",_xlfn.XLOOKUP(tblOrdenes[[#This Row],[centro_costo]],tblCECO[codigo],tblCECO[coordinador],"(sin catálogo)"))</f>
        <v/>
      </c>
      <c r="AB745" s="5">
        <f>IF(tblOrdenes[[#This Row],[puesto_trabajo]]="","",_xlfn.XLOOKUP(tblOrdenes[[#This Row],[puesto_trabajo]],tblPuestos[codigo],tblPuestos[especialidad],"(sin catálogo)"))</f>
        <v/>
      </c>
      <c r="AC745" s="5">
        <f>IF(tblOrdenes[[#This Row],[cod_actividad]]="","",_xlfn.XLOOKUP(tblOrdenes[[#This Row],[cod_actividad]],tblActividades[codigo],tblActividades[descripcion],"(sin catálogo)"))</f>
        <v/>
      </c>
      <c r="AD745" s="23">
        <f>IF(tblOrdenes[[#This Row],[fecha_inicio]]="","",TODAY()-tblOrdenes[[#This Row],[fecha_inicio]])</f>
        <v/>
      </c>
      <c r="AE7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5">
        <f>IF(tblOrdenes[[#This Row],[backlog_habiles]]="","",IF(tblOrdenes[[#This Row],[backlog_habiles]]&lt;0,"FUTURO",IF(tblOrdenes[[#This Row],[backlog_habiles]]&gt;p_dias_backlog_max,"BACKLOG","MES CORRIENTE")))</f>
        <v/>
      </c>
      <c r="AG745" s="5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18">
        <f>IF(tblOrdenes[[#This Row],[orden]]="","",_xlfn.XLOOKUP(tblOrdenes[[#This Row],[id_operacion]],tblEjecucion[id_operacion],tblEjecucion[precio],0))</f>
        <v/>
      </c>
      <c r="AM745" s="18">
        <f>IF(tblOrdenes[[#This Row],[orden]]="","",MAX(0,_xlfn.XLOOKUP(tblOrdenes[[#This Row],[id_operacion]],tblEjecucion[id_operacion],tblEjecucion[costo_plan_total],0)-tblOrdenes[[#This Row],[costo_servicio]]))</f>
        <v/>
      </c>
      <c r="AN745" s="18">
        <f>IF(tblOrdenes[[#This Row],[orden]]="","",tblOrdenes[[#This Row],[costo_servicio]]+tblOrdenes[[#This Row],[costo_materiales]])</f>
        <v/>
      </c>
      <c r="AO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5">
        <f>IF(tblOrdenes[[#This Row],[link_checklist]]="","",HYPERLINK(p_ruta_base_checklists&amp;tblOrdenes[[#This Row],[link_checklist]],"abrir"))</f>
        <v/>
      </c>
      <c r="AT745" s="4" t="n"/>
      <c r="AU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5" t="n"/>
      <c r="K746" s="5" t="n"/>
      <c r="L746" s="18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Row],[fecha_inicio]]="","",tblOrdenes[[#This Row],[anio]]&amp;"-"&amp;TEXT(tblOrdenes[[#This Row],[mes]],"00"))</f>
        <v/>
      </c>
      <c r="S746" s="5">
        <f>IF(tblOrdenes[[#This Row],[fecha_inicio]]="","",INDEX(lista_dias,WEEKDAY(tblOrdenes[[#This Row],[fecha_inicio]],2)))</f>
        <v/>
      </c>
      <c r="T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5">
        <f>IF(tblOrdenes[[#This Row],[tipo_ot]]="","",_xlfn.XLOOKUP(tblOrdenes[[#This Row],[tipo_ot]],tblTiposOT[codigo],tblTiposOT[clasificacion],"sin_clasificar"))</f>
        <v/>
      </c>
      <c r="V7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5">
        <f>IF(tblOrdenes[[#This Row],[centro_costo]]="","",_xlfn.XLOOKUP(tblOrdenes[[#This Row],[centro_costo]],tblCECO[codigo],tblCECO[linea],"(sin catálogo)"))</f>
        <v/>
      </c>
      <c r="Y746" s="5">
        <f>IF(tblOrdenes[[#This Row],[centro_costo]]="","",_xlfn.XLOOKUP(tblOrdenes[[#This Row],[centro_costo]],tblCECO[codigo],tblCECO[area],"(sin catálogo)"))</f>
        <v/>
      </c>
      <c r="Z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5">
        <f>IF(tblOrdenes[[#This Row],[centro_costo]]="","",_xlfn.XLOOKUP(tblOrdenes[[#This Row],[centro_costo]],tblCECO[codigo],tblCECO[coordinador],"(sin catálogo)"))</f>
        <v/>
      </c>
      <c r="AB746" s="5">
        <f>IF(tblOrdenes[[#This Row],[puesto_trabajo]]="","",_xlfn.XLOOKUP(tblOrdenes[[#This Row],[puesto_trabajo]],tblPuestos[codigo],tblPuestos[especialidad],"(sin catálogo)"))</f>
        <v/>
      </c>
      <c r="AC746" s="5">
        <f>IF(tblOrdenes[[#This Row],[cod_actividad]]="","",_xlfn.XLOOKUP(tblOrdenes[[#This Row],[cod_actividad]],tblActividades[codigo],tblActividades[descripcion],"(sin catálogo)"))</f>
        <v/>
      </c>
      <c r="AD746" s="23">
        <f>IF(tblOrdenes[[#This Row],[fecha_inicio]]="","",TODAY()-tblOrdenes[[#This Row],[fecha_inicio]])</f>
        <v/>
      </c>
      <c r="AE7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5">
        <f>IF(tblOrdenes[[#This Row],[backlog_habiles]]="","",IF(tblOrdenes[[#This Row],[backlog_habiles]]&lt;0,"FUTURO",IF(tblOrdenes[[#This Row],[backlog_habiles]]&gt;p_dias_backlog_max,"BACKLOG","MES CORRIENTE")))</f>
        <v/>
      </c>
      <c r="AG746" s="5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18">
        <f>IF(tblOrdenes[[#This Row],[orden]]="","",_xlfn.XLOOKUP(tblOrdenes[[#This Row],[id_operacion]],tblEjecucion[id_operacion],tblEjecucion[precio],0))</f>
        <v/>
      </c>
      <c r="AM746" s="18">
        <f>IF(tblOrdenes[[#This Row],[orden]]="","",MAX(0,_xlfn.XLOOKUP(tblOrdenes[[#This Row],[id_operacion]],tblEjecucion[id_operacion],tblEjecucion[costo_plan_total],0)-tblOrdenes[[#This Row],[costo_servicio]]))</f>
        <v/>
      </c>
      <c r="AN746" s="18">
        <f>IF(tblOrdenes[[#This Row],[orden]]="","",tblOrdenes[[#This Row],[costo_servicio]]+tblOrdenes[[#This Row],[costo_materiales]])</f>
        <v/>
      </c>
      <c r="AO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5">
        <f>IF(tblOrdenes[[#This Row],[link_checklist]]="","",HYPERLINK(p_ruta_base_checklists&amp;tblOrdenes[[#This Row],[link_checklist]],"abrir"))</f>
        <v/>
      </c>
      <c r="AT746" s="4" t="n"/>
      <c r="AU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5" t="n"/>
      <c r="K747" s="5" t="n"/>
      <c r="L747" s="18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Row],[fecha_inicio]]="","",tblOrdenes[[#This Row],[anio]]&amp;"-"&amp;TEXT(tblOrdenes[[#This Row],[mes]],"00"))</f>
        <v/>
      </c>
      <c r="S747" s="5">
        <f>IF(tblOrdenes[[#This Row],[fecha_inicio]]="","",INDEX(lista_dias,WEEKDAY(tblOrdenes[[#This Row],[fecha_inicio]],2)))</f>
        <v/>
      </c>
      <c r="T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5">
        <f>IF(tblOrdenes[[#This Row],[tipo_ot]]="","",_xlfn.XLOOKUP(tblOrdenes[[#This Row],[tipo_ot]],tblTiposOT[codigo],tblTiposOT[clasificacion],"sin_clasificar"))</f>
        <v/>
      </c>
      <c r="V7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5">
        <f>IF(tblOrdenes[[#This Row],[centro_costo]]="","",_xlfn.XLOOKUP(tblOrdenes[[#This Row],[centro_costo]],tblCECO[codigo],tblCECO[linea],"(sin catálogo)"))</f>
        <v/>
      </c>
      <c r="Y747" s="5">
        <f>IF(tblOrdenes[[#This Row],[centro_costo]]="","",_xlfn.XLOOKUP(tblOrdenes[[#This Row],[centro_costo]],tblCECO[codigo],tblCECO[area],"(sin catálogo)"))</f>
        <v/>
      </c>
      <c r="Z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5">
        <f>IF(tblOrdenes[[#This Row],[centro_costo]]="","",_xlfn.XLOOKUP(tblOrdenes[[#This Row],[centro_costo]],tblCECO[codigo],tblCECO[coordinador],"(sin catálogo)"))</f>
        <v/>
      </c>
      <c r="AB747" s="5">
        <f>IF(tblOrdenes[[#This Row],[puesto_trabajo]]="","",_xlfn.XLOOKUP(tblOrdenes[[#This Row],[puesto_trabajo]],tblPuestos[codigo],tblPuestos[especialidad],"(sin catálogo)"))</f>
        <v/>
      </c>
      <c r="AC747" s="5">
        <f>IF(tblOrdenes[[#This Row],[cod_actividad]]="","",_xlfn.XLOOKUP(tblOrdenes[[#This Row],[cod_actividad]],tblActividades[codigo],tblActividades[descripcion],"(sin catálogo)"))</f>
        <v/>
      </c>
      <c r="AD747" s="23">
        <f>IF(tblOrdenes[[#This Row],[fecha_inicio]]="","",TODAY()-tblOrdenes[[#This Row],[fecha_inicio]])</f>
        <v/>
      </c>
      <c r="AE7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5">
        <f>IF(tblOrdenes[[#This Row],[backlog_habiles]]="","",IF(tblOrdenes[[#This Row],[backlog_habiles]]&lt;0,"FUTURO",IF(tblOrdenes[[#This Row],[backlog_habiles]]&gt;p_dias_backlog_max,"BACKLOG","MES CORRIENTE")))</f>
        <v/>
      </c>
      <c r="AG747" s="5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18">
        <f>IF(tblOrdenes[[#This Row],[orden]]="","",_xlfn.XLOOKUP(tblOrdenes[[#This Row],[id_operacion]],tblEjecucion[id_operacion],tblEjecucion[precio],0))</f>
        <v/>
      </c>
      <c r="AM747" s="18">
        <f>IF(tblOrdenes[[#This Row],[orden]]="","",MAX(0,_xlfn.XLOOKUP(tblOrdenes[[#This Row],[id_operacion]],tblEjecucion[id_operacion],tblEjecucion[costo_plan_total],0)-tblOrdenes[[#This Row],[costo_servicio]]))</f>
        <v/>
      </c>
      <c r="AN747" s="18">
        <f>IF(tblOrdenes[[#This Row],[orden]]="","",tblOrdenes[[#This Row],[costo_servicio]]+tblOrdenes[[#This Row],[costo_materiales]])</f>
        <v/>
      </c>
      <c r="AO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5">
        <f>IF(tblOrdenes[[#This Row],[link_checklist]]="","",HYPERLINK(p_ruta_base_checklists&amp;tblOrdenes[[#This Row],[link_checklist]],"abrir"))</f>
        <v/>
      </c>
      <c r="AT747" s="4" t="n"/>
      <c r="AU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5" t="n"/>
      <c r="K748" s="5" t="n"/>
      <c r="L748" s="18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Row],[fecha_inicio]]="","",tblOrdenes[[#This Row],[anio]]&amp;"-"&amp;TEXT(tblOrdenes[[#This Row],[mes]],"00"))</f>
        <v/>
      </c>
      <c r="S748" s="5">
        <f>IF(tblOrdenes[[#This Row],[fecha_inicio]]="","",INDEX(lista_dias,WEEKDAY(tblOrdenes[[#This Row],[fecha_inicio]],2)))</f>
        <v/>
      </c>
      <c r="T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5">
        <f>IF(tblOrdenes[[#This Row],[tipo_ot]]="","",_xlfn.XLOOKUP(tblOrdenes[[#This Row],[tipo_ot]],tblTiposOT[codigo],tblTiposOT[clasificacion],"sin_clasificar"))</f>
        <v/>
      </c>
      <c r="V7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5">
        <f>IF(tblOrdenes[[#This Row],[centro_costo]]="","",_xlfn.XLOOKUP(tblOrdenes[[#This Row],[centro_costo]],tblCECO[codigo],tblCECO[linea],"(sin catálogo)"))</f>
        <v/>
      </c>
      <c r="Y748" s="5">
        <f>IF(tblOrdenes[[#This Row],[centro_costo]]="","",_xlfn.XLOOKUP(tblOrdenes[[#This Row],[centro_costo]],tblCECO[codigo],tblCECO[area],"(sin catálogo)"))</f>
        <v/>
      </c>
      <c r="Z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5">
        <f>IF(tblOrdenes[[#This Row],[centro_costo]]="","",_xlfn.XLOOKUP(tblOrdenes[[#This Row],[centro_costo]],tblCECO[codigo],tblCECO[coordinador],"(sin catálogo)"))</f>
        <v/>
      </c>
      <c r="AB748" s="5">
        <f>IF(tblOrdenes[[#This Row],[puesto_trabajo]]="","",_xlfn.XLOOKUP(tblOrdenes[[#This Row],[puesto_trabajo]],tblPuestos[codigo],tblPuestos[especialidad],"(sin catálogo)"))</f>
        <v/>
      </c>
      <c r="AC748" s="5">
        <f>IF(tblOrdenes[[#This Row],[cod_actividad]]="","",_xlfn.XLOOKUP(tblOrdenes[[#This Row],[cod_actividad]],tblActividades[codigo],tblActividades[descripcion],"(sin catálogo)"))</f>
        <v/>
      </c>
      <c r="AD748" s="23">
        <f>IF(tblOrdenes[[#This Row],[fecha_inicio]]="","",TODAY()-tblOrdenes[[#This Row],[fecha_inicio]])</f>
        <v/>
      </c>
      <c r="AE7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5">
        <f>IF(tblOrdenes[[#This Row],[backlog_habiles]]="","",IF(tblOrdenes[[#This Row],[backlog_habiles]]&lt;0,"FUTURO",IF(tblOrdenes[[#This Row],[backlog_habiles]]&gt;p_dias_backlog_max,"BACKLOG","MES CORRIENTE")))</f>
        <v/>
      </c>
      <c r="AG748" s="5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18">
        <f>IF(tblOrdenes[[#This Row],[orden]]="","",_xlfn.XLOOKUP(tblOrdenes[[#This Row],[id_operacion]],tblEjecucion[id_operacion],tblEjecucion[precio],0))</f>
        <v/>
      </c>
      <c r="AM748" s="18">
        <f>IF(tblOrdenes[[#This Row],[orden]]="","",MAX(0,_xlfn.XLOOKUP(tblOrdenes[[#This Row],[id_operacion]],tblEjecucion[id_operacion],tblEjecucion[costo_plan_total],0)-tblOrdenes[[#This Row],[costo_servicio]]))</f>
        <v/>
      </c>
      <c r="AN748" s="18">
        <f>IF(tblOrdenes[[#This Row],[orden]]="","",tblOrdenes[[#This Row],[costo_servicio]]+tblOrdenes[[#This Row],[costo_materiales]])</f>
        <v/>
      </c>
      <c r="AO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5">
        <f>IF(tblOrdenes[[#This Row],[link_checklist]]="","",HYPERLINK(p_ruta_base_checklists&amp;tblOrdenes[[#This Row],[link_checklist]],"abrir"))</f>
        <v/>
      </c>
      <c r="AT748" s="4" t="n"/>
      <c r="AU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5" t="n"/>
      <c r="K749" s="5" t="n"/>
      <c r="L749" s="18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Row],[fecha_inicio]]="","",tblOrdenes[[#This Row],[anio]]&amp;"-"&amp;TEXT(tblOrdenes[[#This Row],[mes]],"00"))</f>
        <v/>
      </c>
      <c r="S749" s="5">
        <f>IF(tblOrdenes[[#This Row],[fecha_inicio]]="","",INDEX(lista_dias,WEEKDAY(tblOrdenes[[#This Row],[fecha_inicio]],2)))</f>
        <v/>
      </c>
      <c r="T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5">
        <f>IF(tblOrdenes[[#This Row],[tipo_ot]]="","",_xlfn.XLOOKUP(tblOrdenes[[#This Row],[tipo_ot]],tblTiposOT[codigo],tblTiposOT[clasificacion],"sin_clasificar"))</f>
        <v/>
      </c>
      <c r="V7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5">
        <f>IF(tblOrdenes[[#This Row],[centro_costo]]="","",_xlfn.XLOOKUP(tblOrdenes[[#This Row],[centro_costo]],tblCECO[codigo],tblCECO[linea],"(sin catálogo)"))</f>
        <v/>
      </c>
      <c r="Y749" s="5">
        <f>IF(tblOrdenes[[#This Row],[centro_costo]]="","",_xlfn.XLOOKUP(tblOrdenes[[#This Row],[centro_costo]],tblCECO[codigo],tblCECO[area],"(sin catálogo)"))</f>
        <v/>
      </c>
      <c r="Z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5">
        <f>IF(tblOrdenes[[#This Row],[centro_costo]]="","",_xlfn.XLOOKUP(tblOrdenes[[#This Row],[centro_costo]],tblCECO[codigo],tblCECO[coordinador],"(sin catálogo)"))</f>
        <v/>
      </c>
      <c r="AB749" s="5">
        <f>IF(tblOrdenes[[#This Row],[puesto_trabajo]]="","",_xlfn.XLOOKUP(tblOrdenes[[#This Row],[puesto_trabajo]],tblPuestos[codigo],tblPuestos[especialidad],"(sin catálogo)"))</f>
        <v/>
      </c>
      <c r="AC749" s="5">
        <f>IF(tblOrdenes[[#This Row],[cod_actividad]]="","",_xlfn.XLOOKUP(tblOrdenes[[#This Row],[cod_actividad]],tblActividades[codigo],tblActividades[descripcion],"(sin catálogo)"))</f>
        <v/>
      </c>
      <c r="AD749" s="23">
        <f>IF(tblOrdenes[[#This Row],[fecha_inicio]]="","",TODAY()-tblOrdenes[[#This Row],[fecha_inicio]])</f>
        <v/>
      </c>
      <c r="AE7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5">
        <f>IF(tblOrdenes[[#This Row],[backlog_habiles]]="","",IF(tblOrdenes[[#This Row],[backlog_habiles]]&lt;0,"FUTURO",IF(tblOrdenes[[#This Row],[backlog_habiles]]&gt;p_dias_backlog_max,"BACKLOG","MES CORRIENTE")))</f>
        <v/>
      </c>
      <c r="AG749" s="5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18">
        <f>IF(tblOrdenes[[#This Row],[orden]]="","",_xlfn.XLOOKUP(tblOrdenes[[#This Row],[id_operacion]],tblEjecucion[id_operacion],tblEjecucion[precio],0))</f>
        <v/>
      </c>
      <c r="AM749" s="18">
        <f>IF(tblOrdenes[[#This Row],[orden]]="","",MAX(0,_xlfn.XLOOKUP(tblOrdenes[[#This Row],[id_operacion]],tblEjecucion[id_operacion],tblEjecucion[costo_plan_total],0)-tblOrdenes[[#This Row],[costo_servicio]]))</f>
        <v/>
      </c>
      <c r="AN749" s="18">
        <f>IF(tblOrdenes[[#This Row],[orden]]="","",tblOrdenes[[#This Row],[costo_servicio]]+tblOrdenes[[#This Row],[costo_materiales]])</f>
        <v/>
      </c>
      <c r="AO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5">
        <f>IF(tblOrdenes[[#This Row],[link_checklist]]="","",HYPERLINK(p_ruta_base_checklists&amp;tblOrdenes[[#This Row],[link_checklist]],"abrir"))</f>
        <v/>
      </c>
      <c r="AT749" s="4" t="n"/>
      <c r="AU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5" t="n"/>
      <c r="K750" s="5" t="n"/>
      <c r="L750" s="18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Row],[fecha_inicio]]="","",tblOrdenes[[#This Row],[anio]]&amp;"-"&amp;TEXT(tblOrdenes[[#This Row],[mes]],"00"))</f>
        <v/>
      </c>
      <c r="S750" s="5">
        <f>IF(tblOrdenes[[#This Row],[fecha_inicio]]="","",INDEX(lista_dias,WEEKDAY(tblOrdenes[[#This Row],[fecha_inicio]],2)))</f>
        <v/>
      </c>
      <c r="T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5">
        <f>IF(tblOrdenes[[#This Row],[tipo_ot]]="","",_xlfn.XLOOKUP(tblOrdenes[[#This Row],[tipo_ot]],tblTiposOT[codigo],tblTiposOT[clasificacion],"sin_clasificar"))</f>
        <v/>
      </c>
      <c r="V7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5">
        <f>IF(tblOrdenes[[#This Row],[centro_costo]]="","",_xlfn.XLOOKUP(tblOrdenes[[#This Row],[centro_costo]],tblCECO[codigo],tblCECO[linea],"(sin catálogo)"))</f>
        <v/>
      </c>
      <c r="Y750" s="5">
        <f>IF(tblOrdenes[[#This Row],[centro_costo]]="","",_xlfn.XLOOKUP(tblOrdenes[[#This Row],[centro_costo]],tblCECO[codigo],tblCECO[area],"(sin catálogo)"))</f>
        <v/>
      </c>
      <c r="Z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5">
        <f>IF(tblOrdenes[[#This Row],[centro_costo]]="","",_xlfn.XLOOKUP(tblOrdenes[[#This Row],[centro_costo]],tblCECO[codigo],tblCECO[coordinador],"(sin catálogo)"))</f>
        <v/>
      </c>
      <c r="AB750" s="5">
        <f>IF(tblOrdenes[[#This Row],[puesto_trabajo]]="","",_xlfn.XLOOKUP(tblOrdenes[[#This Row],[puesto_trabajo]],tblPuestos[codigo],tblPuestos[especialidad],"(sin catálogo)"))</f>
        <v/>
      </c>
      <c r="AC750" s="5">
        <f>IF(tblOrdenes[[#This Row],[cod_actividad]]="","",_xlfn.XLOOKUP(tblOrdenes[[#This Row],[cod_actividad]],tblActividades[codigo],tblActividades[descripcion],"(sin catálogo)"))</f>
        <v/>
      </c>
      <c r="AD750" s="23">
        <f>IF(tblOrdenes[[#This Row],[fecha_inicio]]="","",TODAY()-tblOrdenes[[#This Row],[fecha_inicio]])</f>
        <v/>
      </c>
      <c r="AE7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5">
        <f>IF(tblOrdenes[[#This Row],[backlog_habiles]]="","",IF(tblOrdenes[[#This Row],[backlog_habiles]]&lt;0,"FUTURO",IF(tblOrdenes[[#This Row],[backlog_habiles]]&gt;p_dias_backlog_max,"BACKLOG","MES CORRIENTE")))</f>
        <v/>
      </c>
      <c r="AG750" s="5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18">
        <f>IF(tblOrdenes[[#This Row],[orden]]="","",_xlfn.XLOOKUP(tblOrdenes[[#This Row],[id_operacion]],tblEjecucion[id_operacion],tblEjecucion[precio],0))</f>
        <v/>
      </c>
      <c r="AM750" s="18">
        <f>IF(tblOrdenes[[#This Row],[orden]]="","",MAX(0,_xlfn.XLOOKUP(tblOrdenes[[#This Row],[id_operacion]],tblEjecucion[id_operacion],tblEjecucion[costo_plan_total],0)-tblOrdenes[[#This Row],[costo_servicio]]))</f>
        <v/>
      </c>
      <c r="AN750" s="18">
        <f>IF(tblOrdenes[[#This Row],[orden]]="","",tblOrdenes[[#This Row],[costo_servicio]]+tblOrdenes[[#This Row],[costo_materiales]])</f>
        <v/>
      </c>
      <c r="AO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5">
        <f>IF(tblOrdenes[[#This Row],[link_checklist]]="","",HYPERLINK(p_ruta_base_checklists&amp;tblOrdenes[[#This Row],[link_checklist]],"abrir"))</f>
        <v/>
      </c>
      <c r="AT750" s="4" t="n"/>
      <c r="AU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5" t="n"/>
      <c r="K751" s="5" t="n"/>
      <c r="L751" s="18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Row],[fecha_inicio]]="","",tblOrdenes[[#This Row],[anio]]&amp;"-"&amp;TEXT(tblOrdenes[[#This Row],[mes]],"00"))</f>
        <v/>
      </c>
      <c r="S751" s="5">
        <f>IF(tblOrdenes[[#This Row],[fecha_inicio]]="","",INDEX(lista_dias,WEEKDAY(tblOrdenes[[#This Row],[fecha_inicio]],2)))</f>
        <v/>
      </c>
      <c r="T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5">
        <f>IF(tblOrdenes[[#This Row],[tipo_ot]]="","",_xlfn.XLOOKUP(tblOrdenes[[#This Row],[tipo_ot]],tblTiposOT[codigo],tblTiposOT[clasificacion],"sin_clasificar"))</f>
        <v/>
      </c>
      <c r="V7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5">
        <f>IF(tblOrdenes[[#This Row],[centro_costo]]="","",_xlfn.XLOOKUP(tblOrdenes[[#This Row],[centro_costo]],tblCECO[codigo],tblCECO[linea],"(sin catálogo)"))</f>
        <v/>
      </c>
      <c r="Y751" s="5">
        <f>IF(tblOrdenes[[#This Row],[centro_costo]]="","",_xlfn.XLOOKUP(tblOrdenes[[#This Row],[centro_costo]],tblCECO[codigo],tblCECO[area],"(sin catálogo)"))</f>
        <v/>
      </c>
      <c r="Z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5">
        <f>IF(tblOrdenes[[#This Row],[centro_costo]]="","",_xlfn.XLOOKUP(tblOrdenes[[#This Row],[centro_costo]],tblCECO[codigo],tblCECO[coordinador],"(sin catálogo)"))</f>
        <v/>
      </c>
      <c r="AB751" s="5">
        <f>IF(tblOrdenes[[#This Row],[puesto_trabajo]]="","",_xlfn.XLOOKUP(tblOrdenes[[#This Row],[puesto_trabajo]],tblPuestos[codigo],tblPuestos[especialidad],"(sin catálogo)"))</f>
        <v/>
      </c>
      <c r="AC751" s="5">
        <f>IF(tblOrdenes[[#This Row],[cod_actividad]]="","",_xlfn.XLOOKUP(tblOrdenes[[#This Row],[cod_actividad]],tblActividades[codigo],tblActividades[descripcion],"(sin catálogo)"))</f>
        <v/>
      </c>
      <c r="AD751" s="23">
        <f>IF(tblOrdenes[[#This Row],[fecha_inicio]]="","",TODAY()-tblOrdenes[[#This Row],[fecha_inicio]])</f>
        <v/>
      </c>
      <c r="AE7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5">
        <f>IF(tblOrdenes[[#This Row],[backlog_habiles]]="","",IF(tblOrdenes[[#This Row],[backlog_habiles]]&lt;0,"FUTURO",IF(tblOrdenes[[#This Row],[backlog_habiles]]&gt;p_dias_backlog_max,"BACKLOG","MES CORRIENTE")))</f>
        <v/>
      </c>
      <c r="AG751" s="5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18">
        <f>IF(tblOrdenes[[#This Row],[orden]]="","",_xlfn.XLOOKUP(tblOrdenes[[#This Row],[id_operacion]],tblEjecucion[id_operacion],tblEjecucion[precio],0))</f>
        <v/>
      </c>
      <c r="AM751" s="18">
        <f>IF(tblOrdenes[[#This Row],[orden]]="","",MAX(0,_xlfn.XLOOKUP(tblOrdenes[[#This Row],[id_operacion]],tblEjecucion[id_operacion],tblEjecucion[costo_plan_total],0)-tblOrdenes[[#This Row],[costo_servicio]]))</f>
        <v/>
      </c>
      <c r="AN751" s="18">
        <f>IF(tblOrdenes[[#This Row],[orden]]="","",tblOrdenes[[#This Row],[costo_servicio]]+tblOrdenes[[#This Row],[costo_materiales]])</f>
        <v/>
      </c>
      <c r="AO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5">
        <f>IF(tblOrdenes[[#This Row],[link_checklist]]="","",HYPERLINK(p_ruta_base_checklists&amp;tblOrdenes[[#This Row],[link_checklist]],"abrir"))</f>
        <v/>
      </c>
      <c r="AT751" s="4" t="n"/>
      <c r="AU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5" t="n"/>
      <c r="K752" s="5" t="n"/>
      <c r="L752" s="18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Row],[fecha_inicio]]="","",tblOrdenes[[#This Row],[anio]]&amp;"-"&amp;TEXT(tblOrdenes[[#This Row],[mes]],"00"))</f>
        <v/>
      </c>
      <c r="S752" s="5">
        <f>IF(tblOrdenes[[#This Row],[fecha_inicio]]="","",INDEX(lista_dias,WEEKDAY(tblOrdenes[[#This Row],[fecha_inicio]],2)))</f>
        <v/>
      </c>
      <c r="T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5">
        <f>IF(tblOrdenes[[#This Row],[tipo_ot]]="","",_xlfn.XLOOKUP(tblOrdenes[[#This Row],[tipo_ot]],tblTiposOT[codigo],tblTiposOT[clasificacion],"sin_clasificar"))</f>
        <v/>
      </c>
      <c r="V7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5">
        <f>IF(tblOrdenes[[#This Row],[centro_costo]]="","",_xlfn.XLOOKUP(tblOrdenes[[#This Row],[centro_costo]],tblCECO[codigo],tblCECO[linea],"(sin catálogo)"))</f>
        <v/>
      </c>
      <c r="Y752" s="5">
        <f>IF(tblOrdenes[[#This Row],[centro_costo]]="","",_xlfn.XLOOKUP(tblOrdenes[[#This Row],[centro_costo]],tblCECO[codigo],tblCECO[area],"(sin catálogo)"))</f>
        <v/>
      </c>
      <c r="Z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5">
        <f>IF(tblOrdenes[[#This Row],[centro_costo]]="","",_xlfn.XLOOKUP(tblOrdenes[[#This Row],[centro_costo]],tblCECO[codigo],tblCECO[coordinador],"(sin catálogo)"))</f>
        <v/>
      </c>
      <c r="AB752" s="5">
        <f>IF(tblOrdenes[[#This Row],[puesto_trabajo]]="","",_xlfn.XLOOKUP(tblOrdenes[[#This Row],[puesto_trabajo]],tblPuestos[codigo],tblPuestos[especialidad],"(sin catálogo)"))</f>
        <v/>
      </c>
      <c r="AC752" s="5">
        <f>IF(tblOrdenes[[#This Row],[cod_actividad]]="","",_xlfn.XLOOKUP(tblOrdenes[[#This Row],[cod_actividad]],tblActividades[codigo],tblActividades[descripcion],"(sin catálogo)"))</f>
        <v/>
      </c>
      <c r="AD752" s="23">
        <f>IF(tblOrdenes[[#This Row],[fecha_inicio]]="","",TODAY()-tblOrdenes[[#This Row],[fecha_inicio]])</f>
        <v/>
      </c>
      <c r="AE7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5">
        <f>IF(tblOrdenes[[#This Row],[backlog_habiles]]="","",IF(tblOrdenes[[#This Row],[backlog_habiles]]&lt;0,"FUTURO",IF(tblOrdenes[[#This Row],[backlog_habiles]]&gt;p_dias_backlog_max,"BACKLOG","MES CORRIENTE")))</f>
        <v/>
      </c>
      <c r="AG752" s="5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18">
        <f>IF(tblOrdenes[[#This Row],[orden]]="","",_xlfn.XLOOKUP(tblOrdenes[[#This Row],[id_operacion]],tblEjecucion[id_operacion],tblEjecucion[precio],0))</f>
        <v/>
      </c>
      <c r="AM752" s="18">
        <f>IF(tblOrdenes[[#This Row],[orden]]="","",MAX(0,_xlfn.XLOOKUP(tblOrdenes[[#This Row],[id_operacion]],tblEjecucion[id_operacion],tblEjecucion[costo_plan_total],0)-tblOrdenes[[#This Row],[costo_servicio]]))</f>
        <v/>
      </c>
      <c r="AN752" s="18">
        <f>IF(tblOrdenes[[#This Row],[orden]]="","",tblOrdenes[[#This Row],[costo_servicio]]+tblOrdenes[[#This Row],[costo_materiales]])</f>
        <v/>
      </c>
      <c r="AO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5">
        <f>IF(tblOrdenes[[#This Row],[link_checklist]]="","",HYPERLINK(p_ruta_base_checklists&amp;tblOrdenes[[#This Row],[link_checklist]],"abrir"))</f>
        <v/>
      </c>
      <c r="AT752" s="4" t="n"/>
      <c r="AU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5" t="n"/>
      <c r="K753" s="5" t="n"/>
      <c r="L753" s="18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Row],[fecha_inicio]]="","",tblOrdenes[[#This Row],[anio]]&amp;"-"&amp;TEXT(tblOrdenes[[#This Row],[mes]],"00"))</f>
        <v/>
      </c>
      <c r="S753" s="5">
        <f>IF(tblOrdenes[[#This Row],[fecha_inicio]]="","",INDEX(lista_dias,WEEKDAY(tblOrdenes[[#This Row],[fecha_inicio]],2)))</f>
        <v/>
      </c>
      <c r="T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5">
        <f>IF(tblOrdenes[[#This Row],[tipo_ot]]="","",_xlfn.XLOOKUP(tblOrdenes[[#This Row],[tipo_ot]],tblTiposOT[codigo],tblTiposOT[clasificacion],"sin_clasificar"))</f>
        <v/>
      </c>
      <c r="V7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5">
        <f>IF(tblOrdenes[[#This Row],[centro_costo]]="","",_xlfn.XLOOKUP(tblOrdenes[[#This Row],[centro_costo]],tblCECO[codigo],tblCECO[linea],"(sin catálogo)"))</f>
        <v/>
      </c>
      <c r="Y753" s="5">
        <f>IF(tblOrdenes[[#This Row],[centro_costo]]="","",_xlfn.XLOOKUP(tblOrdenes[[#This Row],[centro_costo]],tblCECO[codigo],tblCECO[area],"(sin catálogo)"))</f>
        <v/>
      </c>
      <c r="Z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5">
        <f>IF(tblOrdenes[[#This Row],[centro_costo]]="","",_xlfn.XLOOKUP(tblOrdenes[[#This Row],[centro_costo]],tblCECO[codigo],tblCECO[coordinador],"(sin catálogo)"))</f>
        <v/>
      </c>
      <c r="AB753" s="5">
        <f>IF(tblOrdenes[[#This Row],[puesto_trabajo]]="","",_xlfn.XLOOKUP(tblOrdenes[[#This Row],[puesto_trabajo]],tblPuestos[codigo],tblPuestos[especialidad],"(sin catálogo)"))</f>
        <v/>
      </c>
      <c r="AC753" s="5">
        <f>IF(tblOrdenes[[#This Row],[cod_actividad]]="","",_xlfn.XLOOKUP(tblOrdenes[[#This Row],[cod_actividad]],tblActividades[codigo],tblActividades[descripcion],"(sin catálogo)"))</f>
        <v/>
      </c>
      <c r="AD753" s="23">
        <f>IF(tblOrdenes[[#This Row],[fecha_inicio]]="","",TODAY()-tblOrdenes[[#This Row],[fecha_inicio]])</f>
        <v/>
      </c>
      <c r="AE7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5">
        <f>IF(tblOrdenes[[#This Row],[backlog_habiles]]="","",IF(tblOrdenes[[#This Row],[backlog_habiles]]&lt;0,"FUTURO",IF(tblOrdenes[[#This Row],[backlog_habiles]]&gt;p_dias_backlog_max,"BACKLOG","MES CORRIENTE")))</f>
        <v/>
      </c>
      <c r="AG753" s="5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18">
        <f>IF(tblOrdenes[[#This Row],[orden]]="","",_xlfn.XLOOKUP(tblOrdenes[[#This Row],[id_operacion]],tblEjecucion[id_operacion],tblEjecucion[precio],0))</f>
        <v/>
      </c>
      <c r="AM753" s="18">
        <f>IF(tblOrdenes[[#This Row],[orden]]="","",MAX(0,_xlfn.XLOOKUP(tblOrdenes[[#This Row],[id_operacion]],tblEjecucion[id_operacion],tblEjecucion[costo_plan_total],0)-tblOrdenes[[#This Row],[costo_servicio]]))</f>
        <v/>
      </c>
      <c r="AN753" s="18">
        <f>IF(tblOrdenes[[#This Row],[orden]]="","",tblOrdenes[[#This Row],[costo_servicio]]+tblOrdenes[[#This Row],[costo_materiales]])</f>
        <v/>
      </c>
      <c r="AO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5">
        <f>IF(tblOrdenes[[#This Row],[link_checklist]]="","",HYPERLINK(p_ruta_base_checklists&amp;tblOrdenes[[#This Row],[link_checklist]],"abrir"))</f>
        <v/>
      </c>
      <c r="AT753" s="4" t="n"/>
      <c r="AU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5" t="n"/>
      <c r="K754" s="5" t="n"/>
      <c r="L754" s="18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Row],[fecha_inicio]]="","",tblOrdenes[[#This Row],[anio]]&amp;"-"&amp;TEXT(tblOrdenes[[#This Row],[mes]],"00"))</f>
        <v/>
      </c>
      <c r="S754" s="5">
        <f>IF(tblOrdenes[[#This Row],[fecha_inicio]]="","",INDEX(lista_dias,WEEKDAY(tblOrdenes[[#This Row],[fecha_inicio]],2)))</f>
        <v/>
      </c>
      <c r="T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5">
        <f>IF(tblOrdenes[[#This Row],[tipo_ot]]="","",_xlfn.XLOOKUP(tblOrdenes[[#This Row],[tipo_ot]],tblTiposOT[codigo],tblTiposOT[clasificacion],"sin_clasificar"))</f>
        <v/>
      </c>
      <c r="V7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5">
        <f>IF(tblOrdenes[[#This Row],[centro_costo]]="","",_xlfn.XLOOKUP(tblOrdenes[[#This Row],[centro_costo]],tblCECO[codigo],tblCECO[linea],"(sin catálogo)"))</f>
        <v/>
      </c>
      <c r="Y754" s="5">
        <f>IF(tblOrdenes[[#This Row],[centro_costo]]="","",_xlfn.XLOOKUP(tblOrdenes[[#This Row],[centro_costo]],tblCECO[codigo],tblCECO[area],"(sin catálogo)"))</f>
        <v/>
      </c>
      <c r="Z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5">
        <f>IF(tblOrdenes[[#This Row],[centro_costo]]="","",_xlfn.XLOOKUP(tblOrdenes[[#This Row],[centro_costo]],tblCECO[codigo],tblCECO[coordinador],"(sin catálogo)"))</f>
        <v/>
      </c>
      <c r="AB754" s="5">
        <f>IF(tblOrdenes[[#This Row],[puesto_trabajo]]="","",_xlfn.XLOOKUP(tblOrdenes[[#This Row],[puesto_trabajo]],tblPuestos[codigo],tblPuestos[especialidad],"(sin catálogo)"))</f>
        <v/>
      </c>
      <c r="AC754" s="5">
        <f>IF(tblOrdenes[[#This Row],[cod_actividad]]="","",_xlfn.XLOOKUP(tblOrdenes[[#This Row],[cod_actividad]],tblActividades[codigo],tblActividades[descripcion],"(sin catálogo)"))</f>
        <v/>
      </c>
      <c r="AD754" s="23">
        <f>IF(tblOrdenes[[#This Row],[fecha_inicio]]="","",TODAY()-tblOrdenes[[#This Row],[fecha_inicio]])</f>
        <v/>
      </c>
      <c r="AE7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5">
        <f>IF(tblOrdenes[[#This Row],[backlog_habiles]]="","",IF(tblOrdenes[[#This Row],[backlog_habiles]]&lt;0,"FUTURO",IF(tblOrdenes[[#This Row],[backlog_habiles]]&gt;p_dias_backlog_max,"BACKLOG","MES CORRIENTE")))</f>
        <v/>
      </c>
      <c r="AG754" s="5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18">
        <f>IF(tblOrdenes[[#This Row],[orden]]="","",_xlfn.XLOOKUP(tblOrdenes[[#This Row],[id_operacion]],tblEjecucion[id_operacion],tblEjecucion[precio],0))</f>
        <v/>
      </c>
      <c r="AM754" s="18">
        <f>IF(tblOrdenes[[#This Row],[orden]]="","",MAX(0,_xlfn.XLOOKUP(tblOrdenes[[#This Row],[id_operacion]],tblEjecucion[id_operacion],tblEjecucion[costo_plan_total],0)-tblOrdenes[[#This Row],[costo_servicio]]))</f>
        <v/>
      </c>
      <c r="AN754" s="18">
        <f>IF(tblOrdenes[[#This Row],[orden]]="","",tblOrdenes[[#This Row],[costo_servicio]]+tblOrdenes[[#This Row],[costo_materiales]])</f>
        <v/>
      </c>
      <c r="AO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5">
        <f>IF(tblOrdenes[[#This Row],[link_checklist]]="","",HYPERLINK(p_ruta_base_checklists&amp;tblOrdenes[[#This Row],[link_checklist]],"abrir"))</f>
        <v/>
      </c>
      <c r="AT754" s="4" t="n"/>
      <c r="AU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5" t="n"/>
      <c r="K755" s="5" t="n"/>
      <c r="L755" s="18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Row],[fecha_inicio]]="","",tblOrdenes[[#This Row],[anio]]&amp;"-"&amp;TEXT(tblOrdenes[[#This Row],[mes]],"00"))</f>
        <v/>
      </c>
      <c r="S755" s="5">
        <f>IF(tblOrdenes[[#This Row],[fecha_inicio]]="","",INDEX(lista_dias,WEEKDAY(tblOrdenes[[#This Row],[fecha_inicio]],2)))</f>
        <v/>
      </c>
      <c r="T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5">
        <f>IF(tblOrdenes[[#This Row],[tipo_ot]]="","",_xlfn.XLOOKUP(tblOrdenes[[#This Row],[tipo_ot]],tblTiposOT[codigo],tblTiposOT[clasificacion],"sin_clasificar"))</f>
        <v/>
      </c>
      <c r="V7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5">
        <f>IF(tblOrdenes[[#This Row],[centro_costo]]="","",_xlfn.XLOOKUP(tblOrdenes[[#This Row],[centro_costo]],tblCECO[codigo],tblCECO[linea],"(sin catálogo)"))</f>
        <v/>
      </c>
      <c r="Y755" s="5">
        <f>IF(tblOrdenes[[#This Row],[centro_costo]]="","",_xlfn.XLOOKUP(tblOrdenes[[#This Row],[centro_costo]],tblCECO[codigo],tblCECO[area],"(sin catálogo)"))</f>
        <v/>
      </c>
      <c r="Z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5">
        <f>IF(tblOrdenes[[#This Row],[centro_costo]]="","",_xlfn.XLOOKUP(tblOrdenes[[#This Row],[centro_costo]],tblCECO[codigo],tblCECO[coordinador],"(sin catálogo)"))</f>
        <v/>
      </c>
      <c r="AB755" s="5">
        <f>IF(tblOrdenes[[#This Row],[puesto_trabajo]]="","",_xlfn.XLOOKUP(tblOrdenes[[#This Row],[puesto_trabajo]],tblPuestos[codigo],tblPuestos[especialidad],"(sin catálogo)"))</f>
        <v/>
      </c>
      <c r="AC755" s="5">
        <f>IF(tblOrdenes[[#This Row],[cod_actividad]]="","",_xlfn.XLOOKUP(tblOrdenes[[#This Row],[cod_actividad]],tblActividades[codigo],tblActividades[descripcion],"(sin catálogo)"))</f>
        <v/>
      </c>
      <c r="AD755" s="23">
        <f>IF(tblOrdenes[[#This Row],[fecha_inicio]]="","",TODAY()-tblOrdenes[[#This Row],[fecha_inicio]])</f>
        <v/>
      </c>
      <c r="AE7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5">
        <f>IF(tblOrdenes[[#This Row],[backlog_habiles]]="","",IF(tblOrdenes[[#This Row],[backlog_habiles]]&lt;0,"FUTURO",IF(tblOrdenes[[#This Row],[backlog_habiles]]&gt;p_dias_backlog_max,"BACKLOG","MES CORRIENTE")))</f>
        <v/>
      </c>
      <c r="AG755" s="5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18">
        <f>IF(tblOrdenes[[#This Row],[orden]]="","",_xlfn.XLOOKUP(tblOrdenes[[#This Row],[id_operacion]],tblEjecucion[id_operacion],tblEjecucion[precio],0))</f>
        <v/>
      </c>
      <c r="AM755" s="18">
        <f>IF(tblOrdenes[[#This Row],[orden]]="","",MAX(0,_xlfn.XLOOKUP(tblOrdenes[[#This Row],[id_operacion]],tblEjecucion[id_operacion],tblEjecucion[costo_plan_total],0)-tblOrdenes[[#This Row],[costo_servicio]]))</f>
        <v/>
      </c>
      <c r="AN755" s="18">
        <f>IF(tblOrdenes[[#This Row],[orden]]="","",tblOrdenes[[#This Row],[costo_servicio]]+tblOrdenes[[#This Row],[costo_materiales]])</f>
        <v/>
      </c>
      <c r="AO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5">
        <f>IF(tblOrdenes[[#This Row],[link_checklist]]="","",HYPERLINK(p_ruta_base_checklists&amp;tblOrdenes[[#This Row],[link_checklist]],"abrir"))</f>
        <v/>
      </c>
      <c r="AT755" s="4" t="n"/>
      <c r="AU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5" t="n"/>
      <c r="K756" s="5" t="n"/>
      <c r="L756" s="18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Row],[fecha_inicio]]="","",tblOrdenes[[#This Row],[anio]]&amp;"-"&amp;TEXT(tblOrdenes[[#This Row],[mes]],"00"))</f>
        <v/>
      </c>
      <c r="S756" s="5">
        <f>IF(tblOrdenes[[#This Row],[fecha_inicio]]="","",INDEX(lista_dias,WEEKDAY(tblOrdenes[[#This Row],[fecha_inicio]],2)))</f>
        <v/>
      </c>
      <c r="T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5">
        <f>IF(tblOrdenes[[#This Row],[tipo_ot]]="","",_xlfn.XLOOKUP(tblOrdenes[[#This Row],[tipo_ot]],tblTiposOT[codigo],tblTiposOT[clasificacion],"sin_clasificar"))</f>
        <v/>
      </c>
      <c r="V7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5">
        <f>IF(tblOrdenes[[#This Row],[centro_costo]]="","",_xlfn.XLOOKUP(tblOrdenes[[#This Row],[centro_costo]],tblCECO[codigo],tblCECO[linea],"(sin catálogo)"))</f>
        <v/>
      </c>
      <c r="Y756" s="5">
        <f>IF(tblOrdenes[[#This Row],[centro_costo]]="","",_xlfn.XLOOKUP(tblOrdenes[[#This Row],[centro_costo]],tblCECO[codigo],tblCECO[area],"(sin catálogo)"))</f>
        <v/>
      </c>
      <c r="Z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5">
        <f>IF(tblOrdenes[[#This Row],[centro_costo]]="","",_xlfn.XLOOKUP(tblOrdenes[[#This Row],[centro_costo]],tblCECO[codigo],tblCECO[coordinador],"(sin catálogo)"))</f>
        <v/>
      </c>
      <c r="AB756" s="5">
        <f>IF(tblOrdenes[[#This Row],[puesto_trabajo]]="","",_xlfn.XLOOKUP(tblOrdenes[[#This Row],[puesto_trabajo]],tblPuestos[codigo],tblPuestos[especialidad],"(sin catálogo)"))</f>
        <v/>
      </c>
      <c r="AC756" s="5">
        <f>IF(tblOrdenes[[#This Row],[cod_actividad]]="","",_xlfn.XLOOKUP(tblOrdenes[[#This Row],[cod_actividad]],tblActividades[codigo],tblActividades[descripcion],"(sin catálogo)"))</f>
        <v/>
      </c>
      <c r="AD756" s="23">
        <f>IF(tblOrdenes[[#This Row],[fecha_inicio]]="","",TODAY()-tblOrdenes[[#This Row],[fecha_inicio]])</f>
        <v/>
      </c>
      <c r="AE7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5">
        <f>IF(tblOrdenes[[#This Row],[backlog_habiles]]="","",IF(tblOrdenes[[#This Row],[backlog_habiles]]&lt;0,"FUTURO",IF(tblOrdenes[[#This Row],[backlog_habiles]]&gt;p_dias_backlog_max,"BACKLOG","MES CORRIENTE")))</f>
        <v/>
      </c>
      <c r="AG756" s="5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18">
        <f>IF(tblOrdenes[[#This Row],[orden]]="","",_xlfn.XLOOKUP(tblOrdenes[[#This Row],[id_operacion]],tblEjecucion[id_operacion],tblEjecucion[precio],0))</f>
        <v/>
      </c>
      <c r="AM756" s="18">
        <f>IF(tblOrdenes[[#This Row],[orden]]="","",MAX(0,_xlfn.XLOOKUP(tblOrdenes[[#This Row],[id_operacion]],tblEjecucion[id_operacion],tblEjecucion[costo_plan_total],0)-tblOrdenes[[#This Row],[costo_servicio]]))</f>
        <v/>
      </c>
      <c r="AN756" s="18">
        <f>IF(tblOrdenes[[#This Row],[orden]]="","",tblOrdenes[[#This Row],[costo_servicio]]+tblOrdenes[[#This Row],[costo_materiales]])</f>
        <v/>
      </c>
      <c r="AO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5">
        <f>IF(tblOrdenes[[#This Row],[link_checklist]]="","",HYPERLINK(p_ruta_base_checklists&amp;tblOrdenes[[#This Row],[link_checklist]],"abrir"))</f>
        <v/>
      </c>
      <c r="AT756" s="4" t="n"/>
      <c r="AU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5" t="n"/>
      <c r="K757" s="5" t="n"/>
      <c r="L757" s="18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Row],[fecha_inicio]]="","",tblOrdenes[[#This Row],[anio]]&amp;"-"&amp;TEXT(tblOrdenes[[#This Row],[mes]],"00"))</f>
        <v/>
      </c>
      <c r="S757" s="5">
        <f>IF(tblOrdenes[[#This Row],[fecha_inicio]]="","",INDEX(lista_dias,WEEKDAY(tblOrdenes[[#This Row],[fecha_inicio]],2)))</f>
        <v/>
      </c>
      <c r="T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5">
        <f>IF(tblOrdenes[[#This Row],[tipo_ot]]="","",_xlfn.XLOOKUP(tblOrdenes[[#This Row],[tipo_ot]],tblTiposOT[codigo],tblTiposOT[clasificacion],"sin_clasificar"))</f>
        <v/>
      </c>
      <c r="V7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5">
        <f>IF(tblOrdenes[[#This Row],[centro_costo]]="","",_xlfn.XLOOKUP(tblOrdenes[[#This Row],[centro_costo]],tblCECO[codigo],tblCECO[linea],"(sin catálogo)"))</f>
        <v/>
      </c>
      <c r="Y757" s="5">
        <f>IF(tblOrdenes[[#This Row],[centro_costo]]="","",_xlfn.XLOOKUP(tblOrdenes[[#This Row],[centro_costo]],tblCECO[codigo],tblCECO[area],"(sin catálogo)"))</f>
        <v/>
      </c>
      <c r="Z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5">
        <f>IF(tblOrdenes[[#This Row],[centro_costo]]="","",_xlfn.XLOOKUP(tblOrdenes[[#This Row],[centro_costo]],tblCECO[codigo],tblCECO[coordinador],"(sin catálogo)"))</f>
        <v/>
      </c>
      <c r="AB757" s="5">
        <f>IF(tblOrdenes[[#This Row],[puesto_trabajo]]="","",_xlfn.XLOOKUP(tblOrdenes[[#This Row],[puesto_trabajo]],tblPuestos[codigo],tblPuestos[especialidad],"(sin catálogo)"))</f>
        <v/>
      </c>
      <c r="AC757" s="5">
        <f>IF(tblOrdenes[[#This Row],[cod_actividad]]="","",_xlfn.XLOOKUP(tblOrdenes[[#This Row],[cod_actividad]],tblActividades[codigo],tblActividades[descripcion],"(sin catálogo)"))</f>
        <v/>
      </c>
      <c r="AD757" s="23">
        <f>IF(tblOrdenes[[#This Row],[fecha_inicio]]="","",TODAY()-tblOrdenes[[#This Row],[fecha_inicio]])</f>
        <v/>
      </c>
      <c r="AE7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5">
        <f>IF(tblOrdenes[[#This Row],[backlog_habiles]]="","",IF(tblOrdenes[[#This Row],[backlog_habiles]]&lt;0,"FUTURO",IF(tblOrdenes[[#This Row],[backlog_habiles]]&gt;p_dias_backlog_max,"BACKLOG","MES CORRIENTE")))</f>
        <v/>
      </c>
      <c r="AG757" s="5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18">
        <f>IF(tblOrdenes[[#This Row],[orden]]="","",_xlfn.XLOOKUP(tblOrdenes[[#This Row],[id_operacion]],tblEjecucion[id_operacion],tblEjecucion[precio],0))</f>
        <v/>
      </c>
      <c r="AM757" s="18">
        <f>IF(tblOrdenes[[#This Row],[orden]]="","",MAX(0,_xlfn.XLOOKUP(tblOrdenes[[#This Row],[id_operacion]],tblEjecucion[id_operacion],tblEjecucion[costo_plan_total],0)-tblOrdenes[[#This Row],[costo_servicio]]))</f>
        <v/>
      </c>
      <c r="AN757" s="18">
        <f>IF(tblOrdenes[[#This Row],[orden]]="","",tblOrdenes[[#This Row],[costo_servicio]]+tblOrdenes[[#This Row],[costo_materiales]])</f>
        <v/>
      </c>
      <c r="AO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5">
        <f>IF(tblOrdenes[[#This Row],[link_checklist]]="","",HYPERLINK(p_ruta_base_checklists&amp;tblOrdenes[[#This Row],[link_checklist]],"abrir"))</f>
        <v/>
      </c>
      <c r="AT757" s="4" t="n"/>
      <c r="AU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5" t="n"/>
      <c r="K758" s="5" t="n"/>
      <c r="L758" s="18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Row],[fecha_inicio]]="","",tblOrdenes[[#This Row],[anio]]&amp;"-"&amp;TEXT(tblOrdenes[[#This Row],[mes]],"00"))</f>
        <v/>
      </c>
      <c r="S758" s="5">
        <f>IF(tblOrdenes[[#This Row],[fecha_inicio]]="","",INDEX(lista_dias,WEEKDAY(tblOrdenes[[#This Row],[fecha_inicio]],2)))</f>
        <v/>
      </c>
      <c r="T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5">
        <f>IF(tblOrdenes[[#This Row],[tipo_ot]]="","",_xlfn.XLOOKUP(tblOrdenes[[#This Row],[tipo_ot]],tblTiposOT[codigo],tblTiposOT[clasificacion],"sin_clasificar"))</f>
        <v/>
      </c>
      <c r="V7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5">
        <f>IF(tblOrdenes[[#This Row],[centro_costo]]="","",_xlfn.XLOOKUP(tblOrdenes[[#This Row],[centro_costo]],tblCECO[codigo],tblCECO[linea],"(sin catálogo)"))</f>
        <v/>
      </c>
      <c r="Y758" s="5">
        <f>IF(tblOrdenes[[#This Row],[centro_costo]]="","",_xlfn.XLOOKUP(tblOrdenes[[#This Row],[centro_costo]],tblCECO[codigo],tblCECO[area],"(sin catálogo)"))</f>
        <v/>
      </c>
      <c r="Z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5">
        <f>IF(tblOrdenes[[#This Row],[centro_costo]]="","",_xlfn.XLOOKUP(tblOrdenes[[#This Row],[centro_costo]],tblCECO[codigo],tblCECO[coordinador],"(sin catálogo)"))</f>
        <v/>
      </c>
      <c r="AB758" s="5">
        <f>IF(tblOrdenes[[#This Row],[puesto_trabajo]]="","",_xlfn.XLOOKUP(tblOrdenes[[#This Row],[puesto_trabajo]],tblPuestos[codigo],tblPuestos[especialidad],"(sin catálogo)"))</f>
        <v/>
      </c>
      <c r="AC758" s="5">
        <f>IF(tblOrdenes[[#This Row],[cod_actividad]]="","",_xlfn.XLOOKUP(tblOrdenes[[#This Row],[cod_actividad]],tblActividades[codigo],tblActividades[descripcion],"(sin catálogo)"))</f>
        <v/>
      </c>
      <c r="AD758" s="23">
        <f>IF(tblOrdenes[[#This Row],[fecha_inicio]]="","",TODAY()-tblOrdenes[[#This Row],[fecha_inicio]])</f>
        <v/>
      </c>
      <c r="AE7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5">
        <f>IF(tblOrdenes[[#This Row],[backlog_habiles]]="","",IF(tblOrdenes[[#This Row],[backlog_habiles]]&lt;0,"FUTURO",IF(tblOrdenes[[#This Row],[backlog_habiles]]&gt;p_dias_backlog_max,"BACKLOG","MES CORRIENTE")))</f>
        <v/>
      </c>
      <c r="AG758" s="5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18">
        <f>IF(tblOrdenes[[#This Row],[orden]]="","",_xlfn.XLOOKUP(tblOrdenes[[#This Row],[id_operacion]],tblEjecucion[id_operacion],tblEjecucion[precio],0))</f>
        <v/>
      </c>
      <c r="AM758" s="18">
        <f>IF(tblOrdenes[[#This Row],[orden]]="","",MAX(0,_xlfn.XLOOKUP(tblOrdenes[[#This Row],[id_operacion]],tblEjecucion[id_operacion],tblEjecucion[costo_plan_total],0)-tblOrdenes[[#This Row],[costo_servicio]]))</f>
        <v/>
      </c>
      <c r="AN758" s="18">
        <f>IF(tblOrdenes[[#This Row],[orden]]="","",tblOrdenes[[#This Row],[costo_servicio]]+tblOrdenes[[#This Row],[costo_materiales]])</f>
        <v/>
      </c>
      <c r="AO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5">
        <f>IF(tblOrdenes[[#This Row],[link_checklist]]="","",HYPERLINK(p_ruta_base_checklists&amp;tblOrdenes[[#This Row],[link_checklist]],"abrir"))</f>
        <v/>
      </c>
      <c r="AT758" s="4" t="n"/>
      <c r="AU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5" t="n"/>
      <c r="K759" s="5" t="n"/>
      <c r="L759" s="18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Row],[fecha_inicio]]="","",tblOrdenes[[#This Row],[anio]]&amp;"-"&amp;TEXT(tblOrdenes[[#This Row],[mes]],"00"))</f>
        <v/>
      </c>
      <c r="S759" s="5">
        <f>IF(tblOrdenes[[#This Row],[fecha_inicio]]="","",INDEX(lista_dias,WEEKDAY(tblOrdenes[[#This Row],[fecha_inicio]],2)))</f>
        <v/>
      </c>
      <c r="T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5">
        <f>IF(tblOrdenes[[#This Row],[tipo_ot]]="","",_xlfn.XLOOKUP(tblOrdenes[[#This Row],[tipo_ot]],tblTiposOT[codigo],tblTiposOT[clasificacion],"sin_clasificar"))</f>
        <v/>
      </c>
      <c r="V7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5">
        <f>IF(tblOrdenes[[#This Row],[centro_costo]]="","",_xlfn.XLOOKUP(tblOrdenes[[#This Row],[centro_costo]],tblCECO[codigo],tblCECO[linea],"(sin catálogo)"))</f>
        <v/>
      </c>
      <c r="Y759" s="5">
        <f>IF(tblOrdenes[[#This Row],[centro_costo]]="","",_xlfn.XLOOKUP(tblOrdenes[[#This Row],[centro_costo]],tblCECO[codigo],tblCECO[area],"(sin catálogo)"))</f>
        <v/>
      </c>
      <c r="Z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5">
        <f>IF(tblOrdenes[[#This Row],[centro_costo]]="","",_xlfn.XLOOKUP(tblOrdenes[[#This Row],[centro_costo]],tblCECO[codigo],tblCECO[coordinador],"(sin catálogo)"))</f>
        <v/>
      </c>
      <c r="AB759" s="5">
        <f>IF(tblOrdenes[[#This Row],[puesto_trabajo]]="","",_xlfn.XLOOKUP(tblOrdenes[[#This Row],[puesto_trabajo]],tblPuestos[codigo],tblPuestos[especialidad],"(sin catálogo)"))</f>
        <v/>
      </c>
      <c r="AC759" s="5">
        <f>IF(tblOrdenes[[#This Row],[cod_actividad]]="","",_xlfn.XLOOKUP(tblOrdenes[[#This Row],[cod_actividad]],tblActividades[codigo],tblActividades[descripcion],"(sin catálogo)"))</f>
        <v/>
      </c>
      <c r="AD759" s="23">
        <f>IF(tblOrdenes[[#This Row],[fecha_inicio]]="","",TODAY()-tblOrdenes[[#This Row],[fecha_inicio]])</f>
        <v/>
      </c>
      <c r="AE7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5">
        <f>IF(tblOrdenes[[#This Row],[backlog_habiles]]="","",IF(tblOrdenes[[#This Row],[backlog_habiles]]&lt;0,"FUTURO",IF(tblOrdenes[[#This Row],[backlog_habiles]]&gt;p_dias_backlog_max,"BACKLOG","MES CORRIENTE")))</f>
        <v/>
      </c>
      <c r="AG759" s="5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18">
        <f>IF(tblOrdenes[[#This Row],[orden]]="","",_xlfn.XLOOKUP(tblOrdenes[[#This Row],[id_operacion]],tblEjecucion[id_operacion],tblEjecucion[precio],0))</f>
        <v/>
      </c>
      <c r="AM759" s="18">
        <f>IF(tblOrdenes[[#This Row],[orden]]="","",MAX(0,_xlfn.XLOOKUP(tblOrdenes[[#This Row],[id_operacion]],tblEjecucion[id_operacion],tblEjecucion[costo_plan_total],0)-tblOrdenes[[#This Row],[costo_servicio]]))</f>
        <v/>
      </c>
      <c r="AN759" s="18">
        <f>IF(tblOrdenes[[#This Row],[orden]]="","",tblOrdenes[[#This Row],[costo_servicio]]+tblOrdenes[[#This Row],[costo_materiales]])</f>
        <v/>
      </c>
      <c r="AO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5">
        <f>IF(tblOrdenes[[#This Row],[link_checklist]]="","",HYPERLINK(p_ruta_base_checklists&amp;tblOrdenes[[#This Row],[link_checklist]],"abrir"))</f>
        <v/>
      </c>
      <c r="AT759" s="4" t="n"/>
      <c r="AU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5" t="n"/>
      <c r="K760" s="5" t="n"/>
      <c r="L760" s="18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Row],[fecha_inicio]]="","",tblOrdenes[[#This Row],[anio]]&amp;"-"&amp;TEXT(tblOrdenes[[#This Row],[mes]],"00"))</f>
        <v/>
      </c>
      <c r="S760" s="5">
        <f>IF(tblOrdenes[[#This Row],[fecha_inicio]]="","",INDEX(lista_dias,WEEKDAY(tblOrdenes[[#This Row],[fecha_inicio]],2)))</f>
        <v/>
      </c>
      <c r="T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5">
        <f>IF(tblOrdenes[[#This Row],[tipo_ot]]="","",_xlfn.XLOOKUP(tblOrdenes[[#This Row],[tipo_ot]],tblTiposOT[codigo],tblTiposOT[clasificacion],"sin_clasificar"))</f>
        <v/>
      </c>
      <c r="V7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5">
        <f>IF(tblOrdenes[[#This Row],[centro_costo]]="","",_xlfn.XLOOKUP(tblOrdenes[[#This Row],[centro_costo]],tblCECO[codigo],tblCECO[linea],"(sin catálogo)"))</f>
        <v/>
      </c>
      <c r="Y760" s="5">
        <f>IF(tblOrdenes[[#This Row],[centro_costo]]="","",_xlfn.XLOOKUP(tblOrdenes[[#This Row],[centro_costo]],tblCECO[codigo],tblCECO[area],"(sin catálogo)"))</f>
        <v/>
      </c>
      <c r="Z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5">
        <f>IF(tblOrdenes[[#This Row],[centro_costo]]="","",_xlfn.XLOOKUP(tblOrdenes[[#This Row],[centro_costo]],tblCECO[codigo],tblCECO[coordinador],"(sin catálogo)"))</f>
        <v/>
      </c>
      <c r="AB760" s="5">
        <f>IF(tblOrdenes[[#This Row],[puesto_trabajo]]="","",_xlfn.XLOOKUP(tblOrdenes[[#This Row],[puesto_trabajo]],tblPuestos[codigo],tblPuestos[especialidad],"(sin catálogo)"))</f>
        <v/>
      </c>
      <c r="AC760" s="5">
        <f>IF(tblOrdenes[[#This Row],[cod_actividad]]="","",_xlfn.XLOOKUP(tblOrdenes[[#This Row],[cod_actividad]],tblActividades[codigo],tblActividades[descripcion],"(sin catálogo)"))</f>
        <v/>
      </c>
      <c r="AD760" s="23">
        <f>IF(tblOrdenes[[#This Row],[fecha_inicio]]="","",TODAY()-tblOrdenes[[#This Row],[fecha_inicio]])</f>
        <v/>
      </c>
      <c r="AE7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5">
        <f>IF(tblOrdenes[[#This Row],[backlog_habiles]]="","",IF(tblOrdenes[[#This Row],[backlog_habiles]]&lt;0,"FUTURO",IF(tblOrdenes[[#This Row],[backlog_habiles]]&gt;p_dias_backlog_max,"BACKLOG","MES CORRIENTE")))</f>
        <v/>
      </c>
      <c r="AG760" s="5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18">
        <f>IF(tblOrdenes[[#This Row],[orden]]="","",_xlfn.XLOOKUP(tblOrdenes[[#This Row],[id_operacion]],tblEjecucion[id_operacion],tblEjecucion[precio],0))</f>
        <v/>
      </c>
      <c r="AM760" s="18">
        <f>IF(tblOrdenes[[#This Row],[orden]]="","",MAX(0,_xlfn.XLOOKUP(tblOrdenes[[#This Row],[id_operacion]],tblEjecucion[id_operacion],tblEjecucion[costo_plan_total],0)-tblOrdenes[[#This Row],[costo_servicio]]))</f>
        <v/>
      </c>
      <c r="AN760" s="18">
        <f>IF(tblOrdenes[[#This Row],[orden]]="","",tblOrdenes[[#This Row],[costo_servicio]]+tblOrdenes[[#This Row],[costo_materiales]])</f>
        <v/>
      </c>
      <c r="AO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5">
        <f>IF(tblOrdenes[[#This Row],[link_checklist]]="","",HYPERLINK(p_ruta_base_checklists&amp;tblOrdenes[[#This Row],[link_checklist]],"abrir"))</f>
        <v/>
      </c>
      <c r="AT760" s="4" t="n"/>
      <c r="AU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5" t="n"/>
      <c r="K761" s="5" t="n"/>
      <c r="L761" s="18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Row],[fecha_inicio]]="","",tblOrdenes[[#This Row],[anio]]&amp;"-"&amp;TEXT(tblOrdenes[[#This Row],[mes]],"00"))</f>
        <v/>
      </c>
      <c r="S761" s="5">
        <f>IF(tblOrdenes[[#This Row],[fecha_inicio]]="","",INDEX(lista_dias,WEEKDAY(tblOrdenes[[#This Row],[fecha_inicio]],2)))</f>
        <v/>
      </c>
      <c r="T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5">
        <f>IF(tblOrdenes[[#This Row],[tipo_ot]]="","",_xlfn.XLOOKUP(tblOrdenes[[#This Row],[tipo_ot]],tblTiposOT[codigo],tblTiposOT[clasificacion],"sin_clasificar"))</f>
        <v/>
      </c>
      <c r="V7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5">
        <f>IF(tblOrdenes[[#This Row],[centro_costo]]="","",_xlfn.XLOOKUP(tblOrdenes[[#This Row],[centro_costo]],tblCECO[codigo],tblCECO[linea],"(sin catálogo)"))</f>
        <v/>
      </c>
      <c r="Y761" s="5">
        <f>IF(tblOrdenes[[#This Row],[centro_costo]]="","",_xlfn.XLOOKUP(tblOrdenes[[#This Row],[centro_costo]],tblCECO[codigo],tblCECO[area],"(sin catálogo)"))</f>
        <v/>
      </c>
      <c r="Z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5">
        <f>IF(tblOrdenes[[#This Row],[centro_costo]]="","",_xlfn.XLOOKUP(tblOrdenes[[#This Row],[centro_costo]],tblCECO[codigo],tblCECO[coordinador],"(sin catálogo)"))</f>
        <v/>
      </c>
      <c r="AB761" s="5">
        <f>IF(tblOrdenes[[#This Row],[puesto_trabajo]]="","",_xlfn.XLOOKUP(tblOrdenes[[#This Row],[puesto_trabajo]],tblPuestos[codigo],tblPuestos[especialidad],"(sin catálogo)"))</f>
        <v/>
      </c>
      <c r="AC761" s="5">
        <f>IF(tblOrdenes[[#This Row],[cod_actividad]]="","",_xlfn.XLOOKUP(tblOrdenes[[#This Row],[cod_actividad]],tblActividades[codigo],tblActividades[descripcion],"(sin catálogo)"))</f>
        <v/>
      </c>
      <c r="AD761" s="23">
        <f>IF(tblOrdenes[[#This Row],[fecha_inicio]]="","",TODAY()-tblOrdenes[[#This Row],[fecha_inicio]])</f>
        <v/>
      </c>
      <c r="AE7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5">
        <f>IF(tblOrdenes[[#This Row],[backlog_habiles]]="","",IF(tblOrdenes[[#This Row],[backlog_habiles]]&lt;0,"FUTURO",IF(tblOrdenes[[#This Row],[backlog_habiles]]&gt;p_dias_backlog_max,"BACKLOG","MES CORRIENTE")))</f>
        <v/>
      </c>
      <c r="AG761" s="5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18">
        <f>IF(tblOrdenes[[#This Row],[orden]]="","",_xlfn.XLOOKUP(tblOrdenes[[#This Row],[id_operacion]],tblEjecucion[id_operacion],tblEjecucion[precio],0))</f>
        <v/>
      </c>
      <c r="AM761" s="18">
        <f>IF(tblOrdenes[[#This Row],[orden]]="","",MAX(0,_xlfn.XLOOKUP(tblOrdenes[[#This Row],[id_operacion]],tblEjecucion[id_operacion],tblEjecucion[costo_plan_total],0)-tblOrdenes[[#This Row],[costo_servicio]]))</f>
        <v/>
      </c>
      <c r="AN761" s="18">
        <f>IF(tblOrdenes[[#This Row],[orden]]="","",tblOrdenes[[#This Row],[costo_servicio]]+tblOrdenes[[#This Row],[costo_materiales]])</f>
        <v/>
      </c>
      <c r="AO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5">
        <f>IF(tblOrdenes[[#This Row],[link_checklist]]="","",HYPERLINK(p_ruta_base_checklists&amp;tblOrdenes[[#This Row],[link_checklist]],"abrir"))</f>
        <v/>
      </c>
      <c r="AT761" s="4" t="n"/>
      <c r="AU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5" t="n"/>
      <c r="K762" s="5" t="n"/>
      <c r="L762" s="18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Row],[fecha_inicio]]="","",tblOrdenes[[#This Row],[anio]]&amp;"-"&amp;TEXT(tblOrdenes[[#This Row],[mes]],"00"))</f>
        <v/>
      </c>
      <c r="S762" s="5">
        <f>IF(tblOrdenes[[#This Row],[fecha_inicio]]="","",INDEX(lista_dias,WEEKDAY(tblOrdenes[[#This Row],[fecha_inicio]],2)))</f>
        <v/>
      </c>
      <c r="T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5">
        <f>IF(tblOrdenes[[#This Row],[tipo_ot]]="","",_xlfn.XLOOKUP(tblOrdenes[[#This Row],[tipo_ot]],tblTiposOT[codigo],tblTiposOT[clasificacion],"sin_clasificar"))</f>
        <v/>
      </c>
      <c r="V7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5">
        <f>IF(tblOrdenes[[#This Row],[centro_costo]]="","",_xlfn.XLOOKUP(tblOrdenes[[#This Row],[centro_costo]],tblCECO[codigo],tblCECO[linea],"(sin catálogo)"))</f>
        <v/>
      </c>
      <c r="Y762" s="5">
        <f>IF(tblOrdenes[[#This Row],[centro_costo]]="","",_xlfn.XLOOKUP(tblOrdenes[[#This Row],[centro_costo]],tblCECO[codigo],tblCECO[area],"(sin catálogo)"))</f>
        <v/>
      </c>
      <c r="Z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5">
        <f>IF(tblOrdenes[[#This Row],[centro_costo]]="","",_xlfn.XLOOKUP(tblOrdenes[[#This Row],[centro_costo]],tblCECO[codigo],tblCECO[coordinador],"(sin catálogo)"))</f>
        <v/>
      </c>
      <c r="AB762" s="5">
        <f>IF(tblOrdenes[[#This Row],[puesto_trabajo]]="","",_xlfn.XLOOKUP(tblOrdenes[[#This Row],[puesto_trabajo]],tblPuestos[codigo],tblPuestos[especialidad],"(sin catálogo)"))</f>
        <v/>
      </c>
      <c r="AC762" s="5">
        <f>IF(tblOrdenes[[#This Row],[cod_actividad]]="","",_xlfn.XLOOKUP(tblOrdenes[[#This Row],[cod_actividad]],tblActividades[codigo],tblActividades[descripcion],"(sin catálogo)"))</f>
        <v/>
      </c>
      <c r="AD762" s="23">
        <f>IF(tblOrdenes[[#This Row],[fecha_inicio]]="","",TODAY()-tblOrdenes[[#This Row],[fecha_inicio]])</f>
        <v/>
      </c>
      <c r="AE7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5">
        <f>IF(tblOrdenes[[#This Row],[backlog_habiles]]="","",IF(tblOrdenes[[#This Row],[backlog_habiles]]&lt;0,"FUTURO",IF(tblOrdenes[[#This Row],[backlog_habiles]]&gt;p_dias_backlog_max,"BACKLOG","MES CORRIENTE")))</f>
        <v/>
      </c>
      <c r="AG762" s="5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18">
        <f>IF(tblOrdenes[[#This Row],[orden]]="","",_xlfn.XLOOKUP(tblOrdenes[[#This Row],[id_operacion]],tblEjecucion[id_operacion],tblEjecucion[precio],0))</f>
        <v/>
      </c>
      <c r="AM762" s="18">
        <f>IF(tblOrdenes[[#This Row],[orden]]="","",MAX(0,_xlfn.XLOOKUP(tblOrdenes[[#This Row],[id_operacion]],tblEjecucion[id_operacion],tblEjecucion[costo_plan_total],0)-tblOrdenes[[#This Row],[costo_servicio]]))</f>
        <v/>
      </c>
      <c r="AN762" s="18">
        <f>IF(tblOrdenes[[#This Row],[orden]]="","",tblOrdenes[[#This Row],[costo_servicio]]+tblOrdenes[[#This Row],[costo_materiales]])</f>
        <v/>
      </c>
      <c r="AO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5">
        <f>IF(tblOrdenes[[#This Row],[link_checklist]]="","",HYPERLINK(p_ruta_base_checklists&amp;tblOrdenes[[#This Row],[link_checklist]],"abrir"))</f>
        <v/>
      </c>
      <c r="AT762" s="4" t="n"/>
      <c r="AU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5" t="n"/>
      <c r="K763" s="5" t="n"/>
      <c r="L763" s="18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Row],[fecha_inicio]]="","",tblOrdenes[[#This Row],[anio]]&amp;"-"&amp;TEXT(tblOrdenes[[#This Row],[mes]],"00"))</f>
        <v/>
      </c>
      <c r="S763" s="5">
        <f>IF(tblOrdenes[[#This Row],[fecha_inicio]]="","",INDEX(lista_dias,WEEKDAY(tblOrdenes[[#This Row],[fecha_inicio]],2)))</f>
        <v/>
      </c>
      <c r="T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5">
        <f>IF(tblOrdenes[[#This Row],[tipo_ot]]="","",_xlfn.XLOOKUP(tblOrdenes[[#This Row],[tipo_ot]],tblTiposOT[codigo],tblTiposOT[clasificacion],"sin_clasificar"))</f>
        <v/>
      </c>
      <c r="V7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5">
        <f>IF(tblOrdenes[[#This Row],[centro_costo]]="","",_xlfn.XLOOKUP(tblOrdenes[[#This Row],[centro_costo]],tblCECO[codigo],tblCECO[linea],"(sin catálogo)"))</f>
        <v/>
      </c>
      <c r="Y763" s="5">
        <f>IF(tblOrdenes[[#This Row],[centro_costo]]="","",_xlfn.XLOOKUP(tblOrdenes[[#This Row],[centro_costo]],tblCECO[codigo],tblCECO[area],"(sin catálogo)"))</f>
        <v/>
      </c>
      <c r="Z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5">
        <f>IF(tblOrdenes[[#This Row],[centro_costo]]="","",_xlfn.XLOOKUP(tblOrdenes[[#This Row],[centro_costo]],tblCECO[codigo],tblCECO[coordinador],"(sin catálogo)"))</f>
        <v/>
      </c>
      <c r="AB763" s="5">
        <f>IF(tblOrdenes[[#This Row],[puesto_trabajo]]="","",_xlfn.XLOOKUP(tblOrdenes[[#This Row],[puesto_trabajo]],tblPuestos[codigo],tblPuestos[especialidad],"(sin catálogo)"))</f>
        <v/>
      </c>
      <c r="AC763" s="5">
        <f>IF(tblOrdenes[[#This Row],[cod_actividad]]="","",_xlfn.XLOOKUP(tblOrdenes[[#This Row],[cod_actividad]],tblActividades[codigo],tblActividades[descripcion],"(sin catálogo)"))</f>
        <v/>
      </c>
      <c r="AD763" s="23">
        <f>IF(tblOrdenes[[#This Row],[fecha_inicio]]="","",TODAY()-tblOrdenes[[#This Row],[fecha_inicio]])</f>
        <v/>
      </c>
      <c r="AE7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5">
        <f>IF(tblOrdenes[[#This Row],[backlog_habiles]]="","",IF(tblOrdenes[[#This Row],[backlog_habiles]]&lt;0,"FUTURO",IF(tblOrdenes[[#This Row],[backlog_habiles]]&gt;p_dias_backlog_max,"BACKLOG","MES CORRIENTE")))</f>
        <v/>
      </c>
      <c r="AG763" s="5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18">
        <f>IF(tblOrdenes[[#This Row],[orden]]="","",_xlfn.XLOOKUP(tblOrdenes[[#This Row],[id_operacion]],tblEjecucion[id_operacion],tblEjecucion[precio],0))</f>
        <v/>
      </c>
      <c r="AM763" s="18">
        <f>IF(tblOrdenes[[#This Row],[orden]]="","",MAX(0,_xlfn.XLOOKUP(tblOrdenes[[#This Row],[id_operacion]],tblEjecucion[id_operacion],tblEjecucion[costo_plan_total],0)-tblOrdenes[[#This Row],[costo_servicio]]))</f>
        <v/>
      </c>
      <c r="AN763" s="18">
        <f>IF(tblOrdenes[[#This Row],[orden]]="","",tblOrdenes[[#This Row],[costo_servicio]]+tblOrdenes[[#This Row],[costo_materiales]])</f>
        <v/>
      </c>
      <c r="AO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5">
        <f>IF(tblOrdenes[[#This Row],[link_checklist]]="","",HYPERLINK(p_ruta_base_checklists&amp;tblOrdenes[[#This Row],[link_checklist]],"abrir"))</f>
        <v/>
      </c>
      <c r="AT763" s="4" t="n"/>
      <c r="AU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5" t="n"/>
      <c r="K764" s="5" t="n"/>
      <c r="L764" s="18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Row],[fecha_inicio]]="","",tblOrdenes[[#This Row],[anio]]&amp;"-"&amp;TEXT(tblOrdenes[[#This Row],[mes]],"00"))</f>
        <v/>
      </c>
      <c r="S764" s="5">
        <f>IF(tblOrdenes[[#This Row],[fecha_inicio]]="","",INDEX(lista_dias,WEEKDAY(tblOrdenes[[#This Row],[fecha_inicio]],2)))</f>
        <v/>
      </c>
      <c r="T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5">
        <f>IF(tblOrdenes[[#This Row],[tipo_ot]]="","",_xlfn.XLOOKUP(tblOrdenes[[#This Row],[tipo_ot]],tblTiposOT[codigo],tblTiposOT[clasificacion],"sin_clasificar"))</f>
        <v/>
      </c>
      <c r="V7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5">
        <f>IF(tblOrdenes[[#This Row],[centro_costo]]="","",_xlfn.XLOOKUP(tblOrdenes[[#This Row],[centro_costo]],tblCECO[codigo],tblCECO[linea],"(sin catálogo)"))</f>
        <v/>
      </c>
      <c r="Y764" s="5">
        <f>IF(tblOrdenes[[#This Row],[centro_costo]]="","",_xlfn.XLOOKUP(tblOrdenes[[#This Row],[centro_costo]],tblCECO[codigo],tblCECO[area],"(sin catálogo)"))</f>
        <v/>
      </c>
      <c r="Z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5">
        <f>IF(tblOrdenes[[#This Row],[centro_costo]]="","",_xlfn.XLOOKUP(tblOrdenes[[#This Row],[centro_costo]],tblCECO[codigo],tblCECO[coordinador],"(sin catálogo)"))</f>
        <v/>
      </c>
      <c r="AB764" s="5">
        <f>IF(tblOrdenes[[#This Row],[puesto_trabajo]]="","",_xlfn.XLOOKUP(tblOrdenes[[#This Row],[puesto_trabajo]],tblPuestos[codigo],tblPuestos[especialidad],"(sin catálogo)"))</f>
        <v/>
      </c>
      <c r="AC764" s="5">
        <f>IF(tblOrdenes[[#This Row],[cod_actividad]]="","",_xlfn.XLOOKUP(tblOrdenes[[#This Row],[cod_actividad]],tblActividades[codigo],tblActividades[descripcion],"(sin catálogo)"))</f>
        <v/>
      </c>
      <c r="AD764" s="23">
        <f>IF(tblOrdenes[[#This Row],[fecha_inicio]]="","",TODAY()-tblOrdenes[[#This Row],[fecha_inicio]])</f>
        <v/>
      </c>
      <c r="AE7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5">
        <f>IF(tblOrdenes[[#This Row],[backlog_habiles]]="","",IF(tblOrdenes[[#This Row],[backlog_habiles]]&lt;0,"FUTURO",IF(tblOrdenes[[#This Row],[backlog_habiles]]&gt;p_dias_backlog_max,"BACKLOG","MES CORRIENTE")))</f>
        <v/>
      </c>
      <c r="AG764" s="5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18">
        <f>IF(tblOrdenes[[#This Row],[orden]]="","",_xlfn.XLOOKUP(tblOrdenes[[#This Row],[id_operacion]],tblEjecucion[id_operacion],tblEjecucion[precio],0))</f>
        <v/>
      </c>
      <c r="AM764" s="18">
        <f>IF(tblOrdenes[[#This Row],[orden]]="","",MAX(0,_xlfn.XLOOKUP(tblOrdenes[[#This Row],[id_operacion]],tblEjecucion[id_operacion],tblEjecucion[costo_plan_total],0)-tblOrdenes[[#This Row],[costo_servicio]]))</f>
        <v/>
      </c>
      <c r="AN764" s="18">
        <f>IF(tblOrdenes[[#This Row],[orden]]="","",tblOrdenes[[#This Row],[costo_servicio]]+tblOrdenes[[#This Row],[costo_materiales]])</f>
        <v/>
      </c>
      <c r="AO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5">
        <f>IF(tblOrdenes[[#This Row],[link_checklist]]="","",HYPERLINK(p_ruta_base_checklists&amp;tblOrdenes[[#This Row],[link_checklist]],"abrir"))</f>
        <v/>
      </c>
      <c r="AT764" s="4" t="n"/>
      <c r="AU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5" t="n"/>
      <c r="K765" s="5" t="n"/>
      <c r="L765" s="18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Row],[fecha_inicio]]="","",tblOrdenes[[#This Row],[anio]]&amp;"-"&amp;TEXT(tblOrdenes[[#This Row],[mes]],"00"))</f>
        <v/>
      </c>
      <c r="S765" s="5">
        <f>IF(tblOrdenes[[#This Row],[fecha_inicio]]="","",INDEX(lista_dias,WEEKDAY(tblOrdenes[[#This Row],[fecha_inicio]],2)))</f>
        <v/>
      </c>
      <c r="T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5">
        <f>IF(tblOrdenes[[#This Row],[tipo_ot]]="","",_xlfn.XLOOKUP(tblOrdenes[[#This Row],[tipo_ot]],tblTiposOT[codigo],tblTiposOT[clasificacion],"sin_clasificar"))</f>
        <v/>
      </c>
      <c r="V7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5">
        <f>IF(tblOrdenes[[#This Row],[centro_costo]]="","",_xlfn.XLOOKUP(tblOrdenes[[#This Row],[centro_costo]],tblCECO[codigo],tblCECO[linea],"(sin catálogo)"))</f>
        <v/>
      </c>
      <c r="Y765" s="5">
        <f>IF(tblOrdenes[[#This Row],[centro_costo]]="","",_xlfn.XLOOKUP(tblOrdenes[[#This Row],[centro_costo]],tblCECO[codigo],tblCECO[area],"(sin catálogo)"))</f>
        <v/>
      </c>
      <c r="Z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5">
        <f>IF(tblOrdenes[[#This Row],[centro_costo]]="","",_xlfn.XLOOKUP(tblOrdenes[[#This Row],[centro_costo]],tblCECO[codigo],tblCECO[coordinador],"(sin catálogo)"))</f>
        <v/>
      </c>
      <c r="AB765" s="5">
        <f>IF(tblOrdenes[[#This Row],[puesto_trabajo]]="","",_xlfn.XLOOKUP(tblOrdenes[[#This Row],[puesto_trabajo]],tblPuestos[codigo],tblPuestos[especialidad],"(sin catálogo)"))</f>
        <v/>
      </c>
      <c r="AC765" s="5">
        <f>IF(tblOrdenes[[#This Row],[cod_actividad]]="","",_xlfn.XLOOKUP(tblOrdenes[[#This Row],[cod_actividad]],tblActividades[codigo],tblActividades[descripcion],"(sin catálogo)"))</f>
        <v/>
      </c>
      <c r="AD765" s="23">
        <f>IF(tblOrdenes[[#This Row],[fecha_inicio]]="","",TODAY()-tblOrdenes[[#This Row],[fecha_inicio]])</f>
        <v/>
      </c>
      <c r="AE7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5">
        <f>IF(tblOrdenes[[#This Row],[backlog_habiles]]="","",IF(tblOrdenes[[#This Row],[backlog_habiles]]&lt;0,"FUTURO",IF(tblOrdenes[[#This Row],[backlog_habiles]]&gt;p_dias_backlog_max,"BACKLOG","MES CORRIENTE")))</f>
        <v/>
      </c>
      <c r="AG765" s="5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18">
        <f>IF(tblOrdenes[[#This Row],[orden]]="","",_xlfn.XLOOKUP(tblOrdenes[[#This Row],[id_operacion]],tblEjecucion[id_operacion],tblEjecucion[precio],0))</f>
        <v/>
      </c>
      <c r="AM765" s="18">
        <f>IF(tblOrdenes[[#This Row],[orden]]="","",MAX(0,_xlfn.XLOOKUP(tblOrdenes[[#This Row],[id_operacion]],tblEjecucion[id_operacion],tblEjecucion[costo_plan_total],0)-tblOrdenes[[#This Row],[costo_servicio]]))</f>
        <v/>
      </c>
      <c r="AN765" s="18">
        <f>IF(tblOrdenes[[#This Row],[orden]]="","",tblOrdenes[[#This Row],[costo_servicio]]+tblOrdenes[[#This Row],[costo_materiales]])</f>
        <v/>
      </c>
      <c r="AO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5">
        <f>IF(tblOrdenes[[#This Row],[link_checklist]]="","",HYPERLINK(p_ruta_base_checklists&amp;tblOrdenes[[#This Row],[link_checklist]],"abrir"))</f>
        <v/>
      </c>
      <c r="AT765" s="4" t="n"/>
      <c r="AU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5" t="n"/>
      <c r="K766" s="5" t="n"/>
      <c r="L766" s="18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Row],[fecha_inicio]]="","",tblOrdenes[[#This Row],[anio]]&amp;"-"&amp;TEXT(tblOrdenes[[#This Row],[mes]],"00"))</f>
        <v/>
      </c>
      <c r="S766" s="5">
        <f>IF(tblOrdenes[[#This Row],[fecha_inicio]]="","",INDEX(lista_dias,WEEKDAY(tblOrdenes[[#This Row],[fecha_inicio]],2)))</f>
        <v/>
      </c>
      <c r="T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5">
        <f>IF(tblOrdenes[[#This Row],[tipo_ot]]="","",_xlfn.XLOOKUP(tblOrdenes[[#This Row],[tipo_ot]],tblTiposOT[codigo],tblTiposOT[clasificacion],"sin_clasificar"))</f>
        <v/>
      </c>
      <c r="V7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5">
        <f>IF(tblOrdenes[[#This Row],[centro_costo]]="","",_xlfn.XLOOKUP(tblOrdenes[[#This Row],[centro_costo]],tblCECO[codigo],tblCECO[linea],"(sin catálogo)"))</f>
        <v/>
      </c>
      <c r="Y766" s="5">
        <f>IF(tblOrdenes[[#This Row],[centro_costo]]="","",_xlfn.XLOOKUP(tblOrdenes[[#This Row],[centro_costo]],tblCECO[codigo],tblCECO[area],"(sin catálogo)"))</f>
        <v/>
      </c>
      <c r="Z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5">
        <f>IF(tblOrdenes[[#This Row],[centro_costo]]="","",_xlfn.XLOOKUP(tblOrdenes[[#This Row],[centro_costo]],tblCECO[codigo],tblCECO[coordinador],"(sin catálogo)"))</f>
        <v/>
      </c>
      <c r="AB766" s="5">
        <f>IF(tblOrdenes[[#This Row],[puesto_trabajo]]="","",_xlfn.XLOOKUP(tblOrdenes[[#This Row],[puesto_trabajo]],tblPuestos[codigo],tblPuestos[especialidad],"(sin catálogo)"))</f>
        <v/>
      </c>
      <c r="AC766" s="5">
        <f>IF(tblOrdenes[[#This Row],[cod_actividad]]="","",_xlfn.XLOOKUP(tblOrdenes[[#This Row],[cod_actividad]],tblActividades[codigo],tblActividades[descripcion],"(sin catálogo)"))</f>
        <v/>
      </c>
      <c r="AD766" s="23">
        <f>IF(tblOrdenes[[#This Row],[fecha_inicio]]="","",TODAY()-tblOrdenes[[#This Row],[fecha_inicio]])</f>
        <v/>
      </c>
      <c r="AE7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5">
        <f>IF(tblOrdenes[[#This Row],[backlog_habiles]]="","",IF(tblOrdenes[[#This Row],[backlog_habiles]]&lt;0,"FUTURO",IF(tblOrdenes[[#This Row],[backlog_habiles]]&gt;p_dias_backlog_max,"BACKLOG","MES CORRIENTE")))</f>
        <v/>
      </c>
      <c r="AG766" s="5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18">
        <f>IF(tblOrdenes[[#This Row],[orden]]="","",_xlfn.XLOOKUP(tblOrdenes[[#This Row],[id_operacion]],tblEjecucion[id_operacion],tblEjecucion[precio],0))</f>
        <v/>
      </c>
      <c r="AM766" s="18">
        <f>IF(tblOrdenes[[#This Row],[orden]]="","",MAX(0,_xlfn.XLOOKUP(tblOrdenes[[#This Row],[id_operacion]],tblEjecucion[id_operacion],tblEjecucion[costo_plan_total],0)-tblOrdenes[[#This Row],[costo_servicio]]))</f>
        <v/>
      </c>
      <c r="AN766" s="18">
        <f>IF(tblOrdenes[[#This Row],[orden]]="","",tblOrdenes[[#This Row],[costo_servicio]]+tblOrdenes[[#This Row],[costo_materiales]])</f>
        <v/>
      </c>
      <c r="AO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5">
        <f>IF(tblOrdenes[[#This Row],[link_checklist]]="","",HYPERLINK(p_ruta_base_checklists&amp;tblOrdenes[[#This Row],[link_checklist]],"abrir"))</f>
        <v/>
      </c>
      <c r="AT766" s="4" t="n"/>
      <c r="AU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5" t="n"/>
      <c r="K767" s="5" t="n"/>
      <c r="L767" s="18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Row],[fecha_inicio]]="","",tblOrdenes[[#This Row],[anio]]&amp;"-"&amp;TEXT(tblOrdenes[[#This Row],[mes]],"00"))</f>
        <v/>
      </c>
      <c r="S767" s="5">
        <f>IF(tblOrdenes[[#This Row],[fecha_inicio]]="","",INDEX(lista_dias,WEEKDAY(tblOrdenes[[#This Row],[fecha_inicio]],2)))</f>
        <v/>
      </c>
      <c r="T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5">
        <f>IF(tblOrdenes[[#This Row],[tipo_ot]]="","",_xlfn.XLOOKUP(tblOrdenes[[#This Row],[tipo_ot]],tblTiposOT[codigo],tblTiposOT[clasificacion],"sin_clasificar"))</f>
        <v/>
      </c>
      <c r="V7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5">
        <f>IF(tblOrdenes[[#This Row],[centro_costo]]="","",_xlfn.XLOOKUP(tblOrdenes[[#This Row],[centro_costo]],tblCECO[codigo],tblCECO[linea],"(sin catálogo)"))</f>
        <v/>
      </c>
      <c r="Y767" s="5">
        <f>IF(tblOrdenes[[#This Row],[centro_costo]]="","",_xlfn.XLOOKUP(tblOrdenes[[#This Row],[centro_costo]],tblCECO[codigo],tblCECO[area],"(sin catálogo)"))</f>
        <v/>
      </c>
      <c r="Z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5">
        <f>IF(tblOrdenes[[#This Row],[centro_costo]]="","",_xlfn.XLOOKUP(tblOrdenes[[#This Row],[centro_costo]],tblCECO[codigo],tblCECO[coordinador],"(sin catálogo)"))</f>
        <v/>
      </c>
      <c r="AB767" s="5">
        <f>IF(tblOrdenes[[#This Row],[puesto_trabajo]]="","",_xlfn.XLOOKUP(tblOrdenes[[#This Row],[puesto_trabajo]],tblPuestos[codigo],tblPuestos[especialidad],"(sin catálogo)"))</f>
        <v/>
      </c>
      <c r="AC767" s="5">
        <f>IF(tblOrdenes[[#This Row],[cod_actividad]]="","",_xlfn.XLOOKUP(tblOrdenes[[#This Row],[cod_actividad]],tblActividades[codigo],tblActividades[descripcion],"(sin catálogo)"))</f>
        <v/>
      </c>
      <c r="AD767" s="23">
        <f>IF(tblOrdenes[[#This Row],[fecha_inicio]]="","",TODAY()-tblOrdenes[[#This Row],[fecha_inicio]])</f>
        <v/>
      </c>
      <c r="AE7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5">
        <f>IF(tblOrdenes[[#This Row],[backlog_habiles]]="","",IF(tblOrdenes[[#This Row],[backlog_habiles]]&lt;0,"FUTURO",IF(tblOrdenes[[#This Row],[backlog_habiles]]&gt;p_dias_backlog_max,"BACKLOG","MES CORRIENTE")))</f>
        <v/>
      </c>
      <c r="AG767" s="5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18">
        <f>IF(tblOrdenes[[#This Row],[orden]]="","",_xlfn.XLOOKUP(tblOrdenes[[#This Row],[id_operacion]],tblEjecucion[id_operacion],tblEjecucion[precio],0))</f>
        <v/>
      </c>
      <c r="AM767" s="18">
        <f>IF(tblOrdenes[[#This Row],[orden]]="","",MAX(0,_xlfn.XLOOKUP(tblOrdenes[[#This Row],[id_operacion]],tblEjecucion[id_operacion],tblEjecucion[costo_plan_total],0)-tblOrdenes[[#This Row],[costo_servicio]]))</f>
        <v/>
      </c>
      <c r="AN767" s="18">
        <f>IF(tblOrdenes[[#This Row],[orden]]="","",tblOrdenes[[#This Row],[costo_servicio]]+tblOrdenes[[#This Row],[costo_materiales]])</f>
        <v/>
      </c>
      <c r="AO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5">
        <f>IF(tblOrdenes[[#This Row],[link_checklist]]="","",HYPERLINK(p_ruta_base_checklists&amp;tblOrdenes[[#This Row],[link_checklist]],"abrir"))</f>
        <v/>
      </c>
      <c r="AT767" s="4" t="n"/>
      <c r="AU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5" t="n"/>
      <c r="K768" s="5" t="n"/>
      <c r="L768" s="18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Row],[fecha_inicio]]="","",tblOrdenes[[#This Row],[anio]]&amp;"-"&amp;TEXT(tblOrdenes[[#This Row],[mes]],"00"))</f>
        <v/>
      </c>
      <c r="S768" s="5">
        <f>IF(tblOrdenes[[#This Row],[fecha_inicio]]="","",INDEX(lista_dias,WEEKDAY(tblOrdenes[[#This Row],[fecha_inicio]],2)))</f>
        <v/>
      </c>
      <c r="T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5">
        <f>IF(tblOrdenes[[#This Row],[tipo_ot]]="","",_xlfn.XLOOKUP(tblOrdenes[[#This Row],[tipo_ot]],tblTiposOT[codigo],tblTiposOT[clasificacion],"sin_clasificar"))</f>
        <v/>
      </c>
      <c r="V7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5">
        <f>IF(tblOrdenes[[#This Row],[centro_costo]]="","",_xlfn.XLOOKUP(tblOrdenes[[#This Row],[centro_costo]],tblCECO[codigo],tblCECO[linea],"(sin catálogo)"))</f>
        <v/>
      </c>
      <c r="Y768" s="5">
        <f>IF(tblOrdenes[[#This Row],[centro_costo]]="","",_xlfn.XLOOKUP(tblOrdenes[[#This Row],[centro_costo]],tblCECO[codigo],tblCECO[area],"(sin catálogo)"))</f>
        <v/>
      </c>
      <c r="Z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5">
        <f>IF(tblOrdenes[[#This Row],[centro_costo]]="","",_xlfn.XLOOKUP(tblOrdenes[[#This Row],[centro_costo]],tblCECO[codigo],tblCECO[coordinador],"(sin catálogo)"))</f>
        <v/>
      </c>
      <c r="AB768" s="5">
        <f>IF(tblOrdenes[[#This Row],[puesto_trabajo]]="","",_xlfn.XLOOKUP(tblOrdenes[[#This Row],[puesto_trabajo]],tblPuestos[codigo],tblPuestos[especialidad],"(sin catálogo)"))</f>
        <v/>
      </c>
      <c r="AC768" s="5">
        <f>IF(tblOrdenes[[#This Row],[cod_actividad]]="","",_xlfn.XLOOKUP(tblOrdenes[[#This Row],[cod_actividad]],tblActividades[codigo],tblActividades[descripcion],"(sin catálogo)"))</f>
        <v/>
      </c>
      <c r="AD768" s="23">
        <f>IF(tblOrdenes[[#This Row],[fecha_inicio]]="","",TODAY()-tblOrdenes[[#This Row],[fecha_inicio]])</f>
        <v/>
      </c>
      <c r="AE7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5">
        <f>IF(tblOrdenes[[#This Row],[backlog_habiles]]="","",IF(tblOrdenes[[#This Row],[backlog_habiles]]&lt;0,"FUTURO",IF(tblOrdenes[[#This Row],[backlog_habiles]]&gt;p_dias_backlog_max,"BACKLOG","MES CORRIENTE")))</f>
        <v/>
      </c>
      <c r="AG768" s="5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18">
        <f>IF(tblOrdenes[[#This Row],[orden]]="","",_xlfn.XLOOKUP(tblOrdenes[[#This Row],[id_operacion]],tblEjecucion[id_operacion],tblEjecucion[precio],0))</f>
        <v/>
      </c>
      <c r="AM768" s="18">
        <f>IF(tblOrdenes[[#This Row],[orden]]="","",MAX(0,_xlfn.XLOOKUP(tblOrdenes[[#This Row],[id_operacion]],tblEjecucion[id_operacion],tblEjecucion[costo_plan_total],0)-tblOrdenes[[#This Row],[costo_servicio]]))</f>
        <v/>
      </c>
      <c r="AN768" s="18">
        <f>IF(tblOrdenes[[#This Row],[orden]]="","",tblOrdenes[[#This Row],[costo_servicio]]+tblOrdenes[[#This Row],[costo_materiales]])</f>
        <v/>
      </c>
      <c r="AO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5">
        <f>IF(tblOrdenes[[#This Row],[link_checklist]]="","",HYPERLINK(p_ruta_base_checklists&amp;tblOrdenes[[#This Row],[link_checklist]],"abrir"))</f>
        <v/>
      </c>
      <c r="AT768" s="4" t="n"/>
      <c r="AU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5" t="n"/>
      <c r="K769" s="5" t="n"/>
      <c r="L769" s="18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Row],[fecha_inicio]]="","",tblOrdenes[[#This Row],[anio]]&amp;"-"&amp;TEXT(tblOrdenes[[#This Row],[mes]],"00"))</f>
        <v/>
      </c>
      <c r="S769" s="5">
        <f>IF(tblOrdenes[[#This Row],[fecha_inicio]]="","",INDEX(lista_dias,WEEKDAY(tblOrdenes[[#This Row],[fecha_inicio]],2)))</f>
        <v/>
      </c>
      <c r="T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5">
        <f>IF(tblOrdenes[[#This Row],[tipo_ot]]="","",_xlfn.XLOOKUP(tblOrdenes[[#This Row],[tipo_ot]],tblTiposOT[codigo],tblTiposOT[clasificacion],"sin_clasificar"))</f>
        <v/>
      </c>
      <c r="V7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5">
        <f>IF(tblOrdenes[[#This Row],[centro_costo]]="","",_xlfn.XLOOKUP(tblOrdenes[[#This Row],[centro_costo]],tblCECO[codigo],tblCECO[linea],"(sin catálogo)"))</f>
        <v/>
      </c>
      <c r="Y769" s="5">
        <f>IF(tblOrdenes[[#This Row],[centro_costo]]="","",_xlfn.XLOOKUP(tblOrdenes[[#This Row],[centro_costo]],tblCECO[codigo],tblCECO[area],"(sin catálogo)"))</f>
        <v/>
      </c>
      <c r="Z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5">
        <f>IF(tblOrdenes[[#This Row],[centro_costo]]="","",_xlfn.XLOOKUP(tblOrdenes[[#This Row],[centro_costo]],tblCECO[codigo],tblCECO[coordinador],"(sin catálogo)"))</f>
        <v/>
      </c>
      <c r="AB769" s="5">
        <f>IF(tblOrdenes[[#This Row],[puesto_trabajo]]="","",_xlfn.XLOOKUP(tblOrdenes[[#This Row],[puesto_trabajo]],tblPuestos[codigo],tblPuestos[especialidad],"(sin catálogo)"))</f>
        <v/>
      </c>
      <c r="AC769" s="5">
        <f>IF(tblOrdenes[[#This Row],[cod_actividad]]="","",_xlfn.XLOOKUP(tblOrdenes[[#This Row],[cod_actividad]],tblActividades[codigo],tblActividades[descripcion],"(sin catálogo)"))</f>
        <v/>
      </c>
      <c r="AD769" s="23">
        <f>IF(tblOrdenes[[#This Row],[fecha_inicio]]="","",TODAY()-tblOrdenes[[#This Row],[fecha_inicio]])</f>
        <v/>
      </c>
      <c r="AE7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5">
        <f>IF(tblOrdenes[[#This Row],[backlog_habiles]]="","",IF(tblOrdenes[[#This Row],[backlog_habiles]]&lt;0,"FUTURO",IF(tblOrdenes[[#This Row],[backlog_habiles]]&gt;p_dias_backlog_max,"BACKLOG","MES CORRIENTE")))</f>
        <v/>
      </c>
      <c r="AG769" s="5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18">
        <f>IF(tblOrdenes[[#This Row],[orden]]="","",_xlfn.XLOOKUP(tblOrdenes[[#This Row],[id_operacion]],tblEjecucion[id_operacion],tblEjecucion[precio],0))</f>
        <v/>
      </c>
      <c r="AM769" s="18">
        <f>IF(tblOrdenes[[#This Row],[orden]]="","",MAX(0,_xlfn.XLOOKUP(tblOrdenes[[#This Row],[id_operacion]],tblEjecucion[id_operacion],tblEjecucion[costo_plan_total],0)-tblOrdenes[[#This Row],[costo_servicio]]))</f>
        <v/>
      </c>
      <c r="AN769" s="18">
        <f>IF(tblOrdenes[[#This Row],[orden]]="","",tblOrdenes[[#This Row],[costo_servicio]]+tblOrdenes[[#This Row],[costo_materiales]])</f>
        <v/>
      </c>
      <c r="AO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5">
        <f>IF(tblOrdenes[[#This Row],[link_checklist]]="","",HYPERLINK(p_ruta_base_checklists&amp;tblOrdenes[[#This Row],[link_checklist]],"abrir"))</f>
        <v/>
      </c>
      <c r="AT769" s="4" t="n"/>
      <c r="AU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5" t="n"/>
      <c r="K770" s="5" t="n"/>
      <c r="L770" s="18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Row],[fecha_inicio]]="","",tblOrdenes[[#This Row],[anio]]&amp;"-"&amp;TEXT(tblOrdenes[[#This Row],[mes]],"00"))</f>
        <v/>
      </c>
      <c r="S770" s="5">
        <f>IF(tblOrdenes[[#This Row],[fecha_inicio]]="","",INDEX(lista_dias,WEEKDAY(tblOrdenes[[#This Row],[fecha_inicio]],2)))</f>
        <v/>
      </c>
      <c r="T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5">
        <f>IF(tblOrdenes[[#This Row],[tipo_ot]]="","",_xlfn.XLOOKUP(tblOrdenes[[#This Row],[tipo_ot]],tblTiposOT[codigo],tblTiposOT[clasificacion],"sin_clasificar"))</f>
        <v/>
      </c>
      <c r="V7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5">
        <f>IF(tblOrdenes[[#This Row],[centro_costo]]="","",_xlfn.XLOOKUP(tblOrdenes[[#This Row],[centro_costo]],tblCECO[codigo],tblCECO[linea],"(sin catálogo)"))</f>
        <v/>
      </c>
      <c r="Y770" s="5">
        <f>IF(tblOrdenes[[#This Row],[centro_costo]]="","",_xlfn.XLOOKUP(tblOrdenes[[#This Row],[centro_costo]],tblCECO[codigo],tblCECO[area],"(sin catálogo)"))</f>
        <v/>
      </c>
      <c r="Z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5">
        <f>IF(tblOrdenes[[#This Row],[centro_costo]]="","",_xlfn.XLOOKUP(tblOrdenes[[#This Row],[centro_costo]],tblCECO[codigo],tblCECO[coordinador],"(sin catálogo)"))</f>
        <v/>
      </c>
      <c r="AB770" s="5">
        <f>IF(tblOrdenes[[#This Row],[puesto_trabajo]]="","",_xlfn.XLOOKUP(tblOrdenes[[#This Row],[puesto_trabajo]],tblPuestos[codigo],tblPuestos[especialidad],"(sin catálogo)"))</f>
        <v/>
      </c>
      <c r="AC770" s="5">
        <f>IF(tblOrdenes[[#This Row],[cod_actividad]]="","",_xlfn.XLOOKUP(tblOrdenes[[#This Row],[cod_actividad]],tblActividades[codigo],tblActividades[descripcion],"(sin catálogo)"))</f>
        <v/>
      </c>
      <c r="AD770" s="23">
        <f>IF(tblOrdenes[[#This Row],[fecha_inicio]]="","",TODAY()-tblOrdenes[[#This Row],[fecha_inicio]])</f>
        <v/>
      </c>
      <c r="AE7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5">
        <f>IF(tblOrdenes[[#This Row],[backlog_habiles]]="","",IF(tblOrdenes[[#This Row],[backlog_habiles]]&lt;0,"FUTURO",IF(tblOrdenes[[#This Row],[backlog_habiles]]&gt;p_dias_backlog_max,"BACKLOG","MES CORRIENTE")))</f>
        <v/>
      </c>
      <c r="AG770" s="5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18">
        <f>IF(tblOrdenes[[#This Row],[orden]]="","",_xlfn.XLOOKUP(tblOrdenes[[#This Row],[id_operacion]],tblEjecucion[id_operacion],tblEjecucion[precio],0))</f>
        <v/>
      </c>
      <c r="AM770" s="18">
        <f>IF(tblOrdenes[[#This Row],[orden]]="","",MAX(0,_xlfn.XLOOKUP(tblOrdenes[[#This Row],[id_operacion]],tblEjecucion[id_operacion],tblEjecucion[costo_plan_total],0)-tblOrdenes[[#This Row],[costo_servicio]]))</f>
        <v/>
      </c>
      <c r="AN770" s="18">
        <f>IF(tblOrdenes[[#This Row],[orden]]="","",tblOrdenes[[#This Row],[costo_servicio]]+tblOrdenes[[#This Row],[costo_materiales]])</f>
        <v/>
      </c>
      <c r="AO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5">
        <f>IF(tblOrdenes[[#This Row],[link_checklist]]="","",HYPERLINK(p_ruta_base_checklists&amp;tblOrdenes[[#This Row],[link_checklist]],"abrir"))</f>
        <v/>
      </c>
      <c r="AT770" s="4" t="n"/>
      <c r="AU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5" t="n"/>
      <c r="K771" s="5" t="n"/>
      <c r="L771" s="18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Row],[fecha_inicio]]="","",tblOrdenes[[#This Row],[anio]]&amp;"-"&amp;TEXT(tblOrdenes[[#This Row],[mes]],"00"))</f>
        <v/>
      </c>
      <c r="S771" s="5">
        <f>IF(tblOrdenes[[#This Row],[fecha_inicio]]="","",INDEX(lista_dias,WEEKDAY(tblOrdenes[[#This Row],[fecha_inicio]],2)))</f>
        <v/>
      </c>
      <c r="T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5">
        <f>IF(tblOrdenes[[#This Row],[tipo_ot]]="","",_xlfn.XLOOKUP(tblOrdenes[[#This Row],[tipo_ot]],tblTiposOT[codigo],tblTiposOT[clasificacion],"sin_clasificar"))</f>
        <v/>
      </c>
      <c r="V7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5">
        <f>IF(tblOrdenes[[#This Row],[centro_costo]]="","",_xlfn.XLOOKUP(tblOrdenes[[#This Row],[centro_costo]],tblCECO[codigo],tblCECO[linea],"(sin catálogo)"))</f>
        <v/>
      </c>
      <c r="Y771" s="5">
        <f>IF(tblOrdenes[[#This Row],[centro_costo]]="","",_xlfn.XLOOKUP(tblOrdenes[[#This Row],[centro_costo]],tblCECO[codigo],tblCECO[area],"(sin catálogo)"))</f>
        <v/>
      </c>
      <c r="Z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5">
        <f>IF(tblOrdenes[[#This Row],[centro_costo]]="","",_xlfn.XLOOKUP(tblOrdenes[[#This Row],[centro_costo]],tblCECO[codigo],tblCECO[coordinador],"(sin catálogo)"))</f>
        <v/>
      </c>
      <c r="AB771" s="5">
        <f>IF(tblOrdenes[[#This Row],[puesto_trabajo]]="","",_xlfn.XLOOKUP(tblOrdenes[[#This Row],[puesto_trabajo]],tblPuestos[codigo],tblPuestos[especialidad],"(sin catálogo)"))</f>
        <v/>
      </c>
      <c r="AC771" s="5">
        <f>IF(tblOrdenes[[#This Row],[cod_actividad]]="","",_xlfn.XLOOKUP(tblOrdenes[[#This Row],[cod_actividad]],tblActividades[codigo],tblActividades[descripcion],"(sin catálogo)"))</f>
        <v/>
      </c>
      <c r="AD771" s="23">
        <f>IF(tblOrdenes[[#This Row],[fecha_inicio]]="","",TODAY()-tblOrdenes[[#This Row],[fecha_inicio]])</f>
        <v/>
      </c>
      <c r="AE7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5">
        <f>IF(tblOrdenes[[#This Row],[backlog_habiles]]="","",IF(tblOrdenes[[#This Row],[backlog_habiles]]&lt;0,"FUTURO",IF(tblOrdenes[[#This Row],[backlog_habiles]]&gt;p_dias_backlog_max,"BACKLOG","MES CORRIENTE")))</f>
        <v/>
      </c>
      <c r="AG771" s="5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18">
        <f>IF(tblOrdenes[[#This Row],[orden]]="","",_xlfn.XLOOKUP(tblOrdenes[[#This Row],[id_operacion]],tblEjecucion[id_operacion],tblEjecucion[precio],0))</f>
        <v/>
      </c>
      <c r="AM771" s="18">
        <f>IF(tblOrdenes[[#This Row],[orden]]="","",MAX(0,_xlfn.XLOOKUP(tblOrdenes[[#This Row],[id_operacion]],tblEjecucion[id_operacion],tblEjecucion[costo_plan_total],0)-tblOrdenes[[#This Row],[costo_servicio]]))</f>
        <v/>
      </c>
      <c r="AN771" s="18">
        <f>IF(tblOrdenes[[#This Row],[orden]]="","",tblOrdenes[[#This Row],[costo_servicio]]+tblOrdenes[[#This Row],[costo_materiales]])</f>
        <v/>
      </c>
      <c r="AO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5">
        <f>IF(tblOrdenes[[#This Row],[link_checklist]]="","",HYPERLINK(p_ruta_base_checklists&amp;tblOrdenes[[#This Row],[link_checklist]],"abrir"))</f>
        <v/>
      </c>
      <c r="AT771" s="4" t="n"/>
      <c r="AU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5" t="n"/>
      <c r="K772" s="5" t="n"/>
      <c r="L772" s="18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Row],[fecha_inicio]]="","",tblOrdenes[[#This Row],[anio]]&amp;"-"&amp;TEXT(tblOrdenes[[#This Row],[mes]],"00"))</f>
        <v/>
      </c>
      <c r="S772" s="5">
        <f>IF(tblOrdenes[[#This Row],[fecha_inicio]]="","",INDEX(lista_dias,WEEKDAY(tblOrdenes[[#This Row],[fecha_inicio]],2)))</f>
        <v/>
      </c>
      <c r="T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5">
        <f>IF(tblOrdenes[[#This Row],[tipo_ot]]="","",_xlfn.XLOOKUP(tblOrdenes[[#This Row],[tipo_ot]],tblTiposOT[codigo],tblTiposOT[clasificacion],"sin_clasificar"))</f>
        <v/>
      </c>
      <c r="V7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5">
        <f>IF(tblOrdenes[[#This Row],[centro_costo]]="","",_xlfn.XLOOKUP(tblOrdenes[[#This Row],[centro_costo]],tblCECO[codigo],tblCECO[linea],"(sin catálogo)"))</f>
        <v/>
      </c>
      <c r="Y772" s="5">
        <f>IF(tblOrdenes[[#This Row],[centro_costo]]="","",_xlfn.XLOOKUP(tblOrdenes[[#This Row],[centro_costo]],tblCECO[codigo],tblCECO[area],"(sin catálogo)"))</f>
        <v/>
      </c>
      <c r="Z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5">
        <f>IF(tblOrdenes[[#This Row],[centro_costo]]="","",_xlfn.XLOOKUP(tblOrdenes[[#This Row],[centro_costo]],tblCECO[codigo],tblCECO[coordinador],"(sin catálogo)"))</f>
        <v/>
      </c>
      <c r="AB772" s="5">
        <f>IF(tblOrdenes[[#This Row],[puesto_trabajo]]="","",_xlfn.XLOOKUP(tblOrdenes[[#This Row],[puesto_trabajo]],tblPuestos[codigo],tblPuestos[especialidad],"(sin catálogo)"))</f>
        <v/>
      </c>
      <c r="AC772" s="5">
        <f>IF(tblOrdenes[[#This Row],[cod_actividad]]="","",_xlfn.XLOOKUP(tblOrdenes[[#This Row],[cod_actividad]],tblActividades[codigo],tblActividades[descripcion],"(sin catálogo)"))</f>
        <v/>
      </c>
      <c r="AD772" s="23">
        <f>IF(tblOrdenes[[#This Row],[fecha_inicio]]="","",TODAY()-tblOrdenes[[#This Row],[fecha_inicio]])</f>
        <v/>
      </c>
      <c r="AE7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5">
        <f>IF(tblOrdenes[[#This Row],[backlog_habiles]]="","",IF(tblOrdenes[[#This Row],[backlog_habiles]]&lt;0,"FUTURO",IF(tblOrdenes[[#This Row],[backlog_habiles]]&gt;p_dias_backlog_max,"BACKLOG","MES CORRIENTE")))</f>
        <v/>
      </c>
      <c r="AG772" s="5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18">
        <f>IF(tblOrdenes[[#This Row],[orden]]="","",_xlfn.XLOOKUP(tblOrdenes[[#This Row],[id_operacion]],tblEjecucion[id_operacion],tblEjecucion[precio],0))</f>
        <v/>
      </c>
      <c r="AM772" s="18">
        <f>IF(tblOrdenes[[#This Row],[orden]]="","",MAX(0,_xlfn.XLOOKUP(tblOrdenes[[#This Row],[id_operacion]],tblEjecucion[id_operacion],tblEjecucion[costo_plan_total],0)-tblOrdenes[[#This Row],[costo_servicio]]))</f>
        <v/>
      </c>
      <c r="AN772" s="18">
        <f>IF(tblOrdenes[[#This Row],[orden]]="","",tblOrdenes[[#This Row],[costo_servicio]]+tblOrdenes[[#This Row],[costo_materiales]])</f>
        <v/>
      </c>
      <c r="AO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5">
        <f>IF(tblOrdenes[[#This Row],[link_checklist]]="","",HYPERLINK(p_ruta_base_checklists&amp;tblOrdenes[[#This Row],[link_checklist]],"abrir"))</f>
        <v/>
      </c>
      <c r="AT772" s="4" t="n"/>
      <c r="AU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5" t="n"/>
      <c r="K773" s="5" t="n"/>
      <c r="L773" s="18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Row],[fecha_inicio]]="","",tblOrdenes[[#This Row],[anio]]&amp;"-"&amp;TEXT(tblOrdenes[[#This Row],[mes]],"00"))</f>
        <v/>
      </c>
      <c r="S773" s="5">
        <f>IF(tblOrdenes[[#This Row],[fecha_inicio]]="","",INDEX(lista_dias,WEEKDAY(tblOrdenes[[#This Row],[fecha_inicio]],2)))</f>
        <v/>
      </c>
      <c r="T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5">
        <f>IF(tblOrdenes[[#This Row],[tipo_ot]]="","",_xlfn.XLOOKUP(tblOrdenes[[#This Row],[tipo_ot]],tblTiposOT[codigo],tblTiposOT[clasificacion],"sin_clasificar"))</f>
        <v/>
      </c>
      <c r="V7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5">
        <f>IF(tblOrdenes[[#This Row],[centro_costo]]="","",_xlfn.XLOOKUP(tblOrdenes[[#This Row],[centro_costo]],tblCECO[codigo],tblCECO[linea],"(sin catálogo)"))</f>
        <v/>
      </c>
      <c r="Y773" s="5">
        <f>IF(tblOrdenes[[#This Row],[centro_costo]]="","",_xlfn.XLOOKUP(tblOrdenes[[#This Row],[centro_costo]],tblCECO[codigo],tblCECO[area],"(sin catálogo)"))</f>
        <v/>
      </c>
      <c r="Z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5">
        <f>IF(tblOrdenes[[#This Row],[centro_costo]]="","",_xlfn.XLOOKUP(tblOrdenes[[#This Row],[centro_costo]],tblCECO[codigo],tblCECO[coordinador],"(sin catálogo)"))</f>
        <v/>
      </c>
      <c r="AB773" s="5">
        <f>IF(tblOrdenes[[#This Row],[puesto_trabajo]]="","",_xlfn.XLOOKUP(tblOrdenes[[#This Row],[puesto_trabajo]],tblPuestos[codigo],tblPuestos[especialidad],"(sin catálogo)"))</f>
        <v/>
      </c>
      <c r="AC773" s="5">
        <f>IF(tblOrdenes[[#This Row],[cod_actividad]]="","",_xlfn.XLOOKUP(tblOrdenes[[#This Row],[cod_actividad]],tblActividades[codigo],tblActividades[descripcion],"(sin catálogo)"))</f>
        <v/>
      </c>
      <c r="AD773" s="23">
        <f>IF(tblOrdenes[[#This Row],[fecha_inicio]]="","",TODAY()-tblOrdenes[[#This Row],[fecha_inicio]])</f>
        <v/>
      </c>
      <c r="AE7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5">
        <f>IF(tblOrdenes[[#This Row],[backlog_habiles]]="","",IF(tblOrdenes[[#This Row],[backlog_habiles]]&lt;0,"FUTURO",IF(tblOrdenes[[#This Row],[backlog_habiles]]&gt;p_dias_backlog_max,"BACKLOG","MES CORRIENTE")))</f>
        <v/>
      </c>
      <c r="AG773" s="5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18">
        <f>IF(tblOrdenes[[#This Row],[orden]]="","",_xlfn.XLOOKUP(tblOrdenes[[#This Row],[id_operacion]],tblEjecucion[id_operacion],tblEjecucion[precio],0))</f>
        <v/>
      </c>
      <c r="AM773" s="18">
        <f>IF(tblOrdenes[[#This Row],[orden]]="","",MAX(0,_xlfn.XLOOKUP(tblOrdenes[[#This Row],[id_operacion]],tblEjecucion[id_operacion],tblEjecucion[costo_plan_total],0)-tblOrdenes[[#This Row],[costo_servicio]]))</f>
        <v/>
      </c>
      <c r="AN773" s="18">
        <f>IF(tblOrdenes[[#This Row],[orden]]="","",tblOrdenes[[#This Row],[costo_servicio]]+tblOrdenes[[#This Row],[costo_materiales]])</f>
        <v/>
      </c>
      <c r="AO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5">
        <f>IF(tblOrdenes[[#This Row],[link_checklist]]="","",HYPERLINK(p_ruta_base_checklists&amp;tblOrdenes[[#This Row],[link_checklist]],"abrir"))</f>
        <v/>
      </c>
      <c r="AT773" s="4" t="n"/>
      <c r="AU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5" t="n"/>
      <c r="K774" s="5" t="n"/>
      <c r="L774" s="18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Row],[fecha_inicio]]="","",tblOrdenes[[#This Row],[anio]]&amp;"-"&amp;TEXT(tblOrdenes[[#This Row],[mes]],"00"))</f>
        <v/>
      </c>
      <c r="S774" s="5">
        <f>IF(tblOrdenes[[#This Row],[fecha_inicio]]="","",INDEX(lista_dias,WEEKDAY(tblOrdenes[[#This Row],[fecha_inicio]],2)))</f>
        <v/>
      </c>
      <c r="T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5">
        <f>IF(tblOrdenes[[#This Row],[tipo_ot]]="","",_xlfn.XLOOKUP(tblOrdenes[[#This Row],[tipo_ot]],tblTiposOT[codigo],tblTiposOT[clasificacion],"sin_clasificar"))</f>
        <v/>
      </c>
      <c r="V7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5">
        <f>IF(tblOrdenes[[#This Row],[centro_costo]]="","",_xlfn.XLOOKUP(tblOrdenes[[#This Row],[centro_costo]],tblCECO[codigo],tblCECO[linea],"(sin catálogo)"))</f>
        <v/>
      </c>
      <c r="Y774" s="5">
        <f>IF(tblOrdenes[[#This Row],[centro_costo]]="","",_xlfn.XLOOKUP(tblOrdenes[[#This Row],[centro_costo]],tblCECO[codigo],tblCECO[area],"(sin catálogo)"))</f>
        <v/>
      </c>
      <c r="Z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5">
        <f>IF(tblOrdenes[[#This Row],[centro_costo]]="","",_xlfn.XLOOKUP(tblOrdenes[[#This Row],[centro_costo]],tblCECO[codigo],tblCECO[coordinador],"(sin catálogo)"))</f>
        <v/>
      </c>
      <c r="AB774" s="5">
        <f>IF(tblOrdenes[[#This Row],[puesto_trabajo]]="","",_xlfn.XLOOKUP(tblOrdenes[[#This Row],[puesto_trabajo]],tblPuestos[codigo],tblPuestos[especialidad],"(sin catálogo)"))</f>
        <v/>
      </c>
      <c r="AC774" s="5">
        <f>IF(tblOrdenes[[#This Row],[cod_actividad]]="","",_xlfn.XLOOKUP(tblOrdenes[[#This Row],[cod_actividad]],tblActividades[codigo],tblActividades[descripcion],"(sin catálogo)"))</f>
        <v/>
      </c>
      <c r="AD774" s="23">
        <f>IF(tblOrdenes[[#This Row],[fecha_inicio]]="","",TODAY()-tblOrdenes[[#This Row],[fecha_inicio]])</f>
        <v/>
      </c>
      <c r="AE7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5">
        <f>IF(tblOrdenes[[#This Row],[backlog_habiles]]="","",IF(tblOrdenes[[#This Row],[backlog_habiles]]&lt;0,"FUTURO",IF(tblOrdenes[[#This Row],[backlog_habiles]]&gt;p_dias_backlog_max,"BACKLOG","MES CORRIENTE")))</f>
        <v/>
      </c>
      <c r="AG774" s="5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18">
        <f>IF(tblOrdenes[[#This Row],[orden]]="","",_xlfn.XLOOKUP(tblOrdenes[[#This Row],[id_operacion]],tblEjecucion[id_operacion],tblEjecucion[precio],0))</f>
        <v/>
      </c>
      <c r="AM774" s="18">
        <f>IF(tblOrdenes[[#This Row],[orden]]="","",MAX(0,_xlfn.XLOOKUP(tblOrdenes[[#This Row],[id_operacion]],tblEjecucion[id_operacion],tblEjecucion[costo_plan_total],0)-tblOrdenes[[#This Row],[costo_servicio]]))</f>
        <v/>
      </c>
      <c r="AN774" s="18">
        <f>IF(tblOrdenes[[#This Row],[orden]]="","",tblOrdenes[[#This Row],[costo_servicio]]+tblOrdenes[[#This Row],[costo_materiales]])</f>
        <v/>
      </c>
      <c r="AO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5">
        <f>IF(tblOrdenes[[#This Row],[link_checklist]]="","",HYPERLINK(p_ruta_base_checklists&amp;tblOrdenes[[#This Row],[link_checklist]],"abrir"))</f>
        <v/>
      </c>
      <c r="AT774" s="4" t="n"/>
      <c r="AU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5" t="n"/>
      <c r="K775" s="5" t="n"/>
      <c r="L775" s="18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Row],[fecha_inicio]]="","",tblOrdenes[[#This Row],[anio]]&amp;"-"&amp;TEXT(tblOrdenes[[#This Row],[mes]],"00"))</f>
        <v/>
      </c>
      <c r="S775" s="5">
        <f>IF(tblOrdenes[[#This Row],[fecha_inicio]]="","",INDEX(lista_dias,WEEKDAY(tblOrdenes[[#This Row],[fecha_inicio]],2)))</f>
        <v/>
      </c>
      <c r="T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5">
        <f>IF(tblOrdenes[[#This Row],[tipo_ot]]="","",_xlfn.XLOOKUP(tblOrdenes[[#This Row],[tipo_ot]],tblTiposOT[codigo],tblTiposOT[clasificacion],"sin_clasificar"))</f>
        <v/>
      </c>
      <c r="V7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5">
        <f>IF(tblOrdenes[[#This Row],[centro_costo]]="","",_xlfn.XLOOKUP(tblOrdenes[[#This Row],[centro_costo]],tblCECO[codigo],tblCECO[linea],"(sin catálogo)"))</f>
        <v/>
      </c>
      <c r="Y775" s="5">
        <f>IF(tblOrdenes[[#This Row],[centro_costo]]="","",_xlfn.XLOOKUP(tblOrdenes[[#This Row],[centro_costo]],tblCECO[codigo],tblCECO[area],"(sin catálogo)"))</f>
        <v/>
      </c>
      <c r="Z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5">
        <f>IF(tblOrdenes[[#This Row],[centro_costo]]="","",_xlfn.XLOOKUP(tblOrdenes[[#This Row],[centro_costo]],tblCECO[codigo],tblCECO[coordinador],"(sin catálogo)"))</f>
        <v/>
      </c>
      <c r="AB775" s="5">
        <f>IF(tblOrdenes[[#This Row],[puesto_trabajo]]="","",_xlfn.XLOOKUP(tblOrdenes[[#This Row],[puesto_trabajo]],tblPuestos[codigo],tblPuestos[especialidad],"(sin catálogo)"))</f>
        <v/>
      </c>
      <c r="AC775" s="5">
        <f>IF(tblOrdenes[[#This Row],[cod_actividad]]="","",_xlfn.XLOOKUP(tblOrdenes[[#This Row],[cod_actividad]],tblActividades[codigo],tblActividades[descripcion],"(sin catálogo)"))</f>
        <v/>
      </c>
      <c r="AD775" s="23">
        <f>IF(tblOrdenes[[#This Row],[fecha_inicio]]="","",TODAY()-tblOrdenes[[#This Row],[fecha_inicio]])</f>
        <v/>
      </c>
      <c r="AE7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5">
        <f>IF(tblOrdenes[[#This Row],[backlog_habiles]]="","",IF(tblOrdenes[[#This Row],[backlog_habiles]]&lt;0,"FUTURO",IF(tblOrdenes[[#This Row],[backlog_habiles]]&gt;p_dias_backlog_max,"BACKLOG","MES CORRIENTE")))</f>
        <v/>
      </c>
      <c r="AG775" s="5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18">
        <f>IF(tblOrdenes[[#This Row],[orden]]="","",_xlfn.XLOOKUP(tblOrdenes[[#This Row],[id_operacion]],tblEjecucion[id_operacion],tblEjecucion[precio],0))</f>
        <v/>
      </c>
      <c r="AM775" s="18">
        <f>IF(tblOrdenes[[#This Row],[orden]]="","",MAX(0,_xlfn.XLOOKUP(tblOrdenes[[#This Row],[id_operacion]],tblEjecucion[id_operacion],tblEjecucion[costo_plan_total],0)-tblOrdenes[[#This Row],[costo_servicio]]))</f>
        <v/>
      </c>
      <c r="AN775" s="18">
        <f>IF(tblOrdenes[[#This Row],[orden]]="","",tblOrdenes[[#This Row],[costo_servicio]]+tblOrdenes[[#This Row],[costo_materiales]])</f>
        <v/>
      </c>
      <c r="AO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5">
        <f>IF(tblOrdenes[[#This Row],[link_checklist]]="","",HYPERLINK(p_ruta_base_checklists&amp;tblOrdenes[[#This Row],[link_checklist]],"abrir"))</f>
        <v/>
      </c>
      <c r="AT775" s="4" t="n"/>
      <c r="AU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5" t="n"/>
      <c r="K776" s="5" t="n"/>
      <c r="L776" s="18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Row],[fecha_inicio]]="","",tblOrdenes[[#This Row],[anio]]&amp;"-"&amp;TEXT(tblOrdenes[[#This Row],[mes]],"00"))</f>
        <v/>
      </c>
      <c r="S776" s="5">
        <f>IF(tblOrdenes[[#This Row],[fecha_inicio]]="","",INDEX(lista_dias,WEEKDAY(tblOrdenes[[#This Row],[fecha_inicio]],2)))</f>
        <v/>
      </c>
      <c r="T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5">
        <f>IF(tblOrdenes[[#This Row],[tipo_ot]]="","",_xlfn.XLOOKUP(tblOrdenes[[#This Row],[tipo_ot]],tblTiposOT[codigo],tblTiposOT[clasificacion],"sin_clasificar"))</f>
        <v/>
      </c>
      <c r="V7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5">
        <f>IF(tblOrdenes[[#This Row],[centro_costo]]="","",_xlfn.XLOOKUP(tblOrdenes[[#This Row],[centro_costo]],tblCECO[codigo],tblCECO[linea],"(sin catálogo)"))</f>
        <v/>
      </c>
      <c r="Y776" s="5">
        <f>IF(tblOrdenes[[#This Row],[centro_costo]]="","",_xlfn.XLOOKUP(tblOrdenes[[#This Row],[centro_costo]],tblCECO[codigo],tblCECO[area],"(sin catálogo)"))</f>
        <v/>
      </c>
      <c r="Z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5">
        <f>IF(tblOrdenes[[#This Row],[centro_costo]]="","",_xlfn.XLOOKUP(tblOrdenes[[#This Row],[centro_costo]],tblCECO[codigo],tblCECO[coordinador],"(sin catálogo)"))</f>
        <v/>
      </c>
      <c r="AB776" s="5">
        <f>IF(tblOrdenes[[#This Row],[puesto_trabajo]]="","",_xlfn.XLOOKUP(tblOrdenes[[#This Row],[puesto_trabajo]],tblPuestos[codigo],tblPuestos[especialidad],"(sin catálogo)"))</f>
        <v/>
      </c>
      <c r="AC776" s="5">
        <f>IF(tblOrdenes[[#This Row],[cod_actividad]]="","",_xlfn.XLOOKUP(tblOrdenes[[#This Row],[cod_actividad]],tblActividades[codigo],tblActividades[descripcion],"(sin catálogo)"))</f>
        <v/>
      </c>
      <c r="AD776" s="23">
        <f>IF(tblOrdenes[[#This Row],[fecha_inicio]]="","",TODAY()-tblOrdenes[[#This Row],[fecha_inicio]])</f>
        <v/>
      </c>
      <c r="AE7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5">
        <f>IF(tblOrdenes[[#This Row],[backlog_habiles]]="","",IF(tblOrdenes[[#This Row],[backlog_habiles]]&lt;0,"FUTURO",IF(tblOrdenes[[#This Row],[backlog_habiles]]&gt;p_dias_backlog_max,"BACKLOG","MES CORRIENTE")))</f>
        <v/>
      </c>
      <c r="AG776" s="5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18">
        <f>IF(tblOrdenes[[#This Row],[orden]]="","",_xlfn.XLOOKUP(tblOrdenes[[#This Row],[id_operacion]],tblEjecucion[id_operacion],tblEjecucion[precio],0))</f>
        <v/>
      </c>
      <c r="AM776" s="18">
        <f>IF(tblOrdenes[[#This Row],[orden]]="","",MAX(0,_xlfn.XLOOKUP(tblOrdenes[[#This Row],[id_operacion]],tblEjecucion[id_operacion],tblEjecucion[costo_plan_total],0)-tblOrdenes[[#This Row],[costo_servicio]]))</f>
        <v/>
      </c>
      <c r="AN776" s="18">
        <f>IF(tblOrdenes[[#This Row],[orden]]="","",tblOrdenes[[#This Row],[costo_servicio]]+tblOrdenes[[#This Row],[costo_materiales]])</f>
        <v/>
      </c>
      <c r="AO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5">
        <f>IF(tblOrdenes[[#This Row],[link_checklist]]="","",HYPERLINK(p_ruta_base_checklists&amp;tblOrdenes[[#This Row],[link_checklist]],"abrir"))</f>
        <v/>
      </c>
      <c r="AT776" s="4" t="n"/>
      <c r="AU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5" t="n"/>
      <c r="K777" s="5" t="n"/>
      <c r="L777" s="18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Row],[fecha_inicio]]="","",tblOrdenes[[#This Row],[anio]]&amp;"-"&amp;TEXT(tblOrdenes[[#This Row],[mes]],"00"))</f>
        <v/>
      </c>
      <c r="S777" s="5">
        <f>IF(tblOrdenes[[#This Row],[fecha_inicio]]="","",INDEX(lista_dias,WEEKDAY(tblOrdenes[[#This Row],[fecha_inicio]],2)))</f>
        <v/>
      </c>
      <c r="T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5">
        <f>IF(tblOrdenes[[#This Row],[tipo_ot]]="","",_xlfn.XLOOKUP(tblOrdenes[[#This Row],[tipo_ot]],tblTiposOT[codigo],tblTiposOT[clasificacion],"sin_clasificar"))</f>
        <v/>
      </c>
      <c r="V7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5">
        <f>IF(tblOrdenes[[#This Row],[centro_costo]]="","",_xlfn.XLOOKUP(tblOrdenes[[#This Row],[centro_costo]],tblCECO[codigo],tblCECO[linea],"(sin catálogo)"))</f>
        <v/>
      </c>
      <c r="Y777" s="5">
        <f>IF(tblOrdenes[[#This Row],[centro_costo]]="","",_xlfn.XLOOKUP(tblOrdenes[[#This Row],[centro_costo]],tblCECO[codigo],tblCECO[area],"(sin catálogo)"))</f>
        <v/>
      </c>
      <c r="Z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5">
        <f>IF(tblOrdenes[[#This Row],[centro_costo]]="","",_xlfn.XLOOKUP(tblOrdenes[[#This Row],[centro_costo]],tblCECO[codigo],tblCECO[coordinador],"(sin catálogo)"))</f>
        <v/>
      </c>
      <c r="AB777" s="5">
        <f>IF(tblOrdenes[[#This Row],[puesto_trabajo]]="","",_xlfn.XLOOKUP(tblOrdenes[[#This Row],[puesto_trabajo]],tblPuestos[codigo],tblPuestos[especialidad],"(sin catálogo)"))</f>
        <v/>
      </c>
      <c r="AC777" s="5">
        <f>IF(tblOrdenes[[#This Row],[cod_actividad]]="","",_xlfn.XLOOKUP(tblOrdenes[[#This Row],[cod_actividad]],tblActividades[codigo],tblActividades[descripcion],"(sin catálogo)"))</f>
        <v/>
      </c>
      <c r="AD777" s="23">
        <f>IF(tblOrdenes[[#This Row],[fecha_inicio]]="","",TODAY()-tblOrdenes[[#This Row],[fecha_inicio]])</f>
        <v/>
      </c>
      <c r="AE7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5">
        <f>IF(tblOrdenes[[#This Row],[backlog_habiles]]="","",IF(tblOrdenes[[#This Row],[backlog_habiles]]&lt;0,"FUTURO",IF(tblOrdenes[[#This Row],[backlog_habiles]]&gt;p_dias_backlog_max,"BACKLOG","MES CORRIENTE")))</f>
        <v/>
      </c>
      <c r="AG777" s="5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18">
        <f>IF(tblOrdenes[[#This Row],[orden]]="","",_xlfn.XLOOKUP(tblOrdenes[[#This Row],[id_operacion]],tblEjecucion[id_operacion],tblEjecucion[precio],0))</f>
        <v/>
      </c>
      <c r="AM777" s="18">
        <f>IF(tblOrdenes[[#This Row],[orden]]="","",MAX(0,_xlfn.XLOOKUP(tblOrdenes[[#This Row],[id_operacion]],tblEjecucion[id_operacion],tblEjecucion[costo_plan_total],0)-tblOrdenes[[#This Row],[costo_servicio]]))</f>
        <v/>
      </c>
      <c r="AN777" s="18">
        <f>IF(tblOrdenes[[#This Row],[orden]]="","",tblOrdenes[[#This Row],[costo_servicio]]+tblOrdenes[[#This Row],[costo_materiales]])</f>
        <v/>
      </c>
      <c r="AO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5">
        <f>IF(tblOrdenes[[#This Row],[link_checklist]]="","",HYPERLINK(p_ruta_base_checklists&amp;tblOrdenes[[#This Row],[link_checklist]],"abrir"))</f>
        <v/>
      </c>
      <c r="AT777" s="4" t="n"/>
      <c r="AU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5" t="n"/>
      <c r="K778" s="5" t="n"/>
      <c r="L778" s="18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Row],[fecha_inicio]]="","",tblOrdenes[[#This Row],[anio]]&amp;"-"&amp;TEXT(tblOrdenes[[#This Row],[mes]],"00"))</f>
        <v/>
      </c>
      <c r="S778" s="5">
        <f>IF(tblOrdenes[[#This Row],[fecha_inicio]]="","",INDEX(lista_dias,WEEKDAY(tblOrdenes[[#This Row],[fecha_inicio]],2)))</f>
        <v/>
      </c>
      <c r="T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5">
        <f>IF(tblOrdenes[[#This Row],[tipo_ot]]="","",_xlfn.XLOOKUP(tblOrdenes[[#This Row],[tipo_ot]],tblTiposOT[codigo],tblTiposOT[clasificacion],"sin_clasificar"))</f>
        <v/>
      </c>
      <c r="V7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5">
        <f>IF(tblOrdenes[[#This Row],[centro_costo]]="","",_xlfn.XLOOKUP(tblOrdenes[[#This Row],[centro_costo]],tblCECO[codigo],tblCECO[linea],"(sin catálogo)"))</f>
        <v/>
      </c>
      <c r="Y778" s="5">
        <f>IF(tblOrdenes[[#This Row],[centro_costo]]="","",_xlfn.XLOOKUP(tblOrdenes[[#This Row],[centro_costo]],tblCECO[codigo],tblCECO[area],"(sin catálogo)"))</f>
        <v/>
      </c>
      <c r="Z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5">
        <f>IF(tblOrdenes[[#This Row],[centro_costo]]="","",_xlfn.XLOOKUP(tblOrdenes[[#This Row],[centro_costo]],tblCECO[codigo],tblCECO[coordinador],"(sin catálogo)"))</f>
        <v/>
      </c>
      <c r="AB778" s="5">
        <f>IF(tblOrdenes[[#This Row],[puesto_trabajo]]="","",_xlfn.XLOOKUP(tblOrdenes[[#This Row],[puesto_trabajo]],tblPuestos[codigo],tblPuestos[especialidad],"(sin catálogo)"))</f>
        <v/>
      </c>
      <c r="AC778" s="5">
        <f>IF(tblOrdenes[[#This Row],[cod_actividad]]="","",_xlfn.XLOOKUP(tblOrdenes[[#This Row],[cod_actividad]],tblActividades[codigo],tblActividades[descripcion],"(sin catálogo)"))</f>
        <v/>
      </c>
      <c r="AD778" s="23">
        <f>IF(tblOrdenes[[#This Row],[fecha_inicio]]="","",TODAY()-tblOrdenes[[#This Row],[fecha_inicio]])</f>
        <v/>
      </c>
      <c r="AE7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5">
        <f>IF(tblOrdenes[[#This Row],[backlog_habiles]]="","",IF(tblOrdenes[[#This Row],[backlog_habiles]]&lt;0,"FUTURO",IF(tblOrdenes[[#This Row],[backlog_habiles]]&gt;p_dias_backlog_max,"BACKLOG","MES CORRIENTE")))</f>
        <v/>
      </c>
      <c r="AG778" s="5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18">
        <f>IF(tblOrdenes[[#This Row],[orden]]="","",_xlfn.XLOOKUP(tblOrdenes[[#This Row],[id_operacion]],tblEjecucion[id_operacion],tblEjecucion[precio],0))</f>
        <v/>
      </c>
      <c r="AM778" s="18">
        <f>IF(tblOrdenes[[#This Row],[orden]]="","",MAX(0,_xlfn.XLOOKUP(tblOrdenes[[#This Row],[id_operacion]],tblEjecucion[id_operacion],tblEjecucion[costo_plan_total],0)-tblOrdenes[[#This Row],[costo_servicio]]))</f>
        <v/>
      </c>
      <c r="AN778" s="18">
        <f>IF(tblOrdenes[[#This Row],[orden]]="","",tblOrdenes[[#This Row],[costo_servicio]]+tblOrdenes[[#This Row],[costo_materiales]])</f>
        <v/>
      </c>
      <c r="AO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5">
        <f>IF(tblOrdenes[[#This Row],[link_checklist]]="","",HYPERLINK(p_ruta_base_checklists&amp;tblOrdenes[[#This Row],[link_checklist]],"abrir"))</f>
        <v/>
      </c>
      <c r="AT778" s="4" t="n"/>
      <c r="AU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5" t="n"/>
      <c r="K779" s="5" t="n"/>
      <c r="L779" s="18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Row],[fecha_inicio]]="","",tblOrdenes[[#This Row],[anio]]&amp;"-"&amp;TEXT(tblOrdenes[[#This Row],[mes]],"00"))</f>
        <v/>
      </c>
      <c r="S779" s="5">
        <f>IF(tblOrdenes[[#This Row],[fecha_inicio]]="","",INDEX(lista_dias,WEEKDAY(tblOrdenes[[#This Row],[fecha_inicio]],2)))</f>
        <v/>
      </c>
      <c r="T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5">
        <f>IF(tblOrdenes[[#This Row],[tipo_ot]]="","",_xlfn.XLOOKUP(tblOrdenes[[#This Row],[tipo_ot]],tblTiposOT[codigo],tblTiposOT[clasificacion],"sin_clasificar"))</f>
        <v/>
      </c>
      <c r="V7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5">
        <f>IF(tblOrdenes[[#This Row],[centro_costo]]="","",_xlfn.XLOOKUP(tblOrdenes[[#This Row],[centro_costo]],tblCECO[codigo],tblCECO[linea],"(sin catálogo)"))</f>
        <v/>
      </c>
      <c r="Y779" s="5">
        <f>IF(tblOrdenes[[#This Row],[centro_costo]]="","",_xlfn.XLOOKUP(tblOrdenes[[#This Row],[centro_costo]],tblCECO[codigo],tblCECO[area],"(sin catálogo)"))</f>
        <v/>
      </c>
      <c r="Z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5">
        <f>IF(tblOrdenes[[#This Row],[centro_costo]]="","",_xlfn.XLOOKUP(tblOrdenes[[#This Row],[centro_costo]],tblCECO[codigo],tblCECO[coordinador],"(sin catálogo)"))</f>
        <v/>
      </c>
      <c r="AB779" s="5">
        <f>IF(tblOrdenes[[#This Row],[puesto_trabajo]]="","",_xlfn.XLOOKUP(tblOrdenes[[#This Row],[puesto_trabajo]],tblPuestos[codigo],tblPuestos[especialidad],"(sin catálogo)"))</f>
        <v/>
      </c>
      <c r="AC779" s="5">
        <f>IF(tblOrdenes[[#This Row],[cod_actividad]]="","",_xlfn.XLOOKUP(tblOrdenes[[#This Row],[cod_actividad]],tblActividades[codigo],tblActividades[descripcion],"(sin catálogo)"))</f>
        <v/>
      </c>
      <c r="AD779" s="23">
        <f>IF(tblOrdenes[[#This Row],[fecha_inicio]]="","",TODAY()-tblOrdenes[[#This Row],[fecha_inicio]])</f>
        <v/>
      </c>
      <c r="AE7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5">
        <f>IF(tblOrdenes[[#This Row],[backlog_habiles]]="","",IF(tblOrdenes[[#This Row],[backlog_habiles]]&lt;0,"FUTURO",IF(tblOrdenes[[#This Row],[backlog_habiles]]&gt;p_dias_backlog_max,"BACKLOG","MES CORRIENTE")))</f>
        <v/>
      </c>
      <c r="AG779" s="5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18">
        <f>IF(tblOrdenes[[#This Row],[orden]]="","",_xlfn.XLOOKUP(tblOrdenes[[#This Row],[id_operacion]],tblEjecucion[id_operacion],tblEjecucion[precio],0))</f>
        <v/>
      </c>
      <c r="AM779" s="18">
        <f>IF(tblOrdenes[[#This Row],[orden]]="","",MAX(0,_xlfn.XLOOKUP(tblOrdenes[[#This Row],[id_operacion]],tblEjecucion[id_operacion],tblEjecucion[costo_plan_total],0)-tblOrdenes[[#This Row],[costo_servicio]]))</f>
        <v/>
      </c>
      <c r="AN779" s="18">
        <f>IF(tblOrdenes[[#This Row],[orden]]="","",tblOrdenes[[#This Row],[costo_servicio]]+tblOrdenes[[#This Row],[costo_materiales]])</f>
        <v/>
      </c>
      <c r="AO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5">
        <f>IF(tblOrdenes[[#This Row],[link_checklist]]="","",HYPERLINK(p_ruta_base_checklists&amp;tblOrdenes[[#This Row],[link_checklist]],"abrir"))</f>
        <v/>
      </c>
      <c r="AT779" s="4" t="n"/>
      <c r="AU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5" t="n"/>
      <c r="K780" s="5" t="n"/>
      <c r="L780" s="18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Row],[fecha_inicio]]="","",tblOrdenes[[#This Row],[anio]]&amp;"-"&amp;TEXT(tblOrdenes[[#This Row],[mes]],"00"))</f>
        <v/>
      </c>
      <c r="S780" s="5">
        <f>IF(tblOrdenes[[#This Row],[fecha_inicio]]="","",INDEX(lista_dias,WEEKDAY(tblOrdenes[[#This Row],[fecha_inicio]],2)))</f>
        <v/>
      </c>
      <c r="T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5">
        <f>IF(tblOrdenes[[#This Row],[tipo_ot]]="","",_xlfn.XLOOKUP(tblOrdenes[[#This Row],[tipo_ot]],tblTiposOT[codigo],tblTiposOT[clasificacion],"sin_clasificar"))</f>
        <v/>
      </c>
      <c r="V7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5">
        <f>IF(tblOrdenes[[#This Row],[centro_costo]]="","",_xlfn.XLOOKUP(tblOrdenes[[#This Row],[centro_costo]],tblCECO[codigo],tblCECO[linea],"(sin catálogo)"))</f>
        <v/>
      </c>
      <c r="Y780" s="5">
        <f>IF(tblOrdenes[[#This Row],[centro_costo]]="","",_xlfn.XLOOKUP(tblOrdenes[[#This Row],[centro_costo]],tblCECO[codigo],tblCECO[area],"(sin catálogo)"))</f>
        <v/>
      </c>
      <c r="Z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5">
        <f>IF(tblOrdenes[[#This Row],[centro_costo]]="","",_xlfn.XLOOKUP(tblOrdenes[[#This Row],[centro_costo]],tblCECO[codigo],tblCECO[coordinador],"(sin catálogo)"))</f>
        <v/>
      </c>
      <c r="AB780" s="5">
        <f>IF(tblOrdenes[[#This Row],[puesto_trabajo]]="","",_xlfn.XLOOKUP(tblOrdenes[[#This Row],[puesto_trabajo]],tblPuestos[codigo],tblPuestos[especialidad],"(sin catálogo)"))</f>
        <v/>
      </c>
      <c r="AC780" s="5">
        <f>IF(tblOrdenes[[#This Row],[cod_actividad]]="","",_xlfn.XLOOKUP(tblOrdenes[[#This Row],[cod_actividad]],tblActividades[codigo],tblActividades[descripcion],"(sin catálogo)"))</f>
        <v/>
      </c>
      <c r="AD780" s="23">
        <f>IF(tblOrdenes[[#This Row],[fecha_inicio]]="","",TODAY()-tblOrdenes[[#This Row],[fecha_inicio]])</f>
        <v/>
      </c>
      <c r="AE7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5">
        <f>IF(tblOrdenes[[#This Row],[backlog_habiles]]="","",IF(tblOrdenes[[#This Row],[backlog_habiles]]&lt;0,"FUTURO",IF(tblOrdenes[[#This Row],[backlog_habiles]]&gt;p_dias_backlog_max,"BACKLOG","MES CORRIENTE")))</f>
        <v/>
      </c>
      <c r="AG780" s="5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18">
        <f>IF(tblOrdenes[[#This Row],[orden]]="","",_xlfn.XLOOKUP(tblOrdenes[[#This Row],[id_operacion]],tblEjecucion[id_operacion],tblEjecucion[precio],0))</f>
        <v/>
      </c>
      <c r="AM780" s="18">
        <f>IF(tblOrdenes[[#This Row],[orden]]="","",MAX(0,_xlfn.XLOOKUP(tblOrdenes[[#This Row],[id_operacion]],tblEjecucion[id_operacion],tblEjecucion[costo_plan_total],0)-tblOrdenes[[#This Row],[costo_servicio]]))</f>
        <v/>
      </c>
      <c r="AN780" s="18">
        <f>IF(tblOrdenes[[#This Row],[orden]]="","",tblOrdenes[[#This Row],[costo_servicio]]+tblOrdenes[[#This Row],[costo_materiales]])</f>
        <v/>
      </c>
      <c r="AO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5">
        <f>IF(tblOrdenes[[#This Row],[link_checklist]]="","",HYPERLINK(p_ruta_base_checklists&amp;tblOrdenes[[#This Row],[link_checklist]],"abrir"))</f>
        <v/>
      </c>
      <c r="AT780" s="4" t="n"/>
      <c r="AU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5" t="n"/>
      <c r="K781" s="5" t="n"/>
      <c r="L781" s="18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Row],[fecha_inicio]]="","",tblOrdenes[[#This Row],[anio]]&amp;"-"&amp;TEXT(tblOrdenes[[#This Row],[mes]],"00"))</f>
        <v/>
      </c>
      <c r="S781" s="5">
        <f>IF(tblOrdenes[[#This Row],[fecha_inicio]]="","",INDEX(lista_dias,WEEKDAY(tblOrdenes[[#This Row],[fecha_inicio]],2)))</f>
        <v/>
      </c>
      <c r="T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5">
        <f>IF(tblOrdenes[[#This Row],[tipo_ot]]="","",_xlfn.XLOOKUP(tblOrdenes[[#This Row],[tipo_ot]],tblTiposOT[codigo],tblTiposOT[clasificacion],"sin_clasificar"))</f>
        <v/>
      </c>
      <c r="V7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5">
        <f>IF(tblOrdenes[[#This Row],[centro_costo]]="","",_xlfn.XLOOKUP(tblOrdenes[[#This Row],[centro_costo]],tblCECO[codigo],tblCECO[linea],"(sin catálogo)"))</f>
        <v/>
      </c>
      <c r="Y781" s="5">
        <f>IF(tblOrdenes[[#This Row],[centro_costo]]="","",_xlfn.XLOOKUP(tblOrdenes[[#This Row],[centro_costo]],tblCECO[codigo],tblCECO[area],"(sin catálogo)"))</f>
        <v/>
      </c>
      <c r="Z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5">
        <f>IF(tblOrdenes[[#This Row],[centro_costo]]="","",_xlfn.XLOOKUP(tblOrdenes[[#This Row],[centro_costo]],tblCECO[codigo],tblCECO[coordinador],"(sin catálogo)"))</f>
        <v/>
      </c>
      <c r="AB781" s="5">
        <f>IF(tblOrdenes[[#This Row],[puesto_trabajo]]="","",_xlfn.XLOOKUP(tblOrdenes[[#This Row],[puesto_trabajo]],tblPuestos[codigo],tblPuestos[especialidad],"(sin catálogo)"))</f>
        <v/>
      </c>
      <c r="AC781" s="5">
        <f>IF(tblOrdenes[[#This Row],[cod_actividad]]="","",_xlfn.XLOOKUP(tblOrdenes[[#This Row],[cod_actividad]],tblActividades[codigo],tblActividades[descripcion],"(sin catálogo)"))</f>
        <v/>
      </c>
      <c r="AD781" s="23">
        <f>IF(tblOrdenes[[#This Row],[fecha_inicio]]="","",TODAY()-tblOrdenes[[#This Row],[fecha_inicio]])</f>
        <v/>
      </c>
      <c r="AE7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5">
        <f>IF(tblOrdenes[[#This Row],[backlog_habiles]]="","",IF(tblOrdenes[[#This Row],[backlog_habiles]]&lt;0,"FUTURO",IF(tblOrdenes[[#This Row],[backlog_habiles]]&gt;p_dias_backlog_max,"BACKLOG","MES CORRIENTE")))</f>
        <v/>
      </c>
      <c r="AG781" s="5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18">
        <f>IF(tblOrdenes[[#This Row],[orden]]="","",_xlfn.XLOOKUP(tblOrdenes[[#This Row],[id_operacion]],tblEjecucion[id_operacion],tblEjecucion[precio],0))</f>
        <v/>
      </c>
      <c r="AM781" s="18">
        <f>IF(tblOrdenes[[#This Row],[orden]]="","",MAX(0,_xlfn.XLOOKUP(tblOrdenes[[#This Row],[id_operacion]],tblEjecucion[id_operacion],tblEjecucion[costo_plan_total],0)-tblOrdenes[[#This Row],[costo_servicio]]))</f>
        <v/>
      </c>
      <c r="AN781" s="18">
        <f>IF(tblOrdenes[[#This Row],[orden]]="","",tblOrdenes[[#This Row],[costo_servicio]]+tblOrdenes[[#This Row],[costo_materiales]])</f>
        <v/>
      </c>
      <c r="AO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5">
        <f>IF(tblOrdenes[[#This Row],[link_checklist]]="","",HYPERLINK(p_ruta_base_checklists&amp;tblOrdenes[[#This Row],[link_checklist]],"abrir"))</f>
        <v/>
      </c>
      <c r="AT781" s="4" t="n"/>
      <c r="AU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5" t="n"/>
      <c r="K782" s="5" t="n"/>
      <c r="L782" s="18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Row],[fecha_inicio]]="","",tblOrdenes[[#This Row],[anio]]&amp;"-"&amp;TEXT(tblOrdenes[[#This Row],[mes]],"00"))</f>
        <v/>
      </c>
      <c r="S782" s="5">
        <f>IF(tblOrdenes[[#This Row],[fecha_inicio]]="","",INDEX(lista_dias,WEEKDAY(tblOrdenes[[#This Row],[fecha_inicio]],2)))</f>
        <v/>
      </c>
      <c r="T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5">
        <f>IF(tblOrdenes[[#This Row],[tipo_ot]]="","",_xlfn.XLOOKUP(tblOrdenes[[#This Row],[tipo_ot]],tblTiposOT[codigo],tblTiposOT[clasificacion],"sin_clasificar"))</f>
        <v/>
      </c>
      <c r="V7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5">
        <f>IF(tblOrdenes[[#This Row],[centro_costo]]="","",_xlfn.XLOOKUP(tblOrdenes[[#This Row],[centro_costo]],tblCECO[codigo],tblCECO[linea],"(sin catálogo)"))</f>
        <v/>
      </c>
      <c r="Y782" s="5">
        <f>IF(tblOrdenes[[#This Row],[centro_costo]]="","",_xlfn.XLOOKUP(tblOrdenes[[#This Row],[centro_costo]],tblCECO[codigo],tblCECO[area],"(sin catálogo)"))</f>
        <v/>
      </c>
      <c r="Z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5">
        <f>IF(tblOrdenes[[#This Row],[centro_costo]]="","",_xlfn.XLOOKUP(tblOrdenes[[#This Row],[centro_costo]],tblCECO[codigo],tblCECO[coordinador],"(sin catálogo)"))</f>
        <v/>
      </c>
      <c r="AB782" s="5">
        <f>IF(tblOrdenes[[#This Row],[puesto_trabajo]]="","",_xlfn.XLOOKUP(tblOrdenes[[#This Row],[puesto_trabajo]],tblPuestos[codigo],tblPuestos[especialidad],"(sin catálogo)"))</f>
        <v/>
      </c>
      <c r="AC782" s="5">
        <f>IF(tblOrdenes[[#This Row],[cod_actividad]]="","",_xlfn.XLOOKUP(tblOrdenes[[#This Row],[cod_actividad]],tblActividades[codigo],tblActividades[descripcion],"(sin catálogo)"))</f>
        <v/>
      </c>
      <c r="AD782" s="23">
        <f>IF(tblOrdenes[[#This Row],[fecha_inicio]]="","",TODAY()-tblOrdenes[[#This Row],[fecha_inicio]])</f>
        <v/>
      </c>
      <c r="AE7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5">
        <f>IF(tblOrdenes[[#This Row],[backlog_habiles]]="","",IF(tblOrdenes[[#This Row],[backlog_habiles]]&lt;0,"FUTURO",IF(tblOrdenes[[#This Row],[backlog_habiles]]&gt;p_dias_backlog_max,"BACKLOG","MES CORRIENTE")))</f>
        <v/>
      </c>
      <c r="AG782" s="5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18">
        <f>IF(tblOrdenes[[#This Row],[orden]]="","",_xlfn.XLOOKUP(tblOrdenes[[#This Row],[id_operacion]],tblEjecucion[id_operacion],tblEjecucion[precio],0))</f>
        <v/>
      </c>
      <c r="AM782" s="18">
        <f>IF(tblOrdenes[[#This Row],[orden]]="","",MAX(0,_xlfn.XLOOKUP(tblOrdenes[[#This Row],[id_operacion]],tblEjecucion[id_operacion],tblEjecucion[costo_plan_total],0)-tblOrdenes[[#This Row],[costo_servicio]]))</f>
        <v/>
      </c>
      <c r="AN782" s="18">
        <f>IF(tblOrdenes[[#This Row],[orden]]="","",tblOrdenes[[#This Row],[costo_servicio]]+tblOrdenes[[#This Row],[costo_materiales]])</f>
        <v/>
      </c>
      <c r="AO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5">
        <f>IF(tblOrdenes[[#This Row],[link_checklist]]="","",HYPERLINK(p_ruta_base_checklists&amp;tblOrdenes[[#This Row],[link_checklist]],"abrir"))</f>
        <v/>
      </c>
      <c r="AT782" s="4" t="n"/>
      <c r="AU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5" t="n"/>
      <c r="K783" s="5" t="n"/>
      <c r="L783" s="18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Row],[fecha_inicio]]="","",tblOrdenes[[#This Row],[anio]]&amp;"-"&amp;TEXT(tblOrdenes[[#This Row],[mes]],"00"))</f>
        <v/>
      </c>
      <c r="S783" s="5">
        <f>IF(tblOrdenes[[#This Row],[fecha_inicio]]="","",INDEX(lista_dias,WEEKDAY(tblOrdenes[[#This Row],[fecha_inicio]],2)))</f>
        <v/>
      </c>
      <c r="T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5">
        <f>IF(tblOrdenes[[#This Row],[tipo_ot]]="","",_xlfn.XLOOKUP(tblOrdenes[[#This Row],[tipo_ot]],tblTiposOT[codigo],tblTiposOT[clasificacion],"sin_clasificar"))</f>
        <v/>
      </c>
      <c r="V7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5">
        <f>IF(tblOrdenes[[#This Row],[centro_costo]]="","",_xlfn.XLOOKUP(tblOrdenes[[#This Row],[centro_costo]],tblCECO[codigo],tblCECO[linea],"(sin catálogo)"))</f>
        <v/>
      </c>
      <c r="Y783" s="5">
        <f>IF(tblOrdenes[[#This Row],[centro_costo]]="","",_xlfn.XLOOKUP(tblOrdenes[[#This Row],[centro_costo]],tblCECO[codigo],tblCECO[area],"(sin catálogo)"))</f>
        <v/>
      </c>
      <c r="Z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5">
        <f>IF(tblOrdenes[[#This Row],[centro_costo]]="","",_xlfn.XLOOKUP(tblOrdenes[[#This Row],[centro_costo]],tblCECO[codigo],tblCECO[coordinador],"(sin catálogo)"))</f>
        <v/>
      </c>
      <c r="AB783" s="5">
        <f>IF(tblOrdenes[[#This Row],[puesto_trabajo]]="","",_xlfn.XLOOKUP(tblOrdenes[[#This Row],[puesto_trabajo]],tblPuestos[codigo],tblPuestos[especialidad],"(sin catálogo)"))</f>
        <v/>
      </c>
      <c r="AC783" s="5">
        <f>IF(tblOrdenes[[#This Row],[cod_actividad]]="","",_xlfn.XLOOKUP(tblOrdenes[[#This Row],[cod_actividad]],tblActividades[codigo],tblActividades[descripcion],"(sin catálogo)"))</f>
        <v/>
      </c>
      <c r="AD783" s="23">
        <f>IF(tblOrdenes[[#This Row],[fecha_inicio]]="","",TODAY()-tblOrdenes[[#This Row],[fecha_inicio]])</f>
        <v/>
      </c>
      <c r="AE7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5">
        <f>IF(tblOrdenes[[#This Row],[backlog_habiles]]="","",IF(tblOrdenes[[#This Row],[backlog_habiles]]&lt;0,"FUTURO",IF(tblOrdenes[[#This Row],[backlog_habiles]]&gt;p_dias_backlog_max,"BACKLOG","MES CORRIENTE")))</f>
        <v/>
      </c>
      <c r="AG783" s="5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18">
        <f>IF(tblOrdenes[[#This Row],[orden]]="","",_xlfn.XLOOKUP(tblOrdenes[[#This Row],[id_operacion]],tblEjecucion[id_operacion],tblEjecucion[precio],0))</f>
        <v/>
      </c>
      <c r="AM783" s="18">
        <f>IF(tblOrdenes[[#This Row],[orden]]="","",MAX(0,_xlfn.XLOOKUP(tblOrdenes[[#This Row],[id_operacion]],tblEjecucion[id_operacion],tblEjecucion[costo_plan_total],0)-tblOrdenes[[#This Row],[costo_servicio]]))</f>
        <v/>
      </c>
      <c r="AN783" s="18">
        <f>IF(tblOrdenes[[#This Row],[orden]]="","",tblOrdenes[[#This Row],[costo_servicio]]+tblOrdenes[[#This Row],[costo_materiales]])</f>
        <v/>
      </c>
      <c r="AO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5">
        <f>IF(tblOrdenes[[#This Row],[link_checklist]]="","",HYPERLINK(p_ruta_base_checklists&amp;tblOrdenes[[#This Row],[link_checklist]],"abrir"))</f>
        <v/>
      </c>
      <c r="AT783" s="4" t="n"/>
      <c r="AU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5" t="n"/>
      <c r="K784" s="5" t="n"/>
      <c r="L784" s="18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Row],[fecha_inicio]]="","",tblOrdenes[[#This Row],[anio]]&amp;"-"&amp;TEXT(tblOrdenes[[#This Row],[mes]],"00"))</f>
        <v/>
      </c>
      <c r="S784" s="5">
        <f>IF(tblOrdenes[[#This Row],[fecha_inicio]]="","",INDEX(lista_dias,WEEKDAY(tblOrdenes[[#This Row],[fecha_inicio]],2)))</f>
        <v/>
      </c>
      <c r="T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5">
        <f>IF(tblOrdenes[[#This Row],[tipo_ot]]="","",_xlfn.XLOOKUP(tblOrdenes[[#This Row],[tipo_ot]],tblTiposOT[codigo],tblTiposOT[clasificacion],"sin_clasificar"))</f>
        <v/>
      </c>
      <c r="V7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5">
        <f>IF(tblOrdenes[[#This Row],[centro_costo]]="","",_xlfn.XLOOKUP(tblOrdenes[[#This Row],[centro_costo]],tblCECO[codigo],tblCECO[linea],"(sin catálogo)"))</f>
        <v/>
      </c>
      <c r="Y784" s="5">
        <f>IF(tblOrdenes[[#This Row],[centro_costo]]="","",_xlfn.XLOOKUP(tblOrdenes[[#This Row],[centro_costo]],tblCECO[codigo],tblCECO[area],"(sin catálogo)"))</f>
        <v/>
      </c>
      <c r="Z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5">
        <f>IF(tblOrdenes[[#This Row],[centro_costo]]="","",_xlfn.XLOOKUP(tblOrdenes[[#This Row],[centro_costo]],tblCECO[codigo],tblCECO[coordinador],"(sin catálogo)"))</f>
        <v/>
      </c>
      <c r="AB784" s="5">
        <f>IF(tblOrdenes[[#This Row],[puesto_trabajo]]="","",_xlfn.XLOOKUP(tblOrdenes[[#This Row],[puesto_trabajo]],tblPuestos[codigo],tblPuestos[especialidad],"(sin catálogo)"))</f>
        <v/>
      </c>
      <c r="AC784" s="5">
        <f>IF(tblOrdenes[[#This Row],[cod_actividad]]="","",_xlfn.XLOOKUP(tblOrdenes[[#This Row],[cod_actividad]],tblActividades[codigo],tblActividades[descripcion],"(sin catálogo)"))</f>
        <v/>
      </c>
      <c r="AD784" s="23">
        <f>IF(tblOrdenes[[#This Row],[fecha_inicio]]="","",TODAY()-tblOrdenes[[#This Row],[fecha_inicio]])</f>
        <v/>
      </c>
      <c r="AE7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5">
        <f>IF(tblOrdenes[[#This Row],[backlog_habiles]]="","",IF(tblOrdenes[[#This Row],[backlog_habiles]]&lt;0,"FUTURO",IF(tblOrdenes[[#This Row],[backlog_habiles]]&gt;p_dias_backlog_max,"BACKLOG","MES CORRIENTE")))</f>
        <v/>
      </c>
      <c r="AG784" s="5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18">
        <f>IF(tblOrdenes[[#This Row],[orden]]="","",_xlfn.XLOOKUP(tblOrdenes[[#This Row],[id_operacion]],tblEjecucion[id_operacion],tblEjecucion[precio],0))</f>
        <v/>
      </c>
      <c r="AM784" s="18">
        <f>IF(tblOrdenes[[#This Row],[orden]]="","",MAX(0,_xlfn.XLOOKUP(tblOrdenes[[#This Row],[id_operacion]],tblEjecucion[id_operacion],tblEjecucion[costo_plan_total],0)-tblOrdenes[[#This Row],[costo_servicio]]))</f>
        <v/>
      </c>
      <c r="AN784" s="18">
        <f>IF(tblOrdenes[[#This Row],[orden]]="","",tblOrdenes[[#This Row],[costo_servicio]]+tblOrdenes[[#This Row],[costo_materiales]])</f>
        <v/>
      </c>
      <c r="AO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5">
        <f>IF(tblOrdenes[[#This Row],[link_checklist]]="","",HYPERLINK(p_ruta_base_checklists&amp;tblOrdenes[[#This Row],[link_checklist]],"abrir"))</f>
        <v/>
      </c>
      <c r="AT784" s="4" t="n"/>
      <c r="AU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5" t="n"/>
      <c r="K785" s="5" t="n"/>
      <c r="L785" s="18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Row],[fecha_inicio]]="","",tblOrdenes[[#This Row],[anio]]&amp;"-"&amp;TEXT(tblOrdenes[[#This Row],[mes]],"00"))</f>
        <v/>
      </c>
      <c r="S785" s="5">
        <f>IF(tblOrdenes[[#This Row],[fecha_inicio]]="","",INDEX(lista_dias,WEEKDAY(tblOrdenes[[#This Row],[fecha_inicio]],2)))</f>
        <v/>
      </c>
      <c r="T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5">
        <f>IF(tblOrdenes[[#This Row],[tipo_ot]]="","",_xlfn.XLOOKUP(tblOrdenes[[#This Row],[tipo_ot]],tblTiposOT[codigo],tblTiposOT[clasificacion],"sin_clasificar"))</f>
        <v/>
      </c>
      <c r="V7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5">
        <f>IF(tblOrdenes[[#This Row],[centro_costo]]="","",_xlfn.XLOOKUP(tblOrdenes[[#This Row],[centro_costo]],tblCECO[codigo],tblCECO[linea],"(sin catálogo)"))</f>
        <v/>
      </c>
      <c r="Y785" s="5">
        <f>IF(tblOrdenes[[#This Row],[centro_costo]]="","",_xlfn.XLOOKUP(tblOrdenes[[#This Row],[centro_costo]],tblCECO[codigo],tblCECO[area],"(sin catálogo)"))</f>
        <v/>
      </c>
      <c r="Z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5">
        <f>IF(tblOrdenes[[#This Row],[centro_costo]]="","",_xlfn.XLOOKUP(tblOrdenes[[#This Row],[centro_costo]],tblCECO[codigo],tblCECO[coordinador],"(sin catálogo)"))</f>
        <v/>
      </c>
      <c r="AB785" s="5">
        <f>IF(tblOrdenes[[#This Row],[puesto_trabajo]]="","",_xlfn.XLOOKUP(tblOrdenes[[#This Row],[puesto_trabajo]],tblPuestos[codigo],tblPuestos[especialidad],"(sin catálogo)"))</f>
        <v/>
      </c>
      <c r="AC785" s="5">
        <f>IF(tblOrdenes[[#This Row],[cod_actividad]]="","",_xlfn.XLOOKUP(tblOrdenes[[#This Row],[cod_actividad]],tblActividades[codigo],tblActividades[descripcion],"(sin catálogo)"))</f>
        <v/>
      </c>
      <c r="AD785" s="23">
        <f>IF(tblOrdenes[[#This Row],[fecha_inicio]]="","",TODAY()-tblOrdenes[[#This Row],[fecha_inicio]])</f>
        <v/>
      </c>
      <c r="AE7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5">
        <f>IF(tblOrdenes[[#This Row],[backlog_habiles]]="","",IF(tblOrdenes[[#This Row],[backlog_habiles]]&lt;0,"FUTURO",IF(tblOrdenes[[#This Row],[backlog_habiles]]&gt;p_dias_backlog_max,"BACKLOG","MES CORRIENTE")))</f>
        <v/>
      </c>
      <c r="AG785" s="5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18">
        <f>IF(tblOrdenes[[#This Row],[orden]]="","",_xlfn.XLOOKUP(tblOrdenes[[#This Row],[id_operacion]],tblEjecucion[id_operacion],tblEjecucion[precio],0))</f>
        <v/>
      </c>
      <c r="AM785" s="18">
        <f>IF(tblOrdenes[[#This Row],[orden]]="","",MAX(0,_xlfn.XLOOKUP(tblOrdenes[[#This Row],[id_operacion]],tblEjecucion[id_operacion],tblEjecucion[costo_plan_total],0)-tblOrdenes[[#This Row],[costo_servicio]]))</f>
        <v/>
      </c>
      <c r="AN785" s="18">
        <f>IF(tblOrdenes[[#This Row],[orden]]="","",tblOrdenes[[#This Row],[costo_servicio]]+tblOrdenes[[#This Row],[costo_materiales]])</f>
        <v/>
      </c>
      <c r="AO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5">
        <f>IF(tblOrdenes[[#This Row],[link_checklist]]="","",HYPERLINK(p_ruta_base_checklists&amp;tblOrdenes[[#This Row],[link_checklist]],"abrir"))</f>
        <v/>
      </c>
      <c r="AT785" s="4" t="n"/>
      <c r="AU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5" t="n"/>
      <c r="K786" s="5" t="n"/>
      <c r="L786" s="18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Row],[fecha_inicio]]="","",tblOrdenes[[#This Row],[anio]]&amp;"-"&amp;TEXT(tblOrdenes[[#This Row],[mes]],"00"))</f>
        <v/>
      </c>
      <c r="S786" s="5">
        <f>IF(tblOrdenes[[#This Row],[fecha_inicio]]="","",INDEX(lista_dias,WEEKDAY(tblOrdenes[[#This Row],[fecha_inicio]],2)))</f>
        <v/>
      </c>
      <c r="T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5">
        <f>IF(tblOrdenes[[#This Row],[tipo_ot]]="","",_xlfn.XLOOKUP(tblOrdenes[[#This Row],[tipo_ot]],tblTiposOT[codigo],tblTiposOT[clasificacion],"sin_clasificar"))</f>
        <v/>
      </c>
      <c r="V7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5">
        <f>IF(tblOrdenes[[#This Row],[centro_costo]]="","",_xlfn.XLOOKUP(tblOrdenes[[#This Row],[centro_costo]],tblCECO[codigo],tblCECO[linea],"(sin catálogo)"))</f>
        <v/>
      </c>
      <c r="Y786" s="5">
        <f>IF(tblOrdenes[[#This Row],[centro_costo]]="","",_xlfn.XLOOKUP(tblOrdenes[[#This Row],[centro_costo]],tblCECO[codigo],tblCECO[area],"(sin catálogo)"))</f>
        <v/>
      </c>
      <c r="Z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5">
        <f>IF(tblOrdenes[[#This Row],[centro_costo]]="","",_xlfn.XLOOKUP(tblOrdenes[[#This Row],[centro_costo]],tblCECO[codigo],tblCECO[coordinador],"(sin catálogo)"))</f>
        <v/>
      </c>
      <c r="AB786" s="5">
        <f>IF(tblOrdenes[[#This Row],[puesto_trabajo]]="","",_xlfn.XLOOKUP(tblOrdenes[[#This Row],[puesto_trabajo]],tblPuestos[codigo],tblPuestos[especialidad],"(sin catálogo)"))</f>
        <v/>
      </c>
      <c r="AC786" s="5">
        <f>IF(tblOrdenes[[#This Row],[cod_actividad]]="","",_xlfn.XLOOKUP(tblOrdenes[[#This Row],[cod_actividad]],tblActividades[codigo],tblActividades[descripcion],"(sin catálogo)"))</f>
        <v/>
      </c>
      <c r="AD786" s="23">
        <f>IF(tblOrdenes[[#This Row],[fecha_inicio]]="","",TODAY()-tblOrdenes[[#This Row],[fecha_inicio]])</f>
        <v/>
      </c>
      <c r="AE7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5">
        <f>IF(tblOrdenes[[#This Row],[backlog_habiles]]="","",IF(tblOrdenes[[#This Row],[backlog_habiles]]&lt;0,"FUTURO",IF(tblOrdenes[[#This Row],[backlog_habiles]]&gt;p_dias_backlog_max,"BACKLOG","MES CORRIENTE")))</f>
        <v/>
      </c>
      <c r="AG786" s="5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18">
        <f>IF(tblOrdenes[[#This Row],[orden]]="","",_xlfn.XLOOKUP(tblOrdenes[[#This Row],[id_operacion]],tblEjecucion[id_operacion],tblEjecucion[precio],0))</f>
        <v/>
      </c>
      <c r="AM786" s="18">
        <f>IF(tblOrdenes[[#This Row],[orden]]="","",MAX(0,_xlfn.XLOOKUP(tblOrdenes[[#This Row],[id_operacion]],tblEjecucion[id_operacion],tblEjecucion[costo_plan_total],0)-tblOrdenes[[#This Row],[costo_servicio]]))</f>
        <v/>
      </c>
      <c r="AN786" s="18">
        <f>IF(tblOrdenes[[#This Row],[orden]]="","",tblOrdenes[[#This Row],[costo_servicio]]+tblOrdenes[[#This Row],[costo_materiales]])</f>
        <v/>
      </c>
      <c r="AO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5">
        <f>IF(tblOrdenes[[#This Row],[link_checklist]]="","",HYPERLINK(p_ruta_base_checklists&amp;tblOrdenes[[#This Row],[link_checklist]],"abrir"))</f>
        <v/>
      </c>
      <c r="AT786" s="4" t="n"/>
      <c r="AU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5" t="n"/>
      <c r="K787" s="5" t="n"/>
      <c r="L787" s="18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Row],[fecha_inicio]]="","",tblOrdenes[[#This Row],[anio]]&amp;"-"&amp;TEXT(tblOrdenes[[#This Row],[mes]],"00"))</f>
        <v/>
      </c>
      <c r="S787" s="5">
        <f>IF(tblOrdenes[[#This Row],[fecha_inicio]]="","",INDEX(lista_dias,WEEKDAY(tblOrdenes[[#This Row],[fecha_inicio]],2)))</f>
        <v/>
      </c>
      <c r="T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5">
        <f>IF(tblOrdenes[[#This Row],[tipo_ot]]="","",_xlfn.XLOOKUP(tblOrdenes[[#This Row],[tipo_ot]],tblTiposOT[codigo],tblTiposOT[clasificacion],"sin_clasificar"))</f>
        <v/>
      </c>
      <c r="V7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5">
        <f>IF(tblOrdenes[[#This Row],[centro_costo]]="","",_xlfn.XLOOKUP(tblOrdenes[[#This Row],[centro_costo]],tblCECO[codigo],tblCECO[linea],"(sin catálogo)"))</f>
        <v/>
      </c>
      <c r="Y787" s="5">
        <f>IF(tblOrdenes[[#This Row],[centro_costo]]="","",_xlfn.XLOOKUP(tblOrdenes[[#This Row],[centro_costo]],tblCECO[codigo],tblCECO[area],"(sin catálogo)"))</f>
        <v/>
      </c>
      <c r="Z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5">
        <f>IF(tblOrdenes[[#This Row],[centro_costo]]="","",_xlfn.XLOOKUP(tblOrdenes[[#This Row],[centro_costo]],tblCECO[codigo],tblCECO[coordinador],"(sin catálogo)"))</f>
        <v/>
      </c>
      <c r="AB787" s="5">
        <f>IF(tblOrdenes[[#This Row],[puesto_trabajo]]="","",_xlfn.XLOOKUP(tblOrdenes[[#This Row],[puesto_trabajo]],tblPuestos[codigo],tblPuestos[especialidad],"(sin catálogo)"))</f>
        <v/>
      </c>
      <c r="AC787" s="5">
        <f>IF(tblOrdenes[[#This Row],[cod_actividad]]="","",_xlfn.XLOOKUP(tblOrdenes[[#This Row],[cod_actividad]],tblActividades[codigo],tblActividades[descripcion],"(sin catálogo)"))</f>
        <v/>
      </c>
      <c r="AD787" s="23">
        <f>IF(tblOrdenes[[#This Row],[fecha_inicio]]="","",TODAY()-tblOrdenes[[#This Row],[fecha_inicio]])</f>
        <v/>
      </c>
      <c r="AE7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5">
        <f>IF(tblOrdenes[[#This Row],[backlog_habiles]]="","",IF(tblOrdenes[[#This Row],[backlog_habiles]]&lt;0,"FUTURO",IF(tblOrdenes[[#This Row],[backlog_habiles]]&gt;p_dias_backlog_max,"BACKLOG","MES CORRIENTE")))</f>
        <v/>
      </c>
      <c r="AG787" s="5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18">
        <f>IF(tblOrdenes[[#This Row],[orden]]="","",_xlfn.XLOOKUP(tblOrdenes[[#This Row],[id_operacion]],tblEjecucion[id_operacion],tblEjecucion[precio],0))</f>
        <v/>
      </c>
      <c r="AM787" s="18">
        <f>IF(tblOrdenes[[#This Row],[orden]]="","",MAX(0,_xlfn.XLOOKUP(tblOrdenes[[#This Row],[id_operacion]],tblEjecucion[id_operacion],tblEjecucion[costo_plan_total],0)-tblOrdenes[[#This Row],[costo_servicio]]))</f>
        <v/>
      </c>
      <c r="AN787" s="18">
        <f>IF(tblOrdenes[[#This Row],[orden]]="","",tblOrdenes[[#This Row],[costo_servicio]]+tblOrdenes[[#This Row],[costo_materiales]])</f>
        <v/>
      </c>
      <c r="AO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5">
        <f>IF(tblOrdenes[[#This Row],[link_checklist]]="","",HYPERLINK(p_ruta_base_checklists&amp;tblOrdenes[[#This Row],[link_checklist]],"abrir"))</f>
        <v/>
      </c>
      <c r="AT787" s="4" t="n"/>
      <c r="AU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5" t="n"/>
      <c r="K788" s="5" t="n"/>
      <c r="L788" s="18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Row],[fecha_inicio]]="","",tblOrdenes[[#This Row],[anio]]&amp;"-"&amp;TEXT(tblOrdenes[[#This Row],[mes]],"00"))</f>
        <v/>
      </c>
      <c r="S788" s="5">
        <f>IF(tblOrdenes[[#This Row],[fecha_inicio]]="","",INDEX(lista_dias,WEEKDAY(tblOrdenes[[#This Row],[fecha_inicio]],2)))</f>
        <v/>
      </c>
      <c r="T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5">
        <f>IF(tblOrdenes[[#This Row],[tipo_ot]]="","",_xlfn.XLOOKUP(tblOrdenes[[#This Row],[tipo_ot]],tblTiposOT[codigo],tblTiposOT[clasificacion],"sin_clasificar"))</f>
        <v/>
      </c>
      <c r="V7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5">
        <f>IF(tblOrdenes[[#This Row],[centro_costo]]="","",_xlfn.XLOOKUP(tblOrdenes[[#This Row],[centro_costo]],tblCECO[codigo],tblCECO[linea],"(sin catálogo)"))</f>
        <v/>
      </c>
      <c r="Y788" s="5">
        <f>IF(tblOrdenes[[#This Row],[centro_costo]]="","",_xlfn.XLOOKUP(tblOrdenes[[#This Row],[centro_costo]],tblCECO[codigo],tblCECO[area],"(sin catálogo)"))</f>
        <v/>
      </c>
      <c r="Z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5">
        <f>IF(tblOrdenes[[#This Row],[centro_costo]]="","",_xlfn.XLOOKUP(tblOrdenes[[#This Row],[centro_costo]],tblCECO[codigo],tblCECO[coordinador],"(sin catálogo)"))</f>
        <v/>
      </c>
      <c r="AB788" s="5">
        <f>IF(tblOrdenes[[#This Row],[puesto_trabajo]]="","",_xlfn.XLOOKUP(tblOrdenes[[#This Row],[puesto_trabajo]],tblPuestos[codigo],tblPuestos[especialidad],"(sin catálogo)"))</f>
        <v/>
      </c>
      <c r="AC788" s="5">
        <f>IF(tblOrdenes[[#This Row],[cod_actividad]]="","",_xlfn.XLOOKUP(tblOrdenes[[#This Row],[cod_actividad]],tblActividades[codigo],tblActividades[descripcion],"(sin catálogo)"))</f>
        <v/>
      </c>
      <c r="AD788" s="23">
        <f>IF(tblOrdenes[[#This Row],[fecha_inicio]]="","",TODAY()-tblOrdenes[[#This Row],[fecha_inicio]])</f>
        <v/>
      </c>
      <c r="AE7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5">
        <f>IF(tblOrdenes[[#This Row],[backlog_habiles]]="","",IF(tblOrdenes[[#This Row],[backlog_habiles]]&lt;0,"FUTURO",IF(tblOrdenes[[#This Row],[backlog_habiles]]&gt;p_dias_backlog_max,"BACKLOG","MES CORRIENTE")))</f>
        <v/>
      </c>
      <c r="AG788" s="5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18">
        <f>IF(tblOrdenes[[#This Row],[orden]]="","",_xlfn.XLOOKUP(tblOrdenes[[#This Row],[id_operacion]],tblEjecucion[id_operacion],tblEjecucion[precio],0))</f>
        <v/>
      </c>
      <c r="AM788" s="18">
        <f>IF(tblOrdenes[[#This Row],[orden]]="","",MAX(0,_xlfn.XLOOKUP(tblOrdenes[[#This Row],[id_operacion]],tblEjecucion[id_operacion],tblEjecucion[costo_plan_total],0)-tblOrdenes[[#This Row],[costo_servicio]]))</f>
        <v/>
      </c>
      <c r="AN788" s="18">
        <f>IF(tblOrdenes[[#This Row],[orden]]="","",tblOrdenes[[#This Row],[costo_servicio]]+tblOrdenes[[#This Row],[costo_materiales]])</f>
        <v/>
      </c>
      <c r="AO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5">
        <f>IF(tblOrdenes[[#This Row],[link_checklist]]="","",HYPERLINK(p_ruta_base_checklists&amp;tblOrdenes[[#This Row],[link_checklist]],"abrir"))</f>
        <v/>
      </c>
      <c r="AT788" s="4" t="n"/>
      <c r="AU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5" t="n"/>
      <c r="K789" s="5" t="n"/>
      <c r="L789" s="18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Row],[fecha_inicio]]="","",tblOrdenes[[#This Row],[anio]]&amp;"-"&amp;TEXT(tblOrdenes[[#This Row],[mes]],"00"))</f>
        <v/>
      </c>
      <c r="S789" s="5">
        <f>IF(tblOrdenes[[#This Row],[fecha_inicio]]="","",INDEX(lista_dias,WEEKDAY(tblOrdenes[[#This Row],[fecha_inicio]],2)))</f>
        <v/>
      </c>
      <c r="T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5">
        <f>IF(tblOrdenes[[#This Row],[tipo_ot]]="","",_xlfn.XLOOKUP(tblOrdenes[[#This Row],[tipo_ot]],tblTiposOT[codigo],tblTiposOT[clasificacion],"sin_clasificar"))</f>
        <v/>
      </c>
      <c r="V7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5">
        <f>IF(tblOrdenes[[#This Row],[centro_costo]]="","",_xlfn.XLOOKUP(tblOrdenes[[#This Row],[centro_costo]],tblCECO[codigo],tblCECO[linea],"(sin catálogo)"))</f>
        <v/>
      </c>
      <c r="Y789" s="5">
        <f>IF(tblOrdenes[[#This Row],[centro_costo]]="","",_xlfn.XLOOKUP(tblOrdenes[[#This Row],[centro_costo]],tblCECO[codigo],tblCECO[area],"(sin catálogo)"))</f>
        <v/>
      </c>
      <c r="Z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5">
        <f>IF(tblOrdenes[[#This Row],[centro_costo]]="","",_xlfn.XLOOKUP(tblOrdenes[[#This Row],[centro_costo]],tblCECO[codigo],tblCECO[coordinador],"(sin catálogo)"))</f>
        <v/>
      </c>
      <c r="AB789" s="5">
        <f>IF(tblOrdenes[[#This Row],[puesto_trabajo]]="","",_xlfn.XLOOKUP(tblOrdenes[[#This Row],[puesto_trabajo]],tblPuestos[codigo],tblPuestos[especialidad],"(sin catálogo)"))</f>
        <v/>
      </c>
      <c r="AC789" s="5">
        <f>IF(tblOrdenes[[#This Row],[cod_actividad]]="","",_xlfn.XLOOKUP(tblOrdenes[[#This Row],[cod_actividad]],tblActividades[codigo],tblActividades[descripcion],"(sin catálogo)"))</f>
        <v/>
      </c>
      <c r="AD789" s="23">
        <f>IF(tblOrdenes[[#This Row],[fecha_inicio]]="","",TODAY()-tblOrdenes[[#This Row],[fecha_inicio]])</f>
        <v/>
      </c>
      <c r="AE7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5">
        <f>IF(tblOrdenes[[#This Row],[backlog_habiles]]="","",IF(tblOrdenes[[#This Row],[backlog_habiles]]&lt;0,"FUTURO",IF(tblOrdenes[[#This Row],[backlog_habiles]]&gt;p_dias_backlog_max,"BACKLOG","MES CORRIENTE")))</f>
        <v/>
      </c>
      <c r="AG789" s="5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18">
        <f>IF(tblOrdenes[[#This Row],[orden]]="","",_xlfn.XLOOKUP(tblOrdenes[[#This Row],[id_operacion]],tblEjecucion[id_operacion],tblEjecucion[precio],0))</f>
        <v/>
      </c>
      <c r="AM789" s="18">
        <f>IF(tblOrdenes[[#This Row],[orden]]="","",MAX(0,_xlfn.XLOOKUP(tblOrdenes[[#This Row],[id_operacion]],tblEjecucion[id_operacion],tblEjecucion[costo_plan_total],0)-tblOrdenes[[#This Row],[costo_servicio]]))</f>
        <v/>
      </c>
      <c r="AN789" s="18">
        <f>IF(tblOrdenes[[#This Row],[orden]]="","",tblOrdenes[[#This Row],[costo_servicio]]+tblOrdenes[[#This Row],[costo_materiales]])</f>
        <v/>
      </c>
      <c r="AO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5">
        <f>IF(tblOrdenes[[#This Row],[link_checklist]]="","",HYPERLINK(p_ruta_base_checklists&amp;tblOrdenes[[#This Row],[link_checklist]],"abrir"))</f>
        <v/>
      </c>
      <c r="AT789" s="4" t="n"/>
      <c r="AU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5" t="n"/>
      <c r="K790" s="5" t="n"/>
      <c r="L790" s="18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Row],[fecha_inicio]]="","",tblOrdenes[[#This Row],[anio]]&amp;"-"&amp;TEXT(tblOrdenes[[#This Row],[mes]],"00"))</f>
        <v/>
      </c>
      <c r="S790" s="5">
        <f>IF(tblOrdenes[[#This Row],[fecha_inicio]]="","",INDEX(lista_dias,WEEKDAY(tblOrdenes[[#This Row],[fecha_inicio]],2)))</f>
        <v/>
      </c>
      <c r="T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5">
        <f>IF(tblOrdenes[[#This Row],[tipo_ot]]="","",_xlfn.XLOOKUP(tblOrdenes[[#This Row],[tipo_ot]],tblTiposOT[codigo],tblTiposOT[clasificacion],"sin_clasificar"))</f>
        <v/>
      </c>
      <c r="V7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5">
        <f>IF(tblOrdenes[[#This Row],[centro_costo]]="","",_xlfn.XLOOKUP(tblOrdenes[[#This Row],[centro_costo]],tblCECO[codigo],tblCECO[linea],"(sin catálogo)"))</f>
        <v/>
      </c>
      <c r="Y790" s="5">
        <f>IF(tblOrdenes[[#This Row],[centro_costo]]="","",_xlfn.XLOOKUP(tblOrdenes[[#This Row],[centro_costo]],tblCECO[codigo],tblCECO[area],"(sin catálogo)"))</f>
        <v/>
      </c>
      <c r="Z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5">
        <f>IF(tblOrdenes[[#This Row],[centro_costo]]="","",_xlfn.XLOOKUP(tblOrdenes[[#This Row],[centro_costo]],tblCECO[codigo],tblCECO[coordinador],"(sin catálogo)"))</f>
        <v/>
      </c>
      <c r="AB790" s="5">
        <f>IF(tblOrdenes[[#This Row],[puesto_trabajo]]="","",_xlfn.XLOOKUP(tblOrdenes[[#This Row],[puesto_trabajo]],tblPuestos[codigo],tblPuestos[especialidad],"(sin catálogo)"))</f>
        <v/>
      </c>
      <c r="AC790" s="5">
        <f>IF(tblOrdenes[[#This Row],[cod_actividad]]="","",_xlfn.XLOOKUP(tblOrdenes[[#This Row],[cod_actividad]],tblActividades[codigo],tblActividades[descripcion],"(sin catálogo)"))</f>
        <v/>
      </c>
      <c r="AD790" s="23">
        <f>IF(tblOrdenes[[#This Row],[fecha_inicio]]="","",TODAY()-tblOrdenes[[#This Row],[fecha_inicio]])</f>
        <v/>
      </c>
      <c r="AE7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5">
        <f>IF(tblOrdenes[[#This Row],[backlog_habiles]]="","",IF(tblOrdenes[[#This Row],[backlog_habiles]]&lt;0,"FUTURO",IF(tblOrdenes[[#This Row],[backlog_habiles]]&gt;p_dias_backlog_max,"BACKLOG","MES CORRIENTE")))</f>
        <v/>
      </c>
      <c r="AG790" s="5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18">
        <f>IF(tblOrdenes[[#This Row],[orden]]="","",_xlfn.XLOOKUP(tblOrdenes[[#This Row],[id_operacion]],tblEjecucion[id_operacion],tblEjecucion[precio],0))</f>
        <v/>
      </c>
      <c r="AM790" s="18">
        <f>IF(tblOrdenes[[#This Row],[orden]]="","",MAX(0,_xlfn.XLOOKUP(tblOrdenes[[#This Row],[id_operacion]],tblEjecucion[id_operacion],tblEjecucion[costo_plan_total],0)-tblOrdenes[[#This Row],[costo_servicio]]))</f>
        <v/>
      </c>
      <c r="AN790" s="18">
        <f>IF(tblOrdenes[[#This Row],[orden]]="","",tblOrdenes[[#This Row],[costo_servicio]]+tblOrdenes[[#This Row],[costo_materiales]])</f>
        <v/>
      </c>
      <c r="AO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5">
        <f>IF(tblOrdenes[[#This Row],[link_checklist]]="","",HYPERLINK(p_ruta_base_checklists&amp;tblOrdenes[[#This Row],[link_checklist]],"abrir"))</f>
        <v/>
      </c>
      <c r="AT790" s="4" t="n"/>
      <c r="AU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5" t="n"/>
      <c r="K791" s="5" t="n"/>
      <c r="L791" s="18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Row],[fecha_inicio]]="","",tblOrdenes[[#This Row],[anio]]&amp;"-"&amp;TEXT(tblOrdenes[[#This Row],[mes]],"00"))</f>
        <v/>
      </c>
      <c r="S791" s="5">
        <f>IF(tblOrdenes[[#This Row],[fecha_inicio]]="","",INDEX(lista_dias,WEEKDAY(tblOrdenes[[#This Row],[fecha_inicio]],2)))</f>
        <v/>
      </c>
      <c r="T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5">
        <f>IF(tblOrdenes[[#This Row],[tipo_ot]]="","",_xlfn.XLOOKUP(tblOrdenes[[#This Row],[tipo_ot]],tblTiposOT[codigo],tblTiposOT[clasificacion],"sin_clasificar"))</f>
        <v/>
      </c>
      <c r="V7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5">
        <f>IF(tblOrdenes[[#This Row],[centro_costo]]="","",_xlfn.XLOOKUP(tblOrdenes[[#This Row],[centro_costo]],tblCECO[codigo],tblCECO[linea],"(sin catálogo)"))</f>
        <v/>
      </c>
      <c r="Y791" s="5">
        <f>IF(tblOrdenes[[#This Row],[centro_costo]]="","",_xlfn.XLOOKUP(tblOrdenes[[#This Row],[centro_costo]],tblCECO[codigo],tblCECO[area],"(sin catálogo)"))</f>
        <v/>
      </c>
      <c r="Z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5">
        <f>IF(tblOrdenes[[#This Row],[centro_costo]]="","",_xlfn.XLOOKUP(tblOrdenes[[#This Row],[centro_costo]],tblCECO[codigo],tblCECO[coordinador],"(sin catálogo)"))</f>
        <v/>
      </c>
      <c r="AB791" s="5">
        <f>IF(tblOrdenes[[#This Row],[puesto_trabajo]]="","",_xlfn.XLOOKUP(tblOrdenes[[#This Row],[puesto_trabajo]],tblPuestos[codigo],tblPuestos[especialidad],"(sin catálogo)"))</f>
        <v/>
      </c>
      <c r="AC791" s="5">
        <f>IF(tblOrdenes[[#This Row],[cod_actividad]]="","",_xlfn.XLOOKUP(tblOrdenes[[#This Row],[cod_actividad]],tblActividades[codigo],tblActividades[descripcion],"(sin catálogo)"))</f>
        <v/>
      </c>
      <c r="AD791" s="23">
        <f>IF(tblOrdenes[[#This Row],[fecha_inicio]]="","",TODAY()-tblOrdenes[[#This Row],[fecha_inicio]])</f>
        <v/>
      </c>
      <c r="AE7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5">
        <f>IF(tblOrdenes[[#This Row],[backlog_habiles]]="","",IF(tblOrdenes[[#This Row],[backlog_habiles]]&lt;0,"FUTURO",IF(tblOrdenes[[#This Row],[backlog_habiles]]&gt;p_dias_backlog_max,"BACKLOG","MES CORRIENTE")))</f>
        <v/>
      </c>
      <c r="AG791" s="5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18">
        <f>IF(tblOrdenes[[#This Row],[orden]]="","",_xlfn.XLOOKUP(tblOrdenes[[#This Row],[id_operacion]],tblEjecucion[id_operacion],tblEjecucion[precio],0))</f>
        <v/>
      </c>
      <c r="AM791" s="18">
        <f>IF(tblOrdenes[[#This Row],[orden]]="","",MAX(0,_xlfn.XLOOKUP(tblOrdenes[[#This Row],[id_operacion]],tblEjecucion[id_operacion],tblEjecucion[costo_plan_total],0)-tblOrdenes[[#This Row],[costo_servicio]]))</f>
        <v/>
      </c>
      <c r="AN791" s="18">
        <f>IF(tblOrdenes[[#This Row],[orden]]="","",tblOrdenes[[#This Row],[costo_servicio]]+tblOrdenes[[#This Row],[costo_materiales]])</f>
        <v/>
      </c>
      <c r="AO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5">
        <f>IF(tblOrdenes[[#This Row],[link_checklist]]="","",HYPERLINK(p_ruta_base_checklists&amp;tblOrdenes[[#This Row],[link_checklist]],"abrir"))</f>
        <v/>
      </c>
      <c r="AT791" s="4" t="n"/>
      <c r="AU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5" t="n"/>
      <c r="K792" s="5" t="n"/>
      <c r="L792" s="18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Row],[fecha_inicio]]="","",tblOrdenes[[#This Row],[anio]]&amp;"-"&amp;TEXT(tblOrdenes[[#This Row],[mes]],"00"))</f>
        <v/>
      </c>
      <c r="S792" s="5">
        <f>IF(tblOrdenes[[#This Row],[fecha_inicio]]="","",INDEX(lista_dias,WEEKDAY(tblOrdenes[[#This Row],[fecha_inicio]],2)))</f>
        <v/>
      </c>
      <c r="T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5">
        <f>IF(tblOrdenes[[#This Row],[tipo_ot]]="","",_xlfn.XLOOKUP(tblOrdenes[[#This Row],[tipo_ot]],tblTiposOT[codigo],tblTiposOT[clasificacion],"sin_clasificar"))</f>
        <v/>
      </c>
      <c r="V7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5">
        <f>IF(tblOrdenes[[#This Row],[centro_costo]]="","",_xlfn.XLOOKUP(tblOrdenes[[#This Row],[centro_costo]],tblCECO[codigo],tblCECO[linea],"(sin catálogo)"))</f>
        <v/>
      </c>
      <c r="Y792" s="5">
        <f>IF(tblOrdenes[[#This Row],[centro_costo]]="","",_xlfn.XLOOKUP(tblOrdenes[[#This Row],[centro_costo]],tblCECO[codigo],tblCECO[area],"(sin catálogo)"))</f>
        <v/>
      </c>
      <c r="Z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5">
        <f>IF(tblOrdenes[[#This Row],[centro_costo]]="","",_xlfn.XLOOKUP(tblOrdenes[[#This Row],[centro_costo]],tblCECO[codigo],tblCECO[coordinador],"(sin catálogo)"))</f>
        <v/>
      </c>
      <c r="AB792" s="5">
        <f>IF(tblOrdenes[[#This Row],[puesto_trabajo]]="","",_xlfn.XLOOKUP(tblOrdenes[[#This Row],[puesto_trabajo]],tblPuestos[codigo],tblPuestos[especialidad],"(sin catálogo)"))</f>
        <v/>
      </c>
      <c r="AC792" s="5">
        <f>IF(tblOrdenes[[#This Row],[cod_actividad]]="","",_xlfn.XLOOKUP(tblOrdenes[[#This Row],[cod_actividad]],tblActividades[codigo],tblActividades[descripcion],"(sin catálogo)"))</f>
        <v/>
      </c>
      <c r="AD792" s="23">
        <f>IF(tblOrdenes[[#This Row],[fecha_inicio]]="","",TODAY()-tblOrdenes[[#This Row],[fecha_inicio]])</f>
        <v/>
      </c>
      <c r="AE7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5">
        <f>IF(tblOrdenes[[#This Row],[backlog_habiles]]="","",IF(tblOrdenes[[#This Row],[backlog_habiles]]&lt;0,"FUTURO",IF(tblOrdenes[[#This Row],[backlog_habiles]]&gt;p_dias_backlog_max,"BACKLOG","MES CORRIENTE")))</f>
        <v/>
      </c>
      <c r="AG792" s="5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18">
        <f>IF(tblOrdenes[[#This Row],[orden]]="","",_xlfn.XLOOKUP(tblOrdenes[[#This Row],[id_operacion]],tblEjecucion[id_operacion],tblEjecucion[precio],0))</f>
        <v/>
      </c>
      <c r="AM792" s="18">
        <f>IF(tblOrdenes[[#This Row],[orden]]="","",MAX(0,_xlfn.XLOOKUP(tblOrdenes[[#This Row],[id_operacion]],tblEjecucion[id_operacion],tblEjecucion[costo_plan_total],0)-tblOrdenes[[#This Row],[costo_servicio]]))</f>
        <v/>
      </c>
      <c r="AN792" s="18">
        <f>IF(tblOrdenes[[#This Row],[orden]]="","",tblOrdenes[[#This Row],[costo_servicio]]+tblOrdenes[[#This Row],[costo_materiales]])</f>
        <v/>
      </c>
      <c r="AO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5">
        <f>IF(tblOrdenes[[#This Row],[link_checklist]]="","",HYPERLINK(p_ruta_base_checklists&amp;tblOrdenes[[#This Row],[link_checklist]],"abrir"))</f>
        <v/>
      </c>
      <c r="AT792" s="4" t="n"/>
      <c r="AU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5" t="n"/>
      <c r="K793" s="5" t="n"/>
      <c r="L793" s="18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Row],[fecha_inicio]]="","",tblOrdenes[[#This Row],[anio]]&amp;"-"&amp;TEXT(tblOrdenes[[#This Row],[mes]],"00"))</f>
        <v/>
      </c>
      <c r="S793" s="5">
        <f>IF(tblOrdenes[[#This Row],[fecha_inicio]]="","",INDEX(lista_dias,WEEKDAY(tblOrdenes[[#This Row],[fecha_inicio]],2)))</f>
        <v/>
      </c>
      <c r="T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5">
        <f>IF(tblOrdenes[[#This Row],[tipo_ot]]="","",_xlfn.XLOOKUP(tblOrdenes[[#This Row],[tipo_ot]],tblTiposOT[codigo],tblTiposOT[clasificacion],"sin_clasificar"))</f>
        <v/>
      </c>
      <c r="V7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5">
        <f>IF(tblOrdenes[[#This Row],[centro_costo]]="","",_xlfn.XLOOKUP(tblOrdenes[[#This Row],[centro_costo]],tblCECO[codigo],tblCECO[linea],"(sin catálogo)"))</f>
        <v/>
      </c>
      <c r="Y793" s="5">
        <f>IF(tblOrdenes[[#This Row],[centro_costo]]="","",_xlfn.XLOOKUP(tblOrdenes[[#This Row],[centro_costo]],tblCECO[codigo],tblCECO[area],"(sin catálogo)"))</f>
        <v/>
      </c>
      <c r="Z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5">
        <f>IF(tblOrdenes[[#This Row],[centro_costo]]="","",_xlfn.XLOOKUP(tblOrdenes[[#This Row],[centro_costo]],tblCECO[codigo],tblCECO[coordinador],"(sin catálogo)"))</f>
        <v/>
      </c>
      <c r="AB793" s="5">
        <f>IF(tblOrdenes[[#This Row],[puesto_trabajo]]="","",_xlfn.XLOOKUP(tblOrdenes[[#This Row],[puesto_trabajo]],tblPuestos[codigo],tblPuestos[especialidad],"(sin catálogo)"))</f>
        <v/>
      </c>
      <c r="AC793" s="5">
        <f>IF(tblOrdenes[[#This Row],[cod_actividad]]="","",_xlfn.XLOOKUP(tblOrdenes[[#This Row],[cod_actividad]],tblActividades[codigo],tblActividades[descripcion],"(sin catálogo)"))</f>
        <v/>
      </c>
      <c r="AD793" s="23">
        <f>IF(tblOrdenes[[#This Row],[fecha_inicio]]="","",TODAY()-tblOrdenes[[#This Row],[fecha_inicio]])</f>
        <v/>
      </c>
      <c r="AE7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5">
        <f>IF(tblOrdenes[[#This Row],[backlog_habiles]]="","",IF(tblOrdenes[[#This Row],[backlog_habiles]]&lt;0,"FUTURO",IF(tblOrdenes[[#This Row],[backlog_habiles]]&gt;p_dias_backlog_max,"BACKLOG","MES CORRIENTE")))</f>
        <v/>
      </c>
      <c r="AG793" s="5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18">
        <f>IF(tblOrdenes[[#This Row],[orden]]="","",_xlfn.XLOOKUP(tblOrdenes[[#This Row],[id_operacion]],tblEjecucion[id_operacion],tblEjecucion[precio],0))</f>
        <v/>
      </c>
      <c r="AM793" s="18">
        <f>IF(tblOrdenes[[#This Row],[orden]]="","",MAX(0,_xlfn.XLOOKUP(tblOrdenes[[#This Row],[id_operacion]],tblEjecucion[id_operacion],tblEjecucion[costo_plan_total],0)-tblOrdenes[[#This Row],[costo_servicio]]))</f>
        <v/>
      </c>
      <c r="AN793" s="18">
        <f>IF(tblOrdenes[[#This Row],[orden]]="","",tblOrdenes[[#This Row],[costo_servicio]]+tblOrdenes[[#This Row],[costo_materiales]])</f>
        <v/>
      </c>
      <c r="AO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5">
        <f>IF(tblOrdenes[[#This Row],[link_checklist]]="","",HYPERLINK(p_ruta_base_checklists&amp;tblOrdenes[[#This Row],[link_checklist]],"abrir"))</f>
        <v/>
      </c>
      <c r="AT793" s="4" t="n"/>
      <c r="AU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5" t="n"/>
      <c r="K794" s="5" t="n"/>
      <c r="L794" s="18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Row],[fecha_inicio]]="","",tblOrdenes[[#This Row],[anio]]&amp;"-"&amp;TEXT(tblOrdenes[[#This Row],[mes]],"00"))</f>
        <v/>
      </c>
      <c r="S794" s="5">
        <f>IF(tblOrdenes[[#This Row],[fecha_inicio]]="","",INDEX(lista_dias,WEEKDAY(tblOrdenes[[#This Row],[fecha_inicio]],2)))</f>
        <v/>
      </c>
      <c r="T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5">
        <f>IF(tblOrdenes[[#This Row],[tipo_ot]]="","",_xlfn.XLOOKUP(tblOrdenes[[#This Row],[tipo_ot]],tblTiposOT[codigo],tblTiposOT[clasificacion],"sin_clasificar"))</f>
        <v/>
      </c>
      <c r="V7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5">
        <f>IF(tblOrdenes[[#This Row],[centro_costo]]="","",_xlfn.XLOOKUP(tblOrdenes[[#This Row],[centro_costo]],tblCECO[codigo],tblCECO[linea],"(sin catálogo)"))</f>
        <v/>
      </c>
      <c r="Y794" s="5">
        <f>IF(tblOrdenes[[#This Row],[centro_costo]]="","",_xlfn.XLOOKUP(tblOrdenes[[#This Row],[centro_costo]],tblCECO[codigo],tblCECO[area],"(sin catálogo)"))</f>
        <v/>
      </c>
      <c r="Z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5">
        <f>IF(tblOrdenes[[#This Row],[centro_costo]]="","",_xlfn.XLOOKUP(tblOrdenes[[#This Row],[centro_costo]],tblCECO[codigo],tblCECO[coordinador],"(sin catálogo)"))</f>
        <v/>
      </c>
      <c r="AB794" s="5">
        <f>IF(tblOrdenes[[#This Row],[puesto_trabajo]]="","",_xlfn.XLOOKUP(tblOrdenes[[#This Row],[puesto_trabajo]],tblPuestos[codigo],tblPuestos[especialidad],"(sin catálogo)"))</f>
        <v/>
      </c>
      <c r="AC794" s="5">
        <f>IF(tblOrdenes[[#This Row],[cod_actividad]]="","",_xlfn.XLOOKUP(tblOrdenes[[#This Row],[cod_actividad]],tblActividades[codigo],tblActividades[descripcion],"(sin catálogo)"))</f>
        <v/>
      </c>
      <c r="AD794" s="23">
        <f>IF(tblOrdenes[[#This Row],[fecha_inicio]]="","",TODAY()-tblOrdenes[[#This Row],[fecha_inicio]])</f>
        <v/>
      </c>
      <c r="AE7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5">
        <f>IF(tblOrdenes[[#This Row],[backlog_habiles]]="","",IF(tblOrdenes[[#This Row],[backlog_habiles]]&lt;0,"FUTURO",IF(tblOrdenes[[#This Row],[backlog_habiles]]&gt;p_dias_backlog_max,"BACKLOG","MES CORRIENTE")))</f>
        <v/>
      </c>
      <c r="AG794" s="5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18">
        <f>IF(tblOrdenes[[#This Row],[orden]]="","",_xlfn.XLOOKUP(tblOrdenes[[#This Row],[id_operacion]],tblEjecucion[id_operacion],tblEjecucion[precio],0))</f>
        <v/>
      </c>
      <c r="AM794" s="18">
        <f>IF(tblOrdenes[[#This Row],[orden]]="","",MAX(0,_xlfn.XLOOKUP(tblOrdenes[[#This Row],[id_operacion]],tblEjecucion[id_operacion],tblEjecucion[costo_plan_total],0)-tblOrdenes[[#This Row],[costo_servicio]]))</f>
        <v/>
      </c>
      <c r="AN794" s="18">
        <f>IF(tblOrdenes[[#This Row],[orden]]="","",tblOrdenes[[#This Row],[costo_servicio]]+tblOrdenes[[#This Row],[costo_materiales]])</f>
        <v/>
      </c>
      <c r="AO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5">
        <f>IF(tblOrdenes[[#This Row],[link_checklist]]="","",HYPERLINK(p_ruta_base_checklists&amp;tblOrdenes[[#This Row],[link_checklist]],"abrir"))</f>
        <v/>
      </c>
      <c r="AT794" s="4" t="n"/>
      <c r="AU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5" t="n"/>
      <c r="K795" s="5" t="n"/>
      <c r="L795" s="18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Row],[fecha_inicio]]="","",tblOrdenes[[#This Row],[anio]]&amp;"-"&amp;TEXT(tblOrdenes[[#This Row],[mes]],"00"))</f>
        <v/>
      </c>
      <c r="S795" s="5">
        <f>IF(tblOrdenes[[#This Row],[fecha_inicio]]="","",INDEX(lista_dias,WEEKDAY(tblOrdenes[[#This Row],[fecha_inicio]],2)))</f>
        <v/>
      </c>
      <c r="T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5">
        <f>IF(tblOrdenes[[#This Row],[tipo_ot]]="","",_xlfn.XLOOKUP(tblOrdenes[[#This Row],[tipo_ot]],tblTiposOT[codigo],tblTiposOT[clasificacion],"sin_clasificar"))</f>
        <v/>
      </c>
      <c r="V7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5">
        <f>IF(tblOrdenes[[#This Row],[centro_costo]]="","",_xlfn.XLOOKUP(tblOrdenes[[#This Row],[centro_costo]],tblCECO[codigo],tblCECO[linea],"(sin catálogo)"))</f>
        <v/>
      </c>
      <c r="Y795" s="5">
        <f>IF(tblOrdenes[[#This Row],[centro_costo]]="","",_xlfn.XLOOKUP(tblOrdenes[[#This Row],[centro_costo]],tblCECO[codigo],tblCECO[area],"(sin catálogo)"))</f>
        <v/>
      </c>
      <c r="Z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5">
        <f>IF(tblOrdenes[[#This Row],[centro_costo]]="","",_xlfn.XLOOKUP(tblOrdenes[[#This Row],[centro_costo]],tblCECO[codigo],tblCECO[coordinador],"(sin catálogo)"))</f>
        <v/>
      </c>
      <c r="AB795" s="5">
        <f>IF(tblOrdenes[[#This Row],[puesto_trabajo]]="","",_xlfn.XLOOKUP(tblOrdenes[[#This Row],[puesto_trabajo]],tblPuestos[codigo],tblPuestos[especialidad],"(sin catálogo)"))</f>
        <v/>
      </c>
      <c r="AC795" s="5">
        <f>IF(tblOrdenes[[#This Row],[cod_actividad]]="","",_xlfn.XLOOKUP(tblOrdenes[[#This Row],[cod_actividad]],tblActividades[codigo],tblActividades[descripcion],"(sin catálogo)"))</f>
        <v/>
      </c>
      <c r="AD795" s="23">
        <f>IF(tblOrdenes[[#This Row],[fecha_inicio]]="","",TODAY()-tblOrdenes[[#This Row],[fecha_inicio]])</f>
        <v/>
      </c>
      <c r="AE7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5">
        <f>IF(tblOrdenes[[#This Row],[backlog_habiles]]="","",IF(tblOrdenes[[#This Row],[backlog_habiles]]&lt;0,"FUTURO",IF(tblOrdenes[[#This Row],[backlog_habiles]]&gt;p_dias_backlog_max,"BACKLOG","MES CORRIENTE")))</f>
        <v/>
      </c>
      <c r="AG795" s="5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18">
        <f>IF(tblOrdenes[[#This Row],[orden]]="","",_xlfn.XLOOKUP(tblOrdenes[[#This Row],[id_operacion]],tblEjecucion[id_operacion],tblEjecucion[precio],0))</f>
        <v/>
      </c>
      <c r="AM795" s="18">
        <f>IF(tblOrdenes[[#This Row],[orden]]="","",MAX(0,_xlfn.XLOOKUP(tblOrdenes[[#This Row],[id_operacion]],tblEjecucion[id_operacion],tblEjecucion[costo_plan_total],0)-tblOrdenes[[#This Row],[costo_servicio]]))</f>
        <v/>
      </c>
      <c r="AN795" s="18">
        <f>IF(tblOrdenes[[#This Row],[orden]]="","",tblOrdenes[[#This Row],[costo_servicio]]+tblOrdenes[[#This Row],[costo_materiales]])</f>
        <v/>
      </c>
      <c r="AO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5">
        <f>IF(tblOrdenes[[#This Row],[link_checklist]]="","",HYPERLINK(p_ruta_base_checklists&amp;tblOrdenes[[#This Row],[link_checklist]],"abrir"))</f>
        <v/>
      </c>
      <c r="AT795" s="4" t="n"/>
      <c r="AU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5" t="n"/>
      <c r="K796" s="5" t="n"/>
      <c r="L796" s="18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Row],[fecha_inicio]]="","",tblOrdenes[[#This Row],[anio]]&amp;"-"&amp;TEXT(tblOrdenes[[#This Row],[mes]],"00"))</f>
        <v/>
      </c>
      <c r="S796" s="5">
        <f>IF(tblOrdenes[[#This Row],[fecha_inicio]]="","",INDEX(lista_dias,WEEKDAY(tblOrdenes[[#This Row],[fecha_inicio]],2)))</f>
        <v/>
      </c>
      <c r="T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5">
        <f>IF(tblOrdenes[[#This Row],[tipo_ot]]="","",_xlfn.XLOOKUP(tblOrdenes[[#This Row],[tipo_ot]],tblTiposOT[codigo],tblTiposOT[clasificacion],"sin_clasificar"))</f>
        <v/>
      </c>
      <c r="V7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5">
        <f>IF(tblOrdenes[[#This Row],[centro_costo]]="","",_xlfn.XLOOKUP(tblOrdenes[[#This Row],[centro_costo]],tblCECO[codigo],tblCECO[linea],"(sin catálogo)"))</f>
        <v/>
      </c>
      <c r="Y796" s="5">
        <f>IF(tblOrdenes[[#This Row],[centro_costo]]="","",_xlfn.XLOOKUP(tblOrdenes[[#This Row],[centro_costo]],tblCECO[codigo],tblCECO[area],"(sin catálogo)"))</f>
        <v/>
      </c>
      <c r="Z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5">
        <f>IF(tblOrdenes[[#This Row],[centro_costo]]="","",_xlfn.XLOOKUP(tblOrdenes[[#This Row],[centro_costo]],tblCECO[codigo],tblCECO[coordinador],"(sin catálogo)"))</f>
        <v/>
      </c>
      <c r="AB796" s="5">
        <f>IF(tblOrdenes[[#This Row],[puesto_trabajo]]="","",_xlfn.XLOOKUP(tblOrdenes[[#This Row],[puesto_trabajo]],tblPuestos[codigo],tblPuestos[especialidad],"(sin catálogo)"))</f>
        <v/>
      </c>
      <c r="AC796" s="5">
        <f>IF(tblOrdenes[[#This Row],[cod_actividad]]="","",_xlfn.XLOOKUP(tblOrdenes[[#This Row],[cod_actividad]],tblActividades[codigo],tblActividades[descripcion],"(sin catálogo)"))</f>
        <v/>
      </c>
      <c r="AD796" s="23">
        <f>IF(tblOrdenes[[#This Row],[fecha_inicio]]="","",TODAY()-tblOrdenes[[#This Row],[fecha_inicio]])</f>
        <v/>
      </c>
      <c r="AE7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5">
        <f>IF(tblOrdenes[[#This Row],[backlog_habiles]]="","",IF(tblOrdenes[[#This Row],[backlog_habiles]]&lt;0,"FUTURO",IF(tblOrdenes[[#This Row],[backlog_habiles]]&gt;p_dias_backlog_max,"BACKLOG","MES CORRIENTE")))</f>
        <v/>
      </c>
      <c r="AG796" s="5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18">
        <f>IF(tblOrdenes[[#This Row],[orden]]="","",_xlfn.XLOOKUP(tblOrdenes[[#This Row],[id_operacion]],tblEjecucion[id_operacion],tblEjecucion[precio],0))</f>
        <v/>
      </c>
      <c r="AM796" s="18">
        <f>IF(tblOrdenes[[#This Row],[orden]]="","",MAX(0,_xlfn.XLOOKUP(tblOrdenes[[#This Row],[id_operacion]],tblEjecucion[id_operacion],tblEjecucion[costo_plan_total],0)-tblOrdenes[[#This Row],[costo_servicio]]))</f>
        <v/>
      </c>
      <c r="AN796" s="18">
        <f>IF(tblOrdenes[[#This Row],[orden]]="","",tblOrdenes[[#This Row],[costo_servicio]]+tblOrdenes[[#This Row],[costo_materiales]])</f>
        <v/>
      </c>
      <c r="AO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5">
        <f>IF(tblOrdenes[[#This Row],[link_checklist]]="","",HYPERLINK(p_ruta_base_checklists&amp;tblOrdenes[[#This Row],[link_checklist]],"abrir"))</f>
        <v/>
      </c>
      <c r="AT796" s="4" t="n"/>
      <c r="AU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5" t="n"/>
      <c r="K797" s="5" t="n"/>
      <c r="L797" s="18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Row],[fecha_inicio]]="","",tblOrdenes[[#This Row],[anio]]&amp;"-"&amp;TEXT(tblOrdenes[[#This Row],[mes]],"00"))</f>
        <v/>
      </c>
      <c r="S797" s="5">
        <f>IF(tblOrdenes[[#This Row],[fecha_inicio]]="","",INDEX(lista_dias,WEEKDAY(tblOrdenes[[#This Row],[fecha_inicio]],2)))</f>
        <v/>
      </c>
      <c r="T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5">
        <f>IF(tblOrdenes[[#This Row],[tipo_ot]]="","",_xlfn.XLOOKUP(tblOrdenes[[#This Row],[tipo_ot]],tblTiposOT[codigo],tblTiposOT[clasificacion],"sin_clasificar"))</f>
        <v/>
      </c>
      <c r="V7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5">
        <f>IF(tblOrdenes[[#This Row],[centro_costo]]="","",_xlfn.XLOOKUP(tblOrdenes[[#This Row],[centro_costo]],tblCECO[codigo],tblCECO[linea],"(sin catálogo)"))</f>
        <v/>
      </c>
      <c r="Y797" s="5">
        <f>IF(tblOrdenes[[#This Row],[centro_costo]]="","",_xlfn.XLOOKUP(tblOrdenes[[#This Row],[centro_costo]],tblCECO[codigo],tblCECO[area],"(sin catálogo)"))</f>
        <v/>
      </c>
      <c r="Z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5">
        <f>IF(tblOrdenes[[#This Row],[centro_costo]]="","",_xlfn.XLOOKUP(tblOrdenes[[#This Row],[centro_costo]],tblCECO[codigo],tblCECO[coordinador],"(sin catálogo)"))</f>
        <v/>
      </c>
      <c r="AB797" s="5">
        <f>IF(tblOrdenes[[#This Row],[puesto_trabajo]]="","",_xlfn.XLOOKUP(tblOrdenes[[#This Row],[puesto_trabajo]],tblPuestos[codigo],tblPuestos[especialidad],"(sin catálogo)"))</f>
        <v/>
      </c>
      <c r="AC797" s="5">
        <f>IF(tblOrdenes[[#This Row],[cod_actividad]]="","",_xlfn.XLOOKUP(tblOrdenes[[#This Row],[cod_actividad]],tblActividades[codigo],tblActividades[descripcion],"(sin catálogo)"))</f>
        <v/>
      </c>
      <c r="AD797" s="23">
        <f>IF(tblOrdenes[[#This Row],[fecha_inicio]]="","",TODAY()-tblOrdenes[[#This Row],[fecha_inicio]])</f>
        <v/>
      </c>
      <c r="AE7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5">
        <f>IF(tblOrdenes[[#This Row],[backlog_habiles]]="","",IF(tblOrdenes[[#This Row],[backlog_habiles]]&lt;0,"FUTURO",IF(tblOrdenes[[#This Row],[backlog_habiles]]&gt;p_dias_backlog_max,"BACKLOG","MES CORRIENTE")))</f>
        <v/>
      </c>
      <c r="AG797" s="5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18">
        <f>IF(tblOrdenes[[#This Row],[orden]]="","",_xlfn.XLOOKUP(tblOrdenes[[#This Row],[id_operacion]],tblEjecucion[id_operacion],tblEjecucion[precio],0))</f>
        <v/>
      </c>
      <c r="AM797" s="18">
        <f>IF(tblOrdenes[[#This Row],[orden]]="","",MAX(0,_xlfn.XLOOKUP(tblOrdenes[[#This Row],[id_operacion]],tblEjecucion[id_operacion],tblEjecucion[costo_plan_total],0)-tblOrdenes[[#This Row],[costo_servicio]]))</f>
        <v/>
      </c>
      <c r="AN797" s="18">
        <f>IF(tblOrdenes[[#This Row],[orden]]="","",tblOrdenes[[#This Row],[costo_servicio]]+tblOrdenes[[#This Row],[costo_materiales]])</f>
        <v/>
      </c>
      <c r="AO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5">
        <f>IF(tblOrdenes[[#This Row],[link_checklist]]="","",HYPERLINK(p_ruta_base_checklists&amp;tblOrdenes[[#This Row],[link_checklist]],"abrir"))</f>
        <v/>
      </c>
      <c r="AT797" s="4" t="n"/>
      <c r="AU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5" t="n"/>
      <c r="K798" s="5" t="n"/>
      <c r="L798" s="18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Row],[fecha_inicio]]="","",tblOrdenes[[#This Row],[anio]]&amp;"-"&amp;TEXT(tblOrdenes[[#This Row],[mes]],"00"))</f>
        <v/>
      </c>
      <c r="S798" s="5">
        <f>IF(tblOrdenes[[#This Row],[fecha_inicio]]="","",INDEX(lista_dias,WEEKDAY(tblOrdenes[[#This Row],[fecha_inicio]],2)))</f>
        <v/>
      </c>
      <c r="T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5">
        <f>IF(tblOrdenes[[#This Row],[tipo_ot]]="","",_xlfn.XLOOKUP(tblOrdenes[[#This Row],[tipo_ot]],tblTiposOT[codigo],tblTiposOT[clasificacion],"sin_clasificar"))</f>
        <v/>
      </c>
      <c r="V7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5">
        <f>IF(tblOrdenes[[#This Row],[centro_costo]]="","",_xlfn.XLOOKUP(tblOrdenes[[#This Row],[centro_costo]],tblCECO[codigo],tblCECO[linea],"(sin catálogo)"))</f>
        <v/>
      </c>
      <c r="Y798" s="5">
        <f>IF(tblOrdenes[[#This Row],[centro_costo]]="","",_xlfn.XLOOKUP(tblOrdenes[[#This Row],[centro_costo]],tblCECO[codigo],tblCECO[area],"(sin catálogo)"))</f>
        <v/>
      </c>
      <c r="Z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5">
        <f>IF(tblOrdenes[[#This Row],[centro_costo]]="","",_xlfn.XLOOKUP(tblOrdenes[[#This Row],[centro_costo]],tblCECO[codigo],tblCECO[coordinador],"(sin catálogo)"))</f>
        <v/>
      </c>
      <c r="AB798" s="5">
        <f>IF(tblOrdenes[[#This Row],[puesto_trabajo]]="","",_xlfn.XLOOKUP(tblOrdenes[[#This Row],[puesto_trabajo]],tblPuestos[codigo],tblPuestos[especialidad],"(sin catálogo)"))</f>
        <v/>
      </c>
      <c r="AC798" s="5">
        <f>IF(tblOrdenes[[#This Row],[cod_actividad]]="","",_xlfn.XLOOKUP(tblOrdenes[[#This Row],[cod_actividad]],tblActividades[codigo],tblActividades[descripcion],"(sin catálogo)"))</f>
        <v/>
      </c>
      <c r="AD798" s="23">
        <f>IF(tblOrdenes[[#This Row],[fecha_inicio]]="","",TODAY()-tblOrdenes[[#This Row],[fecha_inicio]])</f>
        <v/>
      </c>
      <c r="AE7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5">
        <f>IF(tblOrdenes[[#This Row],[backlog_habiles]]="","",IF(tblOrdenes[[#This Row],[backlog_habiles]]&lt;0,"FUTURO",IF(tblOrdenes[[#This Row],[backlog_habiles]]&gt;p_dias_backlog_max,"BACKLOG","MES CORRIENTE")))</f>
        <v/>
      </c>
      <c r="AG798" s="5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18">
        <f>IF(tblOrdenes[[#This Row],[orden]]="","",_xlfn.XLOOKUP(tblOrdenes[[#This Row],[id_operacion]],tblEjecucion[id_operacion],tblEjecucion[precio],0))</f>
        <v/>
      </c>
      <c r="AM798" s="18">
        <f>IF(tblOrdenes[[#This Row],[orden]]="","",MAX(0,_xlfn.XLOOKUP(tblOrdenes[[#This Row],[id_operacion]],tblEjecucion[id_operacion],tblEjecucion[costo_plan_total],0)-tblOrdenes[[#This Row],[costo_servicio]]))</f>
        <v/>
      </c>
      <c r="AN798" s="18">
        <f>IF(tblOrdenes[[#This Row],[orden]]="","",tblOrdenes[[#This Row],[costo_servicio]]+tblOrdenes[[#This Row],[costo_materiales]])</f>
        <v/>
      </c>
      <c r="AO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5">
        <f>IF(tblOrdenes[[#This Row],[link_checklist]]="","",HYPERLINK(p_ruta_base_checklists&amp;tblOrdenes[[#This Row],[link_checklist]],"abrir"))</f>
        <v/>
      </c>
      <c r="AT798" s="4" t="n"/>
      <c r="AU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5" t="n"/>
      <c r="K799" s="5" t="n"/>
      <c r="L799" s="18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Row],[fecha_inicio]]="","",tblOrdenes[[#This Row],[anio]]&amp;"-"&amp;TEXT(tblOrdenes[[#This Row],[mes]],"00"))</f>
        <v/>
      </c>
      <c r="S799" s="5">
        <f>IF(tblOrdenes[[#This Row],[fecha_inicio]]="","",INDEX(lista_dias,WEEKDAY(tblOrdenes[[#This Row],[fecha_inicio]],2)))</f>
        <v/>
      </c>
      <c r="T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5">
        <f>IF(tblOrdenes[[#This Row],[tipo_ot]]="","",_xlfn.XLOOKUP(tblOrdenes[[#This Row],[tipo_ot]],tblTiposOT[codigo],tblTiposOT[clasificacion],"sin_clasificar"))</f>
        <v/>
      </c>
      <c r="V7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5">
        <f>IF(tblOrdenes[[#This Row],[centro_costo]]="","",_xlfn.XLOOKUP(tblOrdenes[[#This Row],[centro_costo]],tblCECO[codigo],tblCECO[linea],"(sin catálogo)"))</f>
        <v/>
      </c>
      <c r="Y799" s="5">
        <f>IF(tblOrdenes[[#This Row],[centro_costo]]="","",_xlfn.XLOOKUP(tblOrdenes[[#This Row],[centro_costo]],tblCECO[codigo],tblCECO[area],"(sin catálogo)"))</f>
        <v/>
      </c>
      <c r="Z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5">
        <f>IF(tblOrdenes[[#This Row],[centro_costo]]="","",_xlfn.XLOOKUP(tblOrdenes[[#This Row],[centro_costo]],tblCECO[codigo],tblCECO[coordinador],"(sin catálogo)"))</f>
        <v/>
      </c>
      <c r="AB799" s="5">
        <f>IF(tblOrdenes[[#This Row],[puesto_trabajo]]="","",_xlfn.XLOOKUP(tblOrdenes[[#This Row],[puesto_trabajo]],tblPuestos[codigo],tblPuestos[especialidad],"(sin catálogo)"))</f>
        <v/>
      </c>
      <c r="AC799" s="5">
        <f>IF(tblOrdenes[[#This Row],[cod_actividad]]="","",_xlfn.XLOOKUP(tblOrdenes[[#This Row],[cod_actividad]],tblActividades[codigo],tblActividades[descripcion],"(sin catálogo)"))</f>
        <v/>
      </c>
      <c r="AD799" s="23">
        <f>IF(tblOrdenes[[#This Row],[fecha_inicio]]="","",TODAY()-tblOrdenes[[#This Row],[fecha_inicio]])</f>
        <v/>
      </c>
      <c r="AE7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5">
        <f>IF(tblOrdenes[[#This Row],[backlog_habiles]]="","",IF(tblOrdenes[[#This Row],[backlog_habiles]]&lt;0,"FUTURO",IF(tblOrdenes[[#This Row],[backlog_habiles]]&gt;p_dias_backlog_max,"BACKLOG","MES CORRIENTE")))</f>
        <v/>
      </c>
      <c r="AG799" s="5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18">
        <f>IF(tblOrdenes[[#This Row],[orden]]="","",_xlfn.XLOOKUP(tblOrdenes[[#This Row],[id_operacion]],tblEjecucion[id_operacion],tblEjecucion[precio],0))</f>
        <v/>
      </c>
      <c r="AM799" s="18">
        <f>IF(tblOrdenes[[#This Row],[orden]]="","",MAX(0,_xlfn.XLOOKUP(tblOrdenes[[#This Row],[id_operacion]],tblEjecucion[id_operacion],tblEjecucion[costo_plan_total],0)-tblOrdenes[[#This Row],[costo_servicio]]))</f>
        <v/>
      </c>
      <c r="AN799" s="18">
        <f>IF(tblOrdenes[[#This Row],[orden]]="","",tblOrdenes[[#This Row],[costo_servicio]]+tblOrdenes[[#This Row],[costo_materiales]])</f>
        <v/>
      </c>
      <c r="AO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5">
        <f>IF(tblOrdenes[[#This Row],[link_checklist]]="","",HYPERLINK(p_ruta_base_checklists&amp;tblOrdenes[[#This Row],[link_checklist]],"abrir"))</f>
        <v/>
      </c>
      <c r="AT799" s="4" t="n"/>
      <c r="AU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5" t="n"/>
      <c r="K800" s="5" t="n"/>
      <c r="L800" s="18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Row],[fecha_inicio]]="","",tblOrdenes[[#This Row],[anio]]&amp;"-"&amp;TEXT(tblOrdenes[[#This Row],[mes]],"00"))</f>
        <v/>
      </c>
      <c r="S800" s="5">
        <f>IF(tblOrdenes[[#This Row],[fecha_inicio]]="","",INDEX(lista_dias,WEEKDAY(tblOrdenes[[#This Row],[fecha_inicio]],2)))</f>
        <v/>
      </c>
      <c r="T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5">
        <f>IF(tblOrdenes[[#This Row],[tipo_ot]]="","",_xlfn.XLOOKUP(tblOrdenes[[#This Row],[tipo_ot]],tblTiposOT[codigo],tblTiposOT[clasificacion],"sin_clasificar"))</f>
        <v/>
      </c>
      <c r="V8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5">
        <f>IF(tblOrdenes[[#This Row],[centro_costo]]="","",_xlfn.XLOOKUP(tblOrdenes[[#This Row],[centro_costo]],tblCECO[codigo],tblCECO[linea],"(sin catálogo)"))</f>
        <v/>
      </c>
      <c r="Y800" s="5">
        <f>IF(tblOrdenes[[#This Row],[centro_costo]]="","",_xlfn.XLOOKUP(tblOrdenes[[#This Row],[centro_costo]],tblCECO[codigo],tblCECO[area],"(sin catálogo)"))</f>
        <v/>
      </c>
      <c r="Z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5">
        <f>IF(tblOrdenes[[#This Row],[centro_costo]]="","",_xlfn.XLOOKUP(tblOrdenes[[#This Row],[centro_costo]],tblCECO[codigo],tblCECO[coordinador],"(sin catálogo)"))</f>
        <v/>
      </c>
      <c r="AB800" s="5">
        <f>IF(tblOrdenes[[#This Row],[puesto_trabajo]]="","",_xlfn.XLOOKUP(tblOrdenes[[#This Row],[puesto_trabajo]],tblPuestos[codigo],tblPuestos[especialidad],"(sin catálogo)"))</f>
        <v/>
      </c>
      <c r="AC800" s="5">
        <f>IF(tblOrdenes[[#This Row],[cod_actividad]]="","",_xlfn.XLOOKUP(tblOrdenes[[#This Row],[cod_actividad]],tblActividades[codigo],tblActividades[descripcion],"(sin catálogo)"))</f>
        <v/>
      </c>
      <c r="AD800" s="23">
        <f>IF(tblOrdenes[[#This Row],[fecha_inicio]]="","",TODAY()-tblOrdenes[[#This Row],[fecha_inicio]])</f>
        <v/>
      </c>
      <c r="AE8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5">
        <f>IF(tblOrdenes[[#This Row],[backlog_habiles]]="","",IF(tblOrdenes[[#This Row],[backlog_habiles]]&lt;0,"FUTURO",IF(tblOrdenes[[#This Row],[backlog_habiles]]&gt;p_dias_backlog_max,"BACKLOG","MES CORRIENTE")))</f>
        <v/>
      </c>
      <c r="AG800" s="5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18">
        <f>IF(tblOrdenes[[#This Row],[orden]]="","",_xlfn.XLOOKUP(tblOrdenes[[#This Row],[id_operacion]],tblEjecucion[id_operacion],tblEjecucion[precio],0))</f>
        <v/>
      </c>
      <c r="AM800" s="18">
        <f>IF(tblOrdenes[[#This Row],[orden]]="","",MAX(0,_xlfn.XLOOKUP(tblOrdenes[[#This Row],[id_operacion]],tblEjecucion[id_operacion],tblEjecucion[costo_plan_total],0)-tblOrdenes[[#This Row],[costo_servicio]]))</f>
        <v/>
      </c>
      <c r="AN800" s="18">
        <f>IF(tblOrdenes[[#This Row],[orden]]="","",tblOrdenes[[#This Row],[costo_servicio]]+tblOrdenes[[#This Row],[costo_materiales]])</f>
        <v/>
      </c>
      <c r="AO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5">
        <f>IF(tblOrdenes[[#This Row],[link_checklist]]="","",HYPERLINK(p_ruta_base_checklists&amp;tblOrdenes[[#This Row],[link_checklist]],"abrir"))</f>
        <v/>
      </c>
      <c r="AT800" s="4" t="n"/>
      <c r="AU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5" t="n"/>
      <c r="K801" s="5" t="n"/>
      <c r="L801" s="18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Row],[fecha_inicio]]="","",tblOrdenes[[#This Row],[anio]]&amp;"-"&amp;TEXT(tblOrdenes[[#This Row],[mes]],"00"))</f>
        <v/>
      </c>
      <c r="S801" s="5">
        <f>IF(tblOrdenes[[#This Row],[fecha_inicio]]="","",INDEX(lista_dias,WEEKDAY(tblOrdenes[[#This Row],[fecha_inicio]],2)))</f>
        <v/>
      </c>
      <c r="T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5">
        <f>IF(tblOrdenes[[#This Row],[tipo_ot]]="","",_xlfn.XLOOKUP(tblOrdenes[[#This Row],[tipo_ot]],tblTiposOT[codigo],tblTiposOT[clasificacion],"sin_clasificar"))</f>
        <v/>
      </c>
      <c r="V8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5">
        <f>IF(tblOrdenes[[#This Row],[centro_costo]]="","",_xlfn.XLOOKUP(tblOrdenes[[#This Row],[centro_costo]],tblCECO[codigo],tblCECO[linea],"(sin catálogo)"))</f>
        <v/>
      </c>
      <c r="Y801" s="5">
        <f>IF(tblOrdenes[[#This Row],[centro_costo]]="","",_xlfn.XLOOKUP(tblOrdenes[[#This Row],[centro_costo]],tblCECO[codigo],tblCECO[area],"(sin catálogo)"))</f>
        <v/>
      </c>
      <c r="Z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5">
        <f>IF(tblOrdenes[[#This Row],[centro_costo]]="","",_xlfn.XLOOKUP(tblOrdenes[[#This Row],[centro_costo]],tblCECO[codigo],tblCECO[coordinador],"(sin catálogo)"))</f>
        <v/>
      </c>
      <c r="AB801" s="5">
        <f>IF(tblOrdenes[[#This Row],[puesto_trabajo]]="","",_xlfn.XLOOKUP(tblOrdenes[[#This Row],[puesto_trabajo]],tblPuestos[codigo],tblPuestos[especialidad],"(sin catálogo)"))</f>
        <v/>
      </c>
      <c r="AC801" s="5">
        <f>IF(tblOrdenes[[#This Row],[cod_actividad]]="","",_xlfn.XLOOKUP(tblOrdenes[[#This Row],[cod_actividad]],tblActividades[codigo],tblActividades[descripcion],"(sin catálogo)"))</f>
        <v/>
      </c>
      <c r="AD801" s="23">
        <f>IF(tblOrdenes[[#This Row],[fecha_inicio]]="","",TODAY()-tblOrdenes[[#This Row],[fecha_inicio]])</f>
        <v/>
      </c>
      <c r="AE8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5">
        <f>IF(tblOrdenes[[#This Row],[backlog_habiles]]="","",IF(tblOrdenes[[#This Row],[backlog_habiles]]&lt;0,"FUTURO",IF(tblOrdenes[[#This Row],[backlog_habiles]]&gt;p_dias_backlog_max,"BACKLOG","MES CORRIENTE")))</f>
        <v/>
      </c>
      <c r="AG801" s="5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18">
        <f>IF(tblOrdenes[[#This Row],[orden]]="","",_xlfn.XLOOKUP(tblOrdenes[[#This Row],[id_operacion]],tblEjecucion[id_operacion],tblEjecucion[precio],0))</f>
        <v/>
      </c>
      <c r="AM801" s="18">
        <f>IF(tblOrdenes[[#This Row],[orden]]="","",MAX(0,_xlfn.XLOOKUP(tblOrdenes[[#This Row],[id_operacion]],tblEjecucion[id_operacion],tblEjecucion[costo_plan_total],0)-tblOrdenes[[#This Row],[costo_servicio]]))</f>
        <v/>
      </c>
      <c r="AN801" s="18">
        <f>IF(tblOrdenes[[#This Row],[orden]]="","",tblOrdenes[[#This Row],[costo_servicio]]+tblOrdenes[[#This Row],[costo_materiales]])</f>
        <v/>
      </c>
      <c r="AO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5">
        <f>IF(tblOrdenes[[#This Row],[link_checklist]]="","",HYPERLINK(p_ruta_base_checklists&amp;tblOrdenes[[#This Row],[link_checklist]],"abrir"))</f>
        <v/>
      </c>
      <c r="AT801" s="4" t="n"/>
      <c r="AU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5" t="n"/>
      <c r="K802" s="5" t="n"/>
      <c r="L802" s="18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Row],[fecha_inicio]]="","",tblOrdenes[[#This Row],[anio]]&amp;"-"&amp;TEXT(tblOrdenes[[#This Row],[mes]],"00"))</f>
        <v/>
      </c>
      <c r="S802" s="5">
        <f>IF(tblOrdenes[[#This Row],[fecha_inicio]]="","",INDEX(lista_dias,WEEKDAY(tblOrdenes[[#This Row],[fecha_inicio]],2)))</f>
        <v/>
      </c>
      <c r="T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5">
        <f>IF(tblOrdenes[[#This Row],[tipo_ot]]="","",_xlfn.XLOOKUP(tblOrdenes[[#This Row],[tipo_ot]],tblTiposOT[codigo],tblTiposOT[clasificacion],"sin_clasificar"))</f>
        <v/>
      </c>
      <c r="V8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5">
        <f>IF(tblOrdenes[[#This Row],[centro_costo]]="","",_xlfn.XLOOKUP(tblOrdenes[[#This Row],[centro_costo]],tblCECO[codigo],tblCECO[linea],"(sin catálogo)"))</f>
        <v/>
      </c>
      <c r="Y802" s="5">
        <f>IF(tblOrdenes[[#This Row],[centro_costo]]="","",_xlfn.XLOOKUP(tblOrdenes[[#This Row],[centro_costo]],tblCECO[codigo],tblCECO[area],"(sin catálogo)"))</f>
        <v/>
      </c>
      <c r="Z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5">
        <f>IF(tblOrdenes[[#This Row],[centro_costo]]="","",_xlfn.XLOOKUP(tblOrdenes[[#This Row],[centro_costo]],tblCECO[codigo],tblCECO[coordinador],"(sin catálogo)"))</f>
        <v/>
      </c>
      <c r="AB802" s="5">
        <f>IF(tblOrdenes[[#This Row],[puesto_trabajo]]="","",_xlfn.XLOOKUP(tblOrdenes[[#This Row],[puesto_trabajo]],tblPuestos[codigo],tblPuestos[especialidad],"(sin catálogo)"))</f>
        <v/>
      </c>
      <c r="AC802" s="5">
        <f>IF(tblOrdenes[[#This Row],[cod_actividad]]="","",_xlfn.XLOOKUP(tblOrdenes[[#This Row],[cod_actividad]],tblActividades[codigo],tblActividades[descripcion],"(sin catálogo)"))</f>
        <v/>
      </c>
      <c r="AD802" s="23">
        <f>IF(tblOrdenes[[#This Row],[fecha_inicio]]="","",TODAY()-tblOrdenes[[#This Row],[fecha_inicio]])</f>
        <v/>
      </c>
      <c r="AE8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5">
        <f>IF(tblOrdenes[[#This Row],[backlog_habiles]]="","",IF(tblOrdenes[[#This Row],[backlog_habiles]]&lt;0,"FUTURO",IF(tblOrdenes[[#This Row],[backlog_habiles]]&gt;p_dias_backlog_max,"BACKLOG","MES CORRIENTE")))</f>
        <v/>
      </c>
      <c r="AG802" s="5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18">
        <f>IF(tblOrdenes[[#This Row],[orden]]="","",_xlfn.XLOOKUP(tblOrdenes[[#This Row],[id_operacion]],tblEjecucion[id_operacion],tblEjecucion[precio],0))</f>
        <v/>
      </c>
      <c r="AM802" s="18">
        <f>IF(tblOrdenes[[#This Row],[orden]]="","",MAX(0,_xlfn.XLOOKUP(tblOrdenes[[#This Row],[id_operacion]],tblEjecucion[id_operacion],tblEjecucion[costo_plan_total],0)-tblOrdenes[[#This Row],[costo_servicio]]))</f>
        <v/>
      </c>
      <c r="AN802" s="18">
        <f>IF(tblOrdenes[[#This Row],[orden]]="","",tblOrdenes[[#This Row],[costo_servicio]]+tblOrdenes[[#This Row],[costo_materiales]])</f>
        <v/>
      </c>
      <c r="AO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5">
        <f>IF(tblOrdenes[[#This Row],[link_checklist]]="","",HYPERLINK(p_ruta_base_checklists&amp;tblOrdenes[[#This Row],[link_checklist]],"abrir"))</f>
        <v/>
      </c>
      <c r="AT802" s="4" t="n"/>
      <c r="AU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5" t="n"/>
      <c r="K803" s="5" t="n"/>
      <c r="L803" s="18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Row],[fecha_inicio]]="","",tblOrdenes[[#This Row],[anio]]&amp;"-"&amp;TEXT(tblOrdenes[[#This Row],[mes]],"00"))</f>
        <v/>
      </c>
      <c r="S803" s="5">
        <f>IF(tblOrdenes[[#This Row],[fecha_inicio]]="","",INDEX(lista_dias,WEEKDAY(tblOrdenes[[#This Row],[fecha_inicio]],2)))</f>
        <v/>
      </c>
      <c r="T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5">
        <f>IF(tblOrdenes[[#This Row],[tipo_ot]]="","",_xlfn.XLOOKUP(tblOrdenes[[#This Row],[tipo_ot]],tblTiposOT[codigo],tblTiposOT[clasificacion],"sin_clasificar"))</f>
        <v/>
      </c>
      <c r="V8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5">
        <f>IF(tblOrdenes[[#This Row],[centro_costo]]="","",_xlfn.XLOOKUP(tblOrdenes[[#This Row],[centro_costo]],tblCECO[codigo],tblCECO[linea],"(sin catálogo)"))</f>
        <v/>
      </c>
      <c r="Y803" s="5">
        <f>IF(tblOrdenes[[#This Row],[centro_costo]]="","",_xlfn.XLOOKUP(tblOrdenes[[#This Row],[centro_costo]],tblCECO[codigo],tblCECO[area],"(sin catálogo)"))</f>
        <v/>
      </c>
      <c r="Z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5">
        <f>IF(tblOrdenes[[#This Row],[centro_costo]]="","",_xlfn.XLOOKUP(tblOrdenes[[#This Row],[centro_costo]],tblCECO[codigo],tblCECO[coordinador],"(sin catálogo)"))</f>
        <v/>
      </c>
      <c r="AB803" s="5">
        <f>IF(tblOrdenes[[#This Row],[puesto_trabajo]]="","",_xlfn.XLOOKUP(tblOrdenes[[#This Row],[puesto_trabajo]],tblPuestos[codigo],tblPuestos[especialidad],"(sin catálogo)"))</f>
        <v/>
      </c>
      <c r="AC803" s="5">
        <f>IF(tblOrdenes[[#This Row],[cod_actividad]]="","",_xlfn.XLOOKUP(tblOrdenes[[#This Row],[cod_actividad]],tblActividades[codigo],tblActividades[descripcion],"(sin catálogo)"))</f>
        <v/>
      </c>
      <c r="AD803" s="23">
        <f>IF(tblOrdenes[[#This Row],[fecha_inicio]]="","",TODAY()-tblOrdenes[[#This Row],[fecha_inicio]])</f>
        <v/>
      </c>
      <c r="AE8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5">
        <f>IF(tblOrdenes[[#This Row],[backlog_habiles]]="","",IF(tblOrdenes[[#This Row],[backlog_habiles]]&lt;0,"FUTURO",IF(tblOrdenes[[#This Row],[backlog_habiles]]&gt;p_dias_backlog_max,"BACKLOG","MES CORRIENTE")))</f>
        <v/>
      </c>
      <c r="AG803" s="5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18">
        <f>IF(tblOrdenes[[#This Row],[orden]]="","",_xlfn.XLOOKUP(tblOrdenes[[#This Row],[id_operacion]],tblEjecucion[id_operacion],tblEjecucion[precio],0))</f>
        <v/>
      </c>
      <c r="AM803" s="18">
        <f>IF(tblOrdenes[[#This Row],[orden]]="","",MAX(0,_xlfn.XLOOKUP(tblOrdenes[[#This Row],[id_operacion]],tblEjecucion[id_operacion],tblEjecucion[costo_plan_total],0)-tblOrdenes[[#This Row],[costo_servicio]]))</f>
        <v/>
      </c>
      <c r="AN803" s="18">
        <f>IF(tblOrdenes[[#This Row],[orden]]="","",tblOrdenes[[#This Row],[costo_servicio]]+tblOrdenes[[#This Row],[costo_materiales]])</f>
        <v/>
      </c>
      <c r="AO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5">
        <f>IF(tblOrdenes[[#This Row],[link_checklist]]="","",HYPERLINK(p_ruta_base_checklists&amp;tblOrdenes[[#This Row],[link_checklist]],"abrir"))</f>
        <v/>
      </c>
      <c r="AT803" s="4" t="n"/>
      <c r="AU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5" t="n"/>
      <c r="K804" s="5" t="n"/>
      <c r="L804" s="18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Row],[fecha_inicio]]="","",tblOrdenes[[#This Row],[anio]]&amp;"-"&amp;TEXT(tblOrdenes[[#This Row],[mes]],"00"))</f>
        <v/>
      </c>
      <c r="S804" s="5">
        <f>IF(tblOrdenes[[#This Row],[fecha_inicio]]="","",INDEX(lista_dias,WEEKDAY(tblOrdenes[[#This Row],[fecha_inicio]],2)))</f>
        <v/>
      </c>
      <c r="T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5">
        <f>IF(tblOrdenes[[#This Row],[tipo_ot]]="","",_xlfn.XLOOKUP(tblOrdenes[[#This Row],[tipo_ot]],tblTiposOT[codigo],tblTiposOT[clasificacion],"sin_clasificar"))</f>
        <v/>
      </c>
      <c r="V8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5">
        <f>IF(tblOrdenes[[#This Row],[centro_costo]]="","",_xlfn.XLOOKUP(tblOrdenes[[#This Row],[centro_costo]],tblCECO[codigo],tblCECO[linea],"(sin catálogo)"))</f>
        <v/>
      </c>
      <c r="Y804" s="5">
        <f>IF(tblOrdenes[[#This Row],[centro_costo]]="","",_xlfn.XLOOKUP(tblOrdenes[[#This Row],[centro_costo]],tblCECO[codigo],tblCECO[area],"(sin catálogo)"))</f>
        <v/>
      </c>
      <c r="Z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5">
        <f>IF(tblOrdenes[[#This Row],[centro_costo]]="","",_xlfn.XLOOKUP(tblOrdenes[[#This Row],[centro_costo]],tblCECO[codigo],tblCECO[coordinador],"(sin catálogo)"))</f>
        <v/>
      </c>
      <c r="AB804" s="5">
        <f>IF(tblOrdenes[[#This Row],[puesto_trabajo]]="","",_xlfn.XLOOKUP(tblOrdenes[[#This Row],[puesto_trabajo]],tblPuestos[codigo],tblPuestos[especialidad],"(sin catálogo)"))</f>
        <v/>
      </c>
      <c r="AC804" s="5">
        <f>IF(tblOrdenes[[#This Row],[cod_actividad]]="","",_xlfn.XLOOKUP(tblOrdenes[[#This Row],[cod_actividad]],tblActividades[codigo],tblActividades[descripcion],"(sin catálogo)"))</f>
        <v/>
      </c>
      <c r="AD804" s="23">
        <f>IF(tblOrdenes[[#This Row],[fecha_inicio]]="","",TODAY()-tblOrdenes[[#This Row],[fecha_inicio]])</f>
        <v/>
      </c>
      <c r="AE8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5">
        <f>IF(tblOrdenes[[#This Row],[backlog_habiles]]="","",IF(tblOrdenes[[#This Row],[backlog_habiles]]&lt;0,"FUTURO",IF(tblOrdenes[[#This Row],[backlog_habiles]]&gt;p_dias_backlog_max,"BACKLOG","MES CORRIENTE")))</f>
        <v/>
      </c>
      <c r="AG804" s="5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18">
        <f>IF(tblOrdenes[[#This Row],[orden]]="","",_xlfn.XLOOKUP(tblOrdenes[[#This Row],[id_operacion]],tblEjecucion[id_operacion],tblEjecucion[precio],0))</f>
        <v/>
      </c>
      <c r="AM804" s="18">
        <f>IF(tblOrdenes[[#This Row],[orden]]="","",MAX(0,_xlfn.XLOOKUP(tblOrdenes[[#This Row],[id_operacion]],tblEjecucion[id_operacion],tblEjecucion[costo_plan_total],0)-tblOrdenes[[#This Row],[costo_servicio]]))</f>
        <v/>
      </c>
      <c r="AN804" s="18">
        <f>IF(tblOrdenes[[#This Row],[orden]]="","",tblOrdenes[[#This Row],[costo_servicio]]+tblOrdenes[[#This Row],[costo_materiales]])</f>
        <v/>
      </c>
      <c r="AO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5">
        <f>IF(tblOrdenes[[#This Row],[link_checklist]]="","",HYPERLINK(p_ruta_base_checklists&amp;tblOrdenes[[#This Row],[link_checklist]],"abrir"))</f>
        <v/>
      </c>
      <c r="AT804" s="4" t="n"/>
      <c r="AU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5" t="n"/>
      <c r="K805" s="5" t="n"/>
      <c r="L805" s="18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Row],[fecha_inicio]]="","",tblOrdenes[[#This Row],[anio]]&amp;"-"&amp;TEXT(tblOrdenes[[#This Row],[mes]],"00"))</f>
        <v/>
      </c>
      <c r="S805" s="5">
        <f>IF(tblOrdenes[[#This Row],[fecha_inicio]]="","",INDEX(lista_dias,WEEKDAY(tblOrdenes[[#This Row],[fecha_inicio]],2)))</f>
        <v/>
      </c>
      <c r="T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5">
        <f>IF(tblOrdenes[[#This Row],[tipo_ot]]="","",_xlfn.XLOOKUP(tblOrdenes[[#This Row],[tipo_ot]],tblTiposOT[codigo],tblTiposOT[clasificacion],"sin_clasificar"))</f>
        <v/>
      </c>
      <c r="V8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5">
        <f>IF(tblOrdenes[[#This Row],[centro_costo]]="","",_xlfn.XLOOKUP(tblOrdenes[[#This Row],[centro_costo]],tblCECO[codigo],tblCECO[linea],"(sin catálogo)"))</f>
        <v/>
      </c>
      <c r="Y805" s="5">
        <f>IF(tblOrdenes[[#This Row],[centro_costo]]="","",_xlfn.XLOOKUP(tblOrdenes[[#This Row],[centro_costo]],tblCECO[codigo],tblCECO[area],"(sin catálogo)"))</f>
        <v/>
      </c>
      <c r="Z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5">
        <f>IF(tblOrdenes[[#This Row],[centro_costo]]="","",_xlfn.XLOOKUP(tblOrdenes[[#This Row],[centro_costo]],tblCECO[codigo],tblCECO[coordinador],"(sin catálogo)"))</f>
        <v/>
      </c>
      <c r="AB805" s="5">
        <f>IF(tblOrdenes[[#This Row],[puesto_trabajo]]="","",_xlfn.XLOOKUP(tblOrdenes[[#This Row],[puesto_trabajo]],tblPuestos[codigo],tblPuestos[especialidad],"(sin catálogo)"))</f>
        <v/>
      </c>
      <c r="AC805" s="5">
        <f>IF(tblOrdenes[[#This Row],[cod_actividad]]="","",_xlfn.XLOOKUP(tblOrdenes[[#This Row],[cod_actividad]],tblActividades[codigo],tblActividades[descripcion],"(sin catálogo)"))</f>
        <v/>
      </c>
      <c r="AD805" s="23">
        <f>IF(tblOrdenes[[#This Row],[fecha_inicio]]="","",TODAY()-tblOrdenes[[#This Row],[fecha_inicio]])</f>
        <v/>
      </c>
      <c r="AE8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5">
        <f>IF(tblOrdenes[[#This Row],[backlog_habiles]]="","",IF(tblOrdenes[[#This Row],[backlog_habiles]]&lt;0,"FUTURO",IF(tblOrdenes[[#This Row],[backlog_habiles]]&gt;p_dias_backlog_max,"BACKLOG","MES CORRIENTE")))</f>
        <v/>
      </c>
      <c r="AG805" s="5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18">
        <f>IF(tblOrdenes[[#This Row],[orden]]="","",_xlfn.XLOOKUP(tblOrdenes[[#This Row],[id_operacion]],tblEjecucion[id_operacion],tblEjecucion[precio],0))</f>
        <v/>
      </c>
      <c r="AM805" s="18">
        <f>IF(tblOrdenes[[#This Row],[orden]]="","",MAX(0,_xlfn.XLOOKUP(tblOrdenes[[#This Row],[id_operacion]],tblEjecucion[id_operacion],tblEjecucion[costo_plan_total],0)-tblOrdenes[[#This Row],[costo_servicio]]))</f>
        <v/>
      </c>
      <c r="AN805" s="18">
        <f>IF(tblOrdenes[[#This Row],[orden]]="","",tblOrdenes[[#This Row],[costo_servicio]]+tblOrdenes[[#This Row],[costo_materiales]])</f>
        <v/>
      </c>
      <c r="AO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5">
        <f>IF(tblOrdenes[[#This Row],[link_checklist]]="","",HYPERLINK(p_ruta_base_checklists&amp;tblOrdenes[[#This Row],[link_checklist]],"abrir"))</f>
        <v/>
      </c>
      <c r="AT805" s="4" t="n"/>
      <c r="AU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5" t="n"/>
      <c r="K806" s="5" t="n"/>
      <c r="L806" s="18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Row],[fecha_inicio]]="","",tblOrdenes[[#This Row],[anio]]&amp;"-"&amp;TEXT(tblOrdenes[[#This Row],[mes]],"00"))</f>
        <v/>
      </c>
      <c r="S806" s="5">
        <f>IF(tblOrdenes[[#This Row],[fecha_inicio]]="","",INDEX(lista_dias,WEEKDAY(tblOrdenes[[#This Row],[fecha_inicio]],2)))</f>
        <v/>
      </c>
      <c r="T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5">
        <f>IF(tblOrdenes[[#This Row],[tipo_ot]]="","",_xlfn.XLOOKUP(tblOrdenes[[#This Row],[tipo_ot]],tblTiposOT[codigo],tblTiposOT[clasificacion],"sin_clasificar"))</f>
        <v/>
      </c>
      <c r="V8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5">
        <f>IF(tblOrdenes[[#This Row],[centro_costo]]="","",_xlfn.XLOOKUP(tblOrdenes[[#This Row],[centro_costo]],tblCECO[codigo],tblCECO[linea],"(sin catálogo)"))</f>
        <v/>
      </c>
      <c r="Y806" s="5">
        <f>IF(tblOrdenes[[#This Row],[centro_costo]]="","",_xlfn.XLOOKUP(tblOrdenes[[#This Row],[centro_costo]],tblCECO[codigo],tblCECO[area],"(sin catálogo)"))</f>
        <v/>
      </c>
      <c r="Z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5">
        <f>IF(tblOrdenes[[#This Row],[centro_costo]]="","",_xlfn.XLOOKUP(tblOrdenes[[#This Row],[centro_costo]],tblCECO[codigo],tblCECO[coordinador],"(sin catálogo)"))</f>
        <v/>
      </c>
      <c r="AB806" s="5">
        <f>IF(tblOrdenes[[#This Row],[puesto_trabajo]]="","",_xlfn.XLOOKUP(tblOrdenes[[#This Row],[puesto_trabajo]],tblPuestos[codigo],tblPuestos[especialidad],"(sin catálogo)"))</f>
        <v/>
      </c>
      <c r="AC806" s="5">
        <f>IF(tblOrdenes[[#This Row],[cod_actividad]]="","",_xlfn.XLOOKUP(tblOrdenes[[#This Row],[cod_actividad]],tblActividades[codigo],tblActividades[descripcion],"(sin catálogo)"))</f>
        <v/>
      </c>
      <c r="AD806" s="23">
        <f>IF(tblOrdenes[[#This Row],[fecha_inicio]]="","",TODAY()-tblOrdenes[[#This Row],[fecha_inicio]])</f>
        <v/>
      </c>
      <c r="AE8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5">
        <f>IF(tblOrdenes[[#This Row],[backlog_habiles]]="","",IF(tblOrdenes[[#This Row],[backlog_habiles]]&lt;0,"FUTURO",IF(tblOrdenes[[#This Row],[backlog_habiles]]&gt;p_dias_backlog_max,"BACKLOG","MES CORRIENTE")))</f>
        <v/>
      </c>
      <c r="AG806" s="5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18">
        <f>IF(tblOrdenes[[#This Row],[orden]]="","",_xlfn.XLOOKUP(tblOrdenes[[#This Row],[id_operacion]],tblEjecucion[id_operacion],tblEjecucion[precio],0))</f>
        <v/>
      </c>
      <c r="AM806" s="18">
        <f>IF(tblOrdenes[[#This Row],[orden]]="","",MAX(0,_xlfn.XLOOKUP(tblOrdenes[[#This Row],[id_operacion]],tblEjecucion[id_operacion],tblEjecucion[costo_plan_total],0)-tblOrdenes[[#This Row],[costo_servicio]]))</f>
        <v/>
      </c>
      <c r="AN806" s="18">
        <f>IF(tblOrdenes[[#This Row],[orden]]="","",tblOrdenes[[#This Row],[costo_servicio]]+tblOrdenes[[#This Row],[costo_materiales]])</f>
        <v/>
      </c>
      <c r="AO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5">
        <f>IF(tblOrdenes[[#This Row],[link_checklist]]="","",HYPERLINK(p_ruta_base_checklists&amp;tblOrdenes[[#This Row],[link_checklist]],"abrir"))</f>
        <v/>
      </c>
      <c r="AT806" s="4" t="n"/>
      <c r="AU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5" t="n"/>
      <c r="K807" s="5" t="n"/>
      <c r="L807" s="18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Row],[fecha_inicio]]="","",tblOrdenes[[#This Row],[anio]]&amp;"-"&amp;TEXT(tblOrdenes[[#This Row],[mes]],"00"))</f>
        <v/>
      </c>
      <c r="S807" s="5">
        <f>IF(tblOrdenes[[#This Row],[fecha_inicio]]="","",INDEX(lista_dias,WEEKDAY(tblOrdenes[[#This Row],[fecha_inicio]],2)))</f>
        <v/>
      </c>
      <c r="T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5">
        <f>IF(tblOrdenes[[#This Row],[tipo_ot]]="","",_xlfn.XLOOKUP(tblOrdenes[[#This Row],[tipo_ot]],tblTiposOT[codigo],tblTiposOT[clasificacion],"sin_clasificar"))</f>
        <v/>
      </c>
      <c r="V8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5">
        <f>IF(tblOrdenes[[#This Row],[centro_costo]]="","",_xlfn.XLOOKUP(tblOrdenes[[#This Row],[centro_costo]],tblCECO[codigo],tblCECO[linea],"(sin catálogo)"))</f>
        <v/>
      </c>
      <c r="Y807" s="5">
        <f>IF(tblOrdenes[[#This Row],[centro_costo]]="","",_xlfn.XLOOKUP(tblOrdenes[[#This Row],[centro_costo]],tblCECO[codigo],tblCECO[area],"(sin catálogo)"))</f>
        <v/>
      </c>
      <c r="Z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5">
        <f>IF(tblOrdenes[[#This Row],[centro_costo]]="","",_xlfn.XLOOKUP(tblOrdenes[[#This Row],[centro_costo]],tblCECO[codigo],tblCECO[coordinador],"(sin catálogo)"))</f>
        <v/>
      </c>
      <c r="AB807" s="5">
        <f>IF(tblOrdenes[[#This Row],[puesto_trabajo]]="","",_xlfn.XLOOKUP(tblOrdenes[[#This Row],[puesto_trabajo]],tblPuestos[codigo],tblPuestos[especialidad],"(sin catálogo)"))</f>
        <v/>
      </c>
      <c r="AC807" s="5">
        <f>IF(tblOrdenes[[#This Row],[cod_actividad]]="","",_xlfn.XLOOKUP(tblOrdenes[[#This Row],[cod_actividad]],tblActividades[codigo],tblActividades[descripcion],"(sin catálogo)"))</f>
        <v/>
      </c>
      <c r="AD807" s="23">
        <f>IF(tblOrdenes[[#This Row],[fecha_inicio]]="","",TODAY()-tblOrdenes[[#This Row],[fecha_inicio]])</f>
        <v/>
      </c>
      <c r="AE8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5">
        <f>IF(tblOrdenes[[#This Row],[backlog_habiles]]="","",IF(tblOrdenes[[#This Row],[backlog_habiles]]&lt;0,"FUTURO",IF(tblOrdenes[[#This Row],[backlog_habiles]]&gt;p_dias_backlog_max,"BACKLOG","MES CORRIENTE")))</f>
        <v/>
      </c>
      <c r="AG807" s="5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18">
        <f>IF(tblOrdenes[[#This Row],[orden]]="","",_xlfn.XLOOKUP(tblOrdenes[[#This Row],[id_operacion]],tblEjecucion[id_operacion],tblEjecucion[precio],0))</f>
        <v/>
      </c>
      <c r="AM807" s="18">
        <f>IF(tblOrdenes[[#This Row],[orden]]="","",MAX(0,_xlfn.XLOOKUP(tblOrdenes[[#This Row],[id_operacion]],tblEjecucion[id_operacion],tblEjecucion[costo_plan_total],0)-tblOrdenes[[#This Row],[costo_servicio]]))</f>
        <v/>
      </c>
      <c r="AN807" s="18">
        <f>IF(tblOrdenes[[#This Row],[orden]]="","",tblOrdenes[[#This Row],[costo_servicio]]+tblOrdenes[[#This Row],[costo_materiales]])</f>
        <v/>
      </c>
      <c r="AO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5">
        <f>IF(tblOrdenes[[#This Row],[link_checklist]]="","",HYPERLINK(p_ruta_base_checklists&amp;tblOrdenes[[#This Row],[link_checklist]],"abrir"))</f>
        <v/>
      </c>
      <c r="AT807" s="4" t="n"/>
      <c r="AU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5" t="n"/>
      <c r="K808" s="5" t="n"/>
      <c r="L808" s="18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Row],[fecha_inicio]]="","",tblOrdenes[[#This Row],[anio]]&amp;"-"&amp;TEXT(tblOrdenes[[#This Row],[mes]],"00"))</f>
        <v/>
      </c>
      <c r="S808" s="5">
        <f>IF(tblOrdenes[[#This Row],[fecha_inicio]]="","",INDEX(lista_dias,WEEKDAY(tblOrdenes[[#This Row],[fecha_inicio]],2)))</f>
        <v/>
      </c>
      <c r="T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5">
        <f>IF(tblOrdenes[[#This Row],[tipo_ot]]="","",_xlfn.XLOOKUP(tblOrdenes[[#This Row],[tipo_ot]],tblTiposOT[codigo],tblTiposOT[clasificacion],"sin_clasificar"))</f>
        <v/>
      </c>
      <c r="V8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5">
        <f>IF(tblOrdenes[[#This Row],[centro_costo]]="","",_xlfn.XLOOKUP(tblOrdenes[[#This Row],[centro_costo]],tblCECO[codigo],tblCECO[linea],"(sin catálogo)"))</f>
        <v/>
      </c>
      <c r="Y808" s="5">
        <f>IF(tblOrdenes[[#This Row],[centro_costo]]="","",_xlfn.XLOOKUP(tblOrdenes[[#This Row],[centro_costo]],tblCECO[codigo],tblCECO[area],"(sin catálogo)"))</f>
        <v/>
      </c>
      <c r="Z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5">
        <f>IF(tblOrdenes[[#This Row],[centro_costo]]="","",_xlfn.XLOOKUP(tblOrdenes[[#This Row],[centro_costo]],tblCECO[codigo],tblCECO[coordinador],"(sin catálogo)"))</f>
        <v/>
      </c>
      <c r="AB808" s="5">
        <f>IF(tblOrdenes[[#This Row],[puesto_trabajo]]="","",_xlfn.XLOOKUP(tblOrdenes[[#This Row],[puesto_trabajo]],tblPuestos[codigo],tblPuestos[especialidad],"(sin catálogo)"))</f>
        <v/>
      </c>
      <c r="AC808" s="5">
        <f>IF(tblOrdenes[[#This Row],[cod_actividad]]="","",_xlfn.XLOOKUP(tblOrdenes[[#This Row],[cod_actividad]],tblActividades[codigo],tblActividades[descripcion],"(sin catálogo)"))</f>
        <v/>
      </c>
      <c r="AD808" s="23">
        <f>IF(tblOrdenes[[#This Row],[fecha_inicio]]="","",TODAY()-tblOrdenes[[#This Row],[fecha_inicio]])</f>
        <v/>
      </c>
      <c r="AE8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5">
        <f>IF(tblOrdenes[[#This Row],[backlog_habiles]]="","",IF(tblOrdenes[[#This Row],[backlog_habiles]]&lt;0,"FUTURO",IF(tblOrdenes[[#This Row],[backlog_habiles]]&gt;p_dias_backlog_max,"BACKLOG","MES CORRIENTE")))</f>
        <v/>
      </c>
      <c r="AG808" s="5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18">
        <f>IF(tblOrdenes[[#This Row],[orden]]="","",_xlfn.XLOOKUP(tblOrdenes[[#This Row],[id_operacion]],tblEjecucion[id_operacion],tblEjecucion[precio],0))</f>
        <v/>
      </c>
      <c r="AM808" s="18">
        <f>IF(tblOrdenes[[#This Row],[orden]]="","",MAX(0,_xlfn.XLOOKUP(tblOrdenes[[#This Row],[id_operacion]],tblEjecucion[id_operacion],tblEjecucion[costo_plan_total],0)-tblOrdenes[[#This Row],[costo_servicio]]))</f>
        <v/>
      </c>
      <c r="AN808" s="18">
        <f>IF(tblOrdenes[[#This Row],[orden]]="","",tblOrdenes[[#This Row],[costo_servicio]]+tblOrdenes[[#This Row],[costo_materiales]])</f>
        <v/>
      </c>
      <c r="AO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5">
        <f>IF(tblOrdenes[[#This Row],[link_checklist]]="","",HYPERLINK(p_ruta_base_checklists&amp;tblOrdenes[[#This Row],[link_checklist]],"abrir"))</f>
        <v/>
      </c>
      <c r="AT808" s="4" t="n"/>
      <c r="AU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5" t="n"/>
      <c r="K809" s="5" t="n"/>
      <c r="L809" s="18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Row],[fecha_inicio]]="","",tblOrdenes[[#This Row],[anio]]&amp;"-"&amp;TEXT(tblOrdenes[[#This Row],[mes]],"00"))</f>
        <v/>
      </c>
      <c r="S809" s="5">
        <f>IF(tblOrdenes[[#This Row],[fecha_inicio]]="","",INDEX(lista_dias,WEEKDAY(tblOrdenes[[#This Row],[fecha_inicio]],2)))</f>
        <v/>
      </c>
      <c r="T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5">
        <f>IF(tblOrdenes[[#This Row],[tipo_ot]]="","",_xlfn.XLOOKUP(tblOrdenes[[#This Row],[tipo_ot]],tblTiposOT[codigo],tblTiposOT[clasificacion],"sin_clasificar"))</f>
        <v/>
      </c>
      <c r="V8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5">
        <f>IF(tblOrdenes[[#This Row],[centro_costo]]="","",_xlfn.XLOOKUP(tblOrdenes[[#This Row],[centro_costo]],tblCECO[codigo],tblCECO[linea],"(sin catálogo)"))</f>
        <v/>
      </c>
      <c r="Y809" s="5">
        <f>IF(tblOrdenes[[#This Row],[centro_costo]]="","",_xlfn.XLOOKUP(tblOrdenes[[#This Row],[centro_costo]],tblCECO[codigo],tblCECO[area],"(sin catálogo)"))</f>
        <v/>
      </c>
      <c r="Z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5">
        <f>IF(tblOrdenes[[#This Row],[centro_costo]]="","",_xlfn.XLOOKUP(tblOrdenes[[#This Row],[centro_costo]],tblCECO[codigo],tblCECO[coordinador],"(sin catálogo)"))</f>
        <v/>
      </c>
      <c r="AB809" s="5">
        <f>IF(tblOrdenes[[#This Row],[puesto_trabajo]]="","",_xlfn.XLOOKUP(tblOrdenes[[#This Row],[puesto_trabajo]],tblPuestos[codigo],tblPuestos[especialidad],"(sin catálogo)"))</f>
        <v/>
      </c>
      <c r="AC809" s="5">
        <f>IF(tblOrdenes[[#This Row],[cod_actividad]]="","",_xlfn.XLOOKUP(tblOrdenes[[#This Row],[cod_actividad]],tblActividades[codigo],tblActividades[descripcion],"(sin catálogo)"))</f>
        <v/>
      </c>
      <c r="AD809" s="23">
        <f>IF(tblOrdenes[[#This Row],[fecha_inicio]]="","",TODAY()-tblOrdenes[[#This Row],[fecha_inicio]])</f>
        <v/>
      </c>
      <c r="AE8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5">
        <f>IF(tblOrdenes[[#This Row],[backlog_habiles]]="","",IF(tblOrdenes[[#This Row],[backlog_habiles]]&lt;0,"FUTURO",IF(tblOrdenes[[#This Row],[backlog_habiles]]&gt;p_dias_backlog_max,"BACKLOG","MES CORRIENTE")))</f>
        <v/>
      </c>
      <c r="AG809" s="5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18">
        <f>IF(tblOrdenes[[#This Row],[orden]]="","",_xlfn.XLOOKUP(tblOrdenes[[#This Row],[id_operacion]],tblEjecucion[id_operacion],tblEjecucion[precio],0))</f>
        <v/>
      </c>
      <c r="AM809" s="18">
        <f>IF(tblOrdenes[[#This Row],[orden]]="","",MAX(0,_xlfn.XLOOKUP(tblOrdenes[[#This Row],[id_operacion]],tblEjecucion[id_operacion],tblEjecucion[costo_plan_total],0)-tblOrdenes[[#This Row],[costo_servicio]]))</f>
        <v/>
      </c>
      <c r="AN809" s="18">
        <f>IF(tblOrdenes[[#This Row],[orden]]="","",tblOrdenes[[#This Row],[costo_servicio]]+tblOrdenes[[#This Row],[costo_materiales]])</f>
        <v/>
      </c>
      <c r="AO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5">
        <f>IF(tblOrdenes[[#This Row],[link_checklist]]="","",HYPERLINK(p_ruta_base_checklists&amp;tblOrdenes[[#This Row],[link_checklist]],"abrir"))</f>
        <v/>
      </c>
      <c r="AT809" s="4" t="n"/>
      <c r="AU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5" t="n"/>
      <c r="K810" s="5" t="n"/>
      <c r="L810" s="18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Row],[fecha_inicio]]="","",tblOrdenes[[#This Row],[anio]]&amp;"-"&amp;TEXT(tblOrdenes[[#This Row],[mes]],"00"))</f>
        <v/>
      </c>
      <c r="S810" s="5">
        <f>IF(tblOrdenes[[#This Row],[fecha_inicio]]="","",INDEX(lista_dias,WEEKDAY(tblOrdenes[[#This Row],[fecha_inicio]],2)))</f>
        <v/>
      </c>
      <c r="T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5">
        <f>IF(tblOrdenes[[#This Row],[tipo_ot]]="","",_xlfn.XLOOKUP(tblOrdenes[[#This Row],[tipo_ot]],tblTiposOT[codigo],tblTiposOT[clasificacion],"sin_clasificar"))</f>
        <v/>
      </c>
      <c r="V8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5">
        <f>IF(tblOrdenes[[#This Row],[centro_costo]]="","",_xlfn.XLOOKUP(tblOrdenes[[#This Row],[centro_costo]],tblCECO[codigo],tblCECO[linea],"(sin catálogo)"))</f>
        <v/>
      </c>
      <c r="Y810" s="5">
        <f>IF(tblOrdenes[[#This Row],[centro_costo]]="","",_xlfn.XLOOKUP(tblOrdenes[[#This Row],[centro_costo]],tblCECO[codigo],tblCECO[area],"(sin catálogo)"))</f>
        <v/>
      </c>
      <c r="Z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5">
        <f>IF(tblOrdenes[[#This Row],[centro_costo]]="","",_xlfn.XLOOKUP(tblOrdenes[[#This Row],[centro_costo]],tblCECO[codigo],tblCECO[coordinador],"(sin catálogo)"))</f>
        <v/>
      </c>
      <c r="AB810" s="5">
        <f>IF(tblOrdenes[[#This Row],[puesto_trabajo]]="","",_xlfn.XLOOKUP(tblOrdenes[[#This Row],[puesto_trabajo]],tblPuestos[codigo],tblPuestos[especialidad],"(sin catálogo)"))</f>
        <v/>
      </c>
      <c r="AC810" s="5">
        <f>IF(tblOrdenes[[#This Row],[cod_actividad]]="","",_xlfn.XLOOKUP(tblOrdenes[[#This Row],[cod_actividad]],tblActividades[codigo],tblActividades[descripcion],"(sin catálogo)"))</f>
        <v/>
      </c>
      <c r="AD810" s="23">
        <f>IF(tblOrdenes[[#This Row],[fecha_inicio]]="","",TODAY()-tblOrdenes[[#This Row],[fecha_inicio]])</f>
        <v/>
      </c>
      <c r="AE8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5">
        <f>IF(tblOrdenes[[#This Row],[backlog_habiles]]="","",IF(tblOrdenes[[#This Row],[backlog_habiles]]&lt;0,"FUTURO",IF(tblOrdenes[[#This Row],[backlog_habiles]]&gt;p_dias_backlog_max,"BACKLOG","MES CORRIENTE")))</f>
        <v/>
      </c>
      <c r="AG810" s="5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18">
        <f>IF(tblOrdenes[[#This Row],[orden]]="","",_xlfn.XLOOKUP(tblOrdenes[[#This Row],[id_operacion]],tblEjecucion[id_operacion],tblEjecucion[precio],0))</f>
        <v/>
      </c>
      <c r="AM810" s="18">
        <f>IF(tblOrdenes[[#This Row],[orden]]="","",MAX(0,_xlfn.XLOOKUP(tblOrdenes[[#This Row],[id_operacion]],tblEjecucion[id_operacion],tblEjecucion[costo_plan_total],0)-tblOrdenes[[#This Row],[costo_servicio]]))</f>
        <v/>
      </c>
      <c r="AN810" s="18">
        <f>IF(tblOrdenes[[#This Row],[orden]]="","",tblOrdenes[[#This Row],[costo_servicio]]+tblOrdenes[[#This Row],[costo_materiales]])</f>
        <v/>
      </c>
      <c r="AO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5">
        <f>IF(tblOrdenes[[#This Row],[link_checklist]]="","",HYPERLINK(p_ruta_base_checklists&amp;tblOrdenes[[#This Row],[link_checklist]],"abrir"))</f>
        <v/>
      </c>
      <c r="AT810" s="4" t="n"/>
      <c r="AU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5" t="n"/>
      <c r="K811" s="5" t="n"/>
      <c r="L811" s="18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Row],[fecha_inicio]]="","",tblOrdenes[[#This Row],[anio]]&amp;"-"&amp;TEXT(tblOrdenes[[#This Row],[mes]],"00"))</f>
        <v/>
      </c>
      <c r="S811" s="5">
        <f>IF(tblOrdenes[[#This Row],[fecha_inicio]]="","",INDEX(lista_dias,WEEKDAY(tblOrdenes[[#This Row],[fecha_inicio]],2)))</f>
        <v/>
      </c>
      <c r="T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5">
        <f>IF(tblOrdenes[[#This Row],[tipo_ot]]="","",_xlfn.XLOOKUP(tblOrdenes[[#This Row],[tipo_ot]],tblTiposOT[codigo],tblTiposOT[clasificacion],"sin_clasificar"))</f>
        <v/>
      </c>
      <c r="V8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5">
        <f>IF(tblOrdenes[[#This Row],[centro_costo]]="","",_xlfn.XLOOKUP(tblOrdenes[[#This Row],[centro_costo]],tblCECO[codigo],tblCECO[linea],"(sin catálogo)"))</f>
        <v/>
      </c>
      <c r="Y811" s="5">
        <f>IF(tblOrdenes[[#This Row],[centro_costo]]="","",_xlfn.XLOOKUP(tblOrdenes[[#This Row],[centro_costo]],tblCECO[codigo],tblCECO[area],"(sin catálogo)"))</f>
        <v/>
      </c>
      <c r="Z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5">
        <f>IF(tblOrdenes[[#This Row],[centro_costo]]="","",_xlfn.XLOOKUP(tblOrdenes[[#This Row],[centro_costo]],tblCECO[codigo],tblCECO[coordinador],"(sin catálogo)"))</f>
        <v/>
      </c>
      <c r="AB811" s="5">
        <f>IF(tblOrdenes[[#This Row],[puesto_trabajo]]="","",_xlfn.XLOOKUP(tblOrdenes[[#This Row],[puesto_trabajo]],tblPuestos[codigo],tblPuestos[especialidad],"(sin catálogo)"))</f>
        <v/>
      </c>
      <c r="AC811" s="5">
        <f>IF(tblOrdenes[[#This Row],[cod_actividad]]="","",_xlfn.XLOOKUP(tblOrdenes[[#This Row],[cod_actividad]],tblActividades[codigo],tblActividades[descripcion],"(sin catálogo)"))</f>
        <v/>
      </c>
      <c r="AD811" s="23">
        <f>IF(tblOrdenes[[#This Row],[fecha_inicio]]="","",TODAY()-tblOrdenes[[#This Row],[fecha_inicio]])</f>
        <v/>
      </c>
      <c r="AE8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5">
        <f>IF(tblOrdenes[[#This Row],[backlog_habiles]]="","",IF(tblOrdenes[[#This Row],[backlog_habiles]]&lt;0,"FUTURO",IF(tblOrdenes[[#This Row],[backlog_habiles]]&gt;p_dias_backlog_max,"BACKLOG","MES CORRIENTE")))</f>
        <v/>
      </c>
      <c r="AG811" s="5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18">
        <f>IF(tblOrdenes[[#This Row],[orden]]="","",_xlfn.XLOOKUP(tblOrdenes[[#This Row],[id_operacion]],tblEjecucion[id_operacion],tblEjecucion[precio],0))</f>
        <v/>
      </c>
      <c r="AM811" s="18">
        <f>IF(tblOrdenes[[#This Row],[orden]]="","",MAX(0,_xlfn.XLOOKUP(tblOrdenes[[#This Row],[id_operacion]],tblEjecucion[id_operacion],tblEjecucion[costo_plan_total],0)-tblOrdenes[[#This Row],[costo_servicio]]))</f>
        <v/>
      </c>
      <c r="AN811" s="18">
        <f>IF(tblOrdenes[[#This Row],[orden]]="","",tblOrdenes[[#This Row],[costo_servicio]]+tblOrdenes[[#This Row],[costo_materiales]])</f>
        <v/>
      </c>
      <c r="AO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5">
        <f>IF(tblOrdenes[[#This Row],[link_checklist]]="","",HYPERLINK(p_ruta_base_checklists&amp;tblOrdenes[[#This Row],[link_checklist]],"abrir"))</f>
        <v/>
      </c>
      <c r="AT811" s="4" t="n"/>
      <c r="AU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5" t="n"/>
      <c r="K812" s="5" t="n"/>
      <c r="L812" s="18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Row],[fecha_inicio]]="","",tblOrdenes[[#This Row],[anio]]&amp;"-"&amp;TEXT(tblOrdenes[[#This Row],[mes]],"00"))</f>
        <v/>
      </c>
      <c r="S812" s="5">
        <f>IF(tblOrdenes[[#This Row],[fecha_inicio]]="","",INDEX(lista_dias,WEEKDAY(tblOrdenes[[#This Row],[fecha_inicio]],2)))</f>
        <v/>
      </c>
      <c r="T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5">
        <f>IF(tblOrdenes[[#This Row],[tipo_ot]]="","",_xlfn.XLOOKUP(tblOrdenes[[#This Row],[tipo_ot]],tblTiposOT[codigo],tblTiposOT[clasificacion],"sin_clasificar"))</f>
        <v/>
      </c>
      <c r="V8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5">
        <f>IF(tblOrdenes[[#This Row],[centro_costo]]="","",_xlfn.XLOOKUP(tblOrdenes[[#This Row],[centro_costo]],tblCECO[codigo],tblCECO[linea],"(sin catálogo)"))</f>
        <v/>
      </c>
      <c r="Y812" s="5">
        <f>IF(tblOrdenes[[#This Row],[centro_costo]]="","",_xlfn.XLOOKUP(tblOrdenes[[#This Row],[centro_costo]],tblCECO[codigo],tblCECO[area],"(sin catálogo)"))</f>
        <v/>
      </c>
      <c r="Z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5">
        <f>IF(tblOrdenes[[#This Row],[centro_costo]]="","",_xlfn.XLOOKUP(tblOrdenes[[#This Row],[centro_costo]],tblCECO[codigo],tblCECO[coordinador],"(sin catálogo)"))</f>
        <v/>
      </c>
      <c r="AB812" s="5">
        <f>IF(tblOrdenes[[#This Row],[puesto_trabajo]]="","",_xlfn.XLOOKUP(tblOrdenes[[#This Row],[puesto_trabajo]],tblPuestos[codigo],tblPuestos[especialidad],"(sin catálogo)"))</f>
        <v/>
      </c>
      <c r="AC812" s="5">
        <f>IF(tblOrdenes[[#This Row],[cod_actividad]]="","",_xlfn.XLOOKUP(tblOrdenes[[#This Row],[cod_actividad]],tblActividades[codigo],tblActividades[descripcion],"(sin catálogo)"))</f>
        <v/>
      </c>
      <c r="AD812" s="23">
        <f>IF(tblOrdenes[[#This Row],[fecha_inicio]]="","",TODAY()-tblOrdenes[[#This Row],[fecha_inicio]])</f>
        <v/>
      </c>
      <c r="AE8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5">
        <f>IF(tblOrdenes[[#This Row],[backlog_habiles]]="","",IF(tblOrdenes[[#This Row],[backlog_habiles]]&lt;0,"FUTURO",IF(tblOrdenes[[#This Row],[backlog_habiles]]&gt;p_dias_backlog_max,"BACKLOG","MES CORRIENTE")))</f>
        <v/>
      </c>
      <c r="AG812" s="5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18">
        <f>IF(tblOrdenes[[#This Row],[orden]]="","",_xlfn.XLOOKUP(tblOrdenes[[#This Row],[id_operacion]],tblEjecucion[id_operacion],tblEjecucion[precio],0))</f>
        <v/>
      </c>
      <c r="AM812" s="18">
        <f>IF(tblOrdenes[[#This Row],[orden]]="","",MAX(0,_xlfn.XLOOKUP(tblOrdenes[[#This Row],[id_operacion]],tblEjecucion[id_operacion],tblEjecucion[costo_plan_total],0)-tblOrdenes[[#This Row],[costo_servicio]]))</f>
        <v/>
      </c>
      <c r="AN812" s="18">
        <f>IF(tblOrdenes[[#This Row],[orden]]="","",tblOrdenes[[#This Row],[costo_servicio]]+tblOrdenes[[#This Row],[costo_materiales]])</f>
        <v/>
      </c>
      <c r="AO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5">
        <f>IF(tblOrdenes[[#This Row],[link_checklist]]="","",HYPERLINK(p_ruta_base_checklists&amp;tblOrdenes[[#This Row],[link_checklist]],"abrir"))</f>
        <v/>
      </c>
      <c r="AT812" s="4" t="n"/>
      <c r="AU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5" t="n"/>
      <c r="K813" s="5" t="n"/>
      <c r="L813" s="18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Row],[fecha_inicio]]="","",tblOrdenes[[#This Row],[anio]]&amp;"-"&amp;TEXT(tblOrdenes[[#This Row],[mes]],"00"))</f>
        <v/>
      </c>
      <c r="S813" s="5">
        <f>IF(tblOrdenes[[#This Row],[fecha_inicio]]="","",INDEX(lista_dias,WEEKDAY(tblOrdenes[[#This Row],[fecha_inicio]],2)))</f>
        <v/>
      </c>
      <c r="T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5">
        <f>IF(tblOrdenes[[#This Row],[tipo_ot]]="","",_xlfn.XLOOKUP(tblOrdenes[[#This Row],[tipo_ot]],tblTiposOT[codigo],tblTiposOT[clasificacion],"sin_clasificar"))</f>
        <v/>
      </c>
      <c r="V8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5">
        <f>IF(tblOrdenes[[#This Row],[centro_costo]]="","",_xlfn.XLOOKUP(tblOrdenes[[#This Row],[centro_costo]],tblCECO[codigo],tblCECO[linea],"(sin catálogo)"))</f>
        <v/>
      </c>
      <c r="Y813" s="5">
        <f>IF(tblOrdenes[[#This Row],[centro_costo]]="","",_xlfn.XLOOKUP(tblOrdenes[[#This Row],[centro_costo]],tblCECO[codigo],tblCECO[area],"(sin catálogo)"))</f>
        <v/>
      </c>
      <c r="Z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5">
        <f>IF(tblOrdenes[[#This Row],[centro_costo]]="","",_xlfn.XLOOKUP(tblOrdenes[[#This Row],[centro_costo]],tblCECO[codigo],tblCECO[coordinador],"(sin catálogo)"))</f>
        <v/>
      </c>
      <c r="AB813" s="5">
        <f>IF(tblOrdenes[[#This Row],[puesto_trabajo]]="","",_xlfn.XLOOKUP(tblOrdenes[[#This Row],[puesto_trabajo]],tblPuestos[codigo],tblPuestos[especialidad],"(sin catálogo)"))</f>
        <v/>
      </c>
      <c r="AC813" s="5">
        <f>IF(tblOrdenes[[#This Row],[cod_actividad]]="","",_xlfn.XLOOKUP(tblOrdenes[[#This Row],[cod_actividad]],tblActividades[codigo],tblActividades[descripcion],"(sin catálogo)"))</f>
        <v/>
      </c>
      <c r="AD813" s="23">
        <f>IF(tblOrdenes[[#This Row],[fecha_inicio]]="","",TODAY()-tblOrdenes[[#This Row],[fecha_inicio]])</f>
        <v/>
      </c>
      <c r="AE8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5">
        <f>IF(tblOrdenes[[#This Row],[backlog_habiles]]="","",IF(tblOrdenes[[#This Row],[backlog_habiles]]&lt;0,"FUTURO",IF(tblOrdenes[[#This Row],[backlog_habiles]]&gt;p_dias_backlog_max,"BACKLOG","MES CORRIENTE")))</f>
        <v/>
      </c>
      <c r="AG813" s="5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18">
        <f>IF(tblOrdenes[[#This Row],[orden]]="","",_xlfn.XLOOKUP(tblOrdenes[[#This Row],[id_operacion]],tblEjecucion[id_operacion],tblEjecucion[precio],0))</f>
        <v/>
      </c>
      <c r="AM813" s="18">
        <f>IF(tblOrdenes[[#This Row],[orden]]="","",MAX(0,_xlfn.XLOOKUP(tblOrdenes[[#This Row],[id_operacion]],tblEjecucion[id_operacion],tblEjecucion[costo_plan_total],0)-tblOrdenes[[#This Row],[costo_servicio]]))</f>
        <v/>
      </c>
      <c r="AN813" s="18">
        <f>IF(tblOrdenes[[#This Row],[orden]]="","",tblOrdenes[[#This Row],[costo_servicio]]+tblOrdenes[[#This Row],[costo_materiales]])</f>
        <v/>
      </c>
      <c r="AO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5">
        <f>IF(tblOrdenes[[#This Row],[link_checklist]]="","",HYPERLINK(p_ruta_base_checklists&amp;tblOrdenes[[#This Row],[link_checklist]],"abrir"))</f>
        <v/>
      </c>
      <c r="AT813" s="4" t="n"/>
      <c r="AU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5" t="n"/>
      <c r="K814" s="5" t="n"/>
      <c r="L814" s="18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Row],[fecha_inicio]]="","",tblOrdenes[[#This Row],[anio]]&amp;"-"&amp;TEXT(tblOrdenes[[#This Row],[mes]],"00"))</f>
        <v/>
      </c>
      <c r="S814" s="5">
        <f>IF(tblOrdenes[[#This Row],[fecha_inicio]]="","",INDEX(lista_dias,WEEKDAY(tblOrdenes[[#This Row],[fecha_inicio]],2)))</f>
        <v/>
      </c>
      <c r="T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5">
        <f>IF(tblOrdenes[[#This Row],[tipo_ot]]="","",_xlfn.XLOOKUP(tblOrdenes[[#This Row],[tipo_ot]],tblTiposOT[codigo],tblTiposOT[clasificacion],"sin_clasificar"))</f>
        <v/>
      </c>
      <c r="V8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5">
        <f>IF(tblOrdenes[[#This Row],[centro_costo]]="","",_xlfn.XLOOKUP(tblOrdenes[[#This Row],[centro_costo]],tblCECO[codigo],tblCECO[linea],"(sin catálogo)"))</f>
        <v/>
      </c>
      <c r="Y814" s="5">
        <f>IF(tblOrdenes[[#This Row],[centro_costo]]="","",_xlfn.XLOOKUP(tblOrdenes[[#This Row],[centro_costo]],tblCECO[codigo],tblCECO[area],"(sin catálogo)"))</f>
        <v/>
      </c>
      <c r="Z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5">
        <f>IF(tblOrdenes[[#This Row],[centro_costo]]="","",_xlfn.XLOOKUP(tblOrdenes[[#This Row],[centro_costo]],tblCECO[codigo],tblCECO[coordinador],"(sin catálogo)"))</f>
        <v/>
      </c>
      <c r="AB814" s="5">
        <f>IF(tblOrdenes[[#This Row],[puesto_trabajo]]="","",_xlfn.XLOOKUP(tblOrdenes[[#This Row],[puesto_trabajo]],tblPuestos[codigo],tblPuestos[especialidad],"(sin catálogo)"))</f>
        <v/>
      </c>
      <c r="AC814" s="5">
        <f>IF(tblOrdenes[[#This Row],[cod_actividad]]="","",_xlfn.XLOOKUP(tblOrdenes[[#This Row],[cod_actividad]],tblActividades[codigo],tblActividades[descripcion],"(sin catálogo)"))</f>
        <v/>
      </c>
      <c r="AD814" s="23">
        <f>IF(tblOrdenes[[#This Row],[fecha_inicio]]="","",TODAY()-tblOrdenes[[#This Row],[fecha_inicio]])</f>
        <v/>
      </c>
      <c r="AE8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5">
        <f>IF(tblOrdenes[[#This Row],[backlog_habiles]]="","",IF(tblOrdenes[[#This Row],[backlog_habiles]]&lt;0,"FUTURO",IF(tblOrdenes[[#This Row],[backlog_habiles]]&gt;p_dias_backlog_max,"BACKLOG","MES CORRIENTE")))</f>
        <v/>
      </c>
      <c r="AG814" s="5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18">
        <f>IF(tblOrdenes[[#This Row],[orden]]="","",_xlfn.XLOOKUP(tblOrdenes[[#This Row],[id_operacion]],tblEjecucion[id_operacion],tblEjecucion[precio],0))</f>
        <v/>
      </c>
      <c r="AM814" s="18">
        <f>IF(tblOrdenes[[#This Row],[orden]]="","",MAX(0,_xlfn.XLOOKUP(tblOrdenes[[#This Row],[id_operacion]],tblEjecucion[id_operacion],tblEjecucion[costo_plan_total],0)-tblOrdenes[[#This Row],[costo_servicio]]))</f>
        <v/>
      </c>
      <c r="AN814" s="18">
        <f>IF(tblOrdenes[[#This Row],[orden]]="","",tblOrdenes[[#This Row],[costo_servicio]]+tblOrdenes[[#This Row],[costo_materiales]])</f>
        <v/>
      </c>
      <c r="AO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5">
        <f>IF(tblOrdenes[[#This Row],[link_checklist]]="","",HYPERLINK(p_ruta_base_checklists&amp;tblOrdenes[[#This Row],[link_checklist]],"abrir"))</f>
        <v/>
      </c>
      <c r="AT814" s="4" t="n"/>
      <c r="AU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5" t="n"/>
      <c r="K815" s="5" t="n"/>
      <c r="L815" s="18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Row],[fecha_inicio]]="","",tblOrdenes[[#This Row],[anio]]&amp;"-"&amp;TEXT(tblOrdenes[[#This Row],[mes]],"00"))</f>
        <v/>
      </c>
      <c r="S815" s="5">
        <f>IF(tblOrdenes[[#This Row],[fecha_inicio]]="","",INDEX(lista_dias,WEEKDAY(tblOrdenes[[#This Row],[fecha_inicio]],2)))</f>
        <v/>
      </c>
      <c r="T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5">
        <f>IF(tblOrdenes[[#This Row],[tipo_ot]]="","",_xlfn.XLOOKUP(tblOrdenes[[#This Row],[tipo_ot]],tblTiposOT[codigo],tblTiposOT[clasificacion],"sin_clasificar"))</f>
        <v/>
      </c>
      <c r="V8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5">
        <f>IF(tblOrdenes[[#This Row],[centro_costo]]="","",_xlfn.XLOOKUP(tblOrdenes[[#This Row],[centro_costo]],tblCECO[codigo],tblCECO[linea],"(sin catálogo)"))</f>
        <v/>
      </c>
      <c r="Y815" s="5">
        <f>IF(tblOrdenes[[#This Row],[centro_costo]]="","",_xlfn.XLOOKUP(tblOrdenes[[#This Row],[centro_costo]],tblCECO[codigo],tblCECO[area],"(sin catálogo)"))</f>
        <v/>
      </c>
      <c r="Z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5">
        <f>IF(tblOrdenes[[#This Row],[centro_costo]]="","",_xlfn.XLOOKUP(tblOrdenes[[#This Row],[centro_costo]],tblCECO[codigo],tblCECO[coordinador],"(sin catálogo)"))</f>
        <v/>
      </c>
      <c r="AB815" s="5">
        <f>IF(tblOrdenes[[#This Row],[puesto_trabajo]]="","",_xlfn.XLOOKUP(tblOrdenes[[#This Row],[puesto_trabajo]],tblPuestos[codigo],tblPuestos[especialidad],"(sin catálogo)"))</f>
        <v/>
      </c>
      <c r="AC815" s="5">
        <f>IF(tblOrdenes[[#This Row],[cod_actividad]]="","",_xlfn.XLOOKUP(tblOrdenes[[#This Row],[cod_actividad]],tblActividades[codigo],tblActividades[descripcion],"(sin catálogo)"))</f>
        <v/>
      </c>
      <c r="AD815" s="23">
        <f>IF(tblOrdenes[[#This Row],[fecha_inicio]]="","",TODAY()-tblOrdenes[[#This Row],[fecha_inicio]])</f>
        <v/>
      </c>
      <c r="AE8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5">
        <f>IF(tblOrdenes[[#This Row],[backlog_habiles]]="","",IF(tblOrdenes[[#This Row],[backlog_habiles]]&lt;0,"FUTURO",IF(tblOrdenes[[#This Row],[backlog_habiles]]&gt;p_dias_backlog_max,"BACKLOG","MES CORRIENTE")))</f>
        <v/>
      </c>
      <c r="AG815" s="5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18">
        <f>IF(tblOrdenes[[#This Row],[orden]]="","",_xlfn.XLOOKUP(tblOrdenes[[#This Row],[id_operacion]],tblEjecucion[id_operacion],tblEjecucion[precio],0))</f>
        <v/>
      </c>
      <c r="AM815" s="18">
        <f>IF(tblOrdenes[[#This Row],[orden]]="","",MAX(0,_xlfn.XLOOKUP(tblOrdenes[[#This Row],[id_operacion]],tblEjecucion[id_operacion],tblEjecucion[costo_plan_total],0)-tblOrdenes[[#This Row],[costo_servicio]]))</f>
        <v/>
      </c>
      <c r="AN815" s="18">
        <f>IF(tblOrdenes[[#This Row],[orden]]="","",tblOrdenes[[#This Row],[costo_servicio]]+tblOrdenes[[#This Row],[costo_materiales]])</f>
        <v/>
      </c>
      <c r="AO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5">
        <f>IF(tblOrdenes[[#This Row],[link_checklist]]="","",HYPERLINK(p_ruta_base_checklists&amp;tblOrdenes[[#This Row],[link_checklist]],"abrir"))</f>
        <v/>
      </c>
      <c r="AT815" s="4" t="n"/>
      <c r="AU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5" t="n"/>
      <c r="K816" s="5" t="n"/>
      <c r="L816" s="18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Row],[fecha_inicio]]="","",tblOrdenes[[#This Row],[anio]]&amp;"-"&amp;TEXT(tblOrdenes[[#This Row],[mes]],"00"))</f>
        <v/>
      </c>
      <c r="S816" s="5">
        <f>IF(tblOrdenes[[#This Row],[fecha_inicio]]="","",INDEX(lista_dias,WEEKDAY(tblOrdenes[[#This Row],[fecha_inicio]],2)))</f>
        <v/>
      </c>
      <c r="T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5">
        <f>IF(tblOrdenes[[#This Row],[tipo_ot]]="","",_xlfn.XLOOKUP(tblOrdenes[[#This Row],[tipo_ot]],tblTiposOT[codigo],tblTiposOT[clasificacion],"sin_clasificar"))</f>
        <v/>
      </c>
      <c r="V8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5">
        <f>IF(tblOrdenes[[#This Row],[centro_costo]]="","",_xlfn.XLOOKUP(tblOrdenes[[#This Row],[centro_costo]],tblCECO[codigo],tblCECO[linea],"(sin catálogo)"))</f>
        <v/>
      </c>
      <c r="Y816" s="5">
        <f>IF(tblOrdenes[[#This Row],[centro_costo]]="","",_xlfn.XLOOKUP(tblOrdenes[[#This Row],[centro_costo]],tblCECO[codigo],tblCECO[area],"(sin catálogo)"))</f>
        <v/>
      </c>
      <c r="Z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5">
        <f>IF(tblOrdenes[[#This Row],[centro_costo]]="","",_xlfn.XLOOKUP(tblOrdenes[[#This Row],[centro_costo]],tblCECO[codigo],tblCECO[coordinador],"(sin catálogo)"))</f>
        <v/>
      </c>
      <c r="AB816" s="5">
        <f>IF(tblOrdenes[[#This Row],[puesto_trabajo]]="","",_xlfn.XLOOKUP(tblOrdenes[[#This Row],[puesto_trabajo]],tblPuestos[codigo],tblPuestos[especialidad],"(sin catálogo)"))</f>
        <v/>
      </c>
      <c r="AC816" s="5">
        <f>IF(tblOrdenes[[#This Row],[cod_actividad]]="","",_xlfn.XLOOKUP(tblOrdenes[[#This Row],[cod_actividad]],tblActividades[codigo],tblActividades[descripcion],"(sin catálogo)"))</f>
        <v/>
      </c>
      <c r="AD816" s="23">
        <f>IF(tblOrdenes[[#This Row],[fecha_inicio]]="","",TODAY()-tblOrdenes[[#This Row],[fecha_inicio]])</f>
        <v/>
      </c>
      <c r="AE8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5">
        <f>IF(tblOrdenes[[#This Row],[backlog_habiles]]="","",IF(tblOrdenes[[#This Row],[backlog_habiles]]&lt;0,"FUTURO",IF(tblOrdenes[[#This Row],[backlog_habiles]]&gt;p_dias_backlog_max,"BACKLOG","MES CORRIENTE")))</f>
        <v/>
      </c>
      <c r="AG816" s="5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18">
        <f>IF(tblOrdenes[[#This Row],[orden]]="","",_xlfn.XLOOKUP(tblOrdenes[[#This Row],[id_operacion]],tblEjecucion[id_operacion],tblEjecucion[precio],0))</f>
        <v/>
      </c>
      <c r="AM816" s="18">
        <f>IF(tblOrdenes[[#This Row],[orden]]="","",MAX(0,_xlfn.XLOOKUP(tblOrdenes[[#This Row],[id_operacion]],tblEjecucion[id_operacion],tblEjecucion[costo_plan_total],0)-tblOrdenes[[#This Row],[costo_servicio]]))</f>
        <v/>
      </c>
      <c r="AN816" s="18">
        <f>IF(tblOrdenes[[#This Row],[orden]]="","",tblOrdenes[[#This Row],[costo_servicio]]+tblOrdenes[[#This Row],[costo_materiales]])</f>
        <v/>
      </c>
      <c r="AO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5">
        <f>IF(tblOrdenes[[#This Row],[link_checklist]]="","",HYPERLINK(p_ruta_base_checklists&amp;tblOrdenes[[#This Row],[link_checklist]],"abrir"))</f>
        <v/>
      </c>
      <c r="AT816" s="4" t="n"/>
      <c r="AU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5" t="n"/>
      <c r="K817" s="5" t="n"/>
      <c r="L817" s="18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Row],[fecha_inicio]]="","",tblOrdenes[[#This Row],[anio]]&amp;"-"&amp;TEXT(tblOrdenes[[#This Row],[mes]],"00"))</f>
        <v/>
      </c>
      <c r="S817" s="5">
        <f>IF(tblOrdenes[[#This Row],[fecha_inicio]]="","",INDEX(lista_dias,WEEKDAY(tblOrdenes[[#This Row],[fecha_inicio]],2)))</f>
        <v/>
      </c>
      <c r="T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5">
        <f>IF(tblOrdenes[[#This Row],[tipo_ot]]="","",_xlfn.XLOOKUP(tblOrdenes[[#This Row],[tipo_ot]],tblTiposOT[codigo],tblTiposOT[clasificacion],"sin_clasificar"))</f>
        <v/>
      </c>
      <c r="V8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5">
        <f>IF(tblOrdenes[[#This Row],[centro_costo]]="","",_xlfn.XLOOKUP(tblOrdenes[[#This Row],[centro_costo]],tblCECO[codigo],tblCECO[linea],"(sin catálogo)"))</f>
        <v/>
      </c>
      <c r="Y817" s="5">
        <f>IF(tblOrdenes[[#This Row],[centro_costo]]="","",_xlfn.XLOOKUP(tblOrdenes[[#This Row],[centro_costo]],tblCECO[codigo],tblCECO[area],"(sin catálogo)"))</f>
        <v/>
      </c>
      <c r="Z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5">
        <f>IF(tblOrdenes[[#This Row],[centro_costo]]="","",_xlfn.XLOOKUP(tblOrdenes[[#This Row],[centro_costo]],tblCECO[codigo],tblCECO[coordinador],"(sin catálogo)"))</f>
        <v/>
      </c>
      <c r="AB817" s="5">
        <f>IF(tblOrdenes[[#This Row],[puesto_trabajo]]="","",_xlfn.XLOOKUP(tblOrdenes[[#This Row],[puesto_trabajo]],tblPuestos[codigo],tblPuestos[especialidad],"(sin catálogo)"))</f>
        <v/>
      </c>
      <c r="AC817" s="5">
        <f>IF(tblOrdenes[[#This Row],[cod_actividad]]="","",_xlfn.XLOOKUP(tblOrdenes[[#This Row],[cod_actividad]],tblActividades[codigo],tblActividades[descripcion],"(sin catálogo)"))</f>
        <v/>
      </c>
      <c r="AD817" s="23">
        <f>IF(tblOrdenes[[#This Row],[fecha_inicio]]="","",TODAY()-tblOrdenes[[#This Row],[fecha_inicio]])</f>
        <v/>
      </c>
      <c r="AE8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5">
        <f>IF(tblOrdenes[[#This Row],[backlog_habiles]]="","",IF(tblOrdenes[[#This Row],[backlog_habiles]]&lt;0,"FUTURO",IF(tblOrdenes[[#This Row],[backlog_habiles]]&gt;p_dias_backlog_max,"BACKLOG","MES CORRIENTE")))</f>
        <v/>
      </c>
      <c r="AG817" s="5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18">
        <f>IF(tblOrdenes[[#This Row],[orden]]="","",_xlfn.XLOOKUP(tblOrdenes[[#This Row],[id_operacion]],tblEjecucion[id_operacion],tblEjecucion[precio],0))</f>
        <v/>
      </c>
      <c r="AM817" s="18">
        <f>IF(tblOrdenes[[#This Row],[orden]]="","",MAX(0,_xlfn.XLOOKUP(tblOrdenes[[#This Row],[id_operacion]],tblEjecucion[id_operacion],tblEjecucion[costo_plan_total],0)-tblOrdenes[[#This Row],[costo_servicio]]))</f>
        <v/>
      </c>
      <c r="AN817" s="18">
        <f>IF(tblOrdenes[[#This Row],[orden]]="","",tblOrdenes[[#This Row],[costo_servicio]]+tblOrdenes[[#This Row],[costo_materiales]])</f>
        <v/>
      </c>
      <c r="AO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5">
        <f>IF(tblOrdenes[[#This Row],[link_checklist]]="","",HYPERLINK(p_ruta_base_checklists&amp;tblOrdenes[[#This Row],[link_checklist]],"abrir"))</f>
        <v/>
      </c>
      <c r="AT817" s="4" t="n"/>
      <c r="AU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5" t="n"/>
      <c r="K818" s="5" t="n"/>
      <c r="L818" s="18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Row],[fecha_inicio]]="","",tblOrdenes[[#This Row],[anio]]&amp;"-"&amp;TEXT(tblOrdenes[[#This Row],[mes]],"00"))</f>
        <v/>
      </c>
      <c r="S818" s="5">
        <f>IF(tblOrdenes[[#This Row],[fecha_inicio]]="","",INDEX(lista_dias,WEEKDAY(tblOrdenes[[#This Row],[fecha_inicio]],2)))</f>
        <v/>
      </c>
      <c r="T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5">
        <f>IF(tblOrdenes[[#This Row],[tipo_ot]]="","",_xlfn.XLOOKUP(tblOrdenes[[#This Row],[tipo_ot]],tblTiposOT[codigo],tblTiposOT[clasificacion],"sin_clasificar"))</f>
        <v/>
      </c>
      <c r="V8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5">
        <f>IF(tblOrdenes[[#This Row],[centro_costo]]="","",_xlfn.XLOOKUP(tblOrdenes[[#This Row],[centro_costo]],tblCECO[codigo],tblCECO[linea],"(sin catálogo)"))</f>
        <v/>
      </c>
      <c r="Y818" s="5">
        <f>IF(tblOrdenes[[#This Row],[centro_costo]]="","",_xlfn.XLOOKUP(tblOrdenes[[#This Row],[centro_costo]],tblCECO[codigo],tblCECO[area],"(sin catálogo)"))</f>
        <v/>
      </c>
      <c r="Z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5">
        <f>IF(tblOrdenes[[#This Row],[centro_costo]]="","",_xlfn.XLOOKUP(tblOrdenes[[#This Row],[centro_costo]],tblCECO[codigo],tblCECO[coordinador],"(sin catálogo)"))</f>
        <v/>
      </c>
      <c r="AB818" s="5">
        <f>IF(tblOrdenes[[#This Row],[puesto_trabajo]]="","",_xlfn.XLOOKUP(tblOrdenes[[#This Row],[puesto_trabajo]],tblPuestos[codigo],tblPuestos[especialidad],"(sin catálogo)"))</f>
        <v/>
      </c>
      <c r="AC818" s="5">
        <f>IF(tblOrdenes[[#This Row],[cod_actividad]]="","",_xlfn.XLOOKUP(tblOrdenes[[#This Row],[cod_actividad]],tblActividades[codigo],tblActividades[descripcion],"(sin catálogo)"))</f>
        <v/>
      </c>
      <c r="AD818" s="23">
        <f>IF(tblOrdenes[[#This Row],[fecha_inicio]]="","",TODAY()-tblOrdenes[[#This Row],[fecha_inicio]])</f>
        <v/>
      </c>
      <c r="AE8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5">
        <f>IF(tblOrdenes[[#This Row],[backlog_habiles]]="","",IF(tblOrdenes[[#This Row],[backlog_habiles]]&lt;0,"FUTURO",IF(tblOrdenes[[#This Row],[backlog_habiles]]&gt;p_dias_backlog_max,"BACKLOG","MES CORRIENTE")))</f>
        <v/>
      </c>
      <c r="AG818" s="5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18">
        <f>IF(tblOrdenes[[#This Row],[orden]]="","",_xlfn.XLOOKUP(tblOrdenes[[#This Row],[id_operacion]],tblEjecucion[id_operacion],tblEjecucion[precio],0))</f>
        <v/>
      </c>
      <c r="AM818" s="18">
        <f>IF(tblOrdenes[[#This Row],[orden]]="","",MAX(0,_xlfn.XLOOKUP(tblOrdenes[[#This Row],[id_operacion]],tblEjecucion[id_operacion],tblEjecucion[costo_plan_total],0)-tblOrdenes[[#This Row],[costo_servicio]]))</f>
        <v/>
      </c>
      <c r="AN818" s="18">
        <f>IF(tblOrdenes[[#This Row],[orden]]="","",tblOrdenes[[#This Row],[costo_servicio]]+tblOrdenes[[#This Row],[costo_materiales]])</f>
        <v/>
      </c>
      <c r="AO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5">
        <f>IF(tblOrdenes[[#This Row],[link_checklist]]="","",HYPERLINK(p_ruta_base_checklists&amp;tblOrdenes[[#This Row],[link_checklist]],"abrir"))</f>
        <v/>
      </c>
      <c r="AT818" s="4" t="n"/>
      <c r="AU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5" t="n"/>
      <c r="K819" s="5" t="n"/>
      <c r="L819" s="18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Row],[fecha_inicio]]="","",tblOrdenes[[#This Row],[anio]]&amp;"-"&amp;TEXT(tblOrdenes[[#This Row],[mes]],"00"))</f>
        <v/>
      </c>
      <c r="S819" s="5">
        <f>IF(tblOrdenes[[#This Row],[fecha_inicio]]="","",INDEX(lista_dias,WEEKDAY(tblOrdenes[[#This Row],[fecha_inicio]],2)))</f>
        <v/>
      </c>
      <c r="T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5">
        <f>IF(tblOrdenes[[#This Row],[tipo_ot]]="","",_xlfn.XLOOKUP(tblOrdenes[[#This Row],[tipo_ot]],tblTiposOT[codigo],tblTiposOT[clasificacion],"sin_clasificar"))</f>
        <v/>
      </c>
      <c r="V8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5">
        <f>IF(tblOrdenes[[#This Row],[centro_costo]]="","",_xlfn.XLOOKUP(tblOrdenes[[#This Row],[centro_costo]],tblCECO[codigo],tblCECO[linea],"(sin catálogo)"))</f>
        <v/>
      </c>
      <c r="Y819" s="5">
        <f>IF(tblOrdenes[[#This Row],[centro_costo]]="","",_xlfn.XLOOKUP(tblOrdenes[[#This Row],[centro_costo]],tblCECO[codigo],tblCECO[area],"(sin catálogo)"))</f>
        <v/>
      </c>
      <c r="Z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5">
        <f>IF(tblOrdenes[[#This Row],[centro_costo]]="","",_xlfn.XLOOKUP(tblOrdenes[[#This Row],[centro_costo]],tblCECO[codigo],tblCECO[coordinador],"(sin catálogo)"))</f>
        <v/>
      </c>
      <c r="AB819" s="5">
        <f>IF(tblOrdenes[[#This Row],[puesto_trabajo]]="","",_xlfn.XLOOKUP(tblOrdenes[[#This Row],[puesto_trabajo]],tblPuestos[codigo],tblPuestos[especialidad],"(sin catálogo)"))</f>
        <v/>
      </c>
      <c r="AC819" s="5">
        <f>IF(tblOrdenes[[#This Row],[cod_actividad]]="","",_xlfn.XLOOKUP(tblOrdenes[[#This Row],[cod_actividad]],tblActividades[codigo],tblActividades[descripcion],"(sin catálogo)"))</f>
        <v/>
      </c>
      <c r="AD819" s="23">
        <f>IF(tblOrdenes[[#This Row],[fecha_inicio]]="","",TODAY()-tblOrdenes[[#This Row],[fecha_inicio]])</f>
        <v/>
      </c>
      <c r="AE8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5">
        <f>IF(tblOrdenes[[#This Row],[backlog_habiles]]="","",IF(tblOrdenes[[#This Row],[backlog_habiles]]&lt;0,"FUTURO",IF(tblOrdenes[[#This Row],[backlog_habiles]]&gt;p_dias_backlog_max,"BACKLOG","MES CORRIENTE")))</f>
        <v/>
      </c>
      <c r="AG819" s="5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18">
        <f>IF(tblOrdenes[[#This Row],[orden]]="","",_xlfn.XLOOKUP(tblOrdenes[[#This Row],[id_operacion]],tblEjecucion[id_operacion],tblEjecucion[precio],0))</f>
        <v/>
      </c>
      <c r="AM819" s="18">
        <f>IF(tblOrdenes[[#This Row],[orden]]="","",MAX(0,_xlfn.XLOOKUP(tblOrdenes[[#This Row],[id_operacion]],tblEjecucion[id_operacion],tblEjecucion[costo_plan_total],0)-tblOrdenes[[#This Row],[costo_servicio]]))</f>
        <v/>
      </c>
      <c r="AN819" s="18">
        <f>IF(tblOrdenes[[#This Row],[orden]]="","",tblOrdenes[[#This Row],[costo_servicio]]+tblOrdenes[[#This Row],[costo_materiales]])</f>
        <v/>
      </c>
      <c r="AO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5">
        <f>IF(tblOrdenes[[#This Row],[link_checklist]]="","",HYPERLINK(p_ruta_base_checklists&amp;tblOrdenes[[#This Row],[link_checklist]],"abrir"))</f>
        <v/>
      </c>
      <c r="AT819" s="4" t="n"/>
      <c r="AU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5" t="n"/>
      <c r="K820" s="5" t="n"/>
      <c r="L820" s="18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Row],[fecha_inicio]]="","",tblOrdenes[[#This Row],[anio]]&amp;"-"&amp;TEXT(tblOrdenes[[#This Row],[mes]],"00"))</f>
        <v/>
      </c>
      <c r="S820" s="5">
        <f>IF(tblOrdenes[[#This Row],[fecha_inicio]]="","",INDEX(lista_dias,WEEKDAY(tblOrdenes[[#This Row],[fecha_inicio]],2)))</f>
        <v/>
      </c>
      <c r="T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5">
        <f>IF(tblOrdenes[[#This Row],[tipo_ot]]="","",_xlfn.XLOOKUP(tblOrdenes[[#This Row],[tipo_ot]],tblTiposOT[codigo],tblTiposOT[clasificacion],"sin_clasificar"))</f>
        <v/>
      </c>
      <c r="V8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5">
        <f>IF(tblOrdenes[[#This Row],[centro_costo]]="","",_xlfn.XLOOKUP(tblOrdenes[[#This Row],[centro_costo]],tblCECO[codigo],tblCECO[linea],"(sin catálogo)"))</f>
        <v/>
      </c>
      <c r="Y820" s="5">
        <f>IF(tblOrdenes[[#This Row],[centro_costo]]="","",_xlfn.XLOOKUP(tblOrdenes[[#This Row],[centro_costo]],tblCECO[codigo],tblCECO[area],"(sin catálogo)"))</f>
        <v/>
      </c>
      <c r="Z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5">
        <f>IF(tblOrdenes[[#This Row],[centro_costo]]="","",_xlfn.XLOOKUP(tblOrdenes[[#This Row],[centro_costo]],tblCECO[codigo],tblCECO[coordinador],"(sin catálogo)"))</f>
        <v/>
      </c>
      <c r="AB820" s="5">
        <f>IF(tblOrdenes[[#This Row],[puesto_trabajo]]="","",_xlfn.XLOOKUP(tblOrdenes[[#This Row],[puesto_trabajo]],tblPuestos[codigo],tblPuestos[especialidad],"(sin catálogo)"))</f>
        <v/>
      </c>
      <c r="AC820" s="5">
        <f>IF(tblOrdenes[[#This Row],[cod_actividad]]="","",_xlfn.XLOOKUP(tblOrdenes[[#This Row],[cod_actividad]],tblActividades[codigo],tblActividades[descripcion],"(sin catálogo)"))</f>
        <v/>
      </c>
      <c r="AD820" s="23">
        <f>IF(tblOrdenes[[#This Row],[fecha_inicio]]="","",TODAY()-tblOrdenes[[#This Row],[fecha_inicio]])</f>
        <v/>
      </c>
      <c r="AE8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5">
        <f>IF(tblOrdenes[[#This Row],[backlog_habiles]]="","",IF(tblOrdenes[[#This Row],[backlog_habiles]]&lt;0,"FUTURO",IF(tblOrdenes[[#This Row],[backlog_habiles]]&gt;p_dias_backlog_max,"BACKLOG","MES CORRIENTE")))</f>
        <v/>
      </c>
      <c r="AG820" s="5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18">
        <f>IF(tblOrdenes[[#This Row],[orden]]="","",_xlfn.XLOOKUP(tblOrdenes[[#This Row],[id_operacion]],tblEjecucion[id_operacion],tblEjecucion[precio],0))</f>
        <v/>
      </c>
      <c r="AM820" s="18">
        <f>IF(tblOrdenes[[#This Row],[orden]]="","",MAX(0,_xlfn.XLOOKUP(tblOrdenes[[#This Row],[id_operacion]],tblEjecucion[id_operacion],tblEjecucion[costo_plan_total],0)-tblOrdenes[[#This Row],[costo_servicio]]))</f>
        <v/>
      </c>
      <c r="AN820" s="18">
        <f>IF(tblOrdenes[[#This Row],[orden]]="","",tblOrdenes[[#This Row],[costo_servicio]]+tblOrdenes[[#This Row],[costo_materiales]])</f>
        <v/>
      </c>
      <c r="AO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5">
        <f>IF(tblOrdenes[[#This Row],[link_checklist]]="","",HYPERLINK(p_ruta_base_checklists&amp;tblOrdenes[[#This Row],[link_checklist]],"abrir"))</f>
        <v/>
      </c>
      <c r="AT820" s="4" t="n"/>
      <c r="AU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5" t="n"/>
      <c r="K821" s="5" t="n"/>
      <c r="L821" s="18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Row],[fecha_inicio]]="","",tblOrdenes[[#This Row],[anio]]&amp;"-"&amp;TEXT(tblOrdenes[[#This Row],[mes]],"00"))</f>
        <v/>
      </c>
      <c r="S821" s="5">
        <f>IF(tblOrdenes[[#This Row],[fecha_inicio]]="","",INDEX(lista_dias,WEEKDAY(tblOrdenes[[#This Row],[fecha_inicio]],2)))</f>
        <v/>
      </c>
      <c r="T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5">
        <f>IF(tblOrdenes[[#This Row],[tipo_ot]]="","",_xlfn.XLOOKUP(tblOrdenes[[#This Row],[tipo_ot]],tblTiposOT[codigo],tblTiposOT[clasificacion],"sin_clasificar"))</f>
        <v/>
      </c>
      <c r="V8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5">
        <f>IF(tblOrdenes[[#This Row],[centro_costo]]="","",_xlfn.XLOOKUP(tblOrdenes[[#This Row],[centro_costo]],tblCECO[codigo],tblCECO[linea],"(sin catálogo)"))</f>
        <v/>
      </c>
      <c r="Y821" s="5">
        <f>IF(tblOrdenes[[#This Row],[centro_costo]]="","",_xlfn.XLOOKUP(tblOrdenes[[#This Row],[centro_costo]],tblCECO[codigo],tblCECO[area],"(sin catálogo)"))</f>
        <v/>
      </c>
      <c r="Z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5">
        <f>IF(tblOrdenes[[#This Row],[centro_costo]]="","",_xlfn.XLOOKUP(tblOrdenes[[#This Row],[centro_costo]],tblCECO[codigo],tblCECO[coordinador],"(sin catálogo)"))</f>
        <v/>
      </c>
      <c r="AB821" s="5">
        <f>IF(tblOrdenes[[#This Row],[puesto_trabajo]]="","",_xlfn.XLOOKUP(tblOrdenes[[#This Row],[puesto_trabajo]],tblPuestos[codigo],tblPuestos[especialidad],"(sin catálogo)"))</f>
        <v/>
      </c>
      <c r="AC821" s="5">
        <f>IF(tblOrdenes[[#This Row],[cod_actividad]]="","",_xlfn.XLOOKUP(tblOrdenes[[#This Row],[cod_actividad]],tblActividades[codigo],tblActividades[descripcion],"(sin catálogo)"))</f>
        <v/>
      </c>
      <c r="AD821" s="23">
        <f>IF(tblOrdenes[[#This Row],[fecha_inicio]]="","",TODAY()-tblOrdenes[[#This Row],[fecha_inicio]])</f>
        <v/>
      </c>
      <c r="AE8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5">
        <f>IF(tblOrdenes[[#This Row],[backlog_habiles]]="","",IF(tblOrdenes[[#This Row],[backlog_habiles]]&lt;0,"FUTURO",IF(tblOrdenes[[#This Row],[backlog_habiles]]&gt;p_dias_backlog_max,"BACKLOG","MES CORRIENTE")))</f>
        <v/>
      </c>
      <c r="AG821" s="5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18">
        <f>IF(tblOrdenes[[#This Row],[orden]]="","",_xlfn.XLOOKUP(tblOrdenes[[#This Row],[id_operacion]],tblEjecucion[id_operacion],tblEjecucion[precio],0))</f>
        <v/>
      </c>
      <c r="AM821" s="18">
        <f>IF(tblOrdenes[[#This Row],[orden]]="","",MAX(0,_xlfn.XLOOKUP(tblOrdenes[[#This Row],[id_operacion]],tblEjecucion[id_operacion],tblEjecucion[costo_plan_total],0)-tblOrdenes[[#This Row],[costo_servicio]]))</f>
        <v/>
      </c>
      <c r="AN821" s="18">
        <f>IF(tblOrdenes[[#This Row],[orden]]="","",tblOrdenes[[#This Row],[costo_servicio]]+tblOrdenes[[#This Row],[costo_materiales]])</f>
        <v/>
      </c>
      <c r="AO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5">
        <f>IF(tblOrdenes[[#This Row],[link_checklist]]="","",HYPERLINK(p_ruta_base_checklists&amp;tblOrdenes[[#This Row],[link_checklist]],"abrir"))</f>
        <v/>
      </c>
      <c r="AT821" s="4" t="n"/>
      <c r="AU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5" t="n"/>
      <c r="K822" s="5" t="n"/>
      <c r="L822" s="18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Row],[fecha_inicio]]="","",tblOrdenes[[#This Row],[anio]]&amp;"-"&amp;TEXT(tblOrdenes[[#This Row],[mes]],"00"))</f>
        <v/>
      </c>
      <c r="S822" s="5">
        <f>IF(tblOrdenes[[#This Row],[fecha_inicio]]="","",INDEX(lista_dias,WEEKDAY(tblOrdenes[[#This Row],[fecha_inicio]],2)))</f>
        <v/>
      </c>
      <c r="T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5">
        <f>IF(tblOrdenes[[#This Row],[tipo_ot]]="","",_xlfn.XLOOKUP(tblOrdenes[[#This Row],[tipo_ot]],tblTiposOT[codigo],tblTiposOT[clasificacion],"sin_clasificar"))</f>
        <v/>
      </c>
      <c r="V8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5">
        <f>IF(tblOrdenes[[#This Row],[centro_costo]]="","",_xlfn.XLOOKUP(tblOrdenes[[#This Row],[centro_costo]],tblCECO[codigo],tblCECO[linea],"(sin catálogo)"))</f>
        <v/>
      </c>
      <c r="Y822" s="5">
        <f>IF(tblOrdenes[[#This Row],[centro_costo]]="","",_xlfn.XLOOKUP(tblOrdenes[[#This Row],[centro_costo]],tblCECO[codigo],tblCECO[area],"(sin catálogo)"))</f>
        <v/>
      </c>
      <c r="Z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5">
        <f>IF(tblOrdenes[[#This Row],[centro_costo]]="","",_xlfn.XLOOKUP(tblOrdenes[[#This Row],[centro_costo]],tblCECO[codigo],tblCECO[coordinador],"(sin catálogo)"))</f>
        <v/>
      </c>
      <c r="AB822" s="5">
        <f>IF(tblOrdenes[[#This Row],[puesto_trabajo]]="","",_xlfn.XLOOKUP(tblOrdenes[[#This Row],[puesto_trabajo]],tblPuestos[codigo],tblPuestos[especialidad],"(sin catálogo)"))</f>
        <v/>
      </c>
      <c r="AC822" s="5">
        <f>IF(tblOrdenes[[#This Row],[cod_actividad]]="","",_xlfn.XLOOKUP(tblOrdenes[[#This Row],[cod_actividad]],tblActividades[codigo],tblActividades[descripcion],"(sin catálogo)"))</f>
        <v/>
      </c>
      <c r="AD822" s="23">
        <f>IF(tblOrdenes[[#This Row],[fecha_inicio]]="","",TODAY()-tblOrdenes[[#This Row],[fecha_inicio]])</f>
        <v/>
      </c>
      <c r="AE8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5">
        <f>IF(tblOrdenes[[#This Row],[backlog_habiles]]="","",IF(tblOrdenes[[#This Row],[backlog_habiles]]&lt;0,"FUTURO",IF(tblOrdenes[[#This Row],[backlog_habiles]]&gt;p_dias_backlog_max,"BACKLOG","MES CORRIENTE")))</f>
        <v/>
      </c>
      <c r="AG822" s="5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18">
        <f>IF(tblOrdenes[[#This Row],[orden]]="","",_xlfn.XLOOKUP(tblOrdenes[[#This Row],[id_operacion]],tblEjecucion[id_operacion],tblEjecucion[precio],0))</f>
        <v/>
      </c>
      <c r="AM822" s="18">
        <f>IF(tblOrdenes[[#This Row],[orden]]="","",MAX(0,_xlfn.XLOOKUP(tblOrdenes[[#This Row],[id_operacion]],tblEjecucion[id_operacion],tblEjecucion[costo_plan_total],0)-tblOrdenes[[#This Row],[costo_servicio]]))</f>
        <v/>
      </c>
      <c r="AN822" s="18">
        <f>IF(tblOrdenes[[#This Row],[orden]]="","",tblOrdenes[[#This Row],[costo_servicio]]+tblOrdenes[[#This Row],[costo_materiales]])</f>
        <v/>
      </c>
      <c r="AO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5">
        <f>IF(tblOrdenes[[#This Row],[link_checklist]]="","",HYPERLINK(p_ruta_base_checklists&amp;tblOrdenes[[#This Row],[link_checklist]],"abrir"))</f>
        <v/>
      </c>
      <c r="AT822" s="4" t="n"/>
      <c r="AU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5" t="n"/>
      <c r="K823" s="5" t="n"/>
      <c r="L823" s="18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Row],[fecha_inicio]]="","",tblOrdenes[[#This Row],[anio]]&amp;"-"&amp;TEXT(tblOrdenes[[#This Row],[mes]],"00"))</f>
        <v/>
      </c>
      <c r="S823" s="5">
        <f>IF(tblOrdenes[[#This Row],[fecha_inicio]]="","",INDEX(lista_dias,WEEKDAY(tblOrdenes[[#This Row],[fecha_inicio]],2)))</f>
        <v/>
      </c>
      <c r="T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5">
        <f>IF(tblOrdenes[[#This Row],[tipo_ot]]="","",_xlfn.XLOOKUP(tblOrdenes[[#This Row],[tipo_ot]],tblTiposOT[codigo],tblTiposOT[clasificacion],"sin_clasificar"))</f>
        <v/>
      </c>
      <c r="V8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5">
        <f>IF(tblOrdenes[[#This Row],[centro_costo]]="","",_xlfn.XLOOKUP(tblOrdenes[[#This Row],[centro_costo]],tblCECO[codigo],tblCECO[linea],"(sin catálogo)"))</f>
        <v/>
      </c>
      <c r="Y823" s="5">
        <f>IF(tblOrdenes[[#This Row],[centro_costo]]="","",_xlfn.XLOOKUP(tblOrdenes[[#This Row],[centro_costo]],tblCECO[codigo],tblCECO[area],"(sin catálogo)"))</f>
        <v/>
      </c>
      <c r="Z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5">
        <f>IF(tblOrdenes[[#This Row],[centro_costo]]="","",_xlfn.XLOOKUP(tblOrdenes[[#This Row],[centro_costo]],tblCECO[codigo],tblCECO[coordinador],"(sin catálogo)"))</f>
        <v/>
      </c>
      <c r="AB823" s="5">
        <f>IF(tblOrdenes[[#This Row],[puesto_trabajo]]="","",_xlfn.XLOOKUP(tblOrdenes[[#This Row],[puesto_trabajo]],tblPuestos[codigo],tblPuestos[especialidad],"(sin catálogo)"))</f>
        <v/>
      </c>
      <c r="AC823" s="5">
        <f>IF(tblOrdenes[[#This Row],[cod_actividad]]="","",_xlfn.XLOOKUP(tblOrdenes[[#This Row],[cod_actividad]],tblActividades[codigo],tblActividades[descripcion],"(sin catálogo)"))</f>
        <v/>
      </c>
      <c r="AD823" s="23">
        <f>IF(tblOrdenes[[#This Row],[fecha_inicio]]="","",TODAY()-tblOrdenes[[#This Row],[fecha_inicio]])</f>
        <v/>
      </c>
      <c r="AE8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5">
        <f>IF(tblOrdenes[[#This Row],[backlog_habiles]]="","",IF(tblOrdenes[[#This Row],[backlog_habiles]]&lt;0,"FUTURO",IF(tblOrdenes[[#This Row],[backlog_habiles]]&gt;p_dias_backlog_max,"BACKLOG","MES CORRIENTE")))</f>
        <v/>
      </c>
      <c r="AG823" s="5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18">
        <f>IF(tblOrdenes[[#This Row],[orden]]="","",_xlfn.XLOOKUP(tblOrdenes[[#This Row],[id_operacion]],tblEjecucion[id_operacion],tblEjecucion[precio],0))</f>
        <v/>
      </c>
      <c r="AM823" s="18">
        <f>IF(tblOrdenes[[#This Row],[orden]]="","",MAX(0,_xlfn.XLOOKUP(tblOrdenes[[#This Row],[id_operacion]],tblEjecucion[id_operacion],tblEjecucion[costo_plan_total],0)-tblOrdenes[[#This Row],[costo_servicio]]))</f>
        <v/>
      </c>
      <c r="AN823" s="18">
        <f>IF(tblOrdenes[[#This Row],[orden]]="","",tblOrdenes[[#This Row],[costo_servicio]]+tblOrdenes[[#This Row],[costo_materiales]])</f>
        <v/>
      </c>
      <c r="AO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5">
        <f>IF(tblOrdenes[[#This Row],[link_checklist]]="","",HYPERLINK(p_ruta_base_checklists&amp;tblOrdenes[[#This Row],[link_checklist]],"abrir"))</f>
        <v/>
      </c>
      <c r="AT823" s="4" t="n"/>
      <c r="AU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5" t="n"/>
      <c r="K824" s="5" t="n"/>
      <c r="L824" s="18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Row],[fecha_inicio]]="","",tblOrdenes[[#This Row],[anio]]&amp;"-"&amp;TEXT(tblOrdenes[[#This Row],[mes]],"00"))</f>
        <v/>
      </c>
      <c r="S824" s="5">
        <f>IF(tblOrdenes[[#This Row],[fecha_inicio]]="","",INDEX(lista_dias,WEEKDAY(tblOrdenes[[#This Row],[fecha_inicio]],2)))</f>
        <v/>
      </c>
      <c r="T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5">
        <f>IF(tblOrdenes[[#This Row],[tipo_ot]]="","",_xlfn.XLOOKUP(tblOrdenes[[#This Row],[tipo_ot]],tblTiposOT[codigo],tblTiposOT[clasificacion],"sin_clasificar"))</f>
        <v/>
      </c>
      <c r="V8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5">
        <f>IF(tblOrdenes[[#This Row],[centro_costo]]="","",_xlfn.XLOOKUP(tblOrdenes[[#This Row],[centro_costo]],tblCECO[codigo],tblCECO[linea],"(sin catálogo)"))</f>
        <v/>
      </c>
      <c r="Y824" s="5">
        <f>IF(tblOrdenes[[#This Row],[centro_costo]]="","",_xlfn.XLOOKUP(tblOrdenes[[#This Row],[centro_costo]],tblCECO[codigo],tblCECO[area],"(sin catálogo)"))</f>
        <v/>
      </c>
      <c r="Z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5">
        <f>IF(tblOrdenes[[#This Row],[centro_costo]]="","",_xlfn.XLOOKUP(tblOrdenes[[#This Row],[centro_costo]],tblCECO[codigo],tblCECO[coordinador],"(sin catálogo)"))</f>
        <v/>
      </c>
      <c r="AB824" s="5">
        <f>IF(tblOrdenes[[#This Row],[puesto_trabajo]]="","",_xlfn.XLOOKUP(tblOrdenes[[#This Row],[puesto_trabajo]],tblPuestos[codigo],tblPuestos[especialidad],"(sin catálogo)"))</f>
        <v/>
      </c>
      <c r="AC824" s="5">
        <f>IF(tblOrdenes[[#This Row],[cod_actividad]]="","",_xlfn.XLOOKUP(tblOrdenes[[#This Row],[cod_actividad]],tblActividades[codigo],tblActividades[descripcion],"(sin catálogo)"))</f>
        <v/>
      </c>
      <c r="AD824" s="23">
        <f>IF(tblOrdenes[[#This Row],[fecha_inicio]]="","",TODAY()-tblOrdenes[[#This Row],[fecha_inicio]])</f>
        <v/>
      </c>
      <c r="AE8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5">
        <f>IF(tblOrdenes[[#This Row],[backlog_habiles]]="","",IF(tblOrdenes[[#This Row],[backlog_habiles]]&lt;0,"FUTURO",IF(tblOrdenes[[#This Row],[backlog_habiles]]&gt;p_dias_backlog_max,"BACKLOG","MES CORRIENTE")))</f>
        <v/>
      </c>
      <c r="AG824" s="5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18">
        <f>IF(tblOrdenes[[#This Row],[orden]]="","",_xlfn.XLOOKUP(tblOrdenes[[#This Row],[id_operacion]],tblEjecucion[id_operacion],tblEjecucion[precio],0))</f>
        <v/>
      </c>
      <c r="AM824" s="18">
        <f>IF(tblOrdenes[[#This Row],[orden]]="","",MAX(0,_xlfn.XLOOKUP(tblOrdenes[[#This Row],[id_operacion]],tblEjecucion[id_operacion],tblEjecucion[costo_plan_total],0)-tblOrdenes[[#This Row],[costo_servicio]]))</f>
        <v/>
      </c>
      <c r="AN824" s="18">
        <f>IF(tblOrdenes[[#This Row],[orden]]="","",tblOrdenes[[#This Row],[costo_servicio]]+tblOrdenes[[#This Row],[costo_materiales]])</f>
        <v/>
      </c>
      <c r="AO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5">
        <f>IF(tblOrdenes[[#This Row],[link_checklist]]="","",HYPERLINK(p_ruta_base_checklists&amp;tblOrdenes[[#This Row],[link_checklist]],"abrir"))</f>
        <v/>
      </c>
      <c r="AT824" s="4" t="n"/>
      <c r="AU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5" t="n"/>
      <c r="K825" s="5" t="n"/>
      <c r="L825" s="18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Row],[fecha_inicio]]="","",tblOrdenes[[#This Row],[anio]]&amp;"-"&amp;TEXT(tblOrdenes[[#This Row],[mes]],"00"))</f>
        <v/>
      </c>
      <c r="S825" s="5">
        <f>IF(tblOrdenes[[#This Row],[fecha_inicio]]="","",INDEX(lista_dias,WEEKDAY(tblOrdenes[[#This Row],[fecha_inicio]],2)))</f>
        <v/>
      </c>
      <c r="T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5">
        <f>IF(tblOrdenes[[#This Row],[tipo_ot]]="","",_xlfn.XLOOKUP(tblOrdenes[[#This Row],[tipo_ot]],tblTiposOT[codigo],tblTiposOT[clasificacion],"sin_clasificar"))</f>
        <v/>
      </c>
      <c r="V8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5">
        <f>IF(tblOrdenes[[#This Row],[centro_costo]]="","",_xlfn.XLOOKUP(tblOrdenes[[#This Row],[centro_costo]],tblCECO[codigo],tblCECO[linea],"(sin catálogo)"))</f>
        <v/>
      </c>
      <c r="Y825" s="5">
        <f>IF(tblOrdenes[[#This Row],[centro_costo]]="","",_xlfn.XLOOKUP(tblOrdenes[[#This Row],[centro_costo]],tblCECO[codigo],tblCECO[area],"(sin catálogo)"))</f>
        <v/>
      </c>
      <c r="Z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5">
        <f>IF(tblOrdenes[[#This Row],[centro_costo]]="","",_xlfn.XLOOKUP(tblOrdenes[[#This Row],[centro_costo]],tblCECO[codigo],tblCECO[coordinador],"(sin catálogo)"))</f>
        <v/>
      </c>
      <c r="AB825" s="5">
        <f>IF(tblOrdenes[[#This Row],[puesto_trabajo]]="","",_xlfn.XLOOKUP(tblOrdenes[[#This Row],[puesto_trabajo]],tblPuestos[codigo],tblPuestos[especialidad],"(sin catálogo)"))</f>
        <v/>
      </c>
      <c r="AC825" s="5">
        <f>IF(tblOrdenes[[#This Row],[cod_actividad]]="","",_xlfn.XLOOKUP(tblOrdenes[[#This Row],[cod_actividad]],tblActividades[codigo],tblActividades[descripcion],"(sin catálogo)"))</f>
        <v/>
      </c>
      <c r="AD825" s="23">
        <f>IF(tblOrdenes[[#This Row],[fecha_inicio]]="","",TODAY()-tblOrdenes[[#This Row],[fecha_inicio]])</f>
        <v/>
      </c>
      <c r="AE8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5">
        <f>IF(tblOrdenes[[#This Row],[backlog_habiles]]="","",IF(tblOrdenes[[#This Row],[backlog_habiles]]&lt;0,"FUTURO",IF(tblOrdenes[[#This Row],[backlog_habiles]]&gt;p_dias_backlog_max,"BACKLOG","MES CORRIENTE")))</f>
        <v/>
      </c>
      <c r="AG825" s="5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18">
        <f>IF(tblOrdenes[[#This Row],[orden]]="","",_xlfn.XLOOKUP(tblOrdenes[[#This Row],[id_operacion]],tblEjecucion[id_operacion],tblEjecucion[precio],0))</f>
        <v/>
      </c>
      <c r="AM825" s="18">
        <f>IF(tblOrdenes[[#This Row],[orden]]="","",MAX(0,_xlfn.XLOOKUP(tblOrdenes[[#This Row],[id_operacion]],tblEjecucion[id_operacion],tblEjecucion[costo_plan_total],0)-tblOrdenes[[#This Row],[costo_servicio]]))</f>
        <v/>
      </c>
      <c r="AN825" s="18">
        <f>IF(tblOrdenes[[#This Row],[orden]]="","",tblOrdenes[[#This Row],[costo_servicio]]+tblOrdenes[[#This Row],[costo_materiales]])</f>
        <v/>
      </c>
      <c r="AO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5">
        <f>IF(tblOrdenes[[#This Row],[link_checklist]]="","",HYPERLINK(p_ruta_base_checklists&amp;tblOrdenes[[#This Row],[link_checklist]],"abrir"))</f>
        <v/>
      </c>
      <c r="AT825" s="4" t="n"/>
      <c r="AU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5" t="n"/>
      <c r="K826" s="5" t="n"/>
      <c r="L826" s="18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Row],[fecha_inicio]]="","",tblOrdenes[[#This Row],[anio]]&amp;"-"&amp;TEXT(tblOrdenes[[#This Row],[mes]],"00"))</f>
        <v/>
      </c>
      <c r="S826" s="5">
        <f>IF(tblOrdenes[[#This Row],[fecha_inicio]]="","",INDEX(lista_dias,WEEKDAY(tblOrdenes[[#This Row],[fecha_inicio]],2)))</f>
        <v/>
      </c>
      <c r="T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5">
        <f>IF(tblOrdenes[[#This Row],[tipo_ot]]="","",_xlfn.XLOOKUP(tblOrdenes[[#This Row],[tipo_ot]],tblTiposOT[codigo],tblTiposOT[clasificacion],"sin_clasificar"))</f>
        <v/>
      </c>
      <c r="V8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5">
        <f>IF(tblOrdenes[[#This Row],[centro_costo]]="","",_xlfn.XLOOKUP(tblOrdenes[[#This Row],[centro_costo]],tblCECO[codigo],tblCECO[linea],"(sin catálogo)"))</f>
        <v/>
      </c>
      <c r="Y826" s="5">
        <f>IF(tblOrdenes[[#This Row],[centro_costo]]="","",_xlfn.XLOOKUP(tblOrdenes[[#This Row],[centro_costo]],tblCECO[codigo],tblCECO[area],"(sin catálogo)"))</f>
        <v/>
      </c>
      <c r="Z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5">
        <f>IF(tblOrdenes[[#This Row],[centro_costo]]="","",_xlfn.XLOOKUP(tblOrdenes[[#This Row],[centro_costo]],tblCECO[codigo],tblCECO[coordinador],"(sin catálogo)"))</f>
        <v/>
      </c>
      <c r="AB826" s="5">
        <f>IF(tblOrdenes[[#This Row],[puesto_trabajo]]="","",_xlfn.XLOOKUP(tblOrdenes[[#This Row],[puesto_trabajo]],tblPuestos[codigo],tblPuestos[especialidad],"(sin catálogo)"))</f>
        <v/>
      </c>
      <c r="AC826" s="5">
        <f>IF(tblOrdenes[[#This Row],[cod_actividad]]="","",_xlfn.XLOOKUP(tblOrdenes[[#This Row],[cod_actividad]],tblActividades[codigo],tblActividades[descripcion],"(sin catálogo)"))</f>
        <v/>
      </c>
      <c r="AD826" s="23">
        <f>IF(tblOrdenes[[#This Row],[fecha_inicio]]="","",TODAY()-tblOrdenes[[#This Row],[fecha_inicio]])</f>
        <v/>
      </c>
      <c r="AE8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5">
        <f>IF(tblOrdenes[[#This Row],[backlog_habiles]]="","",IF(tblOrdenes[[#This Row],[backlog_habiles]]&lt;0,"FUTURO",IF(tblOrdenes[[#This Row],[backlog_habiles]]&gt;p_dias_backlog_max,"BACKLOG","MES CORRIENTE")))</f>
        <v/>
      </c>
      <c r="AG826" s="5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18">
        <f>IF(tblOrdenes[[#This Row],[orden]]="","",_xlfn.XLOOKUP(tblOrdenes[[#This Row],[id_operacion]],tblEjecucion[id_operacion],tblEjecucion[precio],0))</f>
        <v/>
      </c>
      <c r="AM826" s="18">
        <f>IF(tblOrdenes[[#This Row],[orden]]="","",MAX(0,_xlfn.XLOOKUP(tblOrdenes[[#This Row],[id_operacion]],tblEjecucion[id_operacion],tblEjecucion[costo_plan_total],0)-tblOrdenes[[#This Row],[costo_servicio]]))</f>
        <v/>
      </c>
      <c r="AN826" s="18">
        <f>IF(tblOrdenes[[#This Row],[orden]]="","",tblOrdenes[[#This Row],[costo_servicio]]+tblOrdenes[[#This Row],[costo_materiales]])</f>
        <v/>
      </c>
      <c r="AO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5">
        <f>IF(tblOrdenes[[#This Row],[link_checklist]]="","",HYPERLINK(p_ruta_base_checklists&amp;tblOrdenes[[#This Row],[link_checklist]],"abrir"))</f>
        <v/>
      </c>
      <c r="AT826" s="4" t="n"/>
      <c r="AU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5" t="n"/>
      <c r="K827" s="5" t="n"/>
      <c r="L827" s="18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Row],[fecha_inicio]]="","",tblOrdenes[[#This Row],[anio]]&amp;"-"&amp;TEXT(tblOrdenes[[#This Row],[mes]],"00"))</f>
        <v/>
      </c>
      <c r="S827" s="5">
        <f>IF(tblOrdenes[[#This Row],[fecha_inicio]]="","",INDEX(lista_dias,WEEKDAY(tblOrdenes[[#This Row],[fecha_inicio]],2)))</f>
        <v/>
      </c>
      <c r="T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5">
        <f>IF(tblOrdenes[[#This Row],[tipo_ot]]="","",_xlfn.XLOOKUP(tblOrdenes[[#This Row],[tipo_ot]],tblTiposOT[codigo],tblTiposOT[clasificacion],"sin_clasificar"))</f>
        <v/>
      </c>
      <c r="V8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5">
        <f>IF(tblOrdenes[[#This Row],[centro_costo]]="","",_xlfn.XLOOKUP(tblOrdenes[[#This Row],[centro_costo]],tblCECO[codigo],tblCECO[linea],"(sin catálogo)"))</f>
        <v/>
      </c>
      <c r="Y827" s="5">
        <f>IF(tblOrdenes[[#This Row],[centro_costo]]="","",_xlfn.XLOOKUP(tblOrdenes[[#This Row],[centro_costo]],tblCECO[codigo],tblCECO[area],"(sin catálogo)"))</f>
        <v/>
      </c>
      <c r="Z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5">
        <f>IF(tblOrdenes[[#This Row],[centro_costo]]="","",_xlfn.XLOOKUP(tblOrdenes[[#This Row],[centro_costo]],tblCECO[codigo],tblCECO[coordinador],"(sin catálogo)"))</f>
        <v/>
      </c>
      <c r="AB827" s="5">
        <f>IF(tblOrdenes[[#This Row],[puesto_trabajo]]="","",_xlfn.XLOOKUP(tblOrdenes[[#This Row],[puesto_trabajo]],tblPuestos[codigo],tblPuestos[especialidad],"(sin catálogo)"))</f>
        <v/>
      </c>
      <c r="AC827" s="5">
        <f>IF(tblOrdenes[[#This Row],[cod_actividad]]="","",_xlfn.XLOOKUP(tblOrdenes[[#This Row],[cod_actividad]],tblActividades[codigo],tblActividades[descripcion],"(sin catálogo)"))</f>
        <v/>
      </c>
      <c r="AD827" s="23">
        <f>IF(tblOrdenes[[#This Row],[fecha_inicio]]="","",TODAY()-tblOrdenes[[#This Row],[fecha_inicio]])</f>
        <v/>
      </c>
      <c r="AE8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5">
        <f>IF(tblOrdenes[[#This Row],[backlog_habiles]]="","",IF(tblOrdenes[[#This Row],[backlog_habiles]]&lt;0,"FUTURO",IF(tblOrdenes[[#This Row],[backlog_habiles]]&gt;p_dias_backlog_max,"BACKLOG","MES CORRIENTE")))</f>
        <v/>
      </c>
      <c r="AG827" s="5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18">
        <f>IF(tblOrdenes[[#This Row],[orden]]="","",_xlfn.XLOOKUP(tblOrdenes[[#This Row],[id_operacion]],tblEjecucion[id_operacion],tblEjecucion[precio],0))</f>
        <v/>
      </c>
      <c r="AM827" s="18">
        <f>IF(tblOrdenes[[#This Row],[orden]]="","",MAX(0,_xlfn.XLOOKUP(tblOrdenes[[#This Row],[id_operacion]],tblEjecucion[id_operacion],tblEjecucion[costo_plan_total],0)-tblOrdenes[[#This Row],[costo_servicio]]))</f>
        <v/>
      </c>
      <c r="AN827" s="18">
        <f>IF(tblOrdenes[[#This Row],[orden]]="","",tblOrdenes[[#This Row],[costo_servicio]]+tblOrdenes[[#This Row],[costo_materiales]])</f>
        <v/>
      </c>
      <c r="AO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5">
        <f>IF(tblOrdenes[[#This Row],[link_checklist]]="","",HYPERLINK(p_ruta_base_checklists&amp;tblOrdenes[[#This Row],[link_checklist]],"abrir"))</f>
        <v/>
      </c>
      <c r="AT827" s="4" t="n"/>
      <c r="AU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5" t="n"/>
      <c r="K828" s="5" t="n"/>
      <c r="L828" s="18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Row],[fecha_inicio]]="","",tblOrdenes[[#This Row],[anio]]&amp;"-"&amp;TEXT(tblOrdenes[[#This Row],[mes]],"00"))</f>
        <v/>
      </c>
      <c r="S828" s="5">
        <f>IF(tblOrdenes[[#This Row],[fecha_inicio]]="","",INDEX(lista_dias,WEEKDAY(tblOrdenes[[#This Row],[fecha_inicio]],2)))</f>
        <v/>
      </c>
      <c r="T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5">
        <f>IF(tblOrdenes[[#This Row],[tipo_ot]]="","",_xlfn.XLOOKUP(tblOrdenes[[#This Row],[tipo_ot]],tblTiposOT[codigo],tblTiposOT[clasificacion],"sin_clasificar"))</f>
        <v/>
      </c>
      <c r="V8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5">
        <f>IF(tblOrdenes[[#This Row],[centro_costo]]="","",_xlfn.XLOOKUP(tblOrdenes[[#This Row],[centro_costo]],tblCECO[codigo],tblCECO[linea],"(sin catálogo)"))</f>
        <v/>
      </c>
      <c r="Y828" s="5">
        <f>IF(tblOrdenes[[#This Row],[centro_costo]]="","",_xlfn.XLOOKUP(tblOrdenes[[#This Row],[centro_costo]],tblCECO[codigo],tblCECO[area],"(sin catálogo)"))</f>
        <v/>
      </c>
      <c r="Z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5">
        <f>IF(tblOrdenes[[#This Row],[centro_costo]]="","",_xlfn.XLOOKUP(tblOrdenes[[#This Row],[centro_costo]],tblCECO[codigo],tblCECO[coordinador],"(sin catálogo)"))</f>
        <v/>
      </c>
      <c r="AB828" s="5">
        <f>IF(tblOrdenes[[#This Row],[puesto_trabajo]]="","",_xlfn.XLOOKUP(tblOrdenes[[#This Row],[puesto_trabajo]],tblPuestos[codigo],tblPuestos[especialidad],"(sin catálogo)"))</f>
        <v/>
      </c>
      <c r="AC828" s="5">
        <f>IF(tblOrdenes[[#This Row],[cod_actividad]]="","",_xlfn.XLOOKUP(tblOrdenes[[#This Row],[cod_actividad]],tblActividades[codigo],tblActividades[descripcion],"(sin catálogo)"))</f>
        <v/>
      </c>
      <c r="AD828" s="23">
        <f>IF(tblOrdenes[[#This Row],[fecha_inicio]]="","",TODAY()-tblOrdenes[[#This Row],[fecha_inicio]])</f>
        <v/>
      </c>
      <c r="AE8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5">
        <f>IF(tblOrdenes[[#This Row],[backlog_habiles]]="","",IF(tblOrdenes[[#This Row],[backlog_habiles]]&lt;0,"FUTURO",IF(tblOrdenes[[#This Row],[backlog_habiles]]&gt;p_dias_backlog_max,"BACKLOG","MES CORRIENTE")))</f>
        <v/>
      </c>
      <c r="AG828" s="5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18">
        <f>IF(tblOrdenes[[#This Row],[orden]]="","",_xlfn.XLOOKUP(tblOrdenes[[#This Row],[id_operacion]],tblEjecucion[id_operacion],tblEjecucion[precio],0))</f>
        <v/>
      </c>
      <c r="AM828" s="18">
        <f>IF(tblOrdenes[[#This Row],[orden]]="","",MAX(0,_xlfn.XLOOKUP(tblOrdenes[[#This Row],[id_operacion]],tblEjecucion[id_operacion],tblEjecucion[costo_plan_total],0)-tblOrdenes[[#This Row],[costo_servicio]]))</f>
        <v/>
      </c>
      <c r="AN828" s="18">
        <f>IF(tblOrdenes[[#This Row],[orden]]="","",tblOrdenes[[#This Row],[costo_servicio]]+tblOrdenes[[#This Row],[costo_materiales]])</f>
        <v/>
      </c>
      <c r="AO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5">
        <f>IF(tblOrdenes[[#This Row],[link_checklist]]="","",HYPERLINK(p_ruta_base_checklists&amp;tblOrdenes[[#This Row],[link_checklist]],"abrir"))</f>
        <v/>
      </c>
      <c r="AT828" s="4" t="n"/>
      <c r="AU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5" t="n"/>
      <c r="K829" s="5" t="n"/>
      <c r="L829" s="18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Row],[fecha_inicio]]="","",tblOrdenes[[#This Row],[anio]]&amp;"-"&amp;TEXT(tblOrdenes[[#This Row],[mes]],"00"))</f>
        <v/>
      </c>
      <c r="S829" s="5">
        <f>IF(tblOrdenes[[#This Row],[fecha_inicio]]="","",INDEX(lista_dias,WEEKDAY(tblOrdenes[[#This Row],[fecha_inicio]],2)))</f>
        <v/>
      </c>
      <c r="T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5">
        <f>IF(tblOrdenes[[#This Row],[tipo_ot]]="","",_xlfn.XLOOKUP(tblOrdenes[[#This Row],[tipo_ot]],tblTiposOT[codigo],tblTiposOT[clasificacion],"sin_clasificar"))</f>
        <v/>
      </c>
      <c r="V8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5">
        <f>IF(tblOrdenes[[#This Row],[centro_costo]]="","",_xlfn.XLOOKUP(tblOrdenes[[#This Row],[centro_costo]],tblCECO[codigo],tblCECO[linea],"(sin catálogo)"))</f>
        <v/>
      </c>
      <c r="Y829" s="5">
        <f>IF(tblOrdenes[[#This Row],[centro_costo]]="","",_xlfn.XLOOKUP(tblOrdenes[[#This Row],[centro_costo]],tblCECO[codigo],tblCECO[area],"(sin catálogo)"))</f>
        <v/>
      </c>
      <c r="Z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5">
        <f>IF(tblOrdenes[[#This Row],[centro_costo]]="","",_xlfn.XLOOKUP(tblOrdenes[[#This Row],[centro_costo]],tblCECO[codigo],tblCECO[coordinador],"(sin catálogo)"))</f>
        <v/>
      </c>
      <c r="AB829" s="5">
        <f>IF(tblOrdenes[[#This Row],[puesto_trabajo]]="","",_xlfn.XLOOKUP(tblOrdenes[[#This Row],[puesto_trabajo]],tblPuestos[codigo],tblPuestos[especialidad],"(sin catálogo)"))</f>
        <v/>
      </c>
      <c r="AC829" s="5">
        <f>IF(tblOrdenes[[#This Row],[cod_actividad]]="","",_xlfn.XLOOKUP(tblOrdenes[[#This Row],[cod_actividad]],tblActividades[codigo],tblActividades[descripcion],"(sin catálogo)"))</f>
        <v/>
      </c>
      <c r="AD829" s="23">
        <f>IF(tblOrdenes[[#This Row],[fecha_inicio]]="","",TODAY()-tblOrdenes[[#This Row],[fecha_inicio]])</f>
        <v/>
      </c>
      <c r="AE8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5">
        <f>IF(tblOrdenes[[#This Row],[backlog_habiles]]="","",IF(tblOrdenes[[#This Row],[backlog_habiles]]&lt;0,"FUTURO",IF(tblOrdenes[[#This Row],[backlog_habiles]]&gt;p_dias_backlog_max,"BACKLOG","MES CORRIENTE")))</f>
        <v/>
      </c>
      <c r="AG829" s="5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18">
        <f>IF(tblOrdenes[[#This Row],[orden]]="","",_xlfn.XLOOKUP(tblOrdenes[[#This Row],[id_operacion]],tblEjecucion[id_operacion],tblEjecucion[precio],0))</f>
        <v/>
      </c>
      <c r="AM829" s="18">
        <f>IF(tblOrdenes[[#This Row],[orden]]="","",MAX(0,_xlfn.XLOOKUP(tblOrdenes[[#This Row],[id_operacion]],tblEjecucion[id_operacion],tblEjecucion[costo_plan_total],0)-tblOrdenes[[#This Row],[costo_servicio]]))</f>
        <v/>
      </c>
      <c r="AN829" s="18">
        <f>IF(tblOrdenes[[#This Row],[orden]]="","",tblOrdenes[[#This Row],[costo_servicio]]+tblOrdenes[[#This Row],[costo_materiales]])</f>
        <v/>
      </c>
      <c r="AO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5">
        <f>IF(tblOrdenes[[#This Row],[link_checklist]]="","",HYPERLINK(p_ruta_base_checklists&amp;tblOrdenes[[#This Row],[link_checklist]],"abrir"))</f>
        <v/>
      </c>
      <c r="AT829" s="4" t="n"/>
      <c r="AU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5" t="n"/>
      <c r="K830" s="5" t="n"/>
      <c r="L830" s="18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Row],[fecha_inicio]]="","",tblOrdenes[[#This Row],[anio]]&amp;"-"&amp;TEXT(tblOrdenes[[#This Row],[mes]],"00"))</f>
        <v/>
      </c>
      <c r="S830" s="5">
        <f>IF(tblOrdenes[[#This Row],[fecha_inicio]]="","",INDEX(lista_dias,WEEKDAY(tblOrdenes[[#This Row],[fecha_inicio]],2)))</f>
        <v/>
      </c>
      <c r="T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5">
        <f>IF(tblOrdenes[[#This Row],[tipo_ot]]="","",_xlfn.XLOOKUP(tblOrdenes[[#This Row],[tipo_ot]],tblTiposOT[codigo],tblTiposOT[clasificacion],"sin_clasificar"))</f>
        <v/>
      </c>
      <c r="V8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5">
        <f>IF(tblOrdenes[[#This Row],[centro_costo]]="","",_xlfn.XLOOKUP(tblOrdenes[[#This Row],[centro_costo]],tblCECO[codigo],tblCECO[linea],"(sin catálogo)"))</f>
        <v/>
      </c>
      <c r="Y830" s="5">
        <f>IF(tblOrdenes[[#This Row],[centro_costo]]="","",_xlfn.XLOOKUP(tblOrdenes[[#This Row],[centro_costo]],tblCECO[codigo],tblCECO[area],"(sin catálogo)"))</f>
        <v/>
      </c>
      <c r="Z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5">
        <f>IF(tblOrdenes[[#This Row],[centro_costo]]="","",_xlfn.XLOOKUP(tblOrdenes[[#This Row],[centro_costo]],tblCECO[codigo],tblCECO[coordinador],"(sin catálogo)"))</f>
        <v/>
      </c>
      <c r="AB830" s="5">
        <f>IF(tblOrdenes[[#This Row],[puesto_trabajo]]="","",_xlfn.XLOOKUP(tblOrdenes[[#This Row],[puesto_trabajo]],tblPuestos[codigo],tblPuestos[especialidad],"(sin catálogo)"))</f>
        <v/>
      </c>
      <c r="AC830" s="5">
        <f>IF(tblOrdenes[[#This Row],[cod_actividad]]="","",_xlfn.XLOOKUP(tblOrdenes[[#This Row],[cod_actividad]],tblActividades[codigo],tblActividades[descripcion],"(sin catálogo)"))</f>
        <v/>
      </c>
      <c r="AD830" s="23">
        <f>IF(tblOrdenes[[#This Row],[fecha_inicio]]="","",TODAY()-tblOrdenes[[#This Row],[fecha_inicio]])</f>
        <v/>
      </c>
      <c r="AE8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5">
        <f>IF(tblOrdenes[[#This Row],[backlog_habiles]]="","",IF(tblOrdenes[[#This Row],[backlog_habiles]]&lt;0,"FUTURO",IF(tblOrdenes[[#This Row],[backlog_habiles]]&gt;p_dias_backlog_max,"BACKLOG","MES CORRIENTE")))</f>
        <v/>
      </c>
      <c r="AG830" s="5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18">
        <f>IF(tblOrdenes[[#This Row],[orden]]="","",_xlfn.XLOOKUP(tblOrdenes[[#This Row],[id_operacion]],tblEjecucion[id_operacion],tblEjecucion[precio],0))</f>
        <v/>
      </c>
      <c r="AM830" s="18">
        <f>IF(tblOrdenes[[#This Row],[orden]]="","",MAX(0,_xlfn.XLOOKUP(tblOrdenes[[#This Row],[id_operacion]],tblEjecucion[id_operacion],tblEjecucion[costo_plan_total],0)-tblOrdenes[[#This Row],[costo_servicio]]))</f>
        <v/>
      </c>
      <c r="AN830" s="18">
        <f>IF(tblOrdenes[[#This Row],[orden]]="","",tblOrdenes[[#This Row],[costo_servicio]]+tblOrdenes[[#This Row],[costo_materiales]])</f>
        <v/>
      </c>
      <c r="AO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5">
        <f>IF(tblOrdenes[[#This Row],[link_checklist]]="","",HYPERLINK(p_ruta_base_checklists&amp;tblOrdenes[[#This Row],[link_checklist]],"abrir"))</f>
        <v/>
      </c>
      <c r="AT830" s="4" t="n"/>
      <c r="AU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5" t="n"/>
      <c r="K831" s="5" t="n"/>
      <c r="L831" s="18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Row],[fecha_inicio]]="","",tblOrdenes[[#This Row],[anio]]&amp;"-"&amp;TEXT(tblOrdenes[[#This Row],[mes]],"00"))</f>
        <v/>
      </c>
      <c r="S831" s="5">
        <f>IF(tblOrdenes[[#This Row],[fecha_inicio]]="","",INDEX(lista_dias,WEEKDAY(tblOrdenes[[#This Row],[fecha_inicio]],2)))</f>
        <v/>
      </c>
      <c r="T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5">
        <f>IF(tblOrdenes[[#This Row],[tipo_ot]]="","",_xlfn.XLOOKUP(tblOrdenes[[#This Row],[tipo_ot]],tblTiposOT[codigo],tblTiposOT[clasificacion],"sin_clasificar"))</f>
        <v/>
      </c>
      <c r="V8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5">
        <f>IF(tblOrdenes[[#This Row],[centro_costo]]="","",_xlfn.XLOOKUP(tblOrdenes[[#This Row],[centro_costo]],tblCECO[codigo],tblCECO[linea],"(sin catálogo)"))</f>
        <v/>
      </c>
      <c r="Y831" s="5">
        <f>IF(tblOrdenes[[#This Row],[centro_costo]]="","",_xlfn.XLOOKUP(tblOrdenes[[#This Row],[centro_costo]],tblCECO[codigo],tblCECO[area],"(sin catálogo)"))</f>
        <v/>
      </c>
      <c r="Z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5">
        <f>IF(tblOrdenes[[#This Row],[centro_costo]]="","",_xlfn.XLOOKUP(tblOrdenes[[#This Row],[centro_costo]],tblCECO[codigo],tblCECO[coordinador],"(sin catálogo)"))</f>
        <v/>
      </c>
      <c r="AB831" s="5">
        <f>IF(tblOrdenes[[#This Row],[puesto_trabajo]]="","",_xlfn.XLOOKUP(tblOrdenes[[#This Row],[puesto_trabajo]],tblPuestos[codigo],tblPuestos[especialidad],"(sin catálogo)"))</f>
        <v/>
      </c>
      <c r="AC831" s="5">
        <f>IF(tblOrdenes[[#This Row],[cod_actividad]]="","",_xlfn.XLOOKUP(tblOrdenes[[#This Row],[cod_actividad]],tblActividades[codigo],tblActividades[descripcion],"(sin catálogo)"))</f>
        <v/>
      </c>
      <c r="AD831" s="23">
        <f>IF(tblOrdenes[[#This Row],[fecha_inicio]]="","",TODAY()-tblOrdenes[[#This Row],[fecha_inicio]])</f>
        <v/>
      </c>
      <c r="AE8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5">
        <f>IF(tblOrdenes[[#This Row],[backlog_habiles]]="","",IF(tblOrdenes[[#This Row],[backlog_habiles]]&lt;0,"FUTURO",IF(tblOrdenes[[#This Row],[backlog_habiles]]&gt;p_dias_backlog_max,"BACKLOG","MES CORRIENTE")))</f>
        <v/>
      </c>
      <c r="AG831" s="5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18">
        <f>IF(tblOrdenes[[#This Row],[orden]]="","",_xlfn.XLOOKUP(tblOrdenes[[#This Row],[id_operacion]],tblEjecucion[id_operacion],tblEjecucion[precio],0))</f>
        <v/>
      </c>
      <c r="AM831" s="18">
        <f>IF(tblOrdenes[[#This Row],[orden]]="","",MAX(0,_xlfn.XLOOKUP(tblOrdenes[[#This Row],[id_operacion]],tblEjecucion[id_operacion],tblEjecucion[costo_plan_total],0)-tblOrdenes[[#This Row],[costo_servicio]]))</f>
        <v/>
      </c>
      <c r="AN831" s="18">
        <f>IF(tblOrdenes[[#This Row],[orden]]="","",tblOrdenes[[#This Row],[costo_servicio]]+tblOrdenes[[#This Row],[costo_materiales]])</f>
        <v/>
      </c>
      <c r="AO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5">
        <f>IF(tblOrdenes[[#This Row],[link_checklist]]="","",HYPERLINK(p_ruta_base_checklists&amp;tblOrdenes[[#This Row],[link_checklist]],"abrir"))</f>
        <v/>
      </c>
      <c r="AT831" s="4" t="n"/>
      <c r="AU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5" t="n"/>
      <c r="K832" s="5" t="n"/>
      <c r="L832" s="18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Row],[fecha_inicio]]="","",tblOrdenes[[#This Row],[anio]]&amp;"-"&amp;TEXT(tblOrdenes[[#This Row],[mes]],"00"))</f>
        <v/>
      </c>
      <c r="S832" s="5">
        <f>IF(tblOrdenes[[#This Row],[fecha_inicio]]="","",INDEX(lista_dias,WEEKDAY(tblOrdenes[[#This Row],[fecha_inicio]],2)))</f>
        <v/>
      </c>
      <c r="T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5">
        <f>IF(tblOrdenes[[#This Row],[tipo_ot]]="","",_xlfn.XLOOKUP(tblOrdenes[[#This Row],[tipo_ot]],tblTiposOT[codigo],tblTiposOT[clasificacion],"sin_clasificar"))</f>
        <v/>
      </c>
      <c r="V8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5">
        <f>IF(tblOrdenes[[#This Row],[centro_costo]]="","",_xlfn.XLOOKUP(tblOrdenes[[#This Row],[centro_costo]],tblCECO[codigo],tblCECO[linea],"(sin catálogo)"))</f>
        <v/>
      </c>
      <c r="Y832" s="5">
        <f>IF(tblOrdenes[[#This Row],[centro_costo]]="","",_xlfn.XLOOKUP(tblOrdenes[[#This Row],[centro_costo]],tblCECO[codigo],tblCECO[area],"(sin catálogo)"))</f>
        <v/>
      </c>
      <c r="Z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5">
        <f>IF(tblOrdenes[[#This Row],[centro_costo]]="","",_xlfn.XLOOKUP(tblOrdenes[[#This Row],[centro_costo]],tblCECO[codigo],tblCECO[coordinador],"(sin catálogo)"))</f>
        <v/>
      </c>
      <c r="AB832" s="5">
        <f>IF(tblOrdenes[[#This Row],[puesto_trabajo]]="","",_xlfn.XLOOKUP(tblOrdenes[[#This Row],[puesto_trabajo]],tblPuestos[codigo],tblPuestos[especialidad],"(sin catálogo)"))</f>
        <v/>
      </c>
      <c r="AC832" s="5">
        <f>IF(tblOrdenes[[#This Row],[cod_actividad]]="","",_xlfn.XLOOKUP(tblOrdenes[[#This Row],[cod_actividad]],tblActividades[codigo],tblActividades[descripcion],"(sin catálogo)"))</f>
        <v/>
      </c>
      <c r="AD832" s="23">
        <f>IF(tblOrdenes[[#This Row],[fecha_inicio]]="","",TODAY()-tblOrdenes[[#This Row],[fecha_inicio]])</f>
        <v/>
      </c>
      <c r="AE8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5">
        <f>IF(tblOrdenes[[#This Row],[backlog_habiles]]="","",IF(tblOrdenes[[#This Row],[backlog_habiles]]&lt;0,"FUTURO",IF(tblOrdenes[[#This Row],[backlog_habiles]]&gt;p_dias_backlog_max,"BACKLOG","MES CORRIENTE")))</f>
        <v/>
      </c>
      <c r="AG832" s="5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18">
        <f>IF(tblOrdenes[[#This Row],[orden]]="","",_xlfn.XLOOKUP(tblOrdenes[[#This Row],[id_operacion]],tblEjecucion[id_operacion],tblEjecucion[precio],0))</f>
        <v/>
      </c>
      <c r="AM832" s="18">
        <f>IF(tblOrdenes[[#This Row],[orden]]="","",MAX(0,_xlfn.XLOOKUP(tblOrdenes[[#This Row],[id_operacion]],tblEjecucion[id_operacion],tblEjecucion[costo_plan_total],0)-tblOrdenes[[#This Row],[costo_servicio]]))</f>
        <v/>
      </c>
      <c r="AN832" s="18">
        <f>IF(tblOrdenes[[#This Row],[orden]]="","",tblOrdenes[[#This Row],[costo_servicio]]+tblOrdenes[[#This Row],[costo_materiales]])</f>
        <v/>
      </c>
      <c r="AO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5">
        <f>IF(tblOrdenes[[#This Row],[link_checklist]]="","",HYPERLINK(p_ruta_base_checklists&amp;tblOrdenes[[#This Row],[link_checklist]],"abrir"))</f>
        <v/>
      </c>
      <c r="AT832" s="4" t="n"/>
      <c r="AU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5" t="n"/>
      <c r="K833" s="5" t="n"/>
      <c r="L833" s="18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Row],[fecha_inicio]]="","",tblOrdenes[[#This Row],[anio]]&amp;"-"&amp;TEXT(tblOrdenes[[#This Row],[mes]],"00"))</f>
        <v/>
      </c>
      <c r="S833" s="5">
        <f>IF(tblOrdenes[[#This Row],[fecha_inicio]]="","",INDEX(lista_dias,WEEKDAY(tblOrdenes[[#This Row],[fecha_inicio]],2)))</f>
        <v/>
      </c>
      <c r="T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5">
        <f>IF(tblOrdenes[[#This Row],[tipo_ot]]="","",_xlfn.XLOOKUP(tblOrdenes[[#This Row],[tipo_ot]],tblTiposOT[codigo],tblTiposOT[clasificacion],"sin_clasificar"))</f>
        <v/>
      </c>
      <c r="V8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5">
        <f>IF(tblOrdenes[[#This Row],[centro_costo]]="","",_xlfn.XLOOKUP(tblOrdenes[[#This Row],[centro_costo]],tblCECO[codigo],tblCECO[linea],"(sin catálogo)"))</f>
        <v/>
      </c>
      <c r="Y833" s="5">
        <f>IF(tblOrdenes[[#This Row],[centro_costo]]="","",_xlfn.XLOOKUP(tblOrdenes[[#This Row],[centro_costo]],tblCECO[codigo],tblCECO[area],"(sin catálogo)"))</f>
        <v/>
      </c>
      <c r="Z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5">
        <f>IF(tblOrdenes[[#This Row],[centro_costo]]="","",_xlfn.XLOOKUP(tblOrdenes[[#This Row],[centro_costo]],tblCECO[codigo],tblCECO[coordinador],"(sin catálogo)"))</f>
        <v/>
      </c>
      <c r="AB833" s="5">
        <f>IF(tblOrdenes[[#This Row],[puesto_trabajo]]="","",_xlfn.XLOOKUP(tblOrdenes[[#This Row],[puesto_trabajo]],tblPuestos[codigo],tblPuestos[especialidad],"(sin catálogo)"))</f>
        <v/>
      </c>
      <c r="AC833" s="5">
        <f>IF(tblOrdenes[[#This Row],[cod_actividad]]="","",_xlfn.XLOOKUP(tblOrdenes[[#This Row],[cod_actividad]],tblActividades[codigo],tblActividades[descripcion],"(sin catálogo)"))</f>
        <v/>
      </c>
      <c r="AD833" s="23">
        <f>IF(tblOrdenes[[#This Row],[fecha_inicio]]="","",TODAY()-tblOrdenes[[#This Row],[fecha_inicio]])</f>
        <v/>
      </c>
      <c r="AE8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5">
        <f>IF(tblOrdenes[[#This Row],[backlog_habiles]]="","",IF(tblOrdenes[[#This Row],[backlog_habiles]]&lt;0,"FUTURO",IF(tblOrdenes[[#This Row],[backlog_habiles]]&gt;p_dias_backlog_max,"BACKLOG","MES CORRIENTE")))</f>
        <v/>
      </c>
      <c r="AG833" s="5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18">
        <f>IF(tblOrdenes[[#This Row],[orden]]="","",_xlfn.XLOOKUP(tblOrdenes[[#This Row],[id_operacion]],tblEjecucion[id_operacion],tblEjecucion[precio],0))</f>
        <v/>
      </c>
      <c r="AM833" s="18">
        <f>IF(tblOrdenes[[#This Row],[orden]]="","",MAX(0,_xlfn.XLOOKUP(tblOrdenes[[#This Row],[id_operacion]],tblEjecucion[id_operacion],tblEjecucion[costo_plan_total],0)-tblOrdenes[[#This Row],[costo_servicio]]))</f>
        <v/>
      </c>
      <c r="AN833" s="18">
        <f>IF(tblOrdenes[[#This Row],[orden]]="","",tblOrdenes[[#This Row],[costo_servicio]]+tblOrdenes[[#This Row],[costo_materiales]])</f>
        <v/>
      </c>
      <c r="AO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5">
        <f>IF(tblOrdenes[[#This Row],[link_checklist]]="","",HYPERLINK(p_ruta_base_checklists&amp;tblOrdenes[[#This Row],[link_checklist]],"abrir"))</f>
        <v/>
      </c>
      <c r="AT833" s="4" t="n"/>
      <c r="AU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5" t="n"/>
      <c r="K834" s="5" t="n"/>
      <c r="L834" s="18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Row],[fecha_inicio]]="","",tblOrdenes[[#This Row],[anio]]&amp;"-"&amp;TEXT(tblOrdenes[[#This Row],[mes]],"00"))</f>
        <v/>
      </c>
      <c r="S834" s="5">
        <f>IF(tblOrdenes[[#This Row],[fecha_inicio]]="","",INDEX(lista_dias,WEEKDAY(tblOrdenes[[#This Row],[fecha_inicio]],2)))</f>
        <v/>
      </c>
      <c r="T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5">
        <f>IF(tblOrdenes[[#This Row],[tipo_ot]]="","",_xlfn.XLOOKUP(tblOrdenes[[#This Row],[tipo_ot]],tblTiposOT[codigo],tblTiposOT[clasificacion],"sin_clasificar"))</f>
        <v/>
      </c>
      <c r="V8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5">
        <f>IF(tblOrdenes[[#This Row],[centro_costo]]="","",_xlfn.XLOOKUP(tblOrdenes[[#This Row],[centro_costo]],tblCECO[codigo],tblCECO[linea],"(sin catálogo)"))</f>
        <v/>
      </c>
      <c r="Y834" s="5">
        <f>IF(tblOrdenes[[#This Row],[centro_costo]]="","",_xlfn.XLOOKUP(tblOrdenes[[#This Row],[centro_costo]],tblCECO[codigo],tblCECO[area],"(sin catálogo)"))</f>
        <v/>
      </c>
      <c r="Z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5">
        <f>IF(tblOrdenes[[#This Row],[centro_costo]]="","",_xlfn.XLOOKUP(tblOrdenes[[#This Row],[centro_costo]],tblCECO[codigo],tblCECO[coordinador],"(sin catálogo)"))</f>
        <v/>
      </c>
      <c r="AB834" s="5">
        <f>IF(tblOrdenes[[#This Row],[puesto_trabajo]]="","",_xlfn.XLOOKUP(tblOrdenes[[#This Row],[puesto_trabajo]],tblPuestos[codigo],tblPuestos[especialidad],"(sin catálogo)"))</f>
        <v/>
      </c>
      <c r="AC834" s="5">
        <f>IF(tblOrdenes[[#This Row],[cod_actividad]]="","",_xlfn.XLOOKUP(tblOrdenes[[#This Row],[cod_actividad]],tblActividades[codigo],tblActividades[descripcion],"(sin catálogo)"))</f>
        <v/>
      </c>
      <c r="AD834" s="23">
        <f>IF(tblOrdenes[[#This Row],[fecha_inicio]]="","",TODAY()-tblOrdenes[[#This Row],[fecha_inicio]])</f>
        <v/>
      </c>
      <c r="AE8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5">
        <f>IF(tblOrdenes[[#This Row],[backlog_habiles]]="","",IF(tblOrdenes[[#This Row],[backlog_habiles]]&lt;0,"FUTURO",IF(tblOrdenes[[#This Row],[backlog_habiles]]&gt;p_dias_backlog_max,"BACKLOG","MES CORRIENTE")))</f>
        <v/>
      </c>
      <c r="AG834" s="5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18">
        <f>IF(tblOrdenes[[#This Row],[orden]]="","",_xlfn.XLOOKUP(tblOrdenes[[#This Row],[id_operacion]],tblEjecucion[id_operacion],tblEjecucion[precio],0))</f>
        <v/>
      </c>
      <c r="AM834" s="18">
        <f>IF(tblOrdenes[[#This Row],[orden]]="","",MAX(0,_xlfn.XLOOKUP(tblOrdenes[[#This Row],[id_operacion]],tblEjecucion[id_operacion],tblEjecucion[costo_plan_total],0)-tblOrdenes[[#This Row],[costo_servicio]]))</f>
        <v/>
      </c>
      <c r="AN834" s="18">
        <f>IF(tblOrdenes[[#This Row],[orden]]="","",tblOrdenes[[#This Row],[costo_servicio]]+tblOrdenes[[#This Row],[costo_materiales]])</f>
        <v/>
      </c>
      <c r="AO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5">
        <f>IF(tblOrdenes[[#This Row],[link_checklist]]="","",HYPERLINK(p_ruta_base_checklists&amp;tblOrdenes[[#This Row],[link_checklist]],"abrir"))</f>
        <v/>
      </c>
      <c r="AT834" s="4" t="n"/>
      <c r="AU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5" t="n"/>
      <c r="K835" s="5" t="n"/>
      <c r="L835" s="18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Row],[fecha_inicio]]="","",tblOrdenes[[#This Row],[anio]]&amp;"-"&amp;TEXT(tblOrdenes[[#This Row],[mes]],"00"))</f>
        <v/>
      </c>
      <c r="S835" s="5">
        <f>IF(tblOrdenes[[#This Row],[fecha_inicio]]="","",INDEX(lista_dias,WEEKDAY(tblOrdenes[[#This Row],[fecha_inicio]],2)))</f>
        <v/>
      </c>
      <c r="T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5">
        <f>IF(tblOrdenes[[#This Row],[tipo_ot]]="","",_xlfn.XLOOKUP(tblOrdenes[[#This Row],[tipo_ot]],tblTiposOT[codigo],tblTiposOT[clasificacion],"sin_clasificar"))</f>
        <v/>
      </c>
      <c r="V8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5">
        <f>IF(tblOrdenes[[#This Row],[centro_costo]]="","",_xlfn.XLOOKUP(tblOrdenes[[#This Row],[centro_costo]],tblCECO[codigo],tblCECO[linea],"(sin catálogo)"))</f>
        <v/>
      </c>
      <c r="Y835" s="5">
        <f>IF(tblOrdenes[[#This Row],[centro_costo]]="","",_xlfn.XLOOKUP(tblOrdenes[[#This Row],[centro_costo]],tblCECO[codigo],tblCECO[area],"(sin catálogo)"))</f>
        <v/>
      </c>
      <c r="Z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5">
        <f>IF(tblOrdenes[[#This Row],[centro_costo]]="","",_xlfn.XLOOKUP(tblOrdenes[[#This Row],[centro_costo]],tblCECO[codigo],tblCECO[coordinador],"(sin catálogo)"))</f>
        <v/>
      </c>
      <c r="AB835" s="5">
        <f>IF(tblOrdenes[[#This Row],[puesto_trabajo]]="","",_xlfn.XLOOKUP(tblOrdenes[[#This Row],[puesto_trabajo]],tblPuestos[codigo],tblPuestos[especialidad],"(sin catálogo)"))</f>
        <v/>
      </c>
      <c r="AC835" s="5">
        <f>IF(tblOrdenes[[#This Row],[cod_actividad]]="","",_xlfn.XLOOKUP(tblOrdenes[[#This Row],[cod_actividad]],tblActividades[codigo],tblActividades[descripcion],"(sin catálogo)"))</f>
        <v/>
      </c>
      <c r="AD835" s="23">
        <f>IF(tblOrdenes[[#This Row],[fecha_inicio]]="","",TODAY()-tblOrdenes[[#This Row],[fecha_inicio]])</f>
        <v/>
      </c>
      <c r="AE8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5">
        <f>IF(tblOrdenes[[#This Row],[backlog_habiles]]="","",IF(tblOrdenes[[#This Row],[backlog_habiles]]&lt;0,"FUTURO",IF(tblOrdenes[[#This Row],[backlog_habiles]]&gt;p_dias_backlog_max,"BACKLOG","MES CORRIENTE")))</f>
        <v/>
      </c>
      <c r="AG835" s="5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18">
        <f>IF(tblOrdenes[[#This Row],[orden]]="","",_xlfn.XLOOKUP(tblOrdenes[[#This Row],[id_operacion]],tblEjecucion[id_operacion],tblEjecucion[precio],0))</f>
        <v/>
      </c>
      <c r="AM835" s="18">
        <f>IF(tblOrdenes[[#This Row],[orden]]="","",MAX(0,_xlfn.XLOOKUP(tblOrdenes[[#This Row],[id_operacion]],tblEjecucion[id_operacion],tblEjecucion[costo_plan_total],0)-tblOrdenes[[#This Row],[costo_servicio]]))</f>
        <v/>
      </c>
      <c r="AN835" s="18">
        <f>IF(tblOrdenes[[#This Row],[orden]]="","",tblOrdenes[[#This Row],[costo_servicio]]+tblOrdenes[[#This Row],[costo_materiales]])</f>
        <v/>
      </c>
      <c r="AO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5">
        <f>IF(tblOrdenes[[#This Row],[link_checklist]]="","",HYPERLINK(p_ruta_base_checklists&amp;tblOrdenes[[#This Row],[link_checklist]],"abrir"))</f>
        <v/>
      </c>
      <c r="AT835" s="4" t="n"/>
      <c r="AU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5" t="n"/>
      <c r="K836" s="5" t="n"/>
      <c r="L836" s="18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Row],[fecha_inicio]]="","",tblOrdenes[[#This Row],[anio]]&amp;"-"&amp;TEXT(tblOrdenes[[#This Row],[mes]],"00"))</f>
        <v/>
      </c>
      <c r="S836" s="5">
        <f>IF(tblOrdenes[[#This Row],[fecha_inicio]]="","",INDEX(lista_dias,WEEKDAY(tblOrdenes[[#This Row],[fecha_inicio]],2)))</f>
        <v/>
      </c>
      <c r="T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5">
        <f>IF(tblOrdenes[[#This Row],[tipo_ot]]="","",_xlfn.XLOOKUP(tblOrdenes[[#This Row],[tipo_ot]],tblTiposOT[codigo],tblTiposOT[clasificacion],"sin_clasificar"))</f>
        <v/>
      </c>
      <c r="V8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5">
        <f>IF(tblOrdenes[[#This Row],[centro_costo]]="","",_xlfn.XLOOKUP(tblOrdenes[[#This Row],[centro_costo]],tblCECO[codigo],tblCECO[linea],"(sin catálogo)"))</f>
        <v/>
      </c>
      <c r="Y836" s="5">
        <f>IF(tblOrdenes[[#This Row],[centro_costo]]="","",_xlfn.XLOOKUP(tblOrdenes[[#This Row],[centro_costo]],tblCECO[codigo],tblCECO[area],"(sin catálogo)"))</f>
        <v/>
      </c>
      <c r="Z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5">
        <f>IF(tblOrdenes[[#This Row],[centro_costo]]="","",_xlfn.XLOOKUP(tblOrdenes[[#This Row],[centro_costo]],tblCECO[codigo],tblCECO[coordinador],"(sin catálogo)"))</f>
        <v/>
      </c>
      <c r="AB836" s="5">
        <f>IF(tblOrdenes[[#This Row],[puesto_trabajo]]="","",_xlfn.XLOOKUP(tblOrdenes[[#This Row],[puesto_trabajo]],tblPuestos[codigo],tblPuestos[especialidad],"(sin catálogo)"))</f>
        <v/>
      </c>
      <c r="AC836" s="5">
        <f>IF(tblOrdenes[[#This Row],[cod_actividad]]="","",_xlfn.XLOOKUP(tblOrdenes[[#This Row],[cod_actividad]],tblActividades[codigo],tblActividades[descripcion],"(sin catálogo)"))</f>
        <v/>
      </c>
      <c r="AD836" s="23">
        <f>IF(tblOrdenes[[#This Row],[fecha_inicio]]="","",TODAY()-tblOrdenes[[#This Row],[fecha_inicio]])</f>
        <v/>
      </c>
      <c r="AE8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5">
        <f>IF(tblOrdenes[[#This Row],[backlog_habiles]]="","",IF(tblOrdenes[[#This Row],[backlog_habiles]]&lt;0,"FUTURO",IF(tblOrdenes[[#This Row],[backlog_habiles]]&gt;p_dias_backlog_max,"BACKLOG","MES CORRIENTE")))</f>
        <v/>
      </c>
      <c r="AG836" s="5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18">
        <f>IF(tblOrdenes[[#This Row],[orden]]="","",_xlfn.XLOOKUP(tblOrdenes[[#This Row],[id_operacion]],tblEjecucion[id_operacion],tblEjecucion[precio],0))</f>
        <v/>
      </c>
      <c r="AM836" s="18">
        <f>IF(tblOrdenes[[#This Row],[orden]]="","",MAX(0,_xlfn.XLOOKUP(tblOrdenes[[#This Row],[id_operacion]],tblEjecucion[id_operacion],tblEjecucion[costo_plan_total],0)-tblOrdenes[[#This Row],[costo_servicio]]))</f>
        <v/>
      </c>
      <c r="AN836" s="18">
        <f>IF(tblOrdenes[[#This Row],[orden]]="","",tblOrdenes[[#This Row],[costo_servicio]]+tblOrdenes[[#This Row],[costo_materiales]])</f>
        <v/>
      </c>
      <c r="AO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5">
        <f>IF(tblOrdenes[[#This Row],[link_checklist]]="","",HYPERLINK(p_ruta_base_checklists&amp;tblOrdenes[[#This Row],[link_checklist]],"abrir"))</f>
        <v/>
      </c>
      <c r="AT836" s="4" t="n"/>
      <c r="AU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5" t="n"/>
      <c r="K837" s="5" t="n"/>
      <c r="L837" s="18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Row],[fecha_inicio]]="","",tblOrdenes[[#This Row],[anio]]&amp;"-"&amp;TEXT(tblOrdenes[[#This Row],[mes]],"00"))</f>
        <v/>
      </c>
      <c r="S837" s="5">
        <f>IF(tblOrdenes[[#This Row],[fecha_inicio]]="","",INDEX(lista_dias,WEEKDAY(tblOrdenes[[#This Row],[fecha_inicio]],2)))</f>
        <v/>
      </c>
      <c r="T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5">
        <f>IF(tblOrdenes[[#This Row],[tipo_ot]]="","",_xlfn.XLOOKUP(tblOrdenes[[#This Row],[tipo_ot]],tblTiposOT[codigo],tblTiposOT[clasificacion],"sin_clasificar"))</f>
        <v/>
      </c>
      <c r="V8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5">
        <f>IF(tblOrdenes[[#This Row],[centro_costo]]="","",_xlfn.XLOOKUP(tblOrdenes[[#This Row],[centro_costo]],tblCECO[codigo],tblCECO[linea],"(sin catálogo)"))</f>
        <v/>
      </c>
      <c r="Y837" s="5">
        <f>IF(tblOrdenes[[#This Row],[centro_costo]]="","",_xlfn.XLOOKUP(tblOrdenes[[#This Row],[centro_costo]],tblCECO[codigo],tblCECO[area],"(sin catálogo)"))</f>
        <v/>
      </c>
      <c r="Z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5">
        <f>IF(tblOrdenes[[#This Row],[centro_costo]]="","",_xlfn.XLOOKUP(tblOrdenes[[#This Row],[centro_costo]],tblCECO[codigo],tblCECO[coordinador],"(sin catálogo)"))</f>
        <v/>
      </c>
      <c r="AB837" s="5">
        <f>IF(tblOrdenes[[#This Row],[puesto_trabajo]]="","",_xlfn.XLOOKUP(tblOrdenes[[#This Row],[puesto_trabajo]],tblPuestos[codigo],tblPuestos[especialidad],"(sin catálogo)"))</f>
        <v/>
      </c>
      <c r="AC837" s="5">
        <f>IF(tblOrdenes[[#This Row],[cod_actividad]]="","",_xlfn.XLOOKUP(tblOrdenes[[#This Row],[cod_actividad]],tblActividades[codigo],tblActividades[descripcion],"(sin catálogo)"))</f>
        <v/>
      </c>
      <c r="AD837" s="23">
        <f>IF(tblOrdenes[[#This Row],[fecha_inicio]]="","",TODAY()-tblOrdenes[[#This Row],[fecha_inicio]])</f>
        <v/>
      </c>
      <c r="AE8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5">
        <f>IF(tblOrdenes[[#This Row],[backlog_habiles]]="","",IF(tblOrdenes[[#This Row],[backlog_habiles]]&lt;0,"FUTURO",IF(tblOrdenes[[#This Row],[backlog_habiles]]&gt;p_dias_backlog_max,"BACKLOG","MES CORRIENTE")))</f>
        <v/>
      </c>
      <c r="AG837" s="5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18">
        <f>IF(tblOrdenes[[#This Row],[orden]]="","",_xlfn.XLOOKUP(tblOrdenes[[#This Row],[id_operacion]],tblEjecucion[id_operacion],tblEjecucion[precio],0))</f>
        <v/>
      </c>
      <c r="AM837" s="18">
        <f>IF(tblOrdenes[[#This Row],[orden]]="","",MAX(0,_xlfn.XLOOKUP(tblOrdenes[[#This Row],[id_operacion]],tblEjecucion[id_operacion],tblEjecucion[costo_plan_total],0)-tblOrdenes[[#This Row],[costo_servicio]]))</f>
        <v/>
      </c>
      <c r="AN837" s="18">
        <f>IF(tblOrdenes[[#This Row],[orden]]="","",tblOrdenes[[#This Row],[costo_servicio]]+tblOrdenes[[#This Row],[costo_materiales]])</f>
        <v/>
      </c>
      <c r="AO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5">
        <f>IF(tblOrdenes[[#This Row],[link_checklist]]="","",HYPERLINK(p_ruta_base_checklists&amp;tblOrdenes[[#This Row],[link_checklist]],"abrir"))</f>
        <v/>
      </c>
      <c r="AT837" s="4" t="n"/>
      <c r="AU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5" t="n"/>
      <c r="K838" s="5" t="n"/>
      <c r="L838" s="18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Row],[fecha_inicio]]="","",tblOrdenes[[#This Row],[anio]]&amp;"-"&amp;TEXT(tblOrdenes[[#This Row],[mes]],"00"))</f>
        <v/>
      </c>
      <c r="S838" s="5">
        <f>IF(tblOrdenes[[#This Row],[fecha_inicio]]="","",INDEX(lista_dias,WEEKDAY(tblOrdenes[[#This Row],[fecha_inicio]],2)))</f>
        <v/>
      </c>
      <c r="T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5">
        <f>IF(tblOrdenes[[#This Row],[tipo_ot]]="","",_xlfn.XLOOKUP(tblOrdenes[[#This Row],[tipo_ot]],tblTiposOT[codigo],tblTiposOT[clasificacion],"sin_clasificar"))</f>
        <v/>
      </c>
      <c r="V8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5">
        <f>IF(tblOrdenes[[#This Row],[centro_costo]]="","",_xlfn.XLOOKUP(tblOrdenes[[#This Row],[centro_costo]],tblCECO[codigo],tblCECO[linea],"(sin catálogo)"))</f>
        <v/>
      </c>
      <c r="Y838" s="5">
        <f>IF(tblOrdenes[[#This Row],[centro_costo]]="","",_xlfn.XLOOKUP(tblOrdenes[[#This Row],[centro_costo]],tblCECO[codigo],tblCECO[area],"(sin catálogo)"))</f>
        <v/>
      </c>
      <c r="Z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5">
        <f>IF(tblOrdenes[[#This Row],[centro_costo]]="","",_xlfn.XLOOKUP(tblOrdenes[[#This Row],[centro_costo]],tblCECO[codigo],tblCECO[coordinador],"(sin catálogo)"))</f>
        <v/>
      </c>
      <c r="AB838" s="5">
        <f>IF(tblOrdenes[[#This Row],[puesto_trabajo]]="","",_xlfn.XLOOKUP(tblOrdenes[[#This Row],[puesto_trabajo]],tblPuestos[codigo],tblPuestos[especialidad],"(sin catálogo)"))</f>
        <v/>
      </c>
      <c r="AC838" s="5">
        <f>IF(tblOrdenes[[#This Row],[cod_actividad]]="","",_xlfn.XLOOKUP(tblOrdenes[[#This Row],[cod_actividad]],tblActividades[codigo],tblActividades[descripcion],"(sin catálogo)"))</f>
        <v/>
      </c>
      <c r="AD838" s="23">
        <f>IF(tblOrdenes[[#This Row],[fecha_inicio]]="","",TODAY()-tblOrdenes[[#This Row],[fecha_inicio]])</f>
        <v/>
      </c>
      <c r="AE8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5">
        <f>IF(tblOrdenes[[#This Row],[backlog_habiles]]="","",IF(tblOrdenes[[#This Row],[backlog_habiles]]&lt;0,"FUTURO",IF(tblOrdenes[[#This Row],[backlog_habiles]]&gt;p_dias_backlog_max,"BACKLOG","MES CORRIENTE")))</f>
        <v/>
      </c>
      <c r="AG838" s="5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18">
        <f>IF(tblOrdenes[[#This Row],[orden]]="","",_xlfn.XLOOKUP(tblOrdenes[[#This Row],[id_operacion]],tblEjecucion[id_operacion],tblEjecucion[precio],0))</f>
        <v/>
      </c>
      <c r="AM838" s="18">
        <f>IF(tblOrdenes[[#This Row],[orden]]="","",MAX(0,_xlfn.XLOOKUP(tblOrdenes[[#This Row],[id_operacion]],tblEjecucion[id_operacion],tblEjecucion[costo_plan_total],0)-tblOrdenes[[#This Row],[costo_servicio]]))</f>
        <v/>
      </c>
      <c r="AN838" s="18">
        <f>IF(tblOrdenes[[#This Row],[orden]]="","",tblOrdenes[[#This Row],[costo_servicio]]+tblOrdenes[[#This Row],[costo_materiales]])</f>
        <v/>
      </c>
      <c r="AO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5">
        <f>IF(tblOrdenes[[#This Row],[link_checklist]]="","",HYPERLINK(p_ruta_base_checklists&amp;tblOrdenes[[#This Row],[link_checklist]],"abrir"))</f>
        <v/>
      </c>
      <c r="AT838" s="4" t="n"/>
      <c r="AU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5" t="n"/>
      <c r="K839" s="5" t="n"/>
      <c r="L839" s="18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Row],[fecha_inicio]]="","",tblOrdenes[[#This Row],[anio]]&amp;"-"&amp;TEXT(tblOrdenes[[#This Row],[mes]],"00"))</f>
        <v/>
      </c>
      <c r="S839" s="5">
        <f>IF(tblOrdenes[[#This Row],[fecha_inicio]]="","",INDEX(lista_dias,WEEKDAY(tblOrdenes[[#This Row],[fecha_inicio]],2)))</f>
        <v/>
      </c>
      <c r="T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5">
        <f>IF(tblOrdenes[[#This Row],[tipo_ot]]="","",_xlfn.XLOOKUP(tblOrdenes[[#This Row],[tipo_ot]],tblTiposOT[codigo],tblTiposOT[clasificacion],"sin_clasificar"))</f>
        <v/>
      </c>
      <c r="V8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5">
        <f>IF(tblOrdenes[[#This Row],[centro_costo]]="","",_xlfn.XLOOKUP(tblOrdenes[[#This Row],[centro_costo]],tblCECO[codigo],tblCECO[linea],"(sin catálogo)"))</f>
        <v/>
      </c>
      <c r="Y839" s="5">
        <f>IF(tblOrdenes[[#This Row],[centro_costo]]="","",_xlfn.XLOOKUP(tblOrdenes[[#This Row],[centro_costo]],tblCECO[codigo],tblCECO[area],"(sin catálogo)"))</f>
        <v/>
      </c>
      <c r="Z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5">
        <f>IF(tblOrdenes[[#This Row],[centro_costo]]="","",_xlfn.XLOOKUP(tblOrdenes[[#This Row],[centro_costo]],tblCECO[codigo],tblCECO[coordinador],"(sin catálogo)"))</f>
        <v/>
      </c>
      <c r="AB839" s="5">
        <f>IF(tblOrdenes[[#This Row],[puesto_trabajo]]="","",_xlfn.XLOOKUP(tblOrdenes[[#This Row],[puesto_trabajo]],tblPuestos[codigo],tblPuestos[especialidad],"(sin catálogo)"))</f>
        <v/>
      </c>
      <c r="AC839" s="5">
        <f>IF(tblOrdenes[[#This Row],[cod_actividad]]="","",_xlfn.XLOOKUP(tblOrdenes[[#This Row],[cod_actividad]],tblActividades[codigo],tblActividades[descripcion],"(sin catálogo)"))</f>
        <v/>
      </c>
      <c r="AD839" s="23">
        <f>IF(tblOrdenes[[#This Row],[fecha_inicio]]="","",TODAY()-tblOrdenes[[#This Row],[fecha_inicio]])</f>
        <v/>
      </c>
      <c r="AE8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5">
        <f>IF(tblOrdenes[[#This Row],[backlog_habiles]]="","",IF(tblOrdenes[[#This Row],[backlog_habiles]]&lt;0,"FUTURO",IF(tblOrdenes[[#This Row],[backlog_habiles]]&gt;p_dias_backlog_max,"BACKLOG","MES CORRIENTE")))</f>
        <v/>
      </c>
      <c r="AG839" s="5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18">
        <f>IF(tblOrdenes[[#This Row],[orden]]="","",_xlfn.XLOOKUP(tblOrdenes[[#This Row],[id_operacion]],tblEjecucion[id_operacion],tblEjecucion[precio],0))</f>
        <v/>
      </c>
      <c r="AM839" s="18">
        <f>IF(tblOrdenes[[#This Row],[orden]]="","",MAX(0,_xlfn.XLOOKUP(tblOrdenes[[#This Row],[id_operacion]],tblEjecucion[id_operacion],tblEjecucion[costo_plan_total],0)-tblOrdenes[[#This Row],[costo_servicio]]))</f>
        <v/>
      </c>
      <c r="AN839" s="18">
        <f>IF(tblOrdenes[[#This Row],[orden]]="","",tblOrdenes[[#This Row],[costo_servicio]]+tblOrdenes[[#This Row],[costo_materiales]])</f>
        <v/>
      </c>
      <c r="AO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5">
        <f>IF(tblOrdenes[[#This Row],[link_checklist]]="","",HYPERLINK(p_ruta_base_checklists&amp;tblOrdenes[[#This Row],[link_checklist]],"abrir"))</f>
        <v/>
      </c>
      <c r="AT839" s="4" t="n"/>
      <c r="AU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5" t="n"/>
      <c r="K840" s="5" t="n"/>
      <c r="L840" s="18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Row],[fecha_inicio]]="","",tblOrdenes[[#This Row],[anio]]&amp;"-"&amp;TEXT(tblOrdenes[[#This Row],[mes]],"00"))</f>
        <v/>
      </c>
      <c r="S840" s="5">
        <f>IF(tblOrdenes[[#This Row],[fecha_inicio]]="","",INDEX(lista_dias,WEEKDAY(tblOrdenes[[#This Row],[fecha_inicio]],2)))</f>
        <v/>
      </c>
      <c r="T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5">
        <f>IF(tblOrdenes[[#This Row],[tipo_ot]]="","",_xlfn.XLOOKUP(tblOrdenes[[#This Row],[tipo_ot]],tblTiposOT[codigo],tblTiposOT[clasificacion],"sin_clasificar"))</f>
        <v/>
      </c>
      <c r="V8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5">
        <f>IF(tblOrdenes[[#This Row],[centro_costo]]="","",_xlfn.XLOOKUP(tblOrdenes[[#This Row],[centro_costo]],tblCECO[codigo],tblCECO[linea],"(sin catálogo)"))</f>
        <v/>
      </c>
      <c r="Y840" s="5">
        <f>IF(tblOrdenes[[#This Row],[centro_costo]]="","",_xlfn.XLOOKUP(tblOrdenes[[#This Row],[centro_costo]],tblCECO[codigo],tblCECO[area],"(sin catálogo)"))</f>
        <v/>
      </c>
      <c r="Z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5">
        <f>IF(tblOrdenes[[#This Row],[centro_costo]]="","",_xlfn.XLOOKUP(tblOrdenes[[#This Row],[centro_costo]],tblCECO[codigo],tblCECO[coordinador],"(sin catálogo)"))</f>
        <v/>
      </c>
      <c r="AB840" s="5">
        <f>IF(tblOrdenes[[#This Row],[puesto_trabajo]]="","",_xlfn.XLOOKUP(tblOrdenes[[#This Row],[puesto_trabajo]],tblPuestos[codigo],tblPuestos[especialidad],"(sin catálogo)"))</f>
        <v/>
      </c>
      <c r="AC840" s="5">
        <f>IF(tblOrdenes[[#This Row],[cod_actividad]]="","",_xlfn.XLOOKUP(tblOrdenes[[#This Row],[cod_actividad]],tblActividades[codigo],tblActividades[descripcion],"(sin catálogo)"))</f>
        <v/>
      </c>
      <c r="AD840" s="23">
        <f>IF(tblOrdenes[[#This Row],[fecha_inicio]]="","",TODAY()-tblOrdenes[[#This Row],[fecha_inicio]])</f>
        <v/>
      </c>
      <c r="AE8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5">
        <f>IF(tblOrdenes[[#This Row],[backlog_habiles]]="","",IF(tblOrdenes[[#This Row],[backlog_habiles]]&lt;0,"FUTURO",IF(tblOrdenes[[#This Row],[backlog_habiles]]&gt;p_dias_backlog_max,"BACKLOG","MES CORRIENTE")))</f>
        <v/>
      </c>
      <c r="AG840" s="5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18">
        <f>IF(tblOrdenes[[#This Row],[orden]]="","",_xlfn.XLOOKUP(tblOrdenes[[#This Row],[id_operacion]],tblEjecucion[id_operacion],tblEjecucion[precio],0))</f>
        <v/>
      </c>
      <c r="AM840" s="18">
        <f>IF(tblOrdenes[[#This Row],[orden]]="","",MAX(0,_xlfn.XLOOKUP(tblOrdenes[[#This Row],[id_operacion]],tblEjecucion[id_operacion],tblEjecucion[costo_plan_total],0)-tblOrdenes[[#This Row],[costo_servicio]]))</f>
        <v/>
      </c>
      <c r="AN840" s="18">
        <f>IF(tblOrdenes[[#This Row],[orden]]="","",tblOrdenes[[#This Row],[costo_servicio]]+tblOrdenes[[#This Row],[costo_materiales]])</f>
        <v/>
      </c>
      <c r="AO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5">
        <f>IF(tblOrdenes[[#This Row],[link_checklist]]="","",HYPERLINK(p_ruta_base_checklists&amp;tblOrdenes[[#This Row],[link_checklist]],"abrir"))</f>
        <v/>
      </c>
      <c r="AT840" s="4" t="n"/>
      <c r="AU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5" t="n"/>
      <c r="K841" s="5" t="n"/>
      <c r="L841" s="18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Row],[fecha_inicio]]="","",tblOrdenes[[#This Row],[anio]]&amp;"-"&amp;TEXT(tblOrdenes[[#This Row],[mes]],"00"))</f>
        <v/>
      </c>
      <c r="S841" s="5">
        <f>IF(tblOrdenes[[#This Row],[fecha_inicio]]="","",INDEX(lista_dias,WEEKDAY(tblOrdenes[[#This Row],[fecha_inicio]],2)))</f>
        <v/>
      </c>
      <c r="T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5">
        <f>IF(tblOrdenes[[#This Row],[tipo_ot]]="","",_xlfn.XLOOKUP(tblOrdenes[[#This Row],[tipo_ot]],tblTiposOT[codigo],tblTiposOT[clasificacion],"sin_clasificar"))</f>
        <v/>
      </c>
      <c r="V8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5">
        <f>IF(tblOrdenes[[#This Row],[centro_costo]]="","",_xlfn.XLOOKUP(tblOrdenes[[#This Row],[centro_costo]],tblCECO[codigo],tblCECO[linea],"(sin catálogo)"))</f>
        <v/>
      </c>
      <c r="Y841" s="5">
        <f>IF(tblOrdenes[[#This Row],[centro_costo]]="","",_xlfn.XLOOKUP(tblOrdenes[[#This Row],[centro_costo]],tblCECO[codigo],tblCECO[area],"(sin catálogo)"))</f>
        <v/>
      </c>
      <c r="Z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5">
        <f>IF(tblOrdenes[[#This Row],[centro_costo]]="","",_xlfn.XLOOKUP(tblOrdenes[[#This Row],[centro_costo]],tblCECO[codigo],tblCECO[coordinador],"(sin catálogo)"))</f>
        <v/>
      </c>
      <c r="AB841" s="5">
        <f>IF(tblOrdenes[[#This Row],[puesto_trabajo]]="","",_xlfn.XLOOKUP(tblOrdenes[[#This Row],[puesto_trabajo]],tblPuestos[codigo],tblPuestos[especialidad],"(sin catálogo)"))</f>
        <v/>
      </c>
      <c r="AC841" s="5">
        <f>IF(tblOrdenes[[#This Row],[cod_actividad]]="","",_xlfn.XLOOKUP(tblOrdenes[[#This Row],[cod_actividad]],tblActividades[codigo],tblActividades[descripcion],"(sin catálogo)"))</f>
        <v/>
      </c>
      <c r="AD841" s="23">
        <f>IF(tblOrdenes[[#This Row],[fecha_inicio]]="","",TODAY()-tblOrdenes[[#This Row],[fecha_inicio]])</f>
        <v/>
      </c>
      <c r="AE8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5">
        <f>IF(tblOrdenes[[#This Row],[backlog_habiles]]="","",IF(tblOrdenes[[#This Row],[backlog_habiles]]&lt;0,"FUTURO",IF(tblOrdenes[[#This Row],[backlog_habiles]]&gt;p_dias_backlog_max,"BACKLOG","MES CORRIENTE")))</f>
        <v/>
      </c>
      <c r="AG841" s="5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18">
        <f>IF(tblOrdenes[[#This Row],[orden]]="","",_xlfn.XLOOKUP(tblOrdenes[[#This Row],[id_operacion]],tblEjecucion[id_operacion],tblEjecucion[precio],0))</f>
        <v/>
      </c>
      <c r="AM841" s="18">
        <f>IF(tblOrdenes[[#This Row],[orden]]="","",MAX(0,_xlfn.XLOOKUP(tblOrdenes[[#This Row],[id_operacion]],tblEjecucion[id_operacion],tblEjecucion[costo_plan_total],0)-tblOrdenes[[#This Row],[costo_servicio]]))</f>
        <v/>
      </c>
      <c r="AN841" s="18">
        <f>IF(tblOrdenes[[#This Row],[orden]]="","",tblOrdenes[[#This Row],[costo_servicio]]+tblOrdenes[[#This Row],[costo_materiales]])</f>
        <v/>
      </c>
      <c r="AO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5">
        <f>IF(tblOrdenes[[#This Row],[link_checklist]]="","",HYPERLINK(p_ruta_base_checklists&amp;tblOrdenes[[#This Row],[link_checklist]],"abrir"))</f>
        <v/>
      </c>
      <c r="AT841" s="4" t="n"/>
      <c r="AU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5" t="n"/>
      <c r="K842" s="5" t="n"/>
      <c r="L842" s="18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Row],[fecha_inicio]]="","",tblOrdenes[[#This Row],[anio]]&amp;"-"&amp;TEXT(tblOrdenes[[#This Row],[mes]],"00"))</f>
        <v/>
      </c>
      <c r="S842" s="5">
        <f>IF(tblOrdenes[[#This Row],[fecha_inicio]]="","",INDEX(lista_dias,WEEKDAY(tblOrdenes[[#This Row],[fecha_inicio]],2)))</f>
        <v/>
      </c>
      <c r="T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5">
        <f>IF(tblOrdenes[[#This Row],[tipo_ot]]="","",_xlfn.XLOOKUP(tblOrdenes[[#This Row],[tipo_ot]],tblTiposOT[codigo],tblTiposOT[clasificacion],"sin_clasificar"))</f>
        <v/>
      </c>
      <c r="V8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5">
        <f>IF(tblOrdenes[[#This Row],[centro_costo]]="","",_xlfn.XLOOKUP(tblOrdenes[[#This Row],[centro_costo]],tblCECO[codigo],tblCECO[linea],"(sin catálogo)"))</f>
        <v/>
      </c>
      <c r="Y842" s="5">
        <f>IF(tblOrdenes[[#This Row],[centro_costo]]="","",_xlfn.XLOOKUP(tblOrdenes[[#This Row],[centro_costo]],tblCECO[codigo],tblCECO[area],"(sin catálogo)"))</f>
        <v/>
      </c>
      <c r="Z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5">
        <f>IF(tblOrdenes[[#This Row],[centro_costo]]="","",_xlfn.XLOOKUP(tblOrdenes[[#This Row],[centro_costo]],tblCECO[codigo],tblCECO[coordinador],"(sin catálogo)"))</f>
        <v/>
      </c>
      <c r="AB842" s="5">
        <f>IF(tblOrdenes[[#This Row],[puesto_trabajo]]="","",_xlfn.XLOOKUP(tblOrdenes[[#This Row],[puesto_trabajo]],tblPuestos[codigo],tblPuestos[especialidad],"(sin catálogo)"))</f>
        <v/>
      </c>
      <c r="AC842" s="5">
        <f>IF(tblOrdenes[[#This Row],[cod_actividad]]="","",_xlfn.XLOOKUP(tblOrdenes[[#This Row],[cod_actividad]],tblActividades[codigo],tblActividades[descripcion],"(sin catálogo)"))</f>
        <v/>
      </c>
      <c r="AD842" s="23">
        <f>IF(tblOrdenes[[#This Row],[fecha_inicio]]="","",TODAY()-tblOrdenes[[#This Row],[fecha_inicio]])</f>
        <v/>
      </c>
      <c r="AE8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5">
        <f>IF(tblOrdenes[[#This Row],[backlog_habiles]]="","",IF(tblOrdenes[[#This Row],[backlog_habiles]]&lt;0,"FUTURO",IF(tblOrdenes[[#This Row],[backlog_habiles]]&gt;p_dias_backlog_max,"BACKLOG","MES CORRIENTE")))</f>
        <v/>
      </c>
      <c r="AG842" s="5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18">
        <f>IF(tblOrdenes[[#This Row],[orden]]="","",_xlfn.XLOOKUP(tblOrdenes[[#This Row],[id_operacion]],tblEjecucion[id_operacion],tblEjecucion[precio],0))</f>
        <v/>
      </c>
      <c r="AM842" s="18">
        <f>IF(tblOrdenes[[#This Row],[orden]]="","",MAX(0,_xlfn.XLOOKUP(tblOrdenes[[#This Row],[id_operacion]],tblEjecucion[id_operacion],tblEjecucion[costo_plan_total],0)-tblOrdenes[[#This Row],[costo_servicio]]))</f>
        <v/>
      </c>
      <c r="AN842" s="18">
        <f>IF(tblOrdenes[[#This Row],[orden]]="","",tblOrdenes[[#This Row],[costo_servicio]]+tblOrdenes[[#This Row],[costo_materiales]])</f>
        <v/>
      </c>
      <c r="AO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5">
        <f>IF(tblOrdenes[[#This Row],[link_checklist]]="","",HYPERLINK(p_ruta_base_checklists&amp;tblOrdenes[[#This Row],[link_checklist]],"abrir"))</f>
        <v/>
      </c>
      <c r="AT842" s="4" t="n"/>
      <c r="AU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5" t="n"/>
      <c r="K843" s="5" t="n"/>
      <c r="L843" s="18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Row],[fecha_inicio]]="","",tblOrdenes[[#This Row],[anio]]&amp;"-"&amp;TEXT(tblOrdenes[[#This Row],[mes]],"00"))</f>
        <v/>
      </c>
      <c r="S843" s="5">
        <f>IF(tblOrdenes[[#This Row],[fecha_inicio]]="","",INDEX(lista_dias,WEEKDAY(tblOrdenes[[#This Row],[fecha_inicio]],2)))</f>
        <v/>
      </c>
      <c r="T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5">
        <f>IF(tblOrdenes[[#This Row],[tipo_ot]]="","",_xlfn.XLOOKUP(tblOrdenes[[#This Row],[tipo_ot]],tblTiposOT[codigo],tblTiposOT[clasificacion],"sin_clasificar"))</f>
        <v/>
      </c>
      <c r="V8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5">
        <f>IF(tblOrdenes[[#This Row],[centro_costo]]="","",_xlfn.XLOOKUP(tblOrdenes[[#This Row],[centro_costo]],tblCECO[codigo],tblCECO[linea],"(sin catálogo)"))</f>
        <v/>
      </c>
      <c r="Y843" s="5">
        <f>IF(tblOrdenes[[#This Row],[centro_costo]]="","",_xlfn.XLOOKUP(tblOrdenes[[#This Row],[centro_costo]],tblCECO[codigo],tblCECO[area],"(sin catálogo)"))</f>
        <v/>
      </c>
      <c r="Z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5">
        <f>IF(tblOrdenes[[#This Row],[centro_costo]]="","",_xlfn.XLOOKUP(tblOrdenes[[#This Row],[centro_costo]],tblCECO[codigo],tblCECO[coordinador],"(sin catálogo)"))</f>
        <v/>
      </c>
      <c r="AB843" s="5">
        <f>IF(tblOrdenes[[#This Row],[puesto_trabajo]]="","",_xlfn.XLOOKUP(tblOrdenes[[#This Row],[puesto_trabajo]],tblPuestos[codigo],tblPuestos[especialidad],"(sin catálogo)"))</f>
        <v/>
      </c>
      <c r="AC843" s="5">
        <f>IF(tblOrdenes[[#This Row],[cod_actividad]]="","",_xlfn.XLOOKUP(tblOrdenes[[#This Row],[cod_actividad]],tblActividades[codigo],tblActividades[descripcion],"(sin catálogo)"))</f>
        <v/>
      </c>
      <c r="AD843" s="23">
        <f>IF(tblOrdenes[[#This Row],[fecha_inicio]]="","",TODAY()-tblOrdenes[[#This Row],[fecha_inicio]])</f>
        <v/>
      </c>
      <c r="AE8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5">
        <f>IF(tblOrdenes[[#This Row],[backlog_habiles]]="","",IF(tblOrdenes[[#This Row],[backlog_habiles]]&lt;0,"FUTURO",IF(tblOrdenes[[#This Row],[backlog_habiles]]&gt;p_dias_backlog_max,"BACKLOG","MES CORRIENTE")))</f>
        <v/>
      </c>
      <c r="AG843" s="5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18">
        <f>IF(tblOrdenes[[#This Row],[orden]]="","",_xlfn.XLOOKUP(tblOrdenes[[#This Row],[id_operacion]],tblEjecucion[id_operacion],tblEjecucion[precio],0))</f>
        <v/>
      </c>
      <c r="AM843" s="18">
        <f>IF(tblOrdenes[[#This Row],[orden]]="","",MAX(0,_xlfn.XLOOKUP(tblOrdenes[[#This Row],[id_operacion]],tblEjecucion[id_operacion],tblEjecucion[costo_plan_total],0)-tblOrdenes[[#This Row],[costo_servicio]]))</f>
        <v/>
      </c>
      <c r="AN843" s="18">
        <f>IF(tblOrdenes[[#This Row],[orden]]="","",tblOrdenes[[#This Row],[costo_servicio]]+tblOrdenes[[#This Row],[costo_materiales]])</f>
        <v/>
      </c>
      <c r="AO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5">
        <f>IF(tblOrdenes[[#This Row],[link_checklist]]="","",HYPERLINK(p_ruta_base_checklists&amp;tblOrdenes[[#This Row],[link_checklist]],"abrir"))</f>
        <v/>
      </c>
      <c r="AT843" s="4" t="n"/>
      <c r="AU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5" t="n"/>
      <c r="K844" s="5" t="n"/>
      <c r="L844" s="18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Row],[fecha_inicio]]="","",tblOrdenes[[#This Row],[anio]]&amp;"-"&amp;TEXT(tblOrdenes[[#This Row],[mes]],"00"))</f>
        <v/>
      </c>
      <c r="S844" s="5">
        <f>IF(tblOrdenes[[#This Row],[fecha_inicio]]="","",INDEX(lista_dias,WEEKDAY(tblOrdenes[[#This Row],[fecha_inicio]],2)))</f>
        <v/>
      </c>
      <c r="T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5">
        <f>IF(tblOrdenes[[#This Row],[tipo_ot]]="","",_xlfn.XLOOKUP(tblOrdenes[[#This Row],[tipo_ot]],tblTiposOT[codigo],tblTiposOT[clasificacion],"sin_clasificar"))</f>
        <v/>
      </c>
      <c r="V8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5">
        <f>IF(tblOrdenes[[#This Row],[centro_costo]]="","",_xlfn.XLOOKUP(tblOrdenes[[#This Row],[centro_costo]],tblCECO[codigo],tblCECO[linea],"(sin catálogo)"))</f>
        <v/>
      </c>
      <c r="Y844" s="5">
        <f>IF(tblOrdenes[[#This Row],[centro_costo]]="","",_xlfn.XLOOKUP(tblOrdenes[[#This Row],[centro_costo]],tblCECO[codigo],tblCECO[area],"(sin catálogo)"))</f>
        <v/>
      </c>
      <c r="Z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5">
        <f>IF(tblOrdenes[[#This Row],[centro_costo]]="","",_xlfn.XLOOKUP(tblOrdenes[[#This Row],[centro_costo]],tblCECO[codigo],tblCECO[coordinador],"(sin catálogo)"))</f>
        <v/>
      </c>
      <c r="AB844" s="5">
        <f>IF(tblOrdenes[[#This Row],[puesto_trabajo]]="","",_xlfn.XLOOKUP(tblOrdenes[[#This Row],[puesto_trabajo]],tblPuestos[codigo],tblPuestos[especialidad],"(sin catálogo)"))</f>
        <v/>
      </c>
      <c r="AC844" s="5">
        <f>IF(tblOrdenes[[#This Row],[cod_actividad]]="","",_xlfn.XLOOKUP(tblOrdenes[[#This Row],[cod_actividad]],tblActividades[codigo],tblActividades[descripcion],"(sin catálogo)"))</f>
        <v/>
      </c>
      <c r="AD844" s="23">
        <f>IF(tblOrdenes[[#This Row],[fecha_inicio]]="","",TODAY()-tblOrdenes[[#This Row],[fecha_inicio]])</f>
        <v/>
      </c>
      <c r="AE8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5">
        <f>IF(tblOrdenes[[#This Row],[backlog_habiles]]="","",IF(tblOrdenes[[#This Row],[backlog_habiles]]&lt;0,"FUTURO",IF(tblOrdenes[[#This Row],[backlog_habiles]]&gt;p_dias_backlog_max,"BACKLOG","MES CORRIENTE")))</f>
        <v/>
      </c>
      <c r="AG844" s="5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18">
        <f>IF(tblOrdenes[[#This Row],[orden]]="","",_xlfn.XLOOKUP(tblOrdenes[[#This Row],[id_operacion]],tblEjecucion[id_operacion],tblEjecucion[precio],0))</f>
        <v/>
      </c>
      <c r="AM844" s="18">
        <f>IF(tblOrdenes[[#This Row],[orden]]="","",MAX(0,_xlfn.XLOOKUP(tblOrdenes[[#This Row],[id_operacion]],tblEjecucion[id_operacion],tblEjecucion[costo_plan_total],0)-tblOrdenes[[#This Row],[costo_servicio]]))</f>
        <v/>
      </c>
      <c r="AN844" s="18">
        <f>IF(tblOrdenes[[#This Row],[orden]]="","",tblOrdenes[[#This Row],[costo_servicio]]+tblOrdenes[[#This Row],[costo_materiales]])</f>
        <v/>
      </c>
      <c r="AO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5">
        <f>IF(tblOrdenes[[#This Row],[link_checklist]]="","",HYPERLINK(p_ruta_base_checklists&amp;tblOrdenes[[#This Row],[link_checklist]],"abrir"))</f>
        <v/>
      </c>
      <c r="AT844" s="4" t="n"/>
      <c r="AU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5" t="n"/>
      <c r="K845" s="5" t="n"/>
      <c r="L845" s="18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Row],[fecha_inicio]]="","",tblOrdenes[[#This Row],[anio]]&amp;"-"&amp;TEXT(tblOrdenes[[#This Row],[mes]],"00"))</f>
        <v/>
      </c>
      <c r="S845" s="5">
        <f>IF(tblOrdenes[[#This Row],[fecha_inicio]]="","",INDEX(lista_dias,WEEKDAY(tblOrdenes[[#This Row],[fecha_inicio]],2)))</f>
        <v/>
      </c>
      <c r="T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5">
        <f>IF(tblOrdenes[[#This Row],[tipo_ot]]="","",_xlfn.XLOOKUP(tblOrdenes[[#This Row],[tipo_ot]],tblTiposOT[codigo],tblTiposOT[clasificacion],"sin_clasificar"))</f>
        <v/>
      </c>
      <c r="V8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5">
        <f>IF(tblOrdenes[[#This Row],[centro_costo]]="","",_xlfn.XLOOKUP(tblOrdenes[[#This Row],[centro_costo]],tblCECO[codigo],tblCECO[linea],"(sin catálogo)"))</f>
        <v/>
      </c>
      <c r="Y845" s="5">
        <f>IF(tblOrdenes[[#This Row],[centro_costo]]="","",_xlfn.XLOOKUP(tblOrdenes[[#This Row],[centro_costo]],tblCECO[codigo],tblCECO[area],"(sin catálogo)"))</f>
        <v/>
      </c>
      <c r="Z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5">
        <f>IF(tblOrdenes[[#This Row],[centro_costo]]="","",_xlfn.XLOOKUP(tblOrdenes[[#This Row],[centro_costo]],tblCECO[codigo],tblCECO[coordinador],"(sin catálogo)"))</f>
        <v/>
      </c>
      <c r="AB845" s="5">
        <f>IF(tblOrdenes[[#This Row],[puesto_trabajo]]="","",_xlfn.XLOOKUP(tblOrdenes[[#This Row],[puesto_trabajo]],tblPuestos[codigo],tblPuestos[especialidad],"(sin catálogo)"))</f>
        <v/>
      </c>
      <c r="AC845" s="5">
        <f>IF(tblOrdenes[[#This Row],[cod_actividad]]="","",_xlfn.XLOOKUP(tblOrdenes[[#This Row],[cod_actividad]],tblActividades[codigo],tblActividades[descripcion],"(sin catálogo)"))</f>
        <v/>
      </c>
      <c r="AD845" s="23">
        <f>IF(tblOrdenes[[#This Row],[fecha_inicio]]="","",TODAY()-tblOrdenes[[#This Row],[fecha_inicio]])</f>
        <v/>
      </c>
      <c r="AE8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5">
        <f>IF(tblOrdenes[[#This Row],[backlog_habiles]]="","",IF(tblOrdenes[[#This Row],[backlog_habiles]]&lt;0,"FUTURO",IF(tblOrdenes[[#This Row],[backlog_habiles]]&gt;p_dias_backlog_max,"BACKLOG","MES CORRIENTE")))</f>
        <v/>
      </c>
      <c r="AG845" s="5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18">
        <f>IF(tblOrdenes[[#This Row],[orden]]="","",_xlfn.XLOOKUP(tblOrdenes[[#This Row],[id_operacion]],tblEjecucion[id_operacion],tblEjecucion[precio],0))</f>
        <v/>
      </c>
      <c r="AM845" s="18">
        <f>IF(tblOrdenes[[#This Row],[orden]]="","",MAX(0,_xlfn.XLOOKUP(tblOrdenes[[#This Row],[id_operacion]],tblEjecucion[id_operacion],tblEjecucion[costo_plan_total],0)-tblOrdenes[[#This Row],[costo_servicio]]))</f>
        <v/>
      </c>
      <c r="AN845" s="18">
        <f>IF(tblOrdenes[[#This Row],[orden]]="","",tblOrdenes[[#This Row],[costo_servicio]]+tblOrdenes[[#This Row],[costo_materiales]])</f>
        <v/>
      </c>
      <c r="AO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5">
        <f>IF(tblOrdenes[[#This Row],[link_checklist]]="","",HYPERLINK(p_ruta_base_checklists&amp;tblOrdenes[[#This Row],[link_checklist]],"abrir"))</f>
        <v/>
      </c>
      <c r="AT845" s="4" t="n"/>
      <c r="AU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5" t="n"/>
      <c r="K846" s="5" t="n"/>
      <c r="L846" s="18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Row],[fecha_inicio]]="","",tblOrdenes[[#This Row],[anio]]&amp;"-"&amp;TEXT(tblOrdenes[[#This Row],[mes]],"00"))</f>
        <v/>
      </c>
      <c r="S846" s="5">
        <f>IF(tblOrdenes[[#This Row],[fecha_inicio]]="","",INDEX(lista_dias,WEEKDAY(tblOrdenes[[#This Row],[fecha_inicio]],2)))</f>
        <v/>
      </c>
      <c r="T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5">
        <f>IF(tblOrdenes[[#This Row],[tipo_ot]]="","",_xlfn.XLOOKUP(tblOrdenes[[#This Row],[tipo_ot]],tblTiposOT[codigo],tblTiposOT[clasificacion],"sin_clasificar"))</f>
        <v/>
      </c>
      <c r="V8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5">
        <f>IF(tblOrdenes[[#This Row],[centro_costo]]="","",_xlfn.XLOOKUP(tblOrdenes[[#This Row],[centro_costo]],tblCECO[codigo],tblCECO[linea],"(sin catálogo)"))</f>
        <v/>
      </c>
      <c r="Y846" s="5">
        <f>IF(tblOrdenes[[#This Row],[centro_costo]]="","",_xlfn.XLOOKUP(tblOrdenes[[#This Row],[centro_costo]],tblCECO[codigo],tblCECO[area],"(sin catálogo)"))</f>
        <v/>
      </c>
      <c r="Z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5">
        <f>IF(tblOrdenes[[#This Row],[centro_costo]]="","",_xlfn.XLOOKUP(tblOrdenes[[#This Row],[centro_costo]],tblCECO[codigo],tblCECO[coordinador],"(sin catálogo)"))</f>
        <v/>
      </c>
      <c r="AB846" s="5">
        <f>IF(tblOrdenes[[#This Row],[puesto_trabajo]]="","",_xlfn.XLOOKUP(tblOrdenes[[#This Row],[puesto_trabajo]],tblPuestos[codigo],tblPuestos[especialidad],"(sin catálogo)"))</f>
        <v/>
      </c>
      <c r="AC846" s="5">
        <f>IF(tblOrdenes[[#This Row],[cod_actividad]]="","",_xlfn.XLOOKUP(tblOrdenes[[#This Row],[cod_actividad]],tblActividades[codigo],tblActividades[descripcion],"(sin catálogo)"))</f>
        <v/>
      </c>
      <c r="AD846" s="23">
        <f>IF(tblOrdenes[[#This Row],[fecha_inicio]]="","",TODAY()-tblOrdenes[[#This Row],[fecha_inicio]])</f>
        <v/>
      </c>
      <c r="AE8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5">
        <f>IF(tblOrdenes[[#This Row],[backlog_habiles]]="","",IF(tblOrdenes[[#This Row],[backlog_habiles]]&lt;0,"FUTURO",IF(tblOrdenes[[#This Row],[backlog_habiles]]&gt;p_dias_backlog_max,"BACKLOG","MES CORRIENTE")))</f>
        <v/>
      </c>
      <c r="AG846" s="5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18">
        <f>IF(tblOrdenes[[#This Row],[orden]]="","",_xlfn.XLOOKUP(tblOrdenes[[#This Row],[id_operacion]],tblEjecucion[id_operacion],tblEjecucion[precio],0))</f>
        <v/>
      </c>
      <c r="AM846" s="18">
        <f>IF(tblOrdenes[[#This Row],[orden]]="","",MAX(0,_xlfn.XLOOKUP(tblOrdenes[[#This Row],[id_operacion]],tblEjecucion[id_operacion],tblEjecucion[costo_plan_total],0)-tblOrdenes[[#This Row],[costo_servicio]]))</f>
        <v/>
      </c>
      <c r="AN846" s="18">
        <f>IF(tblOrdenes[[#This Row],[orden]]="","",tblOrdenes[[#This Row],[costo_servicio]]+tblOrdenes[[#This Row],[costo_materiales]])</f>
        <v/>
      </c>
      <c r="AO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5">
        <f>IF(tblOrdenes[[#This Row],[link_checklist]]="","",HYPERLINK(p_ruta_base_checklists&amp;tblOrdenes[[#This Row],[link_checklist]],"abrir"))</f>
        <v/>
      </c>
      <c r="AT846" s="4" t="n"/>
      <c r="AU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5" t="n"/>
      <c r="K847" s="5" t="n"/>
      <c r="L847" s="18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Row],[fecha_inicio]]="","",tblOrdenes[[#This Row],[anio]]&amp;"-"&amp;TEXT(tblOrdenes[[#This Row],[mes]],"00"))</f>
        <v/>
      </c>
      <c r="S847" s="5">
        <f>IF(tblOrdenes[[#This Row],[fecha_inicio]]="","",INDEX(lista_dias,WEEKDAY(tblOrdenes[[#This Row],[fecha_inicio]],2)))</f>
        <v/>
      </c>
      <c r="T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5">
        <f>IF(tblOrdenes[[#This Row],[tipo_ot]]="","",_xlfn.XLOOKUP(tblOrdenes[[#This Row],[tipo_ot]],tblTiposOT[codigo],tblTiposOT[clasificacion],"sin_clasificar"))</f>
        <v/>
      </c>
      <c r="V8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5">
        <f>IF(tblOrdenes[[#This Row],[centro_costo]]="","",_xlfn.XLOOKUP(tblOrdenes[[#This Row],[centro_costo]],tblCECO[codigo],tblCECO[linea],"(sin catálogo)"))</f>
        <v/>
      </c>
      <c r="Y847" s="5">
        <f>IF(tblOrdenes[[#This Row],[centro_costo]]="","",_xlfn.XLOOKUP(tblOrdenes[[#This Row],[centro_costo]],tblCECO[codigo],tblCECO[area],"(sin catálogo)"))</f>
        <v/>
      </c>
      <c r="Z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5">
        <f>IF(tblOrdenes[[#This Row],[centro_costo]]="","",_xlfn.XLOOKUP(tblOrdenes[[#This Row],[centro_costo]],tblCECO[codigo],tblCECO[coordinador],"(sin catálogo)"))</f>
        <v/>
      </c>
      <c r="AB847" s="5">
        <f>IF(tblOrdenes[[#This Row],[puesto_trabajo]]="","",_xlfn.XLOOKUP(tblOrdenes[[#This Row],[puesto_trabajo]],tblPuestos[codigo],tblPuestos[especialidad],"(sin catálogo)"))</f>
        <v/>
      </c>
      <c r="AC847" s="5">
        <f>IF(tblOrdenes[[#This Row],[cod_actividad]]="","",_xlfn.XLOOKUP(tblOrdenes[[#This Row],[cod_actividad]],tblActividades[codigo],tblActividades[descripcion],"(sin catálogo)"))</f>
        <v/>
      </c>
      <c r="AD847" s="23">
        <f>IF(tblOrdenes[[#This Row],[fecha_inicio]]="","",TODAY()-tblOrdenes[[#This Row],[fecha_inicio]])</f>
        <v/>
      </c>
      <c r="AE8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5">
        <f>IF(tblOrdenes[[#This Row],[backlog_habiles]]="","",IF(tblOrdenes[[#This Row],[backlog_habiles]]&lt;0,"FUTURO",IF(tblOrdenes[[#This Row],[backlog_habiles]]&gt;p_dias_backlog_max,"BACKLOG","MES CORRIENTE")))</f>
        <v/>
      </c>
      <c r="AG847" s="5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18">
        <f>IF(tblOrdenes[[#This Row],[orden]]="","",_xlfn.XLOOKUP(tblOrdenes[[#This Row],[id_operacion]],tblEjecucion[id_operacion],tblEjecucion[precio],0))</f>
        <v/>
      </c>
      <c r="AM847" s="18">
        <f>IF(tblOrdenes[[#This Row],[orden]]="","",MAX(0,_xlfn.XLOOKUP(tblOrdenes[[#This Row],[id_operacion]],tblEjecucion[id_operacion],tblEjecucion[costo_plan_total],0)-tblOrdenes[[#This Row],[costo_servicio]]))</f>
        <v/>
      </c>
      <c r="AN847" s="18">
        <f>IF(tblOrdenes[[#This Row],[orden]]="","",tblOrdenes[[#This Row],[costo_servicio]]+tblOrdenes[[#This Row],[costo_materiales]])</f>
        <v/>
      </c>
      <c r="AO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5">
        <f>IF(tblOrdenes[[#This Row],[link_checklist]]="","",HYPERLINK(p_ruta_base_checklists&amp;tblOrdenes[[#This Row],[link_checklist]],"abrir"))</f>
        <v/>
      </c>
      <c r="AT847" s="4" t="n"/>
      <c r="AU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5" t="n"/>
      <c r="K848" s="5" t="n"/>
      <c r="L848" s="18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Row],[fecha_inicio]]="","",tblOrdenes[[#This Row],[anio]]&amp;"-"&amp;TEXT(tblOrdenes[[#This Row],[mes]],"00"))</f>
        <v/>
      </c>
      <c r="S848" s="5">
        <f>IF(tblOrdenes[[#This Row],[fecha_inicio]]="","",INDEX(lista_dias,WEEKDAY(tblOrdenes[[#This Row],[fecha_inicio]],2)))</f>
        <v/>
      </c>
      <c r="T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5">
        <f>IF(tblOrdenes[[#This Row],[tipo_ot]]="","",_xlfn.XLOOKUP(tblOrdenes[[#This Row],[tipo_ot]],tblTiposOT[codigo],tblTiposOT[clasificacion],"sin_clasificar"))</f>
        <v/>
      </c>
      <c r="V8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5">
        <f>IF(tblOrdenes[[#This Row],[centro_costo]]="","",_xlfn.XLOOKUP(tblOrdenes[[#This Row],[centro_costo]],tblCECO[codigo],tblCECO[linea],"(sin catálogo)"))</f>
        <v/>
      </c>
      <c r="Y848" s="5">
        <f>IF(tblOrdenes[[#This Row],[centro_costo]]="","",_xlfn.XLOOKUP(tblOrdenes[[#This Row],[centro_costo]],tblCECO[codigo],tblCECO[area],"(sin catálogo)"))</f>
        <v/>
      </c>
      <c r="Z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5">
        <f>IF(tblOrdenes[[#This Row],[centro_costo]]="","",_xlfn.XLOOKUP(tblOrdenes[[#This Row],[centro_costo]],tblCECO[codigo],tblCECO[coordinador],"(sin catálogo)"))</f>
        <v/>
      </c>
      <c r="AB848" s="5">
        <f>IF(tblOrdenes[[#This Row],[puesto_trabajo]]="","",_xlfn.XLOOKUP(tblOrdenes[[#This Row],[puesto_trabajo]],tblPuestos[codigo],tblPuestos[especialidad],"(sin catálogo)"))</f>
        <v/>
      </c>
      <c r="AC848" s="5">
        <f>IF(tblOrdenes[[#This Row],[cod_actividad]]="","",_xlfn.XLOOKUP(tblOrdenes[[#This Row],[cod_actividad]],tblActividades[codigo],tblActividades[descripcion],"(sin catálogo)"))</f>
        <v/>
      </c>
      <c r="AD848" s="23">
        <f>IF(tblOrdenes[[#This Row],[fecha_inicio]]="","",TODAY()-tblOrdenes[[#This Row],[fecha_inicio]])</f>
        <v/>
      </c>
      <c r="AE8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5">
        <f>IF(tblOrdenes[[#This Row],[backlog_habiles]]="","",IF(tblOrdenes[[#This Row],[backlog_habiles]]&lt;0,"FUTURO",IF(tblOrdenes[[#This Row],[backlog_habiles]]&gt;p_dias_backlog_max,"BACKLOG","MES CORRIENTE")))</f>
        <v/>
      </c>
      <c r="AG848" s="5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18">
        <f>IF(tblOrdenes[[#This Row],[orden]]="","",_xlfn.XLOOKUP(tblOrdenes[[#This Row],[id_operacion]],tblEjecucion[id_operacion],tblEjecucion[precio],0))</f>
        <v/>
      </c>
      <c r="AM848" s="18">
        <f>IF(tblOrdenes[[#This Row],[orden]]="","",MAX(0,_xlfn.XLOOKUP(tblOrdenes[[#This Row],[id_operacion]],tblEjecucion[id_operacion],tblEjecucion[costo_plan_total],0)-tblOrdenes[[#This Row],[costo_servicio]]))</f>
        <v/>
      </c>
      <c r="AN848" s="18">
        <f>IF(tblOrdenes[[#This Row],[orden]]="","",tblOrdenes[[#This Row],[costo_servicio]]+tblOrdenes[[#This Row],[costo_materiales]])</f>
        <v/>
      </c>
      <c r="AO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5">
        <f>IF(tblOrdenes[[#This Row],[link_checklist]]="","",HYPERLINK(p_ruta_base_checklists&amp;tblOrdenes[[#This Row],[link_checklist]],"abrir"))</f>
        <v/>
      </c>
      <c r="AT848" s="4" t="n"/>
      <c r="AU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5" t="n"/>
      <c r="K849" s="5" t="n"/>
      <c r="L849" s="18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Row],[fecha_inicio]]="","",tblOrdenes[[#This Row],[anio]]&amp;"-"&amp;TEXT(tblOrdenes[[#This Row],[mes]],"00"))</f>
        <v/>
      </c>
      <c r="S849" s="5">
        <f>IF(tblOrdenes[[#This Row],[fecha_inicio]]="","",INDEX(lista_dias,WEEKDAY(tblOrdenes[[#This Row],[fecha_inicio]],2)))</f>
        <v/>
      </c>
      <c r="T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5">
        <f>IF(tblOrdenes[[#This Row],[tipo_ot]]="","",_xlfn.XLOOKUP(tblOrdenes[[#This Row],[tipo_ot]],tblTiposOT[codigo],tblTiposOT[clasificacion],"sin_clasificar"))</f>
        <v/>
      </c>
      <c r="V8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5">
        <f>IF(tblOrdenes[[#This Row],[centro_costo]]="","",_xlfn.XLOOKUP(tblOrdenes[[#This Row],[centro_costo]],tblCECO[codigo],tblCECO[linea],"(sin catálogo)"))</f>
        <v/>
      </c>
      <c r="Y849" s="5">
        <f>IF(tblOrdenes[[#This Row],[centro_costo]]="","",_xlfn.XLOOKUP(tblOrdenes[[#This Row],[centro_costo]],tblCECO[codigo],tblCECO[area],"(sin catálogo)"))</f>
        <v/>
      </c>
      <c r="Z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5">
        <f>IF(tblOrdenes[[#This Row],[centro_costo]]="","",_xlfn.XLOOKUP(tblOrdenes[[#This Row],[centro_costo]],tblCECO[codigo],tblCECO[coordinador],"(sin catálogo)"))</f>
        <v/>
      </c>
      <c r="AB849" s="5">
        <f>IF(tblOrdenes[[#This Row],[puesto_trabajo]]="","",_xlfn.XLOOKUP(tblOrdenes[[#This Row],[puesto_trabajo]],tblPuestos[codigo],tblPuestos[especialidad],"(sin catálogo)"))</f>
        <v/>
      </c>
      <c r="AC849" s="5">
        <f>IF(tblOrdenes[[#This Row],[cod_actividad]]="","",_xlfn.XLOOKUP(tblOrdenes[[#This Row],[cod_actividad]],tblActividades[codigo],tblActividades[descripcion],"(sin catálogo)"))</f>
        <v/>
      </c>
      <c r="AD849" s="23">
        <f>IF(tblOrdenes[[#This Row],[fecha_inicio]]="","",TODAY()-tblOrdenes[[#This Row],[fecha_inicio]])</f>
        <v/>
      </c>
      <c r="AE8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5">
        <f>IF(tblOrdenes[[#This Row],[backlog_habiles]]="","",IF(tblOrdenes[[#This Row],[backlog_habiles]]&lt;0,"FUTURO",IF(tblOrdenes[[#This Row],[backlog_habiles]]&gt;p_dias_backlog_max,"BACKLOG","MES CORRIENTE")))</f>
        <v/>
      </c>
      <c r="AG849" s="5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18">
        <f>IF(tblOrdenes[[#This Row],[orden]]="","",_xlfn.XLOOKUP(tblOrdenes[[#This Row],[id_operacion]],tblEjecucion[id_operacion],tblEjecucion[precio],0))</f>
        <v/>
      </c>
      <c r="AM849" s="18">
        <f>IF(tblOrdenes[[#This Row],[orden]]="","",MAX(0,_xlfn.XLOOKUP(tblOrdenes[[#This Row],[id_operacion]],tblEjecucion[id_operacion],tblEjecucion[costo_plan_total],0)-tblOrdenes[[#This Row],[costo_servicio]]))</f>
        <v/>
      </c>
      <c r="AN849" s="18">
        <f>IF(tblOrdenes[[#This Row],[orden]]="","",tblOrdenes[[#This Row],[costo_servicio]]+tblOrdenes[[#This Row],[costo_materiales]])</f>
        <v/>
      </c>
      <c r="AO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5">
        <f>IF(tblOrdenes[[#This Row],[link_checklist]]="","",HYPERLINK(p_ruta_base_checklists&amp;tblOrdenes[[#This Row],[link_checklist]],"abrir"))</f>
        <v/>
      </c>
      <c r="AT849" s="4" t="n"/>
      <c r="AU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5" t="n"/>
      <c r="K850" s="5" t="n"/>
      <c r="L850" s="18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Row],[fecha_inicio]]="","",tblOrdenes[[#This Row],[anio]]&amp;"-"&amp;TEXT(tblOrdenes[[#This Row],[mes]],"00"))</f>
        <v/>
      </c>
      <c r="S850" s="5">
        <f>IF(tblOrdenes[[#This Row],[fecha_inicio]]="","",INDEX(lista_dias,WEEKDAY(tblOrdenes[[#This Row],[fecha_inicio]],2)))</f>
        <v/>
      </c>
      <c r="T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5">
        <f>IF(tblOrdenes[[#This Row],[tipo_ot]]="","",_xlfn.XLOOKUP(tblOrdenes[[#This Row],[tipo_ot]],tblTiposOT[codigo],tblTiposOT[clasificacion],"sin_clasificar"))</f>
        <v/>
      </c>
      <c r="V8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5">
        <f>IF(tblOrdenes[[#This Row],[centro_costo]]="","",_xlfn.XLOOKUP(tblOrdenes[[#This Row],[centro_costo]],tblCECO[codigo],tblCECO[linea],"(sin catálogo)"))</f>
        <v/>
      </c>
      <c r="Y850" s="5">
        <f>IF(tblOrdenes[[#This Row],[centro_costo]]="","",_xlfn.XLOOKUP(tblOrdenes[[#This Row],[centro_costo]],tblCECO[codigo],tblCECO[area],"(sin catálogo)"))</f>
        <v/>
      </c>
      <c r="Z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5">
        <f>IF(tblOrdenes[[#This Row],[centro_costo]]="","",_xlfn.XLOOKUP(tblOrdenes[[#This Row],[centro_costo]],tblCECO[codigo],tblCECO[coordinador],"(sin catálogo)"))</f>
        <v/>
      </c>
      <c r="AB850" s="5">
        <f>IF(tblOrdenes[[#This Row],[puesto_trabajo]]="","",_xlfn.XLOOKUP(tblOrdenes[[#This Row],[puesto_trabajo]],tblPuestos[codigo],tblPuestos[especialidad],"(sin catálogo)"))</f>
        <v/>
      </c>
      <c r="AC850" s="5">
        <f>IF(tblOrdenes[[#This Row],[cod_actividad]]="","",_xlfn.XLOOKUP(tblOrdenes[[#This Row],[cod_actividad]],tblActividades[codigo],tblActividades[descripcion],"(sin catálogo)"))</f>
        <v/>
      </c>
      <c r="AD850" s="23">
        <f>IF(tblOrdenes[[#This Row],[fecha_inicio]]="","",TODAY()-tblOrdenes[[#This Row],[fecha_inicio]])</f>
        <v/>
      </c>
      <c r="AE8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5">
        <f>IF(tblOrdenes[[#This Row],[backlog_habiles]]="","",IF(tblOrdenes[[#This Row],[backlog_habiles]]&lt;0,"FUTURO",IF(tblOrdenes[[#This Row],[backlog_habiles]]&gt;p_dias_backlog_max,"BACKLOG","MES CORRIENTE")))</f>
        <v/>
      </c>
      <c r="AG850" s="5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18">
        <f>IF(tblOrdenes[[#This Row],[orden]]="","",_xlfn.XLOOKUP(tblOrdenes[[#This Row],[id_operacion]],tblEjecucion[id_operacion],tblEjecucion[precio],0))</f>
        <v/>
      </c>
      <c r="AM850" s="18">
        <f>IF(tblOrdenes[[#This Row],[orden]]="","",MAX(0,_xlfn.XLOOKUP(tblOrdenes[[#This Row],[id_operacion]],tblEjecucion[id_operacion],tblEjecucion[costo_plan_total],0)-tblOrdenes[[#This Row],[costo_servicio]]))</f>
        <v/>
      </c>
      <c r="AN850" s="18">
        <f>IF(tblOrdenes[[#This Row],[orden]]="","",tblOrdenes[[#This Row],[costo_servicio]]+tblOrdenes[[#This Row],[costo_materiales]])</f>
        <v/>
      </c>
      <c r="AO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5">
        <f>IF(tblOrdenes[[#This Row],[link_checklist]]="","",HYPERLINK(p_ruta_base_checklists&amp;tblOrdenes[[#This Row],[link_checklist]],"abrir"))</f>
        <v/>
      </c>
      <c r="AT850" s="4" t="n"/>
      <c r="AU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5" t="n"/>
      <c r="K851" s="5" t="n"/>
      <c r="L851" s="18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Row],[fecha_inicio]]="","",tblOrdenes[[#This Row],[anio]]&amp;"-"&amp;TEXT(tblOrdenes[[#This Row],[mes]],"00"))</f>
        <v/>
      </c>
      <c r="S851" s="5">
        <f>IF(tblOrdenes[[#This Row],[fecha_inicio]]="","",INDEX(lista_dias,WEEKDAY(tblOrdenes[[#This Row],[fecha_inicio]],2)))</f>
        <v/>
      </c>
      <c r="T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5">
        <f>IF(tblOrdenes[[#This Row],[tipo_ot]]="","",_xlfn.XLOOKUP(tblOrdenes[[#This Row],[tipo_ot]],tblTiposOT[codigo],tblTiposOT[clasificacion],"sin_clasificar"))</f>
        <v/>
      </c>
      <c r="V8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5">
        <f>IF(tblOrdenes[[#This Row],[centro_costo]]="","",_xlfn.XLOOKUP(tblOrdenes[[#This Row],[centro_costo]],tblCECO[codigo],tblCECO[linea],"(sin catálogo)"))</f>
        <v/>
      </c>
      <c r="Y851" s="5">
        <f>IF(tblOrdenes[[#This Row],[centro_costo]]="","",_xlfn.XLOOKUP(tblOrdenes[[#This Row],[centro_costo]],tblCECO[codigo],tblCECO[area],"(sin catálogo)"))</f>
        <v/>
      </c>
      <c r="Z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5">
        <f>IF(tblOrdenes[[#This Row],[centro_costo]]="","",_xlfn.XLOOKUP(tblOrdenes[[#This Row],[centro_costo]],tblCECO[codigo],tblCECO[coordinador],"(sin catálogo)"))</f>
        <v/>
      </c>
      <c r="AB851" s="5">
        <f>IF(tblOrdenes[[#This Row],[puesto_trabajo]]="","",_xlfn.XLOOKUP(tblOrdenes[[#This Row],[puesto_trabajo]],tblPuestos[codigo],tblPuestos[especialidad],"(sin catálogo)"))</f>
        <v/>
      </c>
      <c r="AC851" s="5">
        <f>IF(tblOrdenes[[#This Row],[cod_actividad]]="","",_xlfn.XLOOKUP(tblOrdenes[[#This Row],[cod_actividad]],tblActividades[codigo],tblActividades[descripcion],"(sin catálogo)"))</f>
        <v/>
      </c>
      <c r="AD851" s="23">
        <f>IF(tblOrdenes[[#This Row],[fecha_inicio]]="","",TODAY()-tblOrdenes[[#This Row],[fecha_inicio]])</f>
        <v/>
      </c>
      <c r="AE8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5">
        <f>IF(tblOrdenes[[#This Row],[backlog_habiles]]="","",IF(tblOrdenes[[#This Row],[backlog_habiles]]&lt;0,"FUTURO",IF(tblOrdenes[[#This Row],[backlog_habiles]]&gt;p_dias_backlog_max,"BACKLOG","MES CORRIENTE")))</f>
        <v/>
      </c>
      <c r="AG851" s="5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18">
        <f>IF(tblOrdenes[[#This Row],[orden]]="","",_xlfn.XLOOKUP(tblOrdenes[[#This Row],[id_operacion]],tblEjecucion[id_operacion],tblEjecucion[precio],0))</f>
        <v/>
      </c>
      <c r="AM851" s="18">
        <f>IF(tblOrdenes[[#This Row],[orden]]="","",MAX(0,_xlfn.XLOOKUP(tblOrdenes[[#This Row],[id_operacion]],tblEjecucion[id_operacion],tblEjecucion[costo_plan_total],0)-tblOrdenes[[#This Row],[costo_servicio]]))</f>
        <v/>
      </c>
      <c r="AN851" s="18">
        <f>IF(tblOrdenes[[#This Row],[orden]]="","",tblOrdenes[[#This Row],[costo_servicio]]+tblOrdenes[[#This Row],[costo_materiales]])</f>
        <v/>
      </c>
      <c r="AO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5">
        <f>IF(tblOrdenes[[#This Row],[link_checklist]]="","",HYPERLINK(p_ruta_base_checklists&amp;tblOrdenes[[#This Row],[link_checklist]],"abrir"))</f>
        <v/>
      </c>
      <c r="AT851" s="4" t="n"/>
      <c r="AU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5" t="n"/>
      <c r="K852" s="5" t="n"/>
      <c r="L852" s="18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Row],[fecha_inicio]]="","",tblOrdenes[[#This Row],[anio]]&amp;"-"&amp;TEXT(tblOrdenes[[#This Row],[mes]],"00"))</f>
        <v/>
      </c>
      <c r="S852" s="5">
        <f>IF(tblOrdenes[[#This Row],[fecha_inicio]]="","",INDEX(lista_dias,WEEKDAY(tblOrdenes[[#This Row],[fecha_inicio]],2)))</f>
        <v/>
      </c>
      <c r="T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5">
        <f>IF(tblOrdenes[[#This Row],[tipo_ot]]="","",_xlfn.XLOOKUP(tblOrdenes[[#This Row],[tipo_ot]],tblTiposOT[codigo],tblTiposOT[clasificacion],"sin_clasificar"))</f>
        <v/>
      </c>
      <c r="V8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5">
        <f>IF(tblOrdenes[[#This Row],[centro_costo]]="","",_xlfn.XLOOKUP(tblOrdenes[[#This Row],[centro_costo]],tblCECO[codigo],tblCECO[linea],"(sin catálogo)"))</f>
        <v/>
      </c>
      <c r="Y852" s="5">
        <f>IF(tblOrdenes[[#This Row],[centro_costo]]="","",_xlfn.XLOOKUP(tblOrdenes[[#This Row],[centro_costo]],tblCECO[codigo],tblCECO[area],"(sin catálogo)"))</f>
        <v/>
      </c>
      <c r="Z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5">
        <f>IF(tblOrdenes[[#This Row],[centro_costo]]="","",_xlfn.XLOOKUP(tblOrdenes[[#This Row],[centro_costo]],tblCECO[codigo],tblCECO[coordinador],"(sin catálogo)"))</f>
        <v/>
      </c>
      <c r="AB852" s="5">
        <f>IF(tblOrdenes[[#This Row],[puesto_trabajo]]="","",_xlfn.XLOOKUP(tblOrdenes[[#This Row],[puesto_trabajo]],tblPuestos[codigo],tblPuestos[especialidad],"(sin catálogo)"))</f>
        <v/>
      </c>
      <c r="AC852" s="5">
        <f>IF(tblOrdenes[[#This Row],[cod_actividad]]="","",_xlfn.XLOOKUP(tblOrdenes[[#This Row],[cod_actividad]],tblActividades[codigo],tblActividades[descripcion],"(sin catálogo)"))</f>
        <v/>
      </c>
      <c r="AD852" s="23">
        <f>IF(tblOrdenes[[#This Row],[fecha_inicio]]="","",TODAY()-tblOrdenes[[#This Row],[fecha_inicio]])</f>
        <v/>
      </c>
      <c r="AE8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5">
        <f>IF(tblOrdenes[[#This Row],[backlog_habiles]]="","",IF(tblOrdenes[[#This Row],[backlog_habiles]]&lt;0,"FUTURO",IF(tblOrdenes[[#This Row],[backlog_habiles]]&gt;p_dias_backlog_max,"BACKLOG","MES CORRIENTE")))</f>
        <v/>
      </c>
      <c r="AG852" s="5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18">
        <f>IF(tblOrdenes[[#This Row],[orden]]="","",_xlfn.XLOOKUP(tblOrdenes[[#This Row],[id_operacion]],tblEjecucion[id_operacion],tblEjecucion[precio],0))</f>
        <v/>
      </c>
      <c r="AM852" s="18">
        <f>IF(tblOrdenes[[#This Row],[orden]]="","",MAX(0,_xlfn.XLOOKUP(tblOrdenes[[#This Row],[id_operacion]],tblEjecucion[id_operacion],tblEjecucion[costo_plan_total],0)-tblOrdenes[[#This Row],[costo_servicio]]))</f>
        <v/>
      </c>
      <c r="AN852" s="18">
        <f>IF(tblOrdenes[[#This Row],[orden]]="","",tblOrdenes[[#This Row],[costo_servicio]]+tblOrdenes[[#This Row],[costo_materiales]])</f>
        <v/>
      </c>
      <c r="AO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5">
        <f>IF(tblOrdenes[[#This Row],[link_checklist]]="","",HYPERLINK(p_ruta_base_checklists&amp;tblOrdenes[[#This Row],[link_checklist]],"abrir"))</f>
        <v/>
      </c>
      <c r="AT852" s="4" t="n"/>
      <c r="AU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5" t="n"/>
      <c r="K853" s="5" t="n"/>
      <c r="L853" s="18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Row],[fecha_inicio]]="","",tblOrdenes[[#This Row],[anio]]&amp;"-"&amp;TEXT(tblOrdenes[[#This Row],[mes]],"00"))</f>
        <v/>
      </c>
      <c r="S853" s="5">
        <f>IF(tblOrdenes[[#This Row],[fecha_inicio]]="","",INDEX(lista_dias,WEEKDAY(tblOrdenes[[#This Row],[fecha_inicio]],2)))</f>
        <v/>
      </c>
      <c r="T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5">
        <f>IF(tblOrdenes[[#This Row],[tipo_ot]]="","",_xlfn.XLOOKUP(tblOrdenes[[#This Row],[tipo_ot]],tblTiposOT[codigo],tblTiposOT[clasificacion],"sin_clasificar"))</f>
        <v/>
      </c>
      <c r="V8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5">
        <f>IF(tblOrdenes[[#This Row],[centro_costo]]="","",_xlfn.XLOOKUP(tblOrdenes[[#This Row],[centro_costo]],tblCECO[codigo],tblCECO[linea],"(sin catálogo)"))</f>
        <v/>
      </c>
      <c r="Y853" s="5">
        <f>IF(tblOrdenes[[#This Row],[centro_costo]]="","",_xlfn.XLOOKUP(tblOrdenes[[#This Row],[centro_costo]],tblCECO[codigo],tblCECO[area],"(sin catálogo)"))</f>
        <v/>
      </c>
      <c r="Z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5">
        <f>IF(tblOrdenes[[#This Row],[centro_costo]]="","",_xlfn.XLOOKUP(tblOrdenes[[#This Row],[centro_costo]],tblCECO[codigo],tblCECO[coordinador],"(sin catálogo)"))</f>
        <v/>
      </c>
      <c r="AB853" s="5">
        <f>IF(tblOrdenes[[#This Row],[puesto_trabajo]]="","",_xlfn.XLOOKUP(tblOrdenes[[#This Row],[puesto_trabajo]],tblPuestos[codigo],tblPuestos[especialidad],"(sin catálogo)"))</f>
        <v/>
      </c>
      <c r="AC853" s="5">
        <f>IF(tblOrdenes[[#This Row],[cod_actividad]]="","",_xlfn.XLOOKUP(tblOrdenes[[#This Row],[cod_actividad]],tblActividades[codigo],tblActividades[descripcion],"(sin catálogo)"))</f>
        <v/>
      </c>
      <c r="AD853" s="23">
        <f>IF(tblOrdenes[[#This Row],[fecha_inicio]]="","",TODAY()-tblOrdenes[[#This Row],[fecha_inicio]])</f>
        <v/>
      </c>
      <c r="AE8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5">
        <f>IF(tblOrdenes[[#This Row],[backlog_habiles]]="","",IF(tblOrdenes[[#This Row],[backlog_habiles]]&lt;0,"FUTURO",IF(tblOrdenes[[#This Row],[backlog_habiles]]&gt;p_dias_backlog_max,"BACKLOG","MES CORRIENTE")))</f>
        <v/>
      </c>
      <c r="AG853" s="5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18">
        <f>IF(tblOrdenes[[#This Row],[orden]]="","",_xlfn.XLOOKUP(tblOrdenes[[#This Row],[id_operacion]],tblEjecucion[id_operacion],tblEjecucion[precio],0))</f>
        <v/>
      </c>
      <c r="AM853" s="18">
        <f>IF(tblOrdenes[[#This Row],[orden]]="","",MAX(0,_xlfn.XLOOKUP(tblOrdenes[[#This Row],[id_operacion]],tblEjecucion[id_operacion],tblEjecucion[costo_plan_total],0)-tblOrdenes[[#This Row],[costo_servicio]]))</f>
        <v/>
      </c>
      <c r="AN853" s="18">
        <f>IF(tblOrdenes[[#This Row],[orden]]="","",tblOrdenes[[#This Row],[costo_servicio]]+tblOrdenes[[#This Row],[costo_materiales]])</f>
        <v/>
      </c>
      <c r="AO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5">
        <f>IF(tblOrdenes[[#This Row],[link_checklist]]="","",HYPERLINK(p_ruta_base_checklists&amp;tblOrdenes[[#This Row],[link_checklist]],"abrir"))</f>
        <v/>
      </c>
      <c r="AT853" s="4" t="n"/>
      <c r="AU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5" t="n"/>
      <c r="K854" s="5" t="n"/>
      <c r="L854" s="18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Row],[fecha_inicio]]="","",tblOrdenes[[#This Row],[anio]]&amp;"-"&amp;TEXT(tblOrdenes[[#This Row],[mes]],"00"))</f>
        <v/>
      </c>
      <c r="S854" s="5">
        <f>IF(tblOrdenes[[#This Row],[fecha_inicio]]="","",INDEX(lista_dias,WEEKDAY(tblOrdenes[[#This Row],[fecha_inicio]],2)))</f>
        <v/>
      </c>
      <c r="T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5">
        <f>IF(tblOrdenes[[#This Row],[tipo_ot]]="","",_xlfn.XLOOKUP(tblOrdenes[[#This Row],[tipo_ot]],tblTiposOT[codigo],tblTiposOT[clasificacion],"sin_clasificar"))</f>
        <v/>
      </c>
      <c r="V8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5">
        <f>IF(tblOrdenes[[#This Row],[centro_costo]]="","",_xlfn.XLOOKUP(tblOrdenes[[#This Row],[centro_costo]],tblCECO[codigo],tblCECO[linea],"(sin catálogo)"))</f>
        <v/>
      </c>
      <c r="Y854" s="5">
        <f>IF(tblOrdenes[[#This Row],[centro_costo]]="","",_xlfn.XLOOKUP(tblOrdenes[[#This Row],[centro_costo]],tblCECO[codigo],tblCECO[area],"(sin catálogo)"))</f>
        <v/>
      </c>
      <c r="Z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5">
        <f>IF(tblOrdenes[[#This Row],[centro_costo]]="","",_xlfn.XLOOKUP(tblOrdenes[[#This Row],[centro_costo]],tblCECO[codigo],tblCECO[coordinador],"(sin catálogo)"))</f>
        <v/>
      </c>
      <c r="AB854" s="5">
        <f>IF(tblOrdenes[[#This Row],[puesto_trabajo]]="","",_xlfn.XLOOKUP(tblOrdenes[[#This Row],[puesto_trabajo]],tblPuestos[codigo],tblPuestos[especialidad],"(sin catálogo)"))</f>
        <v/>
      </c>
      <c r="AC854" s="5">
        <f>IF(tblOrdenes[[#This Row],[cod_actividad]]="","",_xlfn.XLOOKUP(tblOrdenes[[#This Row],[cod_actividad]],tblActividades[codigo],tblActividades[descripcion],"(sin catálogo)"))</f>
        <v/>
      </c>
      <c r="AD854" s="23">
        <f>IF(tblOrdenes[[#This Row],[fecha_inicio]]="","",TODAY()-tblOrdenes[[#This Row],[fecha_inicio]])</f>
        <v/>
      </c>
      <c r="AE8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5">
        <f>IF(tblOrdenes[[#This Row],[backlog_habiles]]="","",IF(tblOrdenes[[#This Row],[backlog_habiles]]&lt;0,"FUTURO",IF(tblOrdenes[[#This Row],[backlog_habiles]]&gt;p_dias_backlog_max,"BACKLOG","MES CORRIENTE")))</f>
        <v/>
      </c>
      <c r="AG854" s="5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18">
        <f>IF(tblOrdenes[[#This Row],[orden]]="","",_xlfn.XLOOKUP(tblOrdenes[[#This Row],[id_operacion]],tblEjecucion[id_operacion],tblEjecucion[precio],0))</f>
        <v/>
      </c>
      <c r="AM854" s="18">
        <f>IF(tblOrdenes[[#This Row],[orden]]="","",MAX(0,_xlfn.XLOOKUP(tblOrdenes[[#This Row],[id_operacion]],tblEjecucion[id_operacion],tblEjecucion[costo_plan_total],0)-tblOrdenes[[#This Row],[costo_servicio]]))</f>
        <v/>
      </c>
      <c r="AN854" s="18">
        <f>IF(tblOrdenes[[#This Row],[orden]]="","",tblOrdenes[[#This Row],[costo_servicio]]+tblOrdenes[[#This Row],[costo_materiales]])</f>
        <v/>
      </c>
      <c r="AO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5">
        <f>IF(tblOrdenes[[#This Row],[link_checklist]]="","",HYPERLINK(p_ruta_base_checklists&amp;tblOrdenes[[#This Row],[link_checklist]],"abrir"))</f>
        <v/>
      </c>
      <c r="AT854" s="4" t="n"/>
      <c r="AU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5" t="n"/>
      <c r="K855" s="5" t="n"/>
      <c r="L855" s="18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Row],[fecha_inicio]]="","",tblOrdenes[[#This Row],[anio]]&amp;"-"&amp;TEXT(tblOrdenes[[#This Row],[mes]],"00"))</f>
        <v/>
      </c>
      <c r="S855" s="5">
        <f>IF(tblOrdenes[[#This Row],[fecha_inicio]]="","",INDEX(lista_dias,WEEKDAY(tblOrdenes[[#This Row],[fecha_inicio]],2)))</f>
        <v/>
      </c>
      <c r="T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5">
        <f>IF(tblOrdenes[[#This Row],[tipo_ot]]="","",_xlfn.XLOOKUP(tblOrdenes[[#This Row],[tipo_ot]],tblTiposOT[codigo],tblTiposOT[clasificacion],"sin_clasificar"))</f>
        <v/>
      </c>
      <c r="V8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5">
        <f>IF(tblOrdenes[[#This Row],[centro_costo]]="","",_xlfn.XLOOKUP(tblOrdenes[[#This Row],[centro_costo]],tblCECO[codigo],tblCECO[linea],"(sin catálogo)"))</f>
        <v/>
      </c>
      <c r="Y855" s="5">
        <f>IF(tblOrdenes[[#This Row],[centro_costo]]="","",_xlfn.XLOOKUP(tblOrdenes[[#This Row],[centro_costo]],tblCECO[codigo],tblCECO[area],"(sin catálogo)"))</f>
        <v/>
      </c>
      <c r="Z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5">
        <f>IF(tblOrdenes[[#This Row],[centro_costo]]="","",_xlfn.XLOOKUP(tblOrdenes[[#This Row],[centro_costo]],tblCECO[codigo],tblCECO[coordinador],"(sin catálogo)"))</f>
        <v/>
      </c>
      <c r="AB855" s="5">
        <f>IF(tblOrdenes[[#This Row],[puesto_trabajo]]="","",_xlfn.XLOOKUP(tblOrdenes[[#This Row],[puesto_trabajo]],tblPuestos[codigo],tblPuestos[especialidad],"(sin catálogo)"))</f>
        <v/>
      </c>
      <c r="AC855" s="5">
        <f>IF(tblOrdenes[[#This Row],[cod_actividad]]="","",_xlfn.XLOOKUP(tblOrdenes[[#This Row],[cod_actividad]],tblActividades[codigo],tblActividades[descripcion],"(sin catálogo)"))</f>
        <v/>
      </c>
      <c r="AD855" s="23">
        <f>IF(tblOrdenes[[#This Row],[fecha_inicio]]="","",TODAY()-tblOrdenes[[#This Row],[fecha_inicio]])</f>
        <v/>
      </c>
      <c r="AE8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5">
        <f>IF(tblOrdenes[[#This Row],[backlog_habiles]]="","",IF(tblOrdenes[[#This Row],[backlog_habiles]]&lt;0,"FUTURO",IF(tblOrdenes[[#This Row],[backlog_habiles]]&gt;p_dias_backlog_max,"BACKLOG","MES CORRIENTE")))</f>
        <v/>
      </c>
      <c r="AG855" s="5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18">
        <f>IF(tblOrdenes[[#This Row],[orden]]="","",_xlfn.XLOOKUP(tblOrdenes[[#This Row],[id_operacion]],tblEjecucion[id_operacion],tblEjecucion[precio],0))</f>
        <v/>
      </c>
      <c r="AM855" s="18">
        <f>IF(tblOrdenes[[#This Row],[orden]]="","",MAX(0,_xlfn.XLOOKUP(tblOrdenes[[#This Row],[id_operacion]],tblEjecucion[id_operacion],tblEjecucion[costo_plan_total],0)-tblOrdenes[[#This Row],[costo_servicio]]))</f>
        <v/>
      </c>
      <c r="AN855" s="18">
        <f>IF(tblOrdenes[[#This Row],[orden]]="","",tblOrdenes[[#This Row],[costo_servicio]]+tblOrdenes[[#This Row],[costo_materiales]])</f>
        <v/>
      </c>
      <c r="AO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5">
        <f>IF(tblOrdenes[[#This Row],[link_checklist]]="","",HYPERLINK(p_ruta_base_checklists&amp;tblOrdenes[[#This Row],[link_checklist]],"abrir"))</f>
        <v/>
      </c>
      <c r="AT855" s="4" t="n"/>
      <c r="AU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5" t="n"/>
      <c r="K856" s="5" t="n"/>
      <c r="L856" s="18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Row],[fecha_inicio]]="","",tblOrdenes[[#This Row],[anio]]&amp;"-"&amp;TEXT(tblOrdenes[[#This Row],[mes]],"00"))</f>
        <v/>
      </c>
      <c r="S856" s="5">
        <f>IF(tblOrdenes[[#This Row],[fecha_inicio]]="","",INDEX(lista_dias,WEEKDAY(tblOrdenes[[#This Row],[fecha_inicio]],2)))</f>
        <v/>
      </c>
      <c r="T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5">
        <f>IF(tblOrdenes[[#This Row],[tipo_ot]]="","",_xlfn.XLOOKUP(tblOrdenes[[#This Row],[tipo_ot]],tblTiposOT[codigo],tblTiposOT[clasificacion],"sin_clasificar"))</f>
        <v/>
      </c>
      <c r="V8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5">
        <f>IF(tblOrdenes[[#This Row],[centro_costo]]="","",_xlfn.XLOOKUP(tblOrdenes[[#This Row],[centro_costo]],tblCECO[codigo],tblCECO[linea],"(sin catálogo)"))</f>
        <v/>
      </c>
      <c r="Y856" s="5">
        <f>IF(tblOrdenes[[#This Row],[centro_costo]]="","",_xlfn.XLOOKUP(tblOrdenes[[#This Row],[centro_costo]],tblCECO[codigo],tblCECO[area],"(sin catálogo)"))</f>
        <v/>
      </c>
      <c r="Z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5">
        <f>IF(tblOrdenes[[#This Row],[centro_costo]]="","",_xlfn.XLOOKUP(tblOrdenes[[#This Row],[centro_costo]],tblCECO[codigo],tblCECO[coordinador],"(sin catálogo)"))</f>
        <v/>
      </c>
      <c r="AB856" s="5">
        <f>IF(tblOrdenes[[#This Row],[puesto_trabajo]]="","",_xlfn.XLOOKUP(tblOrdenes[[#This Row],[puesto_trabajo]],tblPuestos[codigo],tblPuestos[especialidad],"(sin catálogo)"))</f>
        <v/>
      </c>
      <c r="AC856" s="5">
        <f>IF(tblOrdenes[[#This Row],[cod_actividad]]="","",_xlfn.XLOOKUP(tblOrdenes[[#This Row],[cod_actividad]],tblActividades[codigo],tblActividades[descripcion],"(sin catálogo)"))</f>
        <v/>
      </c>
      <c r="AD856" s="23">
        <f>IF(tblOrdenes[[#This Row],[fecha_inicio]]="","",TODAY()-tblOrdenes[[#This Row],[fecha_inicio]])</f>
        <v/>
      </c>
      <c r="AE8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5">
        <f>IF(tblOrdenes[[#This Row],[backlog_habiles]]="","",IF(tblOrdenes[[#This Row],[backlog_habiles]]&lt;0,"FUTURO",IF(tblOrdenes[[#This Row],[backlog_habiles]]&gt;p_dias_backlog_max,"BACKLOG","MES CORRIENTE")))</f>
        <v/>
      </c>
      <c r="AG856" s="5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18">
        <f>IF(tblOrdenes[[#This Row],[orden]]="","",_xlfn.XLOOKUP(tblOrdenes[[#This Row],[id_operacion]],tblEjecucion[id_operacion],tblEjecucion[precio],0))</f>
        <v/>
      </c>
      <c r="AM856" s="18">
        <f>IF(tblOrdenes[[#This Row],[orden]]="","",MAX(0,_xlfn.XLOOKUP(tblOrdenes[[#This Row],[id_operacion]],tblEjecucion[id_operacion],tblEjecucion[costo_plan_total],0)-tblOrdenes[[#This Row],[costo_servicio]]))</f>
        <v/>
      </c>
      <c r="AN856" s="18">
        <f>IF(tblOrdenes[[#This Row],[orden]]="","",tblOrdenes[[#This Row],[costo_servicio]]+tblOrdenes[[#This Row],[costo_materiales]])</f>
        <v/>
      </c>
      <c r="AO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5">
        <f>IF(tblOrdenes[[#This Row],[link_checklist]]="","",HYPERLINK(p_ruta_base_checklists&amp;tblOrdenes[[#This Row],[link_checklist]],"abrir"))</f>
        <v/>
      </c>
      <c r="AT856" s="4" t="n"/>
      <c r="AU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5" t="n"/>
      <c r="K857" s="5" t="n"/>
      <c r="L857" s="18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Row],[fecha_inicio]]="","",tblOrdenes[[#This Row],[anio]]&amp;"-"&amp;TEXT(tblOrdenes[[#This Row],[mes]],"00"))</f>
        <v/>
      </c>
      <c r="S857" s="5">
        <f>IF(tblOrdenes[[#This Row],[fecha_inicio]]="","",INDEX(lista_dias,WEEKDAY(tblOrdenes[[#This Row],[fecha_inicio]],2)))</f>
        <v/>
      </c>
      <c r="T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5">
        <f>IF(tblOrdenes[[#This Row],[tipo_ot]]="","",_xlfn.XLOOKUP(tblOrdenes[[#This Row],[tipo_ot]],tblTiposOT[codigo],tblTiposOT[clasificacion],"sin_clasificar"))</f>
        <v/>
      </c>
      <c r="V8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5">
        <f>IF(tblOrdenes[[#This Row],[centro_costo]]="","",_xlfn.XLOOKUP(tblOrdenes[[#This Row],[centro_costo]],tblCECO[codigo],tblCECO[linea],"(sin catálogo)"))</f>
        <v/>
      </c>
      <c r="Y857" s="5">
        <f>IF(tblOrdenes[[#This Row],[centro_costo]]="","",_xlfn.XLOOKUP(tblOrdenes[[#This Row],[centro_costo]],tblCECO[codigo],tblCECO[area],"(sin catálogo)"))</f>
        <v/>
      </c>
      <c r="Z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5">
        <f>IF(tblOrdenes[[#This Row],[centro_costo]]="","",_xlfn.XLOOKUP(tblOrdenes[[#This Row],[centro_costo]],tblCECO[codigo],tblCECO[coordinador],"(sin catálogo)"))</f>
        <v/>
      </c>
      <c r="AB857" s="5">
        <f>IF(tblOrdenes[[#This Row],[puesto_trabajo]]="","",_xlfn.XLOOKUP(tblOrdenes[[#This Row],[puesto_trabajo]],tblPuestos[codigo],tblPuestos[especialidad],"(sin catálogo)"))</f>
        <v/>
      </c>
      <c r="AC857" s="5">
        <f>IF(tblOrdenes[[#This Row],[cod_actividad]]="","",_xlfn.XLOOKUP(tblOrdenes[[#This Row],[cod_actividad]],tblActividades[codigo],tblActividades[descripcion],"(sin catálogo)"))</f>
        <v/>
      </c>
      <c r="AD857" s="23">
        <f>IF(tblOrdenes[[#This Row],[fecha_inicio]]="","",TODAY()-tblOrdenes[[#This Row],[fecha_inicio]])</f>
        <v/>
      </c>
      <c r="AE8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5">
        <f>IF(tblOrdenes[[#This Row],[backlog_habiles]]="","",IF(tblOrdenes[[#This Row],[backlog_habiles]]&lt;0,"FUTURO",IF(tblOrdenes[[#This Row],[backlog_habiles]]&gt;p_dias_backlog_max,"BACKLOG","MES CORRIENTE")))</f>
        <v/>
      </c>
      <c r="AG857" s="5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18">
        <f>IF(tblOrdenes[[#This Row],[orden]]="","",_xlfn.XLOOKUP(tblOrdenes[[#This Row],[id_operacion]],tblEjecucion[id_operacion],tblEjecucion[precio],0))</f>
        <v/>
      </c>
      <c r="AM857" s="18">
        <f>IF(tblOrdenes[[#This Row],[orden]]="","",MAX(0,_xlfn.XLOOKUP(tblOrdenes[[#This Row],[id_operacion]],tblEjecucion[id_operacion],tblEjecucion[costo_plan_total],0)-tblOrdenes[[#This Row],[costo_servicio]]))</f>
        <v/>
      </c>
      <c r="AN857" s="18">
        <f>IF(tblOrdenes[[#This Row],[orden]]="","",tblOrdenes[[#This Row],[costo_servicio]]+tblOrdenes[[#This Row],[costo_materiales]])</f>
        <v/>
      </c>
      <c r="AO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5">
        <f>IF(tblOrdenes[[#This Row],[link_checklist]]="","",HYPERLINK(p_ruta_base_checklists&amp;tblOrdenes[[#This Row],[link_checklist]],"abrir"))</f>
        <v/>
      </c>
      <c r="AT857" s="4" t="n"/>
      <c r="AU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5" t="n"/>
      <c r="K858" s="5" t="n"/>
      <c r="L858" s="18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Row],[fecha_inicio]]="","",tblOrdenes[[#This Row],[anio]]&amp;"-"&amp;TEXT(tblOrdenes[[#This Row],[mes]],"00"))</f>
        <v/>
      </c>
      <c r="S858" s="5">
        <f>IF(tblOrdenes[[#This Row],[fecha_inicio]]="","",INDEX(lista_dias,WEEKDAY(tblOrdenes[[#This Row],[fecha_inicio]],2)))</f>
        <v/>
      </c>
      <c r="T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5">
        <f>IF(tblOrdenes[[#This Row],[tipo_ot]]="","",_xlfn.XLOOKUP(tblOrdenes[[#This Row],[tipo_ot]],tblTiposOT[codigo],tblTiposOT[clasificacion],"sin_clasificar"))</f>
        <v/>
      </c>
      <c r="V8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5">
        <f>IF(tblOrdenes[[#This Row],[centro_costo]]="","",_xlfn.XLOOKUP(tblOrdenes[[#This Row],[centro_costo]],tblCECO[codigo],tblCECO[linea],"(sin catálogo)"))</f>
        <v/>
      </c>
      <c r="Y858" s="5">
        <f>IF(tblOrdenes[[#This Row],[centro_costo]]="","",_xlfn.XLOOKUP(tblOrdenes[[#This Row],[centro_costo]],tblCECO[codigo],tblCECO[area],"(sin catálogo)"))</f>
        <v/>
      </c>
      <c r="Z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5">
        <f>IF(tblOrdenes[[#This Row],[centro_costo]]="","",_xlfn.XLOOKUP(tblOrdenes[[#This Row],[centro_costo]],tblCECO[codigo],tblCECO[coordinador],"(sin catálogo)"))</f>
        <v/>
      </c>
      <c r="AB858" s="5">
        <f>IF(tblOrdenes[[#This Row],[puesto_trabajo]]="","",_xlfn.XLOOKUP(tblOrdenes[[#This Row],[puesto_trabajo]],tblPuestos[codigo],tblPuestos[especialidad],"(sin catálogo)"))</f>
        <v/>
      </c>
      <c r="AC858" s="5">
        <f>IF(tblOrdenes[[#This Row],[cod_actividad]]="","",_xlfn.XLOOKUP(tblOrdenes[[#This Row],[cod_actividad]],tblActividades[codigo],tblActividades[descripcion],"(sin catálogo)"))</f>
        <v/>
      </c>
      <c r="AD858" s="23">
        <f>IF(tblOrdenes[[#This Row],[fecha_inicio]]="","",TODAY()-tblOrdenes[[#This Row],[fecha_inicio]])</f>
        <v/>
      </c>
      <c r="AE8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5">
        <f>IF(tblOrdenes[[#This Row],[backlog_habiles]]="","",IF(tblOrdenes[[#This Row],[backlog_habiles]]&lt;0,"FUTURO",IF(tblOrdenes[[#This Row],[backlog_habiles]]&gt;p_dias_backlog_max,"BACKLOG","MES CORRIENTE")))</f>
        <v/>
      </c>
      <c r="AG858" s="5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18">
        <f>IF(tblOrdenes[[#This Row],[orden]]="","",_xlfn.XLOOKUP(tblOrdenes[[#This Row],[id_operacion]],tblEjecucion[id_operacion],tblEjecucion[precio],0))</f>
        <v/>
      </c>
      <c r="AM858" s="18">
        <f>IF(tblOrdenes[[#This Row],[orden]]="","",MAX(0,_xlfn.XLOOKUP(tblOrdenes[[#This Row],[id_operacion]],tblEjecucion[id_operacion],tblEjecucion[costo_plan_total],0)-tblOrdenes[[#This Row],[costo_servicio]]))</f>
        <v/>
      </c>
      <c r="AN858" s="18">
        <f>IF(tblOrdenes[[#This Row],[orden]]="","",tblOrdenes[[#This Row],[costo_servicio]]+tblOrdenes[[#This Row],[costo_materiales]])</f>
        <v/>
      </c>
      <c r="AO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5">
        <f>IF(tblOrdenes[[#This Row],[link_checklist]]="","",HYPERLINK(p_ruta_base_checklists&amp;tblOrdenes[[#This Row],[link_checklist]],"abrir"))</f>
        <v/>
      </c>
      <c r="AT858" s="4" t="n"/>
      <c r="AU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5" t="n"/>
      <c r="K859" s="5" t="n"/>
      <c r="L859" s="18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Row],[fecha_inicio]]="","",tblOrdenes[[#This Row],[anio]]&amp;"-"&amp;TEXT(tblOrdenes[[#This Row],[mes]],"00"))</f>
        <v/>
      </c>
      <c r="S859" s="5">
        <f>IF(tblOrdenes[[#This Row],[fecha_inicio]]="","",INDEX(lista_dias,WEEKDAY(tblOrdenes[[#This Row],[fecha_inicio]],2)))</f>
        <v/>
      </c>
      <c r="T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5">
        <f>IF(tblOrdenes[[#This Row],[tipo_ot]]="","",_xlfn.XLOOKUP(tblOrdenes[[#This Row],[tipo_ot]],tblTiposOT[codigo],tblTiposOT[clasificacion],"sin_clasificar"))</f>
        <v/>
      </c>
      <c r="V8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5">
        <f>IF(tblOrdenes[[#This Row],[centro_costo]]="","",_xlfn.XLOOKUP(tblOrdenes[[#This Row],[centro_costo]],tblCECO[codigo],tblCECO[linea],"(sin catálogo)"))</f>
        <v/>
      </c>
      <c r="Y859" s="5">
        <f>IF(tblOrdenes[[#This Row],[centro_costo]]="","",_xlfn.XLOOKUP(tblOrdenes[[#This Row],[centro_costo]],tblCECO[codigo],tblCECO[area],"(sin catálogo)"))</f>
        <v/>
      </c>
      <c r="Z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5">
        <f>IF(tblOrdenes[[#This Row],[centro_costo]]="","",_xlfn.XLOOKUP(tblOrdenes[[#This Row],[centro_costo]],tblCECO[codigo],tblCECO[coordinador],"(sin catálogo)"))</f>
        <v/>
      </c>
      <c r="AB859" s="5">
        <f>IF(tblOrdenes[[#This Row],[puesto_trabajo]]="","",_xlfn.XLOOKUP(tblOrdenes[[#This Row],[puesto_trabajo]],tblPuestos[codigo],tblPuestos[especialidad],"(sin catálogo)"))</f>
        <v/>
      </c>
      <c r="AC859" s="5">
        <f>IF(tblOrdenes[[#This Row],[cod_actividad]]="","",_xlfn.XLOOKUP(tblOrdenes[[#This Row],[cod_actividad]],tblActividades[codigo],tblActividades[descripcion],"(sin catálogo)"))</f>
        <v/>
      </c>
      <c r="AD859" s="23">
        <f>IF(tblOrdenes[[#This Row],[fecha_inicio]]="","",TODAY()-tblOrdenes[[#This Row],[fecha_inicio]])</f>
        <v/>
      </c>
      <c r="AE8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5">
        <f>IF(tblOrdenes[[#This Row],[backlog_habiles]]="","",IF(tblOrdenes[[#This Row],[backlog_habiles]]&lt;0,"FUTURO",IF(tblOrdenes[[#This Row],[backlog_habiles]]&gt;p_dias_backlog_max,"BACKLOG","MES CORRIENTE")))</f>
        <v/>
      </c>
      <c r="AG859" s="5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18">
        <f>IF(tblOrdenes[[#This Row],[orden]]="","",_xlfn.XLOOKUP(tblOrdenes[[#This Row],[id_operacion]],tblEjecucion[id_operacion],tblEjecucion[precio],0))</f>
        <v/>
      </c>
      <c r="AM859" s="18">
        <f>IF(tblOrdenes[[#This Row],[orden]]="","",MAX(0,_xlfn.XLOOKUP(tblOrdenes[[#This Row],[id_operacion]],tblEjecucion[id_operacion],tblEjecucion[costo_plan_total],0)-tblOrdenes[[#This Row],[costo_servicio]]))</f>
        <v/>
      </c>
      <c r="AN859" s="18">
        <f>IF(tblOrdenes[[#This Row],[orden]]="","",tblOrdenes[[#This Row],[costo_servicio]]+tblOrdenes[[#This Row],[costo_materiales]])</f>
        <v/>
      </c>
      <c r="AO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5">
        <f>IF(tblOrdenes[[#This Row],[link_checklist]]="","",HYPERLINK(p_ruta_base_checklists&amp;tblOrdenes[[#This Row],[link_checklist]],"abrir"))</f>
        <v/>
      </c>
      <c r="AT859" s="4" t="n"/>
      <c r="AU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5" t="n"/>
      <c r="K860" s="5" t="n"/>
      <c r="L860" s="18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Row],[fecha_inicio]]="","",tblOrdenes[[#This Row],[anio]]&amp;"-"&amp;TEXT(tblOrdenes[[#This Row],[mes]],"00"))</f>
        <v/>
      </c>
      <c r="S860" s="5">
        <f>IF(tblOrdenes[[#This Row],[fecha_inicio]]="","",INDEX(lista_dias,WEEKDAY(tblOrdenes[[#This Row],[fecha_inicio]],2)))</f>
        <v/>
      </c>
      <c r="T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5">
        <f>IF(tblOrdenes[[#This Row],[tipo_ot]]="","",_xlfn.XLOOKUP(tblOrdenes[[#This Row],[tipo_ot]],tblTiposOT[codigo],tblTiposOT[clasificacion],"sin_clasificar"))</f>
        <v/>
      </c>
      <c r="V8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5">
        <f>IF(tblOrdenes[[#This Row],[centro_costo]]="","",_xlfn.XLOOKUP(tblOrdenes[[#This Row],[centro_costo]],tblCECO[codigo],tblCECO[linea],"(sin catálogo)"))</f>
        <v/>
      </c>
      <c r="Y860" s="5">
        <f>IF(tblOrdenes[[#This Row],[centro_costo]]="","",_xlfn.XLOOKUP(tblOrdenes[[#This Row],[centro_costo]],tblCECO[codigo],tblCECO[area],"(sin catálogo)"))</f>
        <v/>
      </c>
      <c r="Z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5">
        <f>IF(tblOrdenes[[#This Row],[centro_costo]]="","",_xlfn.XLOOKUP(tblOrdenes[[#This Row],[centro_costo]],tblCECO[codigo],tblCECO[coordinador],"(sin catálogo)"))</f>
        <v/>
      </c>
      <c r="AB860" s="5">
        <f>IF(tblOrdenes[[#This Row],[puesto_trabajo]]="","",_xlfn.XLOOKUP(tblOrdenes[[#This Row],[puesto_trabajo]],tblPuestos[codigo],tblPuestos[especialidad],"(sin catálogo)"))</f>
        <v/>
      </c>
      <c r="AC860" s="5">
        <f>IF(tblOrdenes[[#This Row],[cod_actividad]]="","",_xlfn.XLOOKUP(tblOrdenes[[#This Row],[cod_actividad]],tblActividades[codigo],tblActividades[descripcion],"(sin catálogo)"))</f>
        <v/>
      </c>
      <c r="AD860" s="23">
        <f>IF(tblOrdenes[[#This Row],[fecha_inicio]]="","",TODAY()-tblOrdenes[[#This Row],[fecha_inicio]])</f>
        <v/>
      </c>
      <c r="AE8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5">
        <f>IF(tblOrdenes[[#This Row],[backlog_habiles]]="","",IF(tblOrdenes[[#This Row],[backlog_habiles]]&lt;0,"FUTURO",IF(tblOrdenes[[#This Row],[backlog_habiles]]&gt;p_dias_backlog_max,"BACKLOG","MES CORRIENTE")))</f>
        <v/>
      </c>
      <c r="AG860" s="5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18">
        <f>IF(tblOrdenes[[#This Row],[orden]]="","",_xlfn.XLOOKUP(tblOrdenes[[#This Row],[id_operacion]],tblEjecucion[id_operacion],tblEjecucion[precio],0))</f>
        <v/>
      </c>
      <c r="AM860" s="18">
        <f>IF(tblOrdenes[[#This Row],[orden]]="","",MAX(0,_xlfn.XLOOKUP(tblOrdenes[[#This Row],[id_operacion]],tblEjecucion[id_operacion],tblEjecucion[costo_plan_total],0)-tblOrdenes[[#This Row],[costo_servicio]]))</f>
        <v/>
      </c>
      <c r="AN860" s="18">
        <f>IF(tblOrdenes[[#This Row],[orden]]="","",tblOrdenes[[#This Row],[costo_servicio]]+tblOrdenes[[#This Row],[costo_materiales]])</f>
        <v/>
      </c>
      <c r="AO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5">
        <f>IF(tblOrdenes[[#This Row],[link_checklist]]="","",HYPERLINK(p_ruta_base_checklists&amp;tblOrdenes[[#This Row],[link_checklist]],"abrir"))</f>
        <v/>
      </c>
      <c r="AT860" s="4" t="n"/>
      <c r="AU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5" t="n"/>
      <c r="K861" s="5" t="n"/>
      <c r="L861" s="18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Row],[fecha_inicio]]="","",tblOrdenes[[#This Row],[anio]]&amp;"-"&amp;TEXT(tblOrdenes[[#This Row],[mes]],"00"))</f>
        <v/>
      </c>
      <c r="S861" s="5">
        <f>IF(tblOrdenes[[#This Row],[fecha_inicio]]="","",INDEX(lista_dias,WEEKDAY(tblOrdenes[[#This Row],[fecha_inicio]],2)))</f>
        <v/>
      </c>
      <c r="T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5">
        <f>IF(tblOrdenes[[#This Row],[tipo_ot]]="","",_xlfn.XLOOKUP(tblOrdenes[[#This Row],[tipo_ot]],tblTiposOT[codigo],tblTiposOT[clasificacion],"sin_clasificar"))</f>
        <v/>
      </c>
      <c r="V8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5">
        <f>IF(tblOrdenes[[#This Row],[centro_costo]]="","",_xlfn.XLOOKUP(tblOrdenes[[#This Row],[centro_costo]],tblCECO[codigo],tblCECO[linea],"(sin catálogo)"))</f>
        <v/>
      </c>
      <c r="Y861" s="5">
        <f>IF(tblOrdenes[[#This Row],[centro_costo]]="","",_xlfn.XLOOKUP(tblOrdenes[[#This Row],[centro_costo]],tblCECO[codigo],tblCECO[area],"(sin catálogo)"))</f>
        <v/>
      </c>
      <c r="Z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5">
        <f>IF(tblOrdenes[[#This Row],[centro_costo]]="","",_xlfn.XLOOKUP(tblOrdenes[[#This Row],[centro_costo]],tblCECO[codigo],tblCECO[coordinador],"(sin catálogo)"))</f>
        <v/>
      </c>
      <c r="AB861" s="5">
        <f>IF(tblOrdenes[[#This Row],[puesto_trabajo]]="","",_xlfn.XLOOKUP(tblOrdenes[[#This Row],[puesto_trabajo]],tblPuestos[codigo],tblPuestos[especialidad],"(sin catálogo)"))</f>
        <v/>
      </c>
      <c r="AC861" s="5">
        <f>IF(tblOrdenes[[#This Row],[cod_actividad]]="","",_xlfn.XLOOKUP(tblOrdenes[[#This Row],[cod_actividad]],tblActividades[codigo],tblActividades[descripcion],"(sin catálogo)"))</f>
        <v/>
      </c>
      <c r="AD861" s="23">
        <f>IF(tblOrdenes[[#This Row],[fecha_inicio]]="","",TODAY()-tblOrdenes[[#This Row],[fecha_inicio]])</f>
        <v/>
      </c>
      <c r="AE8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5">
        <f>IF(tblOrdenes[[#This Row],[backlog_habiles]]="","",IF(tblOrdenes[[#This Row],[backlog_habiles]]&lt;0,"FUTURO",IF(tblOrdenes[[#This Row],[backlog_habiles]]&gt;p_dias_backlog_max,"BACKLOG","MES CORRIENTE")))</f>
        <v/>
      </c>
      <c r="AG861" s="5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18">
        <f>IF(tblOrdenes[[#This Row],[orden]]="","",_xlfn.XLOOKUP(tblOrdenes[[#This Row],[id_operacion]],tblEjecucion[id_operacion],tblEjecucion[precio],0))</f>
        <v/>
      </c>
      <c r="AM861" s="18">
        <f>IF(tblOrdenes[[#This Row],[orden]]="","",MAX(0,_xlfn.XLOOKUP(tblOrdenes[[#This Row],[id_operacion]],tblEjecucion[id_operacion],tblEjecucion[costo_plan_total],0)-tblOrdenes[[#This Row],[costo_servicio]]))</f>
        <v/>
      </c>
      <c r="AN861" s="18">
        <f>IF(tblOrdenes[[#This Row],[orden]]="","",tblOrdenes[[#This Row],[costo_servicio]]+tblOrdenes[[#This Row],[costo_materiales]])</f>
        <v/>
      </c>
      <c r="AO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5">
        <f>IF(tblOrdenes[[#This Row],[link_checklist]]="","",HYPERLINK(p_ruta_base_checklists&amp;tblOrdenes[[#This Row],[link_checklist]],"abrir"))</f>
        <v/>
      </c>
      <c r="AT861" s="4" t="n"/>
      <c r="AU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5" t="n"/>
      <c r="K862" s="5" t="n"/>
      <c r="L862" s="18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Row],[fecha_inicio]]="","",tblOrdenes[[#This Row],[anio]]&amp;"-"&amp;TEXT(tblOrdenes[[#This Row],[mes]],"00"))</f>
        <v/>
      </c>
      <c r="S862" s="5">
        <f>IF(tblOrdenes[[#This Row],[fecha_inicio]]="","",INDEX(lista_dias,WEEKDAY(tblOrdenes[[#This Row],[fecha_inicio]],2)))</f>
        <v/>
      </c>
      <c r="T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5">
        <f>IF(tblOrdenes[[#This Row],[tipo_ot]]="","",_xlfn.XLOOKUP(tblOrdenes[[#This Row],[tipo_ot]],tblTiposOT[codigo],tblTiposOT[clasificacion],"sin_clasificar"))</f>
        <v/>
      </c>
      <c r="V8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5">
        <f>IF(tblOrdenes[[#This Row],[centro_costo]]="","",_xlfn.XLOOKUP(tblOrdenes[[#This Row],[centro_costo]],tblCECO[codigo],tblCECO[linea],"(sin catálogo)"))</f>
        <v/>
      </c>
      <c r="Y862" s="5">
        <f>IF(tblOrdenes[[#This Row],[centro_costo]]="","",_xlfn.XLOOKUP(tblOrdenes[[#This Row],[centro_costo]],tblCECO[codigo],tblCECO[area],"(sin catálogo)"))</f>
        <v/>
      </c>
      <c r="Z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5">
        <f>IF(tblOrdenes[[#This Row],[centro_costo]]="","",_xlfn.XLOOKUP(tblOrdenes[[#This Row],[centro_costo]],tblCECO[codigo],tblCECO[coordinador],"(sin catálogo)"))</f>
        <v/>
      </c>
      <c r="AB862" s="5">
        <f>IF(tblOrdenes[[#This Row],[puesto_trabajo]]="","",_xlfn.XLOOKUP(tblOrdenes[[#This Row],[puesto_trabajo]],tblPuestos[codigo],tblPuestos[especialidad],"(sin catálogo)"))</f>
        <v/>
      </c>
      <c r="AC862" s="5">
        <f>IF(tblOrdenes[[#This Row],[cod_actividad]]="","",_xlfn.XLOOKUP(tblOrdenes[[#This Row],[cod_actividad]],tblActividades[codigo],tblActividades[descripcion],"(sin catálogo)"))</f>
        <v/>
      </c>
      <c r="AD862" s="23">
        <f>IF(tblOrdenes[[#This Row],[fecha_inicio]]="","",TODAY()-tblOrdenes[[#This Row],[fecha_inicio]])</f>
        <v/>
      </c>
      <c r="AE8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5">
        <f>IF(tblOrdenes[[#This Row],[backlog_habiles]]="","",IF(tblOrdenes[[#This Row],[backlog_habiles]]&lt;0,"FUTURO",IF(tblOrdenes[[#This Row],[backlog_habiles]]&gt;p_dias_backlog_max,"BACKLOG","MES CORRIENTE")))</f>
        <v/>
      </c>
      <c r="AG862" s="5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18">
        <f>IF(tblOrdenes[[#This Row],[orden]]="","",_xlfn.XLOOKUP(tblOrdenes[[#This Row],[id_operacion]],tblEjecucion[id_operacion],tblEjecucion[precio],0))</f>
        <v/>
      </c>
      <c r="AM862" s="18">
        <f>IF(tblOrdenes[[#This Row],[orden]]="","",MAX(0,_xlfn.XLOOKUP(tblOrdenes[[#This Row],[id_operacion]],tblEjecucion[id_operacion],tblEjecucion[costo_plan_total],0)-tblOrdenes[[#This Row],[costo_servicio]]))</f>
        <v/>
      </c>
      <c r="AN862" s="18">
        <f>IF(tblOrdenes[[#This Row],[orden]]="","",tblOrdenes[[#This Row],[costo_servicio]]+tblOrdenes[[#This Row],[costo_materiales]])</f>
        <v/>
      </c>
      <c r="AO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5">
        <f>IF(tblOrdenes[[#This Row],[link_checklist]]="","",HYPERLINK(p_ruta_base_checklists&amp;tblOrdenes[[#This Row],[link_checklist]],"abrir"))</f>
        <v/>
      </c>
      <c r="AT862" s="4" t="n"/>
      <c r="AU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5" t="n"/>
      <c r="K863" s="5" t="n"/>
      <c r="L863" s="18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Row],[fecha_inicio]]="","",tblOrdenes[[#This Row],[anio]]&amp;"-"&amp;TEXT(tblOrdenes[[#This Row],[mes]],"00"))</f>
        <v/>
      </c>
      <c r="S863" s="5">
        <f>IF(tblOrdenes[[#This Row],[fecha_inicio]]="","",INDEX(lista_dias,WEEKDAY(tblOrdenes[[#This Row],[fecha_inicio]],2)))</f>
        <v/>
      </c>
      <c r="T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5">
        <f>IF(tblOrdenes[[#This Row],[tipo_ot]]="","",_xlfn.XLOOKUP(tblOrdenes[[#This Row],[tipo_ot]],tblTiposOT[codigo],tblTiposOT[clasificacion],"sin_clasificar"))</f>
        <v/>
      </c>
      <c r="V8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5">
        <f>IF(tblOrdenes[[#This Row],[centro_costo]]="","",_xlfn.XLOOKUP(tblOrdenes[[#This Row],[centro_costo]],tblCECO[codigo],tblCECO[linea],"(sin catálogo)"))</f>
        <v/>
      </c>
      <c r="Y863" s="5">
        <f>IF(tblOrdenes[[#This Row],[centro_costo]]="","",_xlfn.XLOOKUP(tblOrdenes[[#This Row],[centro_costo]],tblCECO[codigo],tblCECO[area],"(sin catálogo)"))</f>
        <v/>
      </c>
      <c r="Z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5">
        <f>IF(tblOrdenes[[#This Row],[centro_costo]]="","",_xlfn.XLOOKUP(tblOrdenes[[#This Row],[centro_costo]],tblCECO[codigo],tblCECO[coordinador],"(sin catálogo)"))</f>
        <v/>
      </c>
      <c r="AB863" s="5">
        <f>IF(tblOrdenes[[#This Row],[puesto_trabajo]]="","",_xlfn.XLOOKUP(tblOrdenes[[#This Row],[puesto_trabajo]],tblPuestos[codigo],tblPuestos[especialidad],"(sin catálogo)"))</f>
        <v/>
      </c>
      <c r="AC863" s="5">
        <f>IF(tblOrdenes[[#This Row],[cod_actividad]]="","",_xlfn.XLOOKUP(tblOrdenes[[#This Row],[cod_actividad]],tblActividades[codigo],tblActividades[descripcion],"(sin catálogo)"))</f>
        <v/>
      </c>
      <c r="AD863" s="23">
        <f>IF(tblOrdenes[[#This Row],[fecha_inicio]]="","",TODAY()-tblOrdenes[[#This Row],[fecha_inicio]])</f>
        <v/>
      </c>
      <c r="AE8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5">
        <f>IF(tblOrdenes[[#This Row],[backlog_habiles]]="","",IF(tblOrdenes[[#This Row],[backlog_habiles]]&lt;0,"FUTURO",IF(tblOrdenes[[#This Row],[backlog_habiles]]&gt;p_dias_backlog_max,"BACKLOG","MES CORRIENTE")))</f>
        <v/>
      </c>
      <c r="AG863" s="5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18">
        <f>IF(tblOrdenes[[#This Row],[orden]]="","",_xlfn.XLOOKUP(tblOrdenes[[#This Row],[id_operacion]],tblEjecucion[id_operacion],tblEjecucion[precio],0))</f>
        <v/>
      </c>
      <c r="AM863" s="18">
        <f>IF(tblOrdenes[[#This Row],[orden]]="","",MAX(0,_xlfn.XLOOKUP(tblOrdenes[[#This Row],[id_operacion]],tblEjecucion[id_operacion],tblEjecucion[costo_plan_total],0)-tblOrdenes[[#This Row],[costo_servicio]]))</f>
        <v/>
      </c>
      <c r="AN863" s="18">
        <f>IF(tblOrdenes[[#This Row],[orden]]="","",tblOrdenes[[#This Row],[costo_servicio]]+tblOrdenes[[#This Row],[costo_materiales]])</f>
        <v/>
      </c>
      <c r="AO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5">
        <f>IF(tblOrdenes[[#This Row],[link_checklist]]="","",HYPERLINK(p_ruta_base_checklists&amp;tblOrdenes[[#This Row],[link_checklist]],"abrir"))</f>
        <v/>
      </c>
      <c r="AT863" s="4" t="n"/>
      <c r="AU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5" t="n"/>
      <c r="K864" s="5" t="n"/>
      <c r="L864" s="18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Row],[fecha_inicio]]="","",tblOrdenes[[#This Row],[anio]]&amp;"-"&amp;TEXT(tblOrdenes[[#This Row],[mes]],"00"))</f>
        <v/>
      </c>
      <c r="S864" s="5">
        <f>IF(tblOrdenes[[#This Row],[fecha_inicio]]="","",INDEX(lista_dias,WEEKDAY(tblOrdenes[[#This Row],[fecha_inicio]],2)))</f>
        <v/>
      </c>
      <c r="T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5">
        <f>IF(tblOrdenes[[#This Row],[tipo_ot]]="","",_xlfn.XLOOKUP(tblOrdenes[[#This Row],[tipo_ot]],tblTiposOT[codigo],tblTiposOT[clasificacion],"sin_clasificar"))</f>
        <v/>
      </c>
      <c r="V8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5">
        <f>IF(tblOrdenes[[#This Row],[centro_costo]]="","",_xlfn.XLOOKUP(tblOrdenes[[#This Row],[centro_costo]],tblCECO[codigo],tblCECO[linea],"(sin catálogo)"))</f>
        <v/>
      </c>
      <c r="Y864" s="5">
        <f>IF(tblOrdenes[[#This Row],[centro_costo]]="","",_xlfn.XLOOKUP(tblOrdenes[[#This Row],[centro_costo]],tblCECO[codigo],tblCECO[area],"(sin catálogo)"))</f>
        <v/>
      </c>
      <c r="Z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5">
        <f>IF(tblOrdenes[[#This Row],[centro_costo]]="","",_xlfn.XLOOKUP(tblOrdenes[[#This Row],[centro_costo]],tblCECO[codigo],tblCECO[coordinador],"(sin catálogo)"))</f>
        <v/>
      </c>
      <c r="AB864" s="5">
        <f>IF(tblOrdenes[[#This Row],[puesto_trabajo]]="","",_xlfn.XLOOKUP(tblOrdenes[[#This Row],[puesto_trabajo]],tblPuestos[codigo],tblPuestos[especialidad],"(sin catálogo)"))</f>
        <v/>
      </c>
      <c r="AC864" s="5">
        <f>IF(tblOrdenes[[#This Row],[cod_actividad]]="","",_xlfn.XLOOKUP(tblOrdenes[[#This Row],[cod_actividad]],tblActividades[codigo],tblActividades[descripcion],"(sin catálogo)"))</f>
        <v/>
      </c>
      <c r="AD864" s="23">
        <f>IF(tblOrdenes[[#This Row],[fecha_inicio]]="","",TODAY()-tblOrdenes[[#This Row],[fecha_inicio]])</f>
        <v/>
      </c>
      <c r="AE8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5">
        <f>IF(tblOrdenes[[#This Row],[backlog_habiles]]="","",IF(tblOrdenes[[#This Row],[backlog_habiles]]&lt;0,"FUTURO",IF(tblOrdenes[[#This Row],[backlog_habiles]]&gt;p_dias_backlog_max,"BACKLOG","MES CORRIENTE")))</f>
        <v/>
      </c>
      <c r="AG864" s="5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18">
        <f>IF(tblOrdenes[[#This Row],[orden]]="","",_xlfn.XLOOKUP(tblOrdenes[[#This Row],[id_operacion]],tblEjecucion[id_operacion],tblEjecucion[precio],0))</f>
        <v/>
      </c>
      <c r="AM864" s="18">
        <f>IF(tblOrdenes[[#This Row],[orden]]="","",MAX(0,_xlfn.XLOOKUP(tblOrdenes[[#This Row],[id_operacion]],tblEjecucion[id_operacion],tblEjecucion[costo_plan_total],0)-tblOrdenes[[#This Row],[costo_servicio]]))</f>
        <v/>
      </c>
      <c r="AN864" s="18">
        <f>IF(tblOrdenes[[#This Row],[orden]]="","",tblOrdenes[[#This Row],[costo_servicio]]+tblOrdenes[[#This Row],[costo_materiales]])</f>
        <v/>
      </c>
      <c r="AO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5">
        <f>IF(tblOrdenes[[#This Row],[link_checklist]]="","",HYPERLINK(p_ruta_base_checklists&amp;tblOrdenes[[#This Row],[link_checklist]],"abrir"))</f>
        <v/>
      </c>
      <c r="AT864" s="4" t="n"/>
      <c r="AU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5" t="n"/>
      <c r="K865" s="5" t="n"/>
      <c r="L865" s="18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Row],[fecha_inicio]]="","",tblOrdenes[[#This Row],[anio]]&amp;"-"&amp;TEXT(tblOrdenes[[#This Row],[mes]],"00"))</f>
        <v/>
      </c>
      <c r="S865" s="5">
        <f>IF(tblOrdenes[[#This Row],[fecha_inicio]]="","",INDEX(lista_dias,WEEKDAY(tblOrdenes[[#This Row],[fecha_inicio]],2)))</f>
        <v/>
      </c>
      <c r="T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5">
        <f>IF(tblOrdenes[[#This Row],[tipo_ot]]="","",_xlfn.XLOOKUP(tblOrdenes[[#This Row],[tipo_ot]],tblTiposOT[codigo],tblTiposOT[clasificacion],"sin_clasificar"))</f>
        <v/>
      </c>
      <c r="V8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5">
        <f>IF(tblOrdenes[[#This Row],[centro_costo]]="","",_xlfn.XLOOKUP(tblOrdenes[[#This Row],[centro_costo]],tblCECO[codigo],tblCECO[linea],"(sin catálogo)"))</f>
        <v/>
      </c>
      <c r="Y865" s="5">
        <f>IF(tblOrdenes[[#This Row],[centro_costo]]="","",_xlfn.XLOOKUP(tblOrdenes[[#This Row],[centro_costo]],tblCECO[codigo],tblCECO[area],"(sin catálogo)"))</f>
        <v/>
      </c>
      <c r="Z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5">
        <f>IF(tblOrdenes[[#This Row],[centro_costo]]="","",_xlfn.XLOOKUP(tblOrdenes[[#This Row],[centro_costo]],tblCECO[codigo],tblCECO[coordinador],"(sin catálogo)"))</f>
        <v/>
      </c>
      <c r="AB865" s="5">
        <f>IF(tblOrdenes[[#This Row],[puesto_trabajo]]="","",_xlfn.XLOOKUP(tblOrdenes[[#This Row],[puesto_trabajo]],tblPuestos[codigo],tblPuestos[especialidad],"(sin catálogo)"))</f>
        <v/>
      </c>
      <c r="AC865" s="5">
        <f>IF(tblOrdenes[[#This Row],[cod_actividad]]="","",_xlfn.XLOOKUP(tblOrdenes[[#This Row],[cod_actividad]],tblActividades[codigo],tblActividades[descripcion],"(sin catálogo)"))</f>
        <v/>
      </c>
      <c r="AD865" s="23">
        <f>IF(tblOrdenes[[#This Row],[fecha_inicio]]="","",TODAY()-tblOrdenes[[#This Row],[fecha_inicio]])</f>
        <v/>
      </c>
      <c r="AE8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5">
        <f>IF(tblOrdenes[[#This Row],[backlog_habiles]]="","",IF(tblOrdenes[[#This Row],[backlog_habiles]]&lt;0,"FUTURO",IF(tblOrdenes[[#This Row],[backlog_habiles]]&gt;p_dias_backlog_max,"BACKLOG","MES CORRIENTE")))</f>
        <v/>
      </c>
      <c r="AG865" s="5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18">
        <f>IF(tblOrdenes[[#This Row],[orden]]="","",_xlfn.XLOOKUP(tblOrdenes[[#This Row],[id_operacion]],tblEjecucion[id_operacion],tblEjecucion[precio],0))</f>
        <v/>
      </c>
      <c r="AM865" s="18">
        <f>IF(tblOrdenes[[#This Row],[orden]]="","",MAX(0,_xlfn.XLOOKUP(tblOrdenes[[#This Row],[id_operacion]],tblEjecucion[id_operacion],tblEjecucion[costo_plan_total],0)-tblOrdenes[[#This Row],[costo_servicio]]))</f>
        <v/>
      </c>
      <c r="AN865" s="18">
        <f>IF(tblOrdenes[[#This Row],[orden]]="","",tblOrdenes[[#This Row],[costo_servicio]]+tblOrdenes[[#This Row],[costo_materiales]])</f>
        <v/>
      </c>
      <c r="AO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5">
        <f>IF(tblOrdenes[[#This Row],[link_checklist]]="","",HYPERLINK(p_ruta_base_checklists&amp;tblOrdenes[[#This Row],[link_checklist]],"abrir"))</f>
        <v/>
      </c>
      <c r="AT865" s="4" t="n"/>
      <c r="AU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5" t="n"/>
      <c r="K866" s="5" t="n"/>
      <c r="L866" s="18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Row],[fecha_inicio]]="","",tblOrdenes[[#This Row],[anio]]&amp;"-"&amp;TEXT(tblOrdenes[[#This Row],[mes]],"00"))</f>
        <v/>
      </c>
      <c r="S866" s="5">
        <f>IF(tblOrdenes[[#This Row],[fecha_inicio]]="","",INDEX(lista_dias,WEEKDAY(tblOrdenes[[#This Row],[fecha_inicio]],2)))</f>
        <v/>
      </c>
      <c r="T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5">
        <f>IF(tblOrdenes[[#This Row],[tipo_ot]]="","",_xlfn.XLOOKUP(tblOrdenes[[#This Row],[tipo_ot]],tblTiposOT[codigo],tblTiposOT[clasificacion],"sin_clasificar"))</f>
        <v/>
      </c>
      <c r="V8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5">
        <f>IF(tblOrdenes[[#This Row],[centro_costo]]="","",_xlfn.XLOOKUP(tblOrdenes[[#This Row],[centro_costo]],tblCECO[codigo],tblCECO[linea],"(sin catálogo)"))</f>
        <v/>
      </c>
      <c r="Y866" s="5">
        <f>IF(tblOrdenes[[#This Row],[centro_costo]]="","",_xlfn.XLOOKUP(tblOrdenes[[#This Row],[centro_costo]],tblCECO[codigo],tblCECO[area],"(sin catálogo)"))</f>
        <v/>
      </c>
      <c r="Z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5">
        <f>IF(tblOrdenes[[#This Row],[centro_costo]]="","",_xlfn.XLOOKUP(tblOrdenes[[#This Row],[centro_costo]],tblCECO[codigo],tblCECO[coordinador],"(sin catálogo)"))</f>
        <v/>
      </c>
      <c r="AB866" s="5">
        <f>IF(tblOrdenes[[#This Row],[puesto_trabajo]]="","",_xlfn.XLOOKUP(tblOrdenes[[#This Row],[puesto_trabajo]],tblPuestos[codigo],tblPuestos[especialidad],"(sin catálogo)"))</f>
        <v/>
      </c>
      <c r="AC866" s="5">
        <f>IF(tblOrdenes[[#This Row],[cod_actividad]]="","",_xlfn.XLOOKUP(tblOrdenes[[#This Row],[cod_actividad]],tblActividades[codigo],tblActividades[descripcion],"(sin catálogo)"))</f>
        <v/>
      </c>
      <c r="AD866" s="23">
        <f>IF(tblOrdenes[[#This Row],[fecha_inicio]]="","",TODAY()-tblOrdenes[[#This Row],[fecha_inicio]])</f>
        <v/>
      </c>
      <c r="AE8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5">
        <f>IF(tblOrdenes[[#This Row],[backlog_habiles]]="","",IF(tblOrdenes[[#This Row],[backlog_habiles]]&lt;0,"FUTURO",IF(tblOrdenes[[#This Row],[backlog_habiles]]&gt;p_dias_backlog_max,"BACKLOG","MES CORRIENTE")))</f>
        <v/>
      </c>
      <c r="AG866" s="5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18">
        <f>IF(tblOrdenes[[#This Row],[orden]]="","",_xlfn.XLOOKUP(tblOrdenes[[#This Row],[id_operacion]],tblEjecucion[id_operacion],tblEjecucion[precio],0))</f>
        <v/>
      </c>
      <c r="AM866" s="18">
        <f>IF(tblOrdenes[[#This Row],[orden]]="","",MAX(0,_xlfn.XLOOKUP(tblOrdenes[[#This Row],[id_operacion]],tblEjecucion[id_operacion],tblEjecucion[costo_plan_total],0)-tblOrdenes[[#This Row],[costo_servicio]]))</f>
        <v/>
      </c>
      <c r="AN866" s="18">
        <f>IF(tblOrdenes[[#This Row],[orden]]="","",tblOrdenes[[#This Row],[costo_servicio]]+tblOrdenes[[#This Row],[costo_materiales]])</f>
        <v/>
      </c>
      <c r="AO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5">
        <f>IF(tblOrdenes[[#This Row],[link_checklist]]="","",HYPERLINK(p_ruta_base_checklists&amp;tblOrdenes[[#This Row],[link_checklist]],"abrir"))</f>
        <v/>
      </c>
      <c r="AT866" s="4" t="n"/>
      <c r="AU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5" t="n"/>
      <c r="K867" s="5" t="n"/>
      <c r="L867" s="18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Row],[fecha_inicio]]="","",tblOrdenes[[#This Row],[anio]]&amp;"-"&amp;TEXT(tblOrdenes[[#This Row],[mes]],"00"))</f>
        <v/>
      </c>
      <c r="S867" s="5">
        <f>IF(tblOrdenes[[#This Row],[fecha_inicio]]="","",INDEX(lista_dias,WEEKDAY(tblOrdenes[[#This Row],[fecha_inicio]],2)))</f>
        <v/>
      </c>
      <c r="T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5">
        <f>IF(tblOrdenes[[#This Row],[tipo_ot]]="","",_xlfn.XLOOKUP(tblOrdenes[[#This Row],[tipo_ot]],tblTiposOT[codigo],tblTiposOT[clasificacion],"sin_clasificar"))</f>
        <v/>
      </c>
      <c r="V8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5">
        <f>IF(tblOrdenes[[#This Row],[centro_costo]]="","",_xlfn.XLOOKUP(tblOrdenes[[#This Row],[centro_costo]],tblCECO[codigo],tblCECO[linea],"(sin catálogo)"))</f>
        <v/>
      </c>
      <c r="Y867" s="5">
        <f>IF(tblOrdenes[[#This Row],[centro_costo]]="","",_xlfn.XLOOKUP(tblOrdenes[[#This Row],[centro_costo]],tblCECO[codigo],tblCECO[area],"(sin catálogo)"))</f>
        <v/>
      </c>
      <c r="Z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5">
        <f>IF(tblOrdenes[[#This Row],[centro_costo]]="","",_xlfn.XLOOKUP(tblOrdenes[[#This Row],[centro_costo]],tblCECO[codigo],tblCECO[coordinador],"(sin catálogo)"))</f>
        <v/>
      </c>
      <c r="AB867" s="5">
        <f>IF(tblOrdenes[[#This Row],[puesto_trabajo]]="","",_xlfn.XLOOKUP(tblOrdenes[[#This Row],[puesto_trabajo]],tblPuestos[codigo],tblPuestos[especialidad],"(sin catálogo)"))</f>
        <v/>
      </c>
      <c r="AC867" s="5">
        <f>IF(tblOrdenes[[#This Row],[cod_actividad]]="","",_xlfn.XLOOKUP(tblOrdenes[[#This Row],[cod_actividad]],tblActividades[codigo],tblActividades[descripcion],"(sin catálogo)"))</f>
        <v/>
      </c>
      <c r="AD867" s="23">
        <f>IF(tblOrdenes[[#This Row],[fecha_inicio]]="","",TODAY()-tblOrdenes[[#This Row],[fecha_inicio]])</f>
        <v/>
      </c>
      <c r="AE8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5">
        <f>IF(tblOrdenes[[#This Row],[backlog_habiles]]="","",IF(tblOrdenes[[#This Row],[backlog_habiles]]&lt;0,"FUTURO",IF(tblOrdenes[[#This Row],[backlog_habiles]]&gt;p_dias_backlog_max,"BACKLOG","MES CORRIENTE")))</f>
        <v/>
      </c>
      <c r="AG867" s="5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18">
        <f>IF(tblOrdenes[[#This Row],[orden]]="","",_xlfn.XLOOKUP(tblOrdenes[[#This Row],[id_operacion]],tblEjecucion[id_operacion],tblEjecucion[precio],0))</f>
        <v/>
      </c>
      <c r="AM867" s="18">
        <f>IF(tblOrdenes[[#This Row],[orden]]="","",MAX(0,_xlfn.XLOOKUP(tblOrdenes[[#This Row],[id_operacion]],tblEjecucion[id_operacion],tblEjecucion[costo_plan_total],0)-tblOrdenes[[#This Row],[costo_servicio]]))</f>
        <v/>
      </c>
      <c r="AN867" s="18">
        <f>IF(tblOrdenes[[#This Row],[orden]]="","",tblOrdenes[[#This Row],[costo_servicio]]+tblOrdenes[[#This Row],[costo_materiales]])</f>
        <v/>
      </c>
      <c r="AO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5">
        <f>IF(tblOrdenes[[#This Row],[link_checklist]]="","",HYPERLINK(p_ruta_base_checklists&amp;tblOrdenes[[#This Row],[link_checklist]],"abrir"))</f>
        <v/>
      </c>
      <c r="AT867" s="4" t="n"/>
      <c r="AU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5" t="n"/>
      <c r="K868" s="5" t="n"/>
      <c r="L868" s="18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Row],[fecha_inicio]]="","",tblOrdenes[[#This Row],[anio]]&amp;"-"&amp;TEXT(tblOrdenes[[#This Row],[mes]],"00"))</f>
        <v/>
      </c>
      <c r="S868" s="5">
        <f>IF(tblOrdenes[[#This Row],[fecha_inicio]]="","",INDEX(lista_dias,WEEKDAY(tblOrdenes[[#This Row],[fecha_inicio]],2)))</f>
        <v/>
      </c>
      <c r="T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5">
        <f>IF(tblOrdenes[[#This Row],[tipo_ot]]="","",_xlfn.XLOOKUP(tblOrdenes[[#This Row],[tipo_ot]],tblTiposOT[codigo],tblTiposOT[clasificacion],"sin_clasificar"))</f>
        <v/>
      </c>
      <c r="V8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5">
        <f>IF(tblOrdenes[[#This Row],[centro_costo]]="","",_xlfn.XLOOKUP(tblOrdenes[[#This Row],[centro_costo]],tblCECO[codigo],tblCECO[linea],"(sin catálogo)"))</f>
        <v/>
      </c>
      <c r="Y868" s="5">
        <f>IF(tblOrdenes[[#This Row],[centro_costo]]="","",_xlfn.XLOOKUP(tblOrdenes[[#This Row],[centro_costo]],tblCECO[codigo],tblCECO[area],"(sin catálogo)"))</f>
        <v/>
      </c>
      <c r="Z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5">
        <f>IF(tblOrdenes[[#This Row],[centro_costo]]="","",_xlfn.XLOOKUP(tblOrdenes[[#This Row],[centro_costo]],tblCECO[codigo],tblCECO[coordinador],"(sin catálogo)"))</f>
        <v/>
      </c>
      <c r="AB868" s="5">
        <f>IF(tblOrdenes[[#This Row],[puesto_trabajo]]="","",_xlfn.XLOOKUP(tblOrdenes[[#This Row],[puesto_trabajo]],tblPuestos[codigo],tblPuestos[especialidad],"(sin catálogo)"))</f>
        <v/>
      </c>
      <c r="AC868" s="5">
        <f>IF(tblOrdenes[[#This Row],[cod_actividad]]="","",_xlfn.XLOOKUP(tblOrdenes[[#This Row],[cod_actividad]],tblActividades[codigo],tblActividades[descripcion],"(sin catálogo)"))</f>
        <v/>
      </c>
      <c r="AD868" s="23">
        <f>IF(tblOrdenes[[#This Row],[fecha_inicio]]="","",TODAY()-tblOrdenes[[#This Row],[fecha_inicio]])</f>
        <v/>
      </c>
      <c r="AE8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5">
        <f>IF(tblOrdenes[[#This Row],[backlog_habiles]]="","",IF(tblOrdenes[[#This Row],[backlog_habiles]]&lt;0,"FUTURO",IF(tblOrdenes[[#This Row],[backlog_habiles]]&gt;p_dias_backlog_max,"BACKLOG","MES CORRIENTE")))</f>
        <v/>
      </c>
      <c r="AG868" s="5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18">
        <f>IF(tblOrdenes[[#This Row],[orden]]="","",_xlfn.XLOOKUP(tblOrdenes[[#This Row],[id_operacion]],tblEjecucion[id_operacion],tblEjecucion[precio],0))</f>
        <v/>
      </c>
      <c r="AM868" s="18">
        <f>IF(tblOrdenes[[#This Row],[orden]]="","",MAX(0,_xlfn.XLOOKUP(tblOrdenes[[#This Row],[id_operacion]],tblEjecucion[id_operacion],tblEjecucion[costo_plan_total],0)-tblOrdenes[[#This Row],[costo_servicio]]))</f>
        <v/>
      </c>
      <c r="AN868" s="18">
        <f>IF(tblOrdenes[[#This Row],[orden]]="","",tblOrdenes[[#This Row],[costo_servicio]]+tblOrdenes[[#This Row],[costo_materiales]])</f>
        <v/>
      </c>
      <c r="AO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5">
        <f>IF(tblOrdenes[[#This Row],[link_checklist]]="","",HYPERLINK(p_ruta_base_checklists&amp;tblOrdenes[[#This Row],[link_checklist]],"abrir"))</f>
        <v/>
      </c>
      <c r="AT868" s="4" t="n"/>
      <c r="AU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5" t="n"/>
      <c r="K869" s="5" t="n"/>
      <c r="L869" s="18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Row],[fecha_inicio]]="","",tblOrdenes[[#This Row],[anio]]&amp;"-"&amp;TEXT(tblOrdenes[[#This Row],[mes]],"00"))</f>
        <v/>
      </c>
      <c r="S869" s="5">
        <f>IF(tblOrdenes[[#This Row],[fecha_inicio]]="","",INDEX(lista_dias,WEEKDAY(tblOrdenes[[#This Row],[fecha_inicio]],2)))</f>
        <v/>
      </c>
      <c r="T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5">
        <f>IF(tblOrdenes[[#This Row],[tipo_ot]]="","",_xlfn.XLOOKUP(tblOrdenes[[#This Row],[tipo_ot]],tblTiposOT[codigo],tblTiposOT[clasificacion],"sin_clasificar"))</f>
        <v/>
      </c>
      <c r="V8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5">
        <f>IF(tblOrdenes[[#This Row],[centro_costo]]="","",_xlfn.XLOOKUP(tblOrdenes[[#This Row],[centro_costo]],tblCECO[codigo],tblCECO[linea],"(sin catálogo)"))</f>
        <v/>
      </c>
      <c r="Y869" s="5">
        <f>IF(tblOrdenes[[#This Row],[centro_costo]]="","",_xlfn.XLOOKUP(tblOrdenes[[#This Row],[centro_costo]],tblCECO[codigo],tblCECO[area],"(sin catálogo)"))</f>
        <v/>
      </c>
      <c r="Z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5">
        <f>IF(tblOrdenes[[#This Row],[centro_costo]]="","",_xlfn.XLOOKUP(tblOrdenes[[#This Row],[centro_costo]],tblCECO[codigo],tblCECO[coordinador],"(sin catálogo)"))</f>
        <v/>
      </c>
      <c r="AB869" s="5">
        <f>IF(tblOrdenes[[#This Row],[puesto_trabajo]]="","",_xlfn.XLOOKUP(tblOrdenes[[#This Row],[puesto_trabajo]],tblPuestos[codigo],tblPuestos[especialidad],"(sin catálogo)"))</f>
        <v/>
      </c>
      <c r="AC869" s="5">
        <f>IF(tblOrdenes[[#This Row],[cod_actividad]]="","",_xlfn.XLOOKUP(tblOrdenes[[#This Row],[cod_actividad]],tblActividades[codigo],tblActividades[descripcion],"(sin catálogo)"))</f>
        <v/>
      </c>
      <c r="AD869" s="23">
        <f>IF(tblOrdenes[[#This Row],[fecha_inicio]]="","",TODAY()-tblOrdenes[[#This Row],[fecha_inicio]])</f>
        <v/>
      </c>
      <c r="AE8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5">
        <f>IF(tblOrdenes[[#This Row],[backlog_habiles]]="","",IF(tblOrdenes[[#This Row],[backlog_habiles]]&lt;0,"FUTURO",IF(tblOrdenes[[#This Row],[backlog_habiles]]&gt;p_dias_backlog_max,"BACKLOG","MES CORRIENTE")))</f>
        <v/>
      </c>
      <c r="AG869" s="5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18">
        <f>IF(tblOrdenes[[#This Row],[orden]]="","",_xlfn.XLOOKUP(tblOrdenes[[#This Row],[id_operacion]],tblEjecucion[id_operacion],tblEjecucion[precio],0))</f>
        <v/>
      </c>
      <c r="AM869" s="18">
        <f>IF(tblOrdenes[[#This Row],[orden]]="","",MAX(0,_xlfn.XLOOKUP(tblOrdenes[[#This Row],[id_operacion]],tblEjecucion[id_operacion],tblEjecucion[costo_plan_total],0)-tblOrdenes[[#This Row],[costo_servicio]]))</f>
        <v/>
      </c>
      <c r="AN869" s="18">
        <f>IF(tblOrdenes[[#This Row],[orden]]="","",tblOrdenes[[#This Row],[costo_servicio]]+tblOrdenes[[#This Row],[costo_materiales]])</f>
        <v/>
      </c>
      <c r="AO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5">
        <f>IF(tblOrdenes[[#This Row],[link_checklist]]="","",HYPERLINK(p_ruta_base_checklists&amp;tblOrdenes[[#This Row],[link_checklist]],"abrir"))</f>
        <v/>
      </c>
      <c r="AT869" s="4" t="n"/>
      <c r="AU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5" t="n"/>
      <c r="K870" s="5" t="n"/>
      <c r="L870" s="18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Row],[fecha_inicio]]="","",tblOrdenes[[#This Row],[anio]]&amp;"-"&amp;TEXT(tblOrdenes[[#This Row],[mes]],"00"))</f>
        <v/>
      </c>
      <c r="S870" s="5">
        <f>IF(tblOrdenes[[#This Row],[fecha_inicio]]="","",INDEX(lista_dias,WEEKDAY(tblOrdenes[[#This Row],[fecha_inicio]],2)))</f>
        <v/>
      </c>
      <c r="T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5">
        <f>IF(tblOrdenes[[#This Row],[tipo_ot]]="","",_xlfn.XLOOKUP(tblOrdenes[[#This Row],[tipo_ot]],tblTiposOT[codigo],tblTiposOT[clasificacion],"sin_clasificar"))</f>
        <v/>
      </c>
      <c r="V8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5">
        <f>IF(tblOrdenes[[#This Row],[centro_costo]]="","",_xlfn.XLOOKUP(tblOrdenes[[#This Row],[centro_costo]],tblCECO[codigo],tblCECO[linea],"(sin catálogo)"))</f>
        <v/>
      </c>
      <c r="Y870" s="5">
        <f>IF(tblOrdenes[[#This Row],[centro_costo]]="","",_xlfn.XLOOKUP(tblOrdenes[[#This Row],[centro_costo]],tblCECO[codigo],tblCECO[area],"(sin catálogo)"))</f>
        <v/>
      </c>
      <c r="Z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5">
        <f>IF(tblOrdenes[[#This Row],[centro_costo]]="","",_xlfn.XLOOKUP(tblOrdenes[[#This Row],[centro_costo]],tblCECO[codigo],tblCECO[coordinador],"(sin catálogo)"))</f>
        <v/>
      </c>
      <c r="AB870" s="5">
        <f>IF(tblOrdenes[[#This Row],[puesto_trabajo]]="","",_xlfn.XLOOKUP(tblOrdenes[[#This Row],[puesto_trabajo]],tblPuestos[codigo],tblPuestos[especialidad],"(sin catálogo)"))</f>
        <v/>
      </c>
      <c r="AC870" s="5">
        <f>IF(tblOrdenes[[#This Row],[cod_actividad]]="","",_xlfn.XLOOKUP(tblOrdenes[[#This Row],[cod_actividad]],tblActividades[codigo],tblActividades[descripcion],"(sin catálogo)"))</f>
        <v/>
      </c>
      <c r="AD870" s="23">
        <f>IF(tblOrdenes[[#This Row],[fecha_inicio]]="","",TODAY()-tblOrdenes[[#This Row],[fecha_inicio]])</f>
        <v/>
      </c>
      <c r="AE8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5">
        <f>IF(tblOrdenes[[#This Row],[backlog_habiles]]="","",IF(tblOrdenes[[#This Row],[backlog_habiles]]&lt;0,"FUTURO",IF(tblOrdenes[[#This Row],[backlog_habiles]]&gt;p_dias_backlog_max,"BACKLOG","MES CORRIENTE")))</f>
        <v/>
      </c>
      <c r="AG870" s="5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18">
        <f>IF(tblOrdenes[[#This Row],[orden]]="","",_xlfn.XLOOKUP(tblOrdenes[[#This Row],[id_operacion]],tblEjecucion[id_operacion],tblEjecucion[precio],0))</f>
        <v/>
      </c>
      <c r="AM870" s="18">
        <f>IF(tblOrdenes[[#This Row],[orden]]="","",MAX(0,_xlfn.XLOOKUP(tblOrdenes[[#This Row],[id_operacion]],tblEjecucion[id_operacion],tblEjecucion[costo_plan_total],0)-tblOrdenes[[#This Row],[costo_servicio]]))</f>
        <v/>
      </c>
      <c r="AN870" s="18">
        <f>IF(tblOrdenes[[#This Row],[orden]]="","",tblOrdenes[[#This Row],[costo_servicio]]+tblOrdenes[[#This Row],[costo_materiales]])</f>
        <v/>
      </c>
      <c r="AO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5">
        <f>IF(tblOrdenes[[#This Row],[link_checklist]]="","",HYPERLINK(p_ruta_base_checklists&amp;tblOrdenes[[#This Row],[link_checklist]],"abrir"))</f>
        <v/>
      </c>
      <c r="AT870" s="4" t="n"/>
      <c r="AU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5" t="n"/>
      <c r="K871" s="5" t="n"/>
      <c r="L871" s="18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Row],[fecha_inicio]]="","",tblOrdenes[[#This Row],[anio]]&amp;"-"&amp;TEXT(tblOrdenes[[#This Row],[mes]],"00"))</f>
        <v/>
      </c>
      <c r="S871" s="5">
        <f>IF(tblOrdenes[[#This Row],[fecha_inicio]]="","",INDEX(lista_dias,WEEKDAY(tblOrdenes[[#This Row],[fecha_inicio]],2)))</f>
        <v/>
      </c>
      <c r="T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5">
        <f>IF(tblOrdenes[[#This Row],[tipo_ot]]="","",_xlfn.XLOOKUP(tblOrdenes[[#This Row],[tipo_ot]],tblTiposOT[codigo],tblTiposOT[clasificacion],"sin_clasificar"))</f>
        <v/>
      </c>
      <c r="V8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5">
        <f>IF(tblOrdenes[[#This Row],[centro_costo]]="","",_xlfn.XLOOKUP(tblOrdenes[[#This Row],[centro_costo]],tblCECO[codigo],tblCECO[linea],"(sin catálogo)"))</f>
        <v/>
      </c>
      <c r="Y871" s="5">
        <f>IF(tblOrdenes[[#This Row],[centro_costo]]="","",_xlfn.XLOOKUP(tblOrdenes[[#This Row],[centro_costo]],tblCECO[codigo],tblCECO[area],"(sin catálogo)"))</f>
        <v/>
      </c>
      <c r="Z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5">
        <f>IF(tblOrdenes[[#This Row],[centro_costo]]="","",_xlfn.XLOOKUP(tblOrdenes[[#This Row],[centro_costo]],tblCECO[codigo],tblCECO[coordinador],"(sin catálogo)"))</f>
        <v/>
      </c>
      <c r="AB871" s="5">
        <f>IF(tblOrdenes[[#This Row],[puesto_trabajo]]="","",_xlfn.XLOOKUP(tblOrdenes[[#This Row],[puesto_trabajo]],tblPuestos[codigo],tblPuestos[especialidad],"(sin catálogo)"))</f>
        <v/>
      </c>
      <c r="AC871" s="5">
        <f>IF(tblOrdenes[[#This Row],[cod_actividad]]="","",_xlfn.XLOOKUP(tblOrdenes[[#This Row],[cod_actividad]],tblActividades[codigo],tblActividades[descripcion],"(sin catálogo)"))</f>
        <v/>
      </c>
      <c r="AD871" s="23">
        <f>IF(tblOrdenes[[#This Row],[fecha_inicio]]="","",TODAY()-tblOrdenes[[#This Row],[fecha_inicio]])</f>
        <v/>
      </c>
      <c r="AE8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5">
        <f>IF(tblOrdenes[[#This Row],[backlog_habiles]]="","",IF(tblOrdenes[[#This Row],[backlog_habiles]]&lt;0,"FUTURO",IF(tblOrdenes[[#This Row],[backlog_habiles]]&gt;p_dias_backlog_max,"BACKLOG","MES CORRIENTE")))</f>
        <v/>
      </c>
      <c r="AG871" s="5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18">
        <f>IF(tblOrdenes[[#This Row],[orden]]="","",_xlfn.XLOOKUP(tblOrdenes[[#This Row],[id_operacion]],tblEjecucion[id_operacion],tblEjecucion[precio],0))</f>
        <v/>
      </c>
      <c r="AM871" s="18">
        <f>IF(tblOrdenes[[#This Row],[orden]]="","",MAX(0,_xlfn.XLOOKUP(tblOrdenes[[#This Row],[id_operacion]],tblEjecucion[id_operacion],tblEjecucion[costo_plan_total],0)-tblOrdenes[[#This Row],[costo_servicio]]))</f>
        <v/>
      </c>
      <c r="AN871" s="18">
        <f>IF(tblOrdenes[[#This Row],[orden]]="","",tblOrdenes[[#This Row],[costo_servicio]]+tblOrdenes[[#This Row],[costo_materiales]])</f>
        <v/>
      </c>
      <c r="AO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5">
        <f>IF(tblOrdenes[[#This Row],[link_checklist]]="","",HYPERLINK(p_ruta_base_checklists&amp;tblOrdenes[[#This Row],[link_checklist]],"abrir"))</f>
        <v/>
      </c>
      <c r="AT871" s="4" t="n"/>
      <c r="AU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5" t="n"/>
      <c r="K872" s="5" t="n"/>
      <c r="L872" s="18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Row],[fecha_inicio]]="","",tblOrdenes[[#This Row],[anio]]&amp;"-"&amp;TEXT(tblOrdenes[[#This Row],[mes]],"00"))</f>
        <v/>
      </c>
      <c r="S872" s="5">
        <f>IF(tblOrdenes[[#This Row],[fecha_inicio]]="","",INDEX(lista_dias,WEEKDAY(tblOrdenes[[#This Row],[fecha_inicio]],2)))</f>
        <v/>
      </c>
      <c r="T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5">
        <f>IF(tblOrdenes[[#This Row],[tipo_ot]]="","",_xlfn.XLOOKUP(tblOrdenes[[#This Row],[tipo_ot]],tblTiposOT[codigo],tblTiposOT[clasificacion],"sin_clasificar"))</f>
        <v/>
      </c>
      <c r="V8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5">
        <f>IF(tblOrdenes[[#This Row],[centro_costo]]="","",_xlfn.XLOOKUP(tblOrdenes[[#This Row],[centro_costo]],tblCECO[codigo],tblCECO[linea],"(sin catálogo)"))</f>
        <v/>
      </c>
      <c r="Y872" s="5">
        <f>IF(tblOrdenes[[#This Row],[centro_costo]]="","",_xlfn.XLOOKUP(tblOrdenes[[#This Row],[centro_costo]],tblCECO[codigo],tblCECO[area],"(sin catálogo)"))</f>
        <v/>
      </c>
      <c r="Z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5">
        <f>IF(tblOrdenes[[#This Row],[centro_costo]]="","",_xlfn.XLOOKUP(tblOrdenes[[#This Row],[centro_costo]],tblCECO[codigo],tblCECO[coordinador],"(sin catálogo)"))</f>
        <v/>
      </c>
      <c r="AB872" s="5">
        <f>IF(tblOrdenes[[#This Row],[puesto_trabajo]]="","",_xlfn.XLOOKUP(tblOrdenes[[#This Row],[puesto_trabajo]],tblPuestos[codigo],tblPuestos[especialidad],"(sin catálogo)"))</f>
        <v/>
      </c>
      <c r="AC872" s="5">
        <f>IF(tblOrdenes[[#This Row],[cod_actividad]]="","",_xlfn.XLOOKUP(tblOrdenes[[#This Row],[cod_actividad]],tblActividades[codigo],tblActividades[descripcion],"(sin catálogo)"))</f>
        <v/>
      </c>
      <c r="AD872" s="23">
        <f>IF(tblOrdenes[[#This Row],[fecha_inicio]]="","",TODAY()-tblOrdenes[[#This Row],[fecha_inicio]])</f>
        <v/>
      </c>
      <c r="AE8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5">
        <f>IF(tblOrdenes[[#This Row],[backlog_habiles]]="","",IF(tblOrdenes[[#This Row],[backlog_habiles]]&lt;0,"FUTURO",IF(tblOrdenes[[#This Row],[backlog_habiles]]&gt;p_dias_backlog_max,"BACKLOG","MES CORRIENTE")))</f>
        <v/>
      </c>
      <c r="AG872" s="5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18">
        <f>IF(tblOrdenes[[#This Row],[orden]]="","",_xlfn.XLOOKUP(tblOrdenes[[#This Row],[id_operacion]],tblEjecucion[id_operacion],tblEjecucion[precio],0))</f>
        <v/>
      </c>
      <c r="AM872" s="18">
        <f>IF(tblOrdenes[[#This Row],[orden]]="","",MAX(0,_xlfn.XLOOKUP(tblOrdenes[[#This Row],[id_operacion]],tblEjecucion[id_operacion],tblEjecucion[costo_plan_total],0)-tblOrdenes[[#This Row],[costo_servicio]]))</f>
        <v/>
      </c>
      <c r="AN872" s="18">
        <f>IF(tblOrdenes[[#This Row],[orden]]="","",tblOrdenes[[#This Row],[costo_servicio]]+tblOrdenes[[#This Row],[costo_materiales]])</f>
        <v/>
      </c>
      <c r="AO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5">
        <f>IF(tblOrdenes[[#This Row],[link_checklist]]="","",HYPERLINK(p_ruta_base_checklists&amp;tblOrdenes[[#This Row],[link_checklist]],"abrir"))</f>
        <v/>
      </c>
      <c r="AT872" s="4" t="n"/>
      <c r="AU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5" t="n"/>
      <c r="K873" s="5" t="n"/>
      <c r="L873" s="18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Row],[fecha_inicio]]="","",tblOrdenes[[#This Row],[anio]]&amp;"-"&amp;TEXT(tblOrdenes[[#This Row],[mes]],"00"))</f>
        <v/>
      </c>
      <c r="S873" s="5">
        <f>IF(tblOrdenes[[#This Row],[fecha_inicio]]="","",INDEX(lista_dias,WEEKDAY(tblOrdenes[[#This Row],[fecha_inicio]],2)))</f>
        <v/>
      </c>
      <c r="T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5">
        <f>IF(tblOrdenes[[#This Row],[tipo_ot]]="","",_xlfn.XLOOKUP(tblOrdenes[[#This Row],[tipo_ot]],tblTiposOT[codigo],tblTiposOT[clasificacion],"sin_clasificar"))</f>
        <v/>
      </c>
      <c r="V8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5">
        <f>IF(tblOrdenes[[#This Row],[centro_costo]]="","",_xlfn.XLOOKUP(tblOrdenes[[#This Row],[centro_costo]],tblCECO[codigo],tblCECO[linea],"(sin catálogo)"))</f>
        <v/>
      </c>
      <c r="Y873" s="5">
        <f>IF(tblOrdenes[[#This Row],[centro_costo]]="","",_xlfn.XLOOKUP(tblOrdenes[[#This Row],[centro_costo]],tblCECO[codigo],tblCECO[area],"(sin catálogo)"))</f>
        <v/>
      </c>
      <c r="Z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5">
        <f>IF(tblOrdenes[[#This Row],[centro_costo]]="","",_xlfn.XLOOKUP(tblOrdenes[[#This Row],[centro_costo]],tblCECO[codigo],tblCECO[coordinador],"(sin catálogo)"))</f>
        <v/>
      </c>
      <c r="AB873" s="5">
        <f>IF(tblOrdenes[[#This Row],[puesto_trabajo]]="","",_xlfn.XLOOKUP(tblOrdenes[[#This Row],[puesto_trabajo]],tblPuestos[codigo],tblPuestos[especialidad],"(sin catálogo)"))</f>
        <v/>
      </c>
      <c r="AC873" s="5">
        <f>IF(tblOrdenes[[#This Row],[cod_actividad]]="","",_xlfn.XLOOKUP(tblOrdenes[[#This Row],[cod_actividad]],tblActividades[codigo],tblActividades[descripcion],"(sin catálogo)"))</f>
        <v/>
      </c>
      <c r="AD873" s="23">
        <f>IF(tblOrdenes[[#This Row],[fecha_inicio]]="","",TODAY()-tblOrdenes[[#This Row],[fecha_inicio]])</f>
        <v/>
      </c>
      <c r="AE8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5">
        <f>IF(tblOrdenes[[#This Row],[backlog_habiles]]="","",IF(tblOrdenes[[#This Row],[backlog_habiles]]&lt;0,"FUTURO",IF(tblOrdenes[[#This Row],[backlog_habiles]]&gt;p_dias_backlog_max,"BACKLOG","MES CORRIENTE")))</f>
        <v/>
      </c>
      <c r="AG873" s="5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18">
        <f>IF(tblOrdenes[[#This Row],[orden]]="","",_xlfn.XLOOKUP(tblOrdenes[[#This Row],[id_operacion]],tblEjecucion[id_operacion],tblEjecucion[precio],0))</f>
        <v/>
      </c>
      <c r="AM873" s="18">
        <f>IF(tblOrdenes[[#This Row],[orden]]="","",MAX(0,_xlfn.XLOOKUP(tblOrdenes[[#This Row],[id_operacion]],tblEjecucion[id_operacion],tblEjecucion[costo_plan_total],0)-tblOrdenes[[#This Row],[costo_servicio]]))</f>
        <v/>
      </c>
      <c r="AN873" s="18">
        <f>IF(tblOrdenes[[#This Row],[orden]]="","",tblOrdenes[[#This Row],[costo_servicio]]+tblOrdenes[[#This Row],[costo_materiales]])</f>
        <v/>
      </c>
      <c r="AO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5">
        <f>IF(tblOrdenes[[#This Row],[link_checklist]]="","",HYPERLINK(p_ruta_base_checklists&amp;tblOrdenes[[#This Row],[link_checklist]],"abrir"))</f>
        <v/>
      </c>
      <c r="AT873" s="4" t="n"/>
      <c r="AU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5" t="n"/>
      <c r="K874" s="5" t="n"/>
      <c r="L874" s="18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Row],[fecha_inicio]]="","",tblOrdenes[[#This Row],[anio]]&amp;"-"&amp;TEXT(tblOrdenes[[#This Row],[mes]],"00"))</f>
        <v/>
      </c>
      <c r="S874" s="5">
        <f>IF(tblOrdenes[[#This Row],[fecha_inicio]]="","",INDEX(lista_dias,WEEKDAY(tblOrdenes[[#This Row],[fecha_inicio]],2)))</f>
        <v/>
      </c>
      <c r="T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5">
        <f>IF(tblOrdenes[[#This Row],[tipo_ot]]="","",_xlfn.XLOOKUP(tblOrdenes[[#This Row],[tipo_ot]],tblTiposOT[codigo],tblTiposOT[clasificacion],"sin_clasificar"))</f>
        <v/>
      </c>
      <c r="V8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5">
        <f>IF(tblOrdenes[[#This Row],[centro_costo]]="","",_xlfn.XLOOKUP(tblOrdenes[[#This Row],[centro_costo]],tblCECO[codigo],tblCECO[linea],"(sin catálogo)"))</f>
        <v/>
      </c>
      <c r="Y874" s="5">
        <f>IF(tblOrdenes[[#This Row],[centro_costo]]="","",_xlfn.XLOOKUP(tblOrdenes[[#This Row],[centro_costo]],tblCECO[codigo],tblCECO[area],"(sin catálogo)"))</f>
        <v/>
      </c>
      <c r="Z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5">
        <f>IF(tblOrdenes[[#This Row],[centro_costo]]="","",_xlfn.XLOOKUP(tblOrdenes[[#This Row],[centro_costo]],tblCECO[codigo],tblCECO[coordinador],"(sin catálogo)"))</f>
        <v/>
      </c>
      <c r="AB874" s="5">
        <f>IF(tblOrdenes[[#This Row],[puesto_trabajo]]="","",_xlfn.XLOOKUP(tblOrdenes[[#This Row],[puesto_trabajo]],tblPuestos[codigo],tblPuestos[especialidad],"(sin catálogo)"))</f>
        <v/>
      </c>
      <c r="AC874" s="5">
        <f>IF(tblOrdenes[[#This Row],[cod_actividad]]="","",_xlfn.XLOOKUP(tblOrdenes[[#This Row],[cod_actividad]],tblActividades[codigo],tblActividades[descripcion],"(sin catálogo)"))</f>
        <v/>
      </c>
      <c r="AD874" s="23">
        <f>IF(tblOrdenes[[#This Row],[fecha_inicio]]="","",TODAY()-tblOrdenes[[#This Row],[fecha_inicio]])</f>
        <v/>
      </c>
      <c r="AE8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5">
        <f>IF(tblOrdenes[[#This Row],[backlog_habiles]]="","",IF(tblOrdenes[[#This Row],[backlog_habiles]]&lt;0,"FUTURO",IF(tblOrdenes[[#This Row],[backlog_habiles]]&gt;p_dias_backlog_max,"BACKLOG","MES CORRIENTE")))</f>
        <v/>
      </c>
      <c r="AG874" s="5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18">
        <f>IF(tblOrdenes[[#This Row],[orden]]="","",_xlfn.XLOOKUP(tblOrdenes[[#This Row],[id_operacion]],tblEjecucion[id_operacion],tblEjecucion[precio],0))</f>
        <v/>
      </c>
      <c r="AM874" s="18">
        <f>IF(tblOrdenes[[#This Row],[orden]]="","",MAX(0,_xlfn.XLOOKUP(tblOrdenes[[#This Row],[id_operacion]],tblEjecucion[id_operacion],tblEjecucion[costo_plan_total],0)-tblOrdenes[[#This Row],[costo_servicio]]))</f>
        <v/>
      </c>
      <c r="AN874" s="18">
        <f>IF(tblOrdenes[[#This Row],[orden]]="","",tblOrdenes[[#This Row],[costo_servicio]]+tblOrdenes[[#This Row],[costo_materiales]])</f>
        <v/>
      </c>
      <c r="AO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5">
        <f>IF(tblOrdenes[[#This Row],[link_checklist]]="","",HYPERLINK(p_ruta_base_checklists&amp;tblOrdenes[[#This Row],[link_checklist]],"abrir"))</f>
        <v/>
      </c>
      <c r="AT874" s="4" t="n"/>
      <c r="AU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5" t="n"/>
      <c r="K875" s="5" t="n"/>
      <c r="L875" s="18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Row],[fecha_inicio]]="","",tblOrdenes[[#This Row],[anio]]&amp;"-"&amp;TEXT(tblOrdenes[[#This Row],[mes]],"00"))</f>
        <v/>
      </c>
      <c r="S875" s="5">
        <f>IF(tblOrdenes[[#This Row],[fecha_inicio]]="","",INDEX(lista_dias,WEEKDAY(tblOrdenes[[#This Row],[fecha_inicio]],2)))</f>
        <v/>
      </c>
      <c r="T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5">
        <f>IF(tblOrdenes[[#This Row],[tipo_ot]]="","",_xlfn.XLOOKUP(tblOrdenes[[#This Row],[tipo_ot]],tblTiposOT[codigo],tblTiposOT[clasificacion],"sin_clasificar"))</f>
        <v/>
      </c>
      <c r="V8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5">
        <f>IF(tblOrdenes[[#This Row],[centro_costo]]="","",_xlfn.XLOOKUP(tblOrdenes[[#This Row],[centro_costo]],tblCECO[codigo],tblCECO[linea],"(sin catálogo)"))</f>
        <v/>
      </c>
      <c r="Y875" s="5">
        <f>IF(tblOrdenes[[#This Row],[centro_costo]]="","",_xlfn.XLOOKUP(tblOrdenes[[#This Row],[centro_costo]],tblCECO[codigo],tblCECO[area],"(sin catálogo)"))</f>
        <v/>
      </c>
      <c r="Z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5">
        <f>IF(tblOrdenes[[#This Row],[centro_costo]]="","",_xlfn.XLOOKUP(tblOrdenes[[#This Row],[centro_costo]],tblCECO[codigo],tblCECO[coordinador],"(sin catálogo)"))</f>
        <v/>
      </c>
      <c r="AB875" s="5">
        <f>IF(tblOrdenes[[#This Row],[puesto_trabajo]]="","",_xlfn.XLOOKUP(tblOrdenes[[#This Row],[puesto_trabajo]],tblPuestos[codigo],tblPuestos[especialidad],"(sin catálogo)"))</f>
        <v/>
      </c>
      <c r="AC875" s="5">
        <f>IF(tblOrdenes[[#This Row],[cod_actividad]]="","",_xlfn.XLOOKUP(tblOrdenes[[#This Row],[cod_actividad]],tblActividades[codigo],tblActividades[descripcion],"(sin catálogo)"))</f>
        <v/>
      </c>
      <c r="AD875" s="23">
        <f>IF(tblOrdenes[[#This Row],[fecha_inicio]]="","",TODAY()-tblOrdenes[[#This Row],[fecha_inicio]])</f>
        <v/>
      </c>
      <c r="AE8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5">
        <f>IF(tblOrdenes[[#This Row],[backlog_habiles]]="","",IF(tblOrdenes[[#This Row],[backlog_habiles]]&lt;0,"FUTURO",IF(tblOrdenes[[#This Row],[backlog_habiles]]&gt;p_dias_backlog_max,"BACKLOG","MES CORRIENTE")))</f>
        <v/>
      </c>
      <c r="AG875" s="5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18">
        <f>IF(tblOrdenes[[#This Row],[orden]]="","",_xlfn.XLOOKUP(tblOrdenes[[#This Row],[id_operacion]],tblEjecucion[id_operacion],tblEjecucion[precio],0))</f>
        <v/>
      </c>
      <c r="AM875" s="18">
        <f>IF(tblOrdenes[[#This Row],[orden]]="","",MAX(0,_xlfn.XLOOKUP(tblOrdenes[[#This Row],[id_operacion]],tblEjecucion[id_operacion],tblEjecucion[costo_plan_total],0)-tblOrdenes[[#This Row],[costo_servicio]]))</f>
        <v/>
      </c>
      <c r="AN875" s="18">
        <f>IF(tblOrdenes[[#This Row],[orden]]="","",tblOrdenes[[#This Row],[costo_servicio]]+tblOrdenes[[#This Row],[costo_materiales]])</f>
        <v/>
      </c>
      <c r="AO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5">
        <f>IF(tblOrdenes[[#This Row],[link_checklist]]="","",HYPERLINK(p_ruta_base_checklists&amp;tblOrdenes[[#This Row],[link_checklist]],"abrir"))</f>
        <v/>
      </c>
      <c r="AT875" s="4" t="n"/>
      <c r="AU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5" t="n"/>
      <c r="K876" s="5" t="n"/>
      <c r="L876" s="18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Row],[fecha_inicio]]="","",tblOrdenes[[#This Row],[anio]]&amp;"-"&amp;TEXT(tblOrdenes[[#This Row],[mes]],"00"))</f>
        <v/>
      </c>
      <c r="S876" s="5">
        <f>IF(tblOrdenes[[#This Row],[fecha_inicio]]="","",INDEX(lista_dias,WEEKDAY(tblOrdenes[[#This Row],[fecha_inicio]],2)))</f>
        <v/>
      </c>
      <c r="T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5">
        <f>IF(tblOrdenes[[#This Row],[tipo_ot]]="","",_xlfn.XLOOKUP(tblOrdenes[[#This Row],[tipo_ot]],tblTiposOT[codigo],tblTiposOT[clasificacion],"sin_clasificar"))</f>
        <v/>
      </c>
      <c r="V8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5">
        <f>IF(tblOrdenes[[#This Row],[centro_costo]]="","",_xlfn.XLOOKUP(tblOrdenes[[#This Row],[centro_costo]],tblCECO[codigo],tblCECO[linea],"(sin catálogo)"))</f>
        <v/>
      </c>
      <c r="Y876" s="5">
        <f>IF(tblOrdenes[[#This Row],[centro_costo]]="","",_xlfn.XLOOKUP(tblOrdenes[[#This Row],[centro_costo]],tblCECO[codigo],tblCECO[area],"(sin catálogo)"))</f>
        <v/>
      </c>
      <c r="Z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5">
        <f>IF(tblOrdenes[[#This Row],[centro_costo]]="","",_xlfn.XLOOKUP(tblOrdenes[[#This Row],[centro_costo]],tblCECO[codigo],tblCECO[coordinador],"(sin catálogo)"))</f>
        <v/>
      </c>
      <c r="AB876" s="5">
        <f>IF(tblOrdenes[[#This Row],[puesto_trabajo]]="","",_xlfn.XLOOKUP(tblOrdenes[[#This Row],[puesto_trabajo]],tblPuestos[codigo],tblPuestos[especialidad],"(sin catálogo)"))</f>
        <v/>
      </c>
      <c r="AC876" s="5">
        <f>IF(tblOrdenes[[#This Row],[cod_actividad]]="","",_xlfn.XLOOKUP(tblOrdenes[[#This Row],[cod_actividad]],tblActividades[codigo],tblActividades[descripcion],"(sin catálogo)"))</f>
        <v/>
      </c>
      <c r="AD876" s="23">
        <f>IF(tblOrdenes[[#This Row],[fecha_inicio]]="","",TODAY()-tblOrdenes[[#This Row],[fecha_inicio]])</f>
        <v/>
      </c>
      <c r="AE8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5">
        <f>IF(tblOrdenes[[#This Row],[backlog_habiles]]="","",IF(tblOrdenes[[#This Row],[backlog_habiles]]&lt;0,"FUTURO",IF(tblOrdenes[[#This Row],[backlog_habiles]]&gt;p_dias_backlog_max,"BACKLOG","MES CORRIENTE")))</f>
        <v/>
      </c>
      <c r="AG876" s="5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18">
        <f>IF(tblOrdenes[[#This Row],[orden]]="","",_xlfn.XLOOKUP(tblOrdenes[[#This Row],[id_operacion]],tblEjecucion[id_operacion],tblEjecucion[precio],0))</f>
        <v/>
      </c>
      <c r="AM876" s="18">
        <f>IF(tblOrdenes[[#This Row],[orden]]="","",MAX(0,_xlfn.XLOOKUP(tblOrdenes[[#This Row],[id_operacion]],tblEjecucion[id_operacion],tblEjecucion[costo_plan_total],0)-tblOrdenes[[#This Row],[costo_servicio]]))</f>
        <v/>
      </c>
      <c r="AN876" s="18">
        <f>IF(tblOrdenes[[#This Row],[orden]]="","",tblOrdenes[[#This Row],[costo_servicio]]+tblOrdenes[[#This Row],[costo_materiales]])</f>
        <v/>
      </c>
      <c r="AO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5">
        <f>IF(tblOrdenes[[#This Row],[link_checklist]]="","",HYPERLINK(p_ruta_base_checklists&amp;tblOrdenes[[#This Row],[link_checklist]],"abrir"))</f>
        <v/>
      </c>
      <c r="AT876" s="4" t="n"/>
      <c r="AU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5" t="n"/>
      <c r="K877" s="5" t="n"/>
      <c r="L877" s="18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Row],[fecha_inicio]]="","",tblOrdenes[[#This Row],[anio]]&amp;"-"&amp;TEXT(tblOrdenes[[#This Row],[mes]],"00"))</f>
        <v/>
      </c>
      <c r="S877" s="5">
        <f>IF(tblOrdenes[[#This Row],[fecha_inicio]]="","",INDEX(lista_dias,WEEKDAY(tblOrdenes[[#This Row],[fecha_inicio]],2)))</f>
        <v/>
      </c>
      <c r="T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5">
        <f>IF(tblOrdenes[[#This Row],[tipo_ot]]="","",_xlfn.XLOOKUP(tblOrdenes[[#This Row],[tipo_ot]],tblTiposOT[codigo],tblTiposOT[clasificacion],"sin_clasificar"))</f>
        <v/>
      </c>
      <c r="V8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5">
        <f>IF(tblOrdenes[[#This Row],[centro_costo]]="","",_xlfn.XLOOKUP(tblOrdenes[[#This Row],[centro_costo]],tblCECO[codigo],tblCECO[linea],"(sin catálogo)"))</f>
        <v/>
      </c>
      <c r="Y877" s="5">
        <f>IF(tblOrdenes[[#This Row],[centro_costo]]="","",_xlfn.XLOOKUP(tblOrdenes[[#This Row],[centro_costo]],tblCECO[codigo],tblCECO[area],"(sin catálogo)"))</f>
        <v/>
      </c>
      <c r="Z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5">
        <f>IF(tblOrdenes[[#This Row],[centro_costo]]="","",_xlfn.XLOOKUP(tblOrdenes[[#This Row],[centro_costo]],tblCECO[codigo],tblCECO[coordinador],"(sin catálogo)"))</f>
        <v/>
      </c>
      <c r="AB877" s="5">
        <f>IF(tblOrdenes[[#This Row],[puesto_trabajo]]="","",_xlfn.XLOOKUP(tblOrdenes[[#This Row],[puesto_trabajo]],tblPuestos[codigo],tblPuestos[especialidad],"(sin catálogo)"))</f>
        <v/>
      </c>
      <c r="AC877" s="5">
        <f>IF(tblOrdenes[[#This Row],[cod_actividad]]="","",_xlfn.XLOOKUP(tblOrdenes[[#This Row],[cod_actividad]],tblActividades[codigo],tblActividades[descripcion],"(sin catálogo)"))</f>
        <v/>
      </c>
      <c r="AD877" s="23">
        <f>IF(tblOrdenes[[#This Row],[fecha_inicio]]="","",TODAY()-tblOrdenes[[#This Row],[fecha_inicio]])</f>
        <v/>
      </c>
      <c r="AE8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5">
        <f>IF(tblOrdenes[[#This Row],[backlog_habiles]]="","",IF(tblOrdenes[[#This Row],[backlog_habiles]]&lt;0,"FUTURO",IF(tblOrdenes[[#This Row],[backlog_habiles]]&gt;p_dias_backlog_max,"BACKLOG","MES CORRIENTE")))</f>
        <v/>
      </c>
      <c r="AG877" s="5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18">
        <f>IF(tblOrdenes[[#This Row],[orden]]="","",_xlfn.XLOOKUP(tblOrdenes[[#This Row],[id_operacion]],tblEjecucion[id_operacion],tblEjecucion[precio],0))</f>
        <v/>
      </c>
      <c r="AM877" s="18">
        <f>IF(tblOrdenes[[#This Row],[orden]]="","",MAX(0,_xlfn.XLOOKUP(tblOrdenes[[#This Row],[id_operacion]],tblEjecucion[id_operacion],tblEjecucion[costo_plan_total],0)-tblOrdenes[[#This Row],[costo_servicio]]))</f>
        <v/>
      </c>
      <c r="AN877" s="18">
        <f>IF(tblOrdenes[[#This Row],[orden]]="","",tblOrdenes[[#This Row],[costo_servicio]]+tblOrdenes[[#This Row],[costo_materiales]])</f>
        <v/>
      </c>
      <c r="AO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5">
        <f>IF(tblOrdenes[[#This Row],[link_checklist]]="","",HYPERLINK(p_ruta_base_checklists&amp;tblOrdenes[[#This Row],[link_checklist]],"abrir"))</f>
        <v/>
      </c>
      <c r="AT877" s="4" t="n"/>
      <c r="AU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5" t="n"/>
      <c r="K878" s="5" t="n"/>
      <c r="L878" s="18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Row],[fecha_inicio]]="","",tblOrdenes[[#This Row],[anio]]&amp;"-"&amp;TEXT(tblOrdenes[[#This Row],[mes]],"00"))</f>
        <v/>
      </c>
      <c r="S878" s="5">
        <f>IF(tblOrdenes[[#This Row],[fecha_inicio]]="","",INDEX(lista_dias,WEEKDAY(tblOrdenes[[#This Row],[fecha_inicio]],2)))</f>
        <v/>
      </c>
      <c r="T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5">
        <f>IF(tblOrdenes[[#This Row],[tipo_ot]]="","",_xlfn.XLOOKUP(tblOrdenes[[#This Row],[tipo_ot]],tblTiposOT[codigo],tblTiposOT[clasificacion],"sin_clasificar"))</f>
        <v/>
      </c>
      <c r="V8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5">
        <f>IF(tblOrdenes[[#This Row],[centro_costo]]="","",_xlfn.XLOOKUP(tblOrdenes[[#This Row],[centro_costo]],tblCECO[codigo],tblCECO[linea],"(sin catálogo)"))</f>
        <v/>
      </c>
      <c r="Y878" s="5">
        <f>IF(tblOrdenes[[#This Row],[centro_costo]]="","",_xlfn.XLOOKUP(tblOrdenes[[#This Row],[centro_costo]],tblCECO[codigo],tblCECO[area],"(sin catálogo)"))</f>
        <v/>
      </c>
      <c r="Z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5">
        <f>IF(tblOrdenes[[#This Row],[centro_costo]]="","",_xlfn.XLOOKUP(tblOrdenes[[#This Row],[centro_costo]],tblCECO[codigo],tblCECO[coordinador],"(sin catálogo)"))</f>
        <v/>
      </c>
      <c r="AB878" s="5">
        <f>IF(tblOrdenes[[#This Row],[puesto_trabajo]]="","",_xlfn.XLOOKUP(tblOrdenes[[#This Row],[puesto_trabajo]],tblPuestos[codigo],tblPuestos[especialidad],"(sin catálogo)"))</f>
        <v/>
      </c>
      <c r="AC878" s="5">
        <f>IF(tblOrdenes[[#This Row],[cod_actividad]]="","",_xlfn.XLOOKUP(tblOrdenes[[#This Row],[cod_actividad]],tblActividades[codigo],tblActividades[descripcion],"(sin catálogo)"))</f>
        <v/>
      </c>
      <c r="AD878" s="23">
        <f>IF(tblOrdenes[[#This Row],[fecha_inicio]]="","",TODAY()-tblOrdenes[[#This Row],[fecha_inicio]])</f>
        <v/>
      </c>
      <c r="AE8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5">
        <f>IF(tblOrdenes[[#This Row],[backlog_habiles]]="","",IF(tblOrdenes[[#This Row],[backlog_habiles]]&lt;0,"FUTURO",IF(tblOrdenes[[#This Row],[backlog_habiles]]&gt;p_dias_backlog_max,"BACKLOG","MES CORRIENTE")))</f>
        <v/>
      </c>
      <c r="AG878" s="5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18">
        <f>IF(tblOrdenes[[#This Row],[orden]]="","",_xlfn.XLOOKUP(tblOrdenes[[#This Row],[id_operacion]],tblEjecucion[id_operacion],tblEjecucion[precio],0))</f>
        <v/>
      </c>
      <c r="AM878" s="18">
        <f>IF(tblOrdenes[[#This Row],[orden]]="","",MAX(0,_xlfn.XLOOKUP(tblOrdenes[[#This Row],[id_operacion]],tblEjecucion[id_operacion],tblEjecucion[costo_plan_total],0)-tblOrdenes[[#This Row],[costo_servicio]]))</f>
        <v/>
      </c>
      <c r="AN878" s="18">
        <f>IF(tblOrdenes[[#This Row],[orden]]="","",tblOrdenes[[#This Row],[costo_servicio]]+tblOrdenes[[#This Row],[costo_materiales]])</f>
        <v/>
      </c>
      <c r="AO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5">
        <f>IF(tblOrdenes[[#This Row],[link_checklist]]="","",HYPERLINK(p_ruta_base_checklists&amp;tblOrdenes[[#This Row],[link_checklist]],"abrir"))</f>
        <v/>
      </c>
      <c r="AT878" s="4" t="n"/>
      <c r="AU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5" t="n"/>
      <c r="K879" s="5" t="n"/>
      <c r="L879" s="18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Row],[fecha_inicio]]="","",tblOrdenes[[#This Row],[anio]]&amp;"-"&amp;TEXT(tblOrdenes[[#This Row],[mes]],"00"))</f>
        <v/>
      </c>
      <c r="S879" s="5">
        <f>IF(tblOrdenes[[#This Row],[fecha_inicio]]="","",INDEX(lista_dias,WEEKDAY(tblOrdenes[[#This Row],[fecha_inicio]],2)))</f>
        <v/>
      </c>
      <c r="T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5">
        <f>IF(tblOrdenes[[#This Row],[tipo_ot]]="","",_xlfn.XLOOKUP(tblOrdenes[[#This Row],[tipo_ot]],tblTiposOT[codigo],tblTiposOT[clasificacion],"sin_clasificar"))</f>
        <v/>
      </c>
      <c r="V8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5">
        <f>IF(tblOrdenes[[#This Row],[centro_costo]]="","",_xlfn.XLOOKUP(tblOrdenes[[#This Row],[centro_costo]],tblCECO[codigo],tblCECO[linea],"(sin catálogo)"))</f>
        <v/>
      </c>
      <c r="Y879" s="5">
        <f>IF(tblOrdenes[[#This Row],[centro_costo]]="","",_xlfn.XLOOKUP(tblOrdenes[[#This Row],[centro_costo]],tblCECO[codigo],tblCECO[area],"(sin catálogo)"))</f>
        <v/>
      </c>
      <c r="Z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5">
        <f>IF(tblOrdenes[[#This Row],[centro_costo]]="","",_xlfn.XLOOKUP(tblOrdenes[[#This Row],[centro_costo]],tblCECO[codigo],tblCECO[coordinador],"(sin catálogo)"))</f>
        <v/>
      </c>
      <c r="AB879" s="5">
        <f>IF(tblOrdenes[[#This Row],[puesto_trabajo]]="","",_xlfn.XLOOKUP(tblOrdenes[[#This Row],[puesto_trabajo]],tblPuestos[codigo],tblPuestos[especialidad],"(sin catálogo)"))</f>
        <v/>
      </c>
      <c r="AC879" s="5">
        <f>IF(tblOrdenes[[#This Row],[cod_actividad]]="","",_xlfn.XLOOKUP(tblOrdenes[[#This Row],[cod_actividad]],tblActividades[codigo],tblActividades[descripcion],"(sin catálogo)"))</f>
        <v/>
      </c>
      <c r="AD879" s="23">
        <f>IF(tblOrdenes[[#This Row],[fecha_inicio]]="","",TODAY()-tblOrdenes[[#This Row],[fecha_inicio]])</f>
        <v/>
      </c>
      <c r="AE8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5">
        <f>IF(tblOrdenes[[#This Row],[backlog_habiles]]="","",IF(tblOrdenes[[#This Row],[backlog_habiles]]&lt;0,"FUTURO",IF(tblOrdenes[[#This Row],[backlog_habiles]]&gt;p_dias_backlog_max,"BACKLOG","MES CORRIENTE")))</f>
        <v/>
      </c>
      <c r="AG879" s="5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18">
        <f>IF(tblOrdenes[[#This Row],[orden]]="","",_xlfn.XLOOKUP(tblOrdenes[[#This Row],[id_operacion]],tblEjecucion[id_operacion],tblEjecucion[precio],0))</f>
        <v/>
      </c>
      <c r="AM879" s="18">
        <f>IF(tblOrdenes[[#This Row],[orden]]="","",MAX(0,_xlfn.XLOOKUP(tblOrdenes[[#This Row],[id_operacion]],tblEjecucion[id_operacion],tblEjecucion[costo_plan_total],0)-tblOrdenes[[#This Row],[costo_servicio]]))</f>
        <v/>
      </c>
      <c r="AN879" s="18">
        <f>IF(tblOrdenes[[#This Row],[orden]]="","",tblOrdenes[[#This Row],[costo_servicio]]+tblOrdenes[[#This Row],[costo_materiales]])</f>
        <v/>
      </c>
      <c r="AO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5">
        <f>IF(tblOrdenes[[#This Row],[link_checklist]]="","",HYPERLINK(p_ruta_base_checklists&amp;tblOrdenes[[#This Row],[link_checklist]],"abrir"))</f>
        <v/>
      </c>
      <c r="AT879" s="4" t="n"/>
      <c r="AU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5" t="n"/>
      <c r="K880" s="5" t="n"/>
      <c r="L880" s="18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Row],[fecha_inicio]]="","",tblOrdenes[[#This Row],[anio]]&amp;"-"&amp;TEXT(tblOrdenes[[#This Row],[mes]],"00"))</f>
        <v/>
      </c>
      <c r="S880" s="5">
        <f>IF(tblOrdenes[[#This Row],[fecha_inicio]]="","",INDEX(lista_dias,WEEKDAY(tblOrdenes[[#This Row],[fecha_inicio]],2)))</f>
        <v/>
      </c>
      <c r="T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5">
        <f>IF(tblOrdenes[[#This Row],[tipo_ot]]="","",_xlfn.XLOOKUP(tblOrdenes[[#This Row],[tipo_ot]],tblTiposOT[codigo],tblTiposOT[clasificacion],"sin_clasificar"))</f>
        <v/>
      </c>
      <c r="V8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5">
        <f>IF(tblOrdenes[[#This Row],[centro_costo]]="","",_xlfn.XLOOKUP(tblOrdenes[[#This Row],[centro_costo]],tblCECO[codigo],tblCECO[linea],"(sin catálogo)"))</f>
        <v/>
      </c>
      <c r="Y880" s="5">
        <f>IF(tblOrdenes[[#This Row],[centro_costo]]="","",_xlfn.XLOOKUP(tblOrdenes[[#This Row],[centro_costo]],tblCECO[codigo],tblCECO[area],"(sin catálogo)"))</f>
        <v/>
      </c>
      <c r="Z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5">
        <f>IF(tblOrdenes[[#This Row],[centro_costo]]="","",_xlfn.XLOOKUP(tblOrdenes[[#This Row],[centro_costo]],tblCECO[codigo],tblCECO[coordinador],"(sin catálogo)"))</f>
        <v/>
      </c>
      <c r="AB880" s="5">
        <f>IF(tblOrdenes[[#This Row],[puesto_trabajo]]="","",_xlfn.XLOOKUP(tblOrdenes[[#This Row],[puesto_trabajo]],tblPuestos[codigo],tblPuestos[especialidad],"(sin catálogo)"))</f>
        <v/>
      </c>
      <c r="AC880" s="5">
        <f>IF(tblOrdenes[[#This Row],[cod_actividad]]="","",_xlfn.XLOOKUP(tblOrdenes[[#This Row],[cod_actividad]],tblActividades[codigo],tblActividades[descripcion],"(sin catálogo)"))</f>
        <v/>
      </c>
      <c r="AD880" s="23">
        <f>IF(tblOrdenes[[#This Row],[fecha_inicio]]="","",TODAY()-tblOrdenes[[#This Row],[fecha_inicio]])</f>
        <v/>
      </c>
      <c r="AE8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5">
        <f>IF(tblOrdenes[[#This Row],[backlog_habiles]]="","",IF(tblOrdenes[[#This Row],[backlog_habiles]]&lt;0,"FUTURO",IF(tblOrdenes[[#This Row],[backlog_habiles]]&gt;p_dias_backlog_max,"BACKLOG","MES CORRIENTE")))</f>
        <v/>
      </c>
      <c r="AG880" s="5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18">
        <f>IF(tblOrdenes[[#This Row],[orden]]="","",_xlfn.XLOOKUP(tblOrdenes[[#This Row],[id_operacion]],tblEjecucion[id_operacion],tblEjecucion[precio],0))</f>
        <v/>
      </c>
      <c r="AM880" s="18">
        <f>IF(tblOrdenes[[#This Row],[orden]]="","",MAX(0,_xlfn.XLOOKUP(tblOrdenes[[#This Row],[id_operacion]],tblEjecucion[id_operacion],tblEjecucion[costo_plan_total],0)-tblOrdenes[[#This Row],[costo_servicio]]))</f>
        <v/>
      </c>
      <c r="AN880" s="18">
        <f>IF(tblOrdenes[[#This Row],[orden]]="","",tblOrdenes[[#This Row],[costo_servicio]]+tblOrdenes[[#This Row],[costo_materiales]])</f>
        <v/>
      </c>
      <c r="AO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5">
        <f>IF(tblOrdenes[[#This Row],[link_checklist]]="","",HYPERLINK(p_ruta_base_checklists&amp;tblOrdenes[[#This Row],[link_checklist]],"abrir"))</f>
        <v/>
      </c>
      <c r="AT880" s="4" t="n"/>
      <c r="AU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5" t="n"/>
      <c r="K881" s="5" t="n"/>
      <c r="L881" s="18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Row],[fecha_inicio]]="","",tblOrdenes[[#This Row],[anio]]&amp;"-"&amp;TEXT(tblOrdenes[[#This Row],[mes]],"00"))</f>
        <v/>
      </c>
      <c r="S881" s="5">
        <f>IF(tblOrdenes[[#This Row],[fecha_inicio]]="","",INDEX(lista_dias,WEEKDAY(tblOrdenes[[#This Row],[fecha_inicio]],2)))</f>
        <v/>
      </c>
      <c r="T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5">
        <f>IF(tblOrdenes[[#This Row],[tipo_ot]]="","",_xlfn.XLOOKUP(tblOrdenes[[#This Row],[tipo_ot]],tblTiposOT[codigo],tblTiposOT[clasificacion],"sin_clasificar"))</f>
        <v/>
      </c>
      <c r="V8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5">
        <f>IF(tblOrdenes[[#This Row],[centro_costo]]="","",_xlfn.XLOOKUP(tblOrdenes[[#This Row],[centro_costo]],tblCECO[codigo],tblCECO[linea],"(sin catálogo)"))</f>
        <v/>
      </c>
      <c r="Y881" s="5">
        <f>IF(tblOrdenes[[#This Row],[centro_costo]]="","",_xlfn.XLOOKUP(tblOrdenes[[#This Row],[centro_costo]],tblCECO[codigo],tblCECO[area],"(sin catálogo)"))</f>
        <v/>
      </c>
      <c r="Z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5">
        <f>IF(tblOrdenes[[#This Row],[centro_costo]]="","",_xlfn.XLOOKUP(tblOrdenes[[#This Row],[centro_costo]],tblCECO[codigo],tblCECO[coordinador],"(sin catálogo)"))</f>
        <v/>
      </c>
      <c r="AB881" s="5">
        <f>IF(tblOrdenes[[#This Row],[puesto_trabajo]]="","",_xlfn.XLOOKUP(tblOrdenes[[#This Row],[puesto_trabajo]],tblPuestos[codigo],tblPuestos[especialidad],"(sin catálogo)"))</f>
        <v/>
      </c>
      <c r="AC881" s="5">
        <f>IF(tblOrdenes[[#This Row],[cod_actividad]]="","",_xlfn.XLOOKUP(tblOrdenes[[#This Row],[cod_actividad]],tblActividades[codigo],tblActividades[descripcion],"(sin catálogo)"))</f>
        <v/>
      </c>
      <c r="AD881" s="23">
        <f>IF(tblOrdenes[[#This Row],[fecha_inicio]]="","",TODAY()-tblOrdenes[[#This Row],[fecha_inicio]])</f>
        <v/>
      </c>
      <c r="AE8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5">
        <f>IF(tblOrdenes[[#This Row],[backlog_habiles]]="","",IF(tblOrdenes[[#This Row],[backlog_habiles]]&lt;0,"FUTURO",IF(tblOrdenes[[#This Row],[backlog_habiles]]&gt;p_dias_backlog_max,"BACKLOG","MES CORRIENTE")))</f>
        <v/>
      </c>
      <c r="AG881" s="5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18">
        <f>IF(tblOrdenes[[#This Row],[orden]]="","",_xlfn.XLOOKUP(tblOrdenes[[#This Row],[id_operacion]],tblEjecucion[id_operacion],tblEjecucion[precio],0))</f>
        <v/>
      </c>
      <c r="AM881" s="18">
        <f>IF(tblOrdenes[[#This Row],[orden]]="","",MAX(0,_xlfn.XLOOKUP(tblOrdenes[[#This Row],[id_operacion]],tblEjecucion[id_operacion],tblEjecucion[costo_plan_total],0)-tblOrdenes[[#This Row],[costo_servicio]]))</f>
        <v/>
      </c>
      <c r="AN881" s="18">
        <f>IF(tblOrdenes[[#This Row],[orden]]="","",tblOrdenes[[#This Row],[costo_servicio]]+tblOrdenes[[#This Row],[costo_materiales]])</f>
        <v/>
      </c>
      <c r="AO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5">
        <f>IF(tblOrdenes[[#This Row],[link_checklist]]="","",HYPERLINK(p_ruta_base_checklists&amp;tblOrdenes[[#This Row],[link_checklist]],"abrir"))</f>
        <v/>
      </c>
      <c r="AT881" s="4" t="n"/>
      <c r="AU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5" t="n"/>
      <c r="K882" s="5" t="n"/>
      <c r="L882" s="18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Row],[fecha_inicio]]="","",tblOrdenes[[#This Row],[anio]]&amp;"-"&amp;TEXT(tblOrdenes[[#This Row],[mes]],"00"))</f>
        <v/>
      </c>
      <c r="S882" s="5">
        <f>IF(tblOrdenes[[#This Row],[fecha_inicio]]="","",INDEX(lista_dias,WEEKDAY(tblOrdenes[[#This Row],[fecha_inicio]],2)))</f>
        <v/>
      </c>
      <c r="T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5">
        <f>IF(tblOrdenes[[#This Row],[tipo_ot]]="","",_xlfn.XLOOKUP(tblOrdenes[[#This Row],[tipo_ot]],tblTiposOT[codigo],tblTiposOT[clasificacion],"sin_clasificar"))</f>
        <v/>
      </c>
      <c r="V8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5">
        <f>IF(tblOrdenes[[#This Row],[centro_costo]]="","",_xlfn.XLOOKUP(tblOrdenes[[#This Row],[centro_costo]],tblCECO[codigo],tblCECO[linea],"(sin catálogo)"))</f>
        <v/>
      </c>
      <c r="Y882" s="5">
        <f>IF(tblOrdenes[[#This Row],[centro_costo]]="","",_xlfn.XLOOKUP(tblOrdenes[[#This Row],[centro_costo]],tblCECO[codigo],tblCECO[area],"(sin catálogo)"))</f>
        <v/>
      </c>
      <c r="Z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5">
        <f>IF(tblOrdenes[[#This Row],[centro_costo]]="","",_xlfn.XLOOKUP(tblOrdenes[[#This Row],[centro_costo]],tblCECO[codigo],tblCECO[coordinador],"(sin catálogo)"))</f>
        <v/>
      </c>
      <c r="AB882" s="5">
        <f>IF(tblOrdenes[[#This Row],[puesto_trabajo]]="","",_xlfn.XLOOKUP(tblOrdenes[[#This Row],[puesto_trabajo]],tblPuestos[codigo],tblPuestos[especialidad],"(sin catálogo)"))</f>
        <v/>
      </c>
      <c r="AC882" s="5">
        <f>IF(tblOrdenes[[#This Row],[cod_actividad]]="","",_xlfn.XLOOKUP(tblOrdenes[[#This Row],[cod_actividad]],tblActividades[codigo],tblActividades[descripcion],"(sin catálogo)"))</f>
        <v/>
      </c>
      <c r="AD882" s="23">
        <f>IF(tblOrdenes[[#This Row],[fecha_inicio]]="","",TODAY()-tblOrdenes[[#This Row],[fecha_inicio]])</f>
        <v/>
      </c>
      <c r="AE8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5">
        <f>IF(tblOrdenes[[#This Row],[backlog_habiles]]="","",IF(tblOrdenes[[#This Row],[backlog_habiles]]&lt;0,"FUTURO",IF(tblOrdenes[[#This Row],[backlog_habiles]]&gt;p_dias_backlog_max,"BACKLOG","MES CORRIENTE")))</f>
        <v/>
      </c>
      <c r="AG882" s="5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18">
        <f>IF(tblOrdenes[[#This Row],[orden]]="","",_xlfn.XLOOKUP(tblOrdenes[[#This Row],[id_operacion]],tblEjecucion[id_operacion],tblEjecucion[precio],0))</f>
        <v/>
      </c>
      <c r="AM882" s="18">
        <f>IF(tblOrdenes[[#This Row],[orden]]="","",MAX(0,_xlfn.XLOOKUP(tblOrdenes[[#This Row],[id_operacion]],tblEjecucion[id_operacion],tblEjecucion[costo_plan_total],0)-tblOrdenes[[#This Row],[costo_servicio]]))</f>
        <v/>
      </c>
      <c r="AN882" s="18">
        <f>IF(tblOrdenes[[#This Row],[orden]]="","",tblOrdenes[[#This Row],[costo_servicio]]+tblOrdenes[[#This Row],[costo_materiales]])</f>
        <v/>
      </c>
      <c r="AO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5">
        <f>IF(tblOrdenes[[#This Row],[link_checklist]]="","",HYPERLINK(p_ruta_base_checklists&amp;tblOrdenes[[#This Row],[link_checklist]],"abrir"))</f>
        <v/>
      </c>
      <c r="AT882" s="4" t="n"/>
      <c r="AU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5" t="n"/>
      <c r="K883" s="5" t="n"/>
      <c r="L883" s="18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Row],[fecha_inicio]]="","",tblOrdenes[[#This Row],[anio]]&amp;"-"&amp;TEXT(tblOrdenes[[#This Row],[mes]],"00"))</f>
        <v/>
      </c>
      <c r="S883" s="5">
        <f>IF(tblOrdenes[[#This Row],[fecha_inicio]]="","",INDEX(lista_dias,WEEKDAY(tblOrdenes[[#This Row],[fecha_inicio]],2)))</f>
        <v/>
      </c>
      <c r="T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5">
        <f>IF(tblOrdenes[[#This Row],[tipo_ot]]="","",_xlfn.XLOOKUP(tblOrdenes[[#This Row],[tipo_ot]],tblTiposOT[codigo],tblTiposOT[clasificacion],"sin_clasificar"))</f>
        <v/>
      </c>
      <c r="V8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5">
        <f>IF(tblOrdenes[[#This Row],[centro_costo]]="","",_xlfn.XLOOKUP(tblOrdenes[[#This Row],[centro_costo]],tblCECO[codigo],tblCECO[linea],"(sin catálogo)"))</f>
        <v/>
      </c>
      <c r="Y883" s="5">
        <f>IF(tblOrdenes[[#This Row],[centro_costo]]="","",_xlfn.XLOOKUP(tblOrdenes[[#This Row],[centro_costo]],tblCECO[codigo],tblCECO[area],"(sin catálogo)"))</f>
        <v/>
      </c>
      <c r="Z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5">
        <f>IF(tblOrdenes[[#This Row],[centro_costo]]="","",_xlfn.XLOOKUP(tblOrdenes[[#This Row],[centro_costo]],tblCECO[codigo],tblCECO[coordinador],"(sin catálogo)"))</f>
        <v/>
      </c>
      <c r="AB883" s="5">
        <f>IF(tblOrdenes[[#This Row],[puesto_trabajo]]="","",_xlfn.XLOOKUP(tblOrdenes[[#This Row],[puesto_trabajo]],tblPuestos[codigo],tblPuestos[especialidad],"(sin catálogo)"))</f>
        <v/>
      </c>
      <c r="AC883" s="5">
        <f>IF(tblOrdenes[[#This Row],[cod_actividad]]="","",_xlfn.XLOOKUP(tblOrdenes[[#This Row],[cod_actividad]],tblActividades[codigo],tblActividades[descripcion],"(sin catálogo)"))</f>
        <v/>
      </c>
      <c r="AD883" s="23">
        <f>IF(tblOrdenes[[#This Row],[fecha_inicio]]="","",TODAY()-tblOrdenes[[#This Row],[fecha_inicio]])</f>
        <v/>
      </c>
      <c r="AE8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5">
        <f>IF(tblOrdenes[[#This Row],[backlog_habiles]]="","",IF(tblOrdenes[[#This Row],[backlog_habiles]]&lt;0,"FUTURO",IF(tblOrdenes[[#This Row],[backlog_habiles]]&gt;p_dias_backlog_max,"BACKLOG","MES CORRIENTE")))</f>
        <v/>
      </c>
      <c r="AG883" s="5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18">
        <f>IF(tblOrdenes[[#This Row],[orden]]="","",_xlfn.XLOOKUP(tblOrdenes[[#This Row],[id_operacion]],tblEjecucion[id_operacion],tblEjecucion[precio],0))</f>
        <v/>
      </c>
      <c r="AM883" s="18">
        <f>IF(tblOrdenes[[#This Row],[orden]]="","",MAX(0,_xlfn.XLOOKUP(tblOrdenes[[#This Row],[id_operacion]],tblEjecucion[id_operacion],tblEjecucion[costo_plan_total],0)-tblOrdenes[[#This Row],[costo_servicio]]))</f>
        <v/>
      </c>
      <c r="AN883" s="18">
        <f>IF(tblOrdenes[[#This Row],[orden]]="","",tblOrdenes[[#This Row],[costo_servicio]]+tblOrdenes[[#This Row],[costo_materiales]])</f>
        <v/>
      </c>
      <c r="AO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5">
        <f>IF(tblOrdenes[[#This Row],[link_checklist]]="","",HYPERLINK(p_ruta_base_checklists&amp;tblOrdenes[[#This Row],[link_checklist]],"abrir"))</f>
        <v/>
      </c>
      <c r="AT883" s="4" t="n"/>
      <c r="AU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5" t="n"/>
      <c r="K884" s="5" t="n"/>
      <c r="L884" s="18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Row],[fecha_inicio]]="","",tblOrdenes[[#This Row],[anio]]&amp;"-"&amp;TEXT(tblOrdenes[[#This Row],[mes]],"00"))</f>
        <v/>
      </c>
      <c r="S884" s="5">
        <f>IF(tblOrdenes[[#This Row],[fecha_inicio]]="","",INDEX(lista_dias,WEEKDAY(tblOrdenes[[#This Row],[fecha_inicio]],2)))</f>
        <v/>
      </c>
      <c r="T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5">
        <f>IF(tblOrdenes[[#This Row],[tipo_ot]]="","",_xlfn.XLOOKUP(tblOrdenes[[#This Row],[tipo_ot]],tblTiposOT[codigo],tblTiposOT[clasificacion],"sin_clasificar"))</f>
        <v/>
      </c>
      <c r="V8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5">
        <f>IF(tblOrdenes[[#This Row],[centro_costo]]="","",_xlfn.XLOOKUP(tblOrdenes[[#This Row],[centro_costo]],tblCECO[codigo],tblCECO[linea],"(sin catálogo)"))</f>
        <v/>
      </c>
      <c r="Y884" s="5">
        <f>IF(tblOrdenes[[#This Row],[centro_costo]]="","",_xlfn.XLOOKUP(tblOrdenes[[#This Row],[centro_costo]],tblCECO[codigo],tblCECO[area],"(sin catálogo)"))</f>
        <v/>
      </c>
      <c r="Z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5">
        <f>IF(tblOrdenes[[#This Row],[centro_costo]]="","",_xlfn.XLOOKUP(tblOrdenes[[#This Row],[centro_costo]],tblCECO[codigo],tblCECO[coordinador],"(sin catálogo)"))</f>
        <v/>
      </c>
      <c r="AB884" s="5">
        <f>IF(tblOrdenes[[#This Row],[puesto_trabajo]]="","",_xlfn.XLOOKUP(tblOrdenes[[#This Row],[puesto_trabajo]],tblPuestos[codigo],tblPuestos[especialidad],"(sin catálogo)"))</f>
        <v/>
      </c>
      <c r="AC884" s="5">
        <f>IF(tblOrdenes[[#This Row],[cod_actividad]]="","",_xlfn.XLOOKUP(tblOrdenes[[#This Row],[cod_actividad]],tblActividades[codigo],tblActividades[descripcion],"(sin catálogo)"))</f>
        <v/>
      </c>
      <c r="AD884" s="23">
        <f>IF(tblOrdenes[[#This Row],[fecha_inicio]]="","",TODAY()-tblOrdenes[[#This Row],[fecha_inicio]])</f>
        <v/>
      </c>
      <c r="AE8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5">
        <f>IF(tblOrdenes[[#This Row],[backlog_habiles]]="","",IF(tblOrdenes[[#This Row],[backlog_habiles]]&lt;0,"FUTURO",IF(tblOrdenes[[#This Row],[backlog_habiles]]&gt;p_dias_backlog_max,"BACKLOG","MES CORRIENTE")))</f>
        <v/>
      </c>
      <c r="AG884" s="5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18">
        <f>IF(tblOrdenes[[#This Row],[orden]]="","",_xlfn.XLOOKUP(tblOrdenes[[#This Row],[id_operacion]],tblEjecucion[id_operacion],tblEjecucion[precio],0))</f>
        <v/>
      </c>
      <c r="AM884" s="18">
        <f>IF(tblOrdenes[[#This Row],[orden]]="","",MAX(0,_xlfn.XLOOKUP(tblOrdenes[[#This Row],[id_operacion]],tblEjecucion[id_operacion],tblEjecucion[costo_plan_total],0)-tblOrdenes[[#This Row],[costo_servicio]]))</f>
        <v/>
      </c>
      <c r="AN884" s="18">
        <f>IF(tblOrdenes[[#This Row],[orden]]="","",tblOrdenes[[#This Row],[costo_servicio]]+tblOrdenes[[#This Row],[costo_materiales]])</f>
        <v/>
      </c>
      <c r="AO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5">
        <f>IF(tblOrdenes[[#This Row],[link_checklist]]="","",HYPERLINK(p_ruta_base_checklists&amp;tblOrdenes[[#This Row],[link_checklist]],"abrir"))</f>
        <v/>
      </c>
      <c r="AT884" s="4" t="n"/>
      <c r="AU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5" t="n"/>
      <c r="K885" s="5" t="n"/>
      <c r="L885" s="18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Row],[fecha_inicio]]="","",tblOrdenes[[#This Row],[anio]]&amp;"-"&amp;TEXT(tblOrdenes[[#This Row],[mes]],"00"))</f>
        <v/>
      </c>
      <c r="S885" s="5">
        <f>IF(tblOrdenes[[#This Row],[fecha_inicio]]="","",INDEX(lista_dias,WEEKDAY(tblOrdenes[[#This Row],[fecha_inicio]],2)))</f>
        <v/>
      </c>
      <c r="T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5">
        <f>IF(tblOrdenes[[#This Row],[tipo_ot]]="","",_xlfn.XLOOKUP(tblOrdenes[[#This Row],[tipo_ot]],tblTiposOT[codigo],tblTiposOT[clasificacion],"sin_clasificar"))</f>
        <v/>
      </c>
      <c r="V8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5">
        <f>IF(tblOrdenes[[#This Row],[centro_costo]]="","",_xlfn.XLOOKUP(tblOrdenes[[#This Row],[centro_costo]],tblCECO[codigo],tblCECO[linea],"(sin catálogo)"))</f>
        <v/>
      </c>
      <c r="Y885" s="5">
        <f>IF(tblOrdenes[[#This Row],[centro_costo]]="","",_xlfn.XLOOKUP(tblOrdenes[[#This Row],[centro_costo]],tblCECO[codigo],tblCECO[area],"(sin catálogo)"))</f>
        <v/>
      </c>
      <c r="Z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5">
        <f>IF(tblOrdenes[[#This Row],[centro_costo]]="","",_xlfn.XLOOKUP(tblOrdenes[[#This Row],[centro_costo]],tblCECO[codigo],tblCECO[coordinador],"(sin catálogo)"))</f>
        <v/>
      </c>
      <c r="AB885" s="5">
        <f>IF(tblOrdenes[[#This Row],[puesto_trabajo]]="","",_xlfn.XLOOKUP(tblOrdenes[[#This Row],[puesto_trabajo]],tblPuestos[codigo],tblPuestos[especialidad],"(sin catálogo)"))</f>
        <v/>
      </c>
      <c r="AC885" s="5">
        <f>IF(tblOrdenes[[#This Row],[cod_actividad]]="","",_xlfn.XLOOKUP(tblOrdenes[[#This Row],[cod_actividad]],tblActividades[codigo],tblActividades[descripcion],"(sin catálogo)"))</f>
        <v/>
      </c>
      <c r="AD885" s="23">
        <f>IF(tblOrdenes[[#This Row],[fecha_inicio]]="","",TODAY()-tblOrdenes[[#This Row],[fecha_inicio]])</f>
        <v/>
      </c>
      <c r="AE8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5">
        <f>IF(tblOrdenes[[#This Row],[backlog_habiles]]="","",IF(tblOrdenes[[#This Row],[backlog_habiles]]&lt;0,"FUTURO",IF(tblOrdenes[[#This Row],[backlog_habiles]]&gt;p_dias_backlog_max,"BACKLOG","MES CORRIENTE")))</f>
        <v/>
      </c>
      <c r="AG885" s="5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18">
        <f>IF(tblOrdenes[[#This Row],[orden]]="","",_xlfn.XLOOKUP(tblOrdenes[[#This Row],[id_operacion]],tblEjecucion[id_operacion],tblEjecucion[precio],0))</f>
        <v/>
      </c>
      <c r="AM885" s="18">
        <f>IF(tblOrdenes[[#This Row],[orden]]="","",MAX(0,_xlfn.XLOOKUP(tblOrdenes[[#This Row],[id_operacion]],tblEjecucion[id_operacion],tblEjecucion[costo_plan_total],0)-tblOrdenes[[#This Row],[costo_servicio]]))</f>
        <v/>
      </c>
      <c r="AN885" s="18">
        <f>IF(tblOrdenes[[#This Row],[orden]]="","",tblOrdenes[[#This Row],[costo_servicio]]+tblOrdenes[[#This Row],[costo_materiales]])</f>
        <v/>
      </c>
      <c r="AO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5">
        <f>IF(tblOrdenes[[#This Row],[link_checklist]]="","",HYPERLINK(p_ruta_base_checklists&amp;tblOrdenes[[#This Row],[link_checklist]],"abrir"))</f>
        <v/>
      </c>
      <c r="AT885" s="4" t="n"/>
      <c r="AU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5" t="n"/>
      <c r="K886" s="5" t="n"/>
      <c r="L886" s="18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Row],[fecha_inicio]]="","",tblOrdenes[[#This Row],[anio]]&amp;"-"&amp;TEXT(tblOrdenes[[#This Row],[mes]],"00"))</f>
        <v/>
      </c>
      <c r="S886" s="5">
        <f>IF(tblOrdenes[[#This Row],[fecha_inicio]]="","",INDEX(lista_dias,WEEKDAY(tblOrdenes[[#This Row],[fecha_inicio]],2)))</f>
        <v/>
      </c>
      <c r="T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5">
        <f>IF(tblOrdenes[[#This Row],[tipo_ot]]="","",_xlfn.XLOOKUP(tblOrdenes[[#This Row],[tipo_ot]],tblTiposOT[codigo],tblTiposOT[clasificacion],"sin_clasificar"))</f>
        <v/>
      </c>
      <c r="V8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5">
        <f>IF(tblOrdenes[[#This Row],[centro_costo]]="","",_xlfn.XLOOKUP(tblOrdenes[[#This Row],[centro_costo]],tblCECO[codigo],tblCECO[linea],"(sin catálogo)"))</f>
        <v/>
      </c>
      <c r="Y886" s="5">
        <f>IF(tblOrdenes[[#This Row],[centro_costo]]="","",_xlfn.XLOOKUP(tblOrdenes[[#This Row],[centro_costo]],tblCECO[codigo],tblCECO[area],"(sin catálogo)"))</f>
        <v/>
      </c>
      <c r="Z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5">
        <f>IF(tblOrdenes[[#This Row],[centro_costo]]="","",_xlfn.XLOOKUP(tblOrdenes[[#This Row],[centro_costo]],tblCECO[codigo],tblCECO[coordinador],"(sin catálogo)"))</f>
        <v/>
      </c>
      <c r="AB886" s="5">
        <f>IF(tblOrdenes[[#This Row],[puesto_trabajo]]="","",_xlfn.XLOOKUP(tblOrdenes[[#This Row],[puesto_trabajo]],tblPuestos[codigo],tblPuestos[especialidad],"(sin catálogo)"))</f>
        <v/>
      </c>
      <c r="AC886" s="5">
        <f>IF(tblOrdenes[[#This Row],[cod_actividad]]="","",_xlfn.XLOOKUP(tblOrdenes[[#This Row],[cod_actividad]],tblActividades[codigo],tblActividades[descripcion],"(sin catálogo)"))</f>
        <v/>
      </c>
      <c r="AD886" s="23">
        <f>IF(tblOrdenes[[#This Row],[fecha_inicio]]="","",TODAY()-tblOrdenes[[#This Row],[fecha_inicio]])</f>
        <v/>
      </c>
      <c r="AE8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5">
        <f>IF(tblOrdenes[[#This Row],[backlog_habiles]]="","",IF(tblOrdenes[[#This Row],[backlog_habiles]]&lt;0,"FUTURO",IF(tblOrdenes[[#This Row],[backlog_habiles]]&gt;p_dias_backlog_max,"BACKLOG","MES CORRIENTE")))</f>
        <v/>
      </c>
      <c r="AG886" s="5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18">
        <f>IF(tblOrdenes[[#This Row],[orden]]="","",_xlfn.XLOOKUP(tblOrdenes[[#This Row],[id_operacion]],tblEjecucion[id_operacion],tblEjecucion[precio],0))</f>
        <v/>
      </c>
      <c r="AM886" s="18">
        <f>IF(tblOrdenes[[#This Row],[orden]]="","",MAX(0,_xlfn.XLOOKUP(tblOrdenes[[#This Row],[id_operacion]],tblEjecucion[id_operacion],tblEjecucion[costo_plan_total],0)-tblOrdenes[[#This Row],[costo_servicio]]))</f>
        <v/>
      </c>
      <c r="AN886" s="18">
        <f>IF(tblOrdenes[[#This Row],[orden]]="","",tblOrdenes[[#This Row],[costo_servicio]]+tblOrdenes[[#This Row],[costo_materiales]])</f>
        <v/>
      </c>
      <c r="AO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5">
        <f>IF(tblOrdenes[[#This Row],[link_checklist]]="","",HYPERLINK(p_ruta_base_checklists&amp;tblOrdenes[[#This Row],[link_checklist]],"abrir"))</f>
        <v/>
      </c>
      <c r="AT886" s="4" t="n"/>
      <c r="AU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5" t="n"/>
      <c r="K887" s="5" t="n"/>
      <c r="L887" s="18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Row],[fecha_inicio]]="","",tblOrdenes[[#This Row],[anio]]&amp;"-"&amp;TEXT(tblOrdenes[[#This Row],[mes]],"00"))</f>
        <v/>
      </c>
      <c r="S887" s="5">
        <f>IF(tblOrdenes[[#This Row],[fecha_inicio]]="","",INDEX(lista_dias,WEEKDAY(tblOrdenes[[#This Row],[fecha_inicio]],2)))</f>
        <v/>
      </c>
      <c r="T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5">
        <f>IF(tblOrdenes[[#This Row],[tipo_ot]]="","",_xlfn.XLOOKUP(tblOrdenes[[#This Row],[tipo_ot]],tblTiposOT[codigo],tblTiposOT[clasificacion],"sin_clasificar"))</f>
        <v/>
      </c>
      <c r="V8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5">
        <f>IF(tblOrdenes[[#This Row],[centro_costo]]="","",_xlfn.XLOOKUP(tblOrdenes[[#This Row],[centro_costo]],tblCECO[codigo],tblCECO[linea],"(sin catálogo)"))</f>
        <v/>
      </c>
      <c r="Y887" s="5">
        <f>IF(tblOrdenes[[#This Row],[centro_costo]]="","",_xlfn.XLOOKUP(tblOrdenes[[#This Row],[centro_costo]],tblCECO[codigo],tblCECO[area],"(sin catálogo)"))</f>
        <v/>
      </c>
      <c r="Z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5">
        <f>IF(tblOrdenes[[#This Row],[centro_costo]]="","",_xlfn.XLOOKUP(tblOrdenes[[#This Row],[centro_costo]],tblCECO[codigo],tblCECO[coordinador],"(sin catálogo)"))</f>
        <v/>
      </c>
      <c r="AB887" s="5">
        <f>IF(tblOrdenes[[#This Row],[puesto_trabajo]]="","",_xlfn.XLOOKUP(tblOrdenes[[#This Row],[puesto_trabajo]],tblPuestos[codigo],tblPuestos[especialidad],"(sin catálogo)"))</f>
        <v/>
      </c>
      <c r="AC887" s="5">
        <f>IF(tblOrdenes[[#This Row],[cod_actividad]]="","",_xlfn.XLOOKUP(tblOrdenes[[#This Row],[cod_actividad]],tblActividades[codigo],tblActividades[descripcion],"(sin catálogo)"))</f>
        <v/>
      </c>
      <c r="AD887" s="23">
        <f>IF(tblOrdenes[[#This Row],[fecha_inicio]]="","",TODAY()-tblOrdenes[[#This Row],[fecha_inicio]])</f>
        <v/>
      </c>
      <c r="AE8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5">
        <f>IF(tblOrdenes[[#This Row],[backlog_habiles]]="","",IF(tblOrdenes[[#This Row],[backlog_habiles]]&lt;0,"FUTURO",IF(tblOrdenes[[#This Row],[backlog_habiles]]&gt;p_dias_backlog_max,"BACKLOG","MES CORRIENTE")))</f>
        <v/>
      </c>
      <c r="AG887" s="5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18">
        <f>IF(tblOrdenes[[#This Row],[orden]]="","",_xlfn.XLOOKUP(tblOrdenes[[#This Row],[id_operacion]],tblEjecucion[id_operacion],tblEjecucion[precio],0))</f>
        <v/>
      </c>
      <c r="AM887" s="18">
        <f>IF(tblOrdenes[[#This Row],[orden]]="","",MAX(0,_xlfn.XLOOKUP(tblOrdenes[[#This Row],[id_operacion]],tblEjecucion[id_operacion],tblEjecucion[costo_plan_total],0)-tblOrdenes[[#This Row],[costo_servicio]]))</f>
        <v/>
      </c>
      <c r="AN887" s="18">
        <f>IF(tblOrdenes[[#This Row],[orden]]="","",tblOrdenes[[#This Row],[costo_servicio]]+tblOrdenes[[#This Row],[costo_materiales]])</f>
        <v/>
      </c>
      <c r="AO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5">
        <f>IF(tblOrdenes[[#This Row],[link_checklist]]="","",HYPERLINK(p_ruta_base_checklists&amp;tblOrdenes[[#This Row],[link_checklist]],"abrir"))</f>
        <v/>
      </c>
      <c r="AT887" s="4" t="n"/>
      <c r="AU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5" t="n"/>
      <c r="K888" s="5" t="n"/>
      <c r="L888" s="18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Row],[fecha_inicio]]="","",tblOrdenes[[#This Row],[anio]]&amp;"-"&amp;TEXT(tblOrdenes[[#This Row],[mes]],"00"))</f>
        <v/>
      </c>
      <c r="S888" s="5">
        <f>IF(tblOrdenes[[#This Row],[fecha_inicio]]="","",INDEX(lista_dias,WEEKDAY(tblOrdenes[[#This Row],[fecha_inicio]],2)))</f>
        <v/>
      </c>
      <c r="T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5">
        <f>IF(tblOrdenes[[#This Row],[tipo_ot]]="","",_xlfn.XLOOKUP(tblOrdenes[[#This Row],[tipo_ot]],tblTiposOT[codigo],tblTiposOT[clasificacion],"sin_clasificar"))</f>
        <v/>
      </c>
      <c r="V8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5">
        <f>IF(tblOrdenes[[#This Row],[centro_costo]]="","",_xlfn.XLOOKUP(tblOrdenes[[#This Row],[centro_costo]],tblCECO[codigo],tblCECO[linea],"(sin catálogo)"))</f>
        <v/>
      </c>
      <c r="Y888" s="5">
        <f>IF(tblOrdenes[[#This Row],[centro_costo]]="","",_xlfn.XLOOKUP(tblOrdenes[[#This Row],[centro_costo]],tblCECO[codigo],tblCECO[area],"(sin catálogo)"))</f>
        <v/>
      </c>
      <c r="Z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5">
        <f>IF(tblOrdenes[[#This Row],[centro_costo]]="","",_xlfn.XLOOKUP(tblOrdenes[[#This Row],[centro_costo]],tblCECO[codigo],tblCECO[coordinador],"(sin catálogo)"))</f>
        <v/>
      </c>
      <c r="AB888" s="5">
        <f>IF(tblOrdenes[[#This Row],[puesto_trabajo]]="","",_xlfn.XLOOKUP(tblOrdenes[[#This Row],[puesto_trabajo]],tblPuestos[codigo],tblPuestos[especialidad],"(sin catálogo)"))</f>
        <v/>
      </c>
      <c r="AC888" s="5">
        <f>IF(tblOrdenes[[#This Row],[cod_actividad]]="","",_xlfn.XLOOKUP(tblOrdenes[[#This Row],[cod_actividad]],tblActividades[codigo],tblActividades[descripcion],"(sin catálogo)"))</f>
        <v/>
      </c>
      <c r="AD888" s="23">
        <f>IF(tblOrdenes[[#This Row],[fecha_inicio]]="","",TODAY()-tblOrdenes[[#This Row],[fecha_inicio]])</f>
        <v/>
      </c>
      <c r="AE8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5">
        <f>IF(tblOrdenes[[#This Row],[backlog_habiles]]="","",IF(tblOrdenes[[#This Row],[backlog_habiles]]&lt;0,"FUTURO",IF(tblOrdenes[[#This Row],[backlog_habiles]]&gt;p_dias_backlog_max,"BACKLOG","MES CORRIENTE")))</f>
        <v/>
      </c>
      <c r="AG888" s="5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18">
        <f>IF(tblOrdenes[[#This Row],[orden]]="","",_xlfn.XLOOKUP(tblOrdenes[[#This Row],[id_operacion]],tblEjecucion[id_operacion],tblEjecucion[precio],0))</f>
        <v/>
      </c>
      <c r="AM888" s="18">
        <f>IF(tblOrdenes[[#This Row],[orden]]="","",MAX(0,_xlfn.XLOOKUP(tblOrdenes[[#This Row],[id_operacion]],tblEjecucion[id_operacion],tblEjecucion[costo_plan_total],0)-tblOrdenes[[#This Row],[costo_servicio]]))</f>
        <v/>
      </c>
      <c r="AN888" s="18">
        <f>IF(tblOrdenes[[#This Row],[orden]]="","",tblOrdenes[[#This Row],[costo_servicio]]+tblOrdenes[[#This Row],[costo_materiales]])</f>
        <v/>
      </c>
      <c r="AO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5">
        <f>IF(tblOrdenes[[#This Row],[link_checklist]]="","",HYPERLINK(p_ruta_base_checklists&amp;tblOrdenes[[#This Row],[link_checklist]],"abrir"))</f>
        <v/>
      </c>
      <c r="AT888" s="4" t="n"/>
      <c r="AU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5" t="n"/>
      <c r="K889" s="5" t="n"/>
      <c r="L889" s="18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Row],[fecha_inicio]]="","",tblOrdenes[[#This Row],[anio]]&amp;"-"&amp;TEXT(tblOrdenes[[#This Row],[mes]],"00"))</f>
        <v/>
      </c>
      <c r="S889" s="5">
        <f>IF(tblOrdenes[[#This Row],[fecha_inicio]]="","",INDEX(lista_dias,WEEKDAY(tblOrdenes[[#This Row],[fecha_inicio]],2)))</f>
        <v/>
      </c>
      <c r="T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5">
        <f>IF(tblOrdenes[[#This Row],[tipo_ot]]="","",_xlfn.XLOOKUP(tblOrdenes[[#This Row],[tipo_ot]],tblTiposOT[codigo],tblTiposOT[clasificacion],"sin_clasificar"))</f>
        <v/>
      </c>
      <c r="V8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5">
        <f>IF(tblOrdenes[[#This Row],[centro_costo]]="","",_xlfn.XLOOKUP(tblOrdenes[[#This Row],[centro_costo]],tblCECO[codigo],tblCECO[linea],"(sin catálogo)"))</f>
        <v/>
      </c>
      <c r="Y889" s="5">
        <f>IF(tblOrdenes[[#This Row],[centro_costo]]="","",_xlfn.XLOOKUP(tblOrdenes[[#This Row],[centro_costo]],tblCECO[codigo],tblCECO[area],"(sin catálogo)"))</f>
        <v/>
      </c>
      <c r="Z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5">
        <f>IF(tblOrdenes[[#This Row],[centro_costo]]="","",_xlfn.XLOOKUP(tblOrdenes[[#This Row],[centro_costo]],tblCECO[codigo],tblCECO[coordinador],"(sin catálogo)"))</f>
        <v/>
      </c>
      <c r="AB889" s="5">
        <f>IF(tblOrdenes[[#This Row],[puesto_trabajo]]="","",_xlfn.XLOOKUP(tblOrdenes[[#This Row],[puesto_trabajo]],tblPuestos[codigo],tblPuestos[especialidad],"(sin catálogo)"))</f>
        <v/>
      </c>
      <c r="AC889" s="5">
        <f>IF(tblOrdenes[[#This Row],[cod_actividad]]="","",_xlfn.XLOOKUP(tblOrdenes[[#This Row],[cod_actividad]],tblActividades[codigo],tblActividades[descripcion],"(sin catálogo)"))</f>
        <v/>
      </c>
      <c r="AD889" s="23">
        <f>IF(tblOrdenes[[#This Row],[fecha_inicio]]="","",TODAY()-tblOrdenes[[#This Row],[fecha_inicio]])</f>
        <v/>
      </c>
      <c r="AE8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5">
        <f>IF(tblOrdenes[[#This Row],[backlog_habiles]]="","",IF(tblOrdenes[[#This Row],[backlog_habiles]]&lt;0,"FUTURO",IF(tblOrdenes[[#This Row],[backlog_habiles]]&gt;p_dias_backlog_max,"BACKLOG","MES CORRIENTE")))</f>
        <v/>
      </c>
      <c r="AG889" s="5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18">
        <f>IF(tblOrdenes[[#This Row],[orden]]="","",_xlfn.XLOOKUP(tblOrdenes[[#This Row],[id_operacion]],tblEjecucion[id_operacion],tblEjecucion[precio],0))</f>
        <v/>
      </c>
      <c r="AM889" s="18">
        <f>IF(tblOrdenes[[#This Row],[orden]]="","",MAX(0,_xlfn.XLOOKUP(tblOrdenes[[#This Row],[id_operacion]],tblEjecucion[id_operacion],tblEjecucion[costo_plan_total],0)-tblOrdenes[[#This Row],[costo_servicio]]))</f>
        <v/>
      </c>
      <c r="AN889" s="18">
        <f>IF(tblOrdenes[[#This Row],[orden]]="","",tblOrdenes[[#This Row],[costo_servicio]]+tblOrdenes[[#This Row],[costo_materiales]])</f>
        <v/>
      </c>
      <c r="AO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5">
        <f>IF(tblOrdenes[[#This Row],[link_checklist]]="","",HYPERLINK(p_ruta_base_checklists&amp;tblOrdenes[[#This Row],[link_checklist]],"abrir"))</f>
        <v/>
      </c>
      <c r="AT889" s="4" t="n"/>
      <c r="AU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5" t="n"/>
      <c r="K890" s="5" t="n"/>
      <c r="L890" s="18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Row],[fecha_inicio]]="","",tblOrdenes[[#This Row],[anio]]&amp;"-"&amp;TEXT(tblOrdenes[[#This Row],[mes]],"00"))</f>
        <v/>
      </c>
      <c r="S890" s="5">
        <f>IF(tblOrdenes[[#This Row],[fecha_inicio]]="","",INDEX(lista_dias,WEEKDAY(tblOrdenes[[#This Row],[fecha_inicio]],2)))</f>
        <v/>
      </c>
      <c r="T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5">
        <f>IF(tblOrdenes[[#This Row],[tipo_ot]]="","",_xlfn.XLOOKUP(tblOrdenes[[#This Row],[tipo_ot]],tblTiposOT[codigo],tblTiposOT[clasificacion],"sin_clasificar"))</f>
        <v/>
      </c>
      <c r="V8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5">
        <f>IF(tblOrdenes[[#This Row],[centro_costo]]="","",_xlfn.XLOOKUP(tblOrdenes[[#This Row],[centro_costo]],tblCECO[codigo],tblCECO[linea],"(sin catálogo)"))</f>
        <v/>
      </c>
      <c r="Y890" s="5">
        <f>IF(tblOrdenes[[#This Row],[centro_costo]]="","",_xlfn.XLOOKUP(tblOrdenes[[#This Row],[centro_costo]],tblCECO[codigo],tblCECO[area],"(sin catálogo)"))</f>
        <v/>
      </c>
      <c r="Z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5">
        <f>IF(tblOrdenes[[#This Row],[centro_costo]]="","",_xlfn.XLOOKUP(tblOrdenes[[#This Row],[centro_costo]],tblCECO[codigo],tblCECO[coordinador],"(sin catálogo)"))</f>
        <v/>
      </c>
      <c r="AB890" s="5">
        <f>IF(tblOrdenes[[#This Row],[puesto_trabajo]]="","",_xlfn.XLOOKUP(tblOrdenes[[#This Row],[puesto_trabajo]],tblPuestos[codigo],tblPuestos[especialidad],"(sin catálogo)"))</f>
        <v/>
      </c>
      <c r="AC890" s="5">
        <f>IF(tblOrdenes[[#This Row],[cod_actividad]]="","",_xlfn.XLOOKUP(tblOrdenes[[#This Row],[cod_actividad]],tblActividades[codigo],tblActividades[descripcion],"(sin catálogo)"))</f>
        <v/>
      </c>
      <c r="AD890" s="23">
        <f>IF(tblOrdenes[[#This Row],[fecha_inicio]]="","",TODAY()-tblOrdenes[[#This Row],[fecha_inicio]])</f>
        <v/>
      </c>
      <c r="AE8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5">
        <f>IF(tblOrdenes[[#This Row],[backlog_habiles]]="","",IF(tblOrdenes[[#This Row],[backlog_habiles]]&lt;0,"FUTURO",IF(tblOrdenes[[#This Row],[backlog_habiles]]&gt;p_dias_backlog_max,"BACKLOG","MES CORRIENTE")))</f>
        <v/>
      </c>
      <c r="AG890" s="5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18">
        <f>IF(tblOrdenes[[#This Row],[orden]]="","",_xlfn.XLOOKUP(tblOrdenes[[#This Row],[id_operacion]],tblEjecucion[id_operacion],tblEjecucion[precio],0))</f>
        <v/>
      </c>
      <c r="AM890" s="18">
        <f>IF(tblOrdenes[[#This Row],[orden]]="","",MAX(0,_xlfn.XLOOKUP(tblOrdenes[[#This Row],[id_operacion]],tblEjecucion[id_operacion],tblEjecucion[costo_plan_total],0)-tblOrdenes[[#This Row],[costo_servicio]]))</f>
        <v/>
      </c>
      <c r="AN890" s="18">
        <f>IF(tblOrdenes[[#This Row],[orden]]="","",tblOrdenes[[#This Row],[costo_servicio]]+tblOrdenes[[#This Row],[costo_materiales]])</f>
        <v/>
      </c>
      <c r="AO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5">
        <f>IF(tblOrdenes[[#This Row],[link_checklist]]="","",HYPERLINK(p_ruta_base_checklists&amp;tblOrdenes[[#This Row],[link_checklist]],"abrir"))</f>
        <v/>
      </c>
      <c r="AT890" s="4" t="n"/>
      <c r="AU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5" t="n"/>
      <c r="K891" s="5" t="n"/>
      <c r="L891" s="18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Row],[fecha_inicio]]="","",tblOrdenes[[#This Row],[anio]]&amp;"-"&amp;TEXT(tblOrdenes[[#This Row],[mes]],"00"))</f>
        <v/>
      </c>
      <c r="S891" s="5">
        <f>IF(tblOrdenes[[#This Row],[fecha_inicio]]="","",INDEX(lista_dias,WEEKDAY(tblOrdenes[[#This Row],[fecha_inicio]],2)))</f>
        <v/>
      </c>
      <c r="T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5">
        <f>IF(tblOrdenes[[#This Row],[tipo_ot]]="","",_xlfn.XLOOKUP(tblOrdenes[[#This Row],[tipo_ot]],tblTiposOT[codigo],tblTiposOT[clasificacion],"sin_clasificar"))</f>
        <v/>
      </c>
      <c r="V8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5">
        <f>IF(tblOrdenes[[#This Row],[centro_costo]]="","",_xlfn.XLOOKUP(tblOrdenes[[#This Row],[centro_costo]],tblCECO[codigo],tblCECO[linea],"(sin catálogo)"))</f>
        <v/>
      </c>
      <c r="Y891" s="5">
        <f>IF(tblOrdenes[[#This Row],[centro_costo]]="","",_xlfn.XLOOKUP(tblOrdenes[[#This Row],[centro_costo]],tblCECO[codigo],tblCECO[area],"(sin catálogo)"))</f>
        <v/>
      </c>
      <c r="Z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5">
        <f>IF(tblOrdenes[[#This Row],[centro_costo]]="","",_xlfn.XLOOKUP(tblOrdenes[[#This Row],[centro_costo]],tblCECO[codigo],tblCECO[coordinador],"(sin catálogo)"))</f>
        <v/>
      </c>
      <c r="AB891" s="5">
        <f>IF(tblOrdenes[[#This Row],[puesto_trabajo]]="","",_xlfn.XLOOKUP(tblOrdenes[[#This Row],[puesto_trabajo]],tblPuestos[codigo],tblPuestos[especialidad],"(sin catálogo)"))</f>
        <v/>
      </c>
      <c r="AC891" s="5">
        <f>IF(tblOrdenes[[#This Row],[cod_actividad]]="","",_xlfn.XLOOKUP(tblOrdenes[[#This Row],[cod_actividad]],tblActividades[codigo],tblActividades[descripcion],"(sin catálogo)"))</f>
        <v/>
      </c>
      <c r="AD891" s="23">
        <f>IF(tblOrdenes[[#This Row],[fecha_inicio]]="","",TODAY()-tblOrdenes[[#This Row],[fecha_inicio]])</f>
        <v/>
      </c>
      <c r="AE8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5">
        <f>IF(tblOrdenes[[#This Row],[backlog_habiles]]="","",IF(tblOrdenes[[#This Row],[backlog_habiles]]&lt;0,"FUTURO",IF(tblOrdenes[[#This Row],[backlog_habiles]]&gt;p_dias_backlog_max,"BACKLOG","MES CORRIENTE")))</f>
        <v/>
      </c>
      <c r="AG891" s="5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18">
        <f>IF(tblOrdenes[[#This Row],[orden]]="","",_xlfn.XLOOKUP(tblOrdenes[[#This Row],[id_operacion]],tblEjecucion[id_operacion],tblEjecucion[precio],0))</f>
        <v/>
      </c>
      <c r="AM891" s="18">
        <f>IF(tblOrdenes[[#This Row],[orden]]="","",MAX(0,_xlfn.XLOOKUP(tblOrdenes[[#This Row],[id_operacion]],tblEjecucion[id_operacion],tblEjecucion[costo_plan_total],0)-tblOrdenes[[#This Row],[costo_servicio]]))</f>
        <v/>
      </c>
      <c r="AN891" s="18">
        <f>IF(tblOrdenes[[#This Row],[orden]]="","",tblOrdenes[[#This Row],[costo_servicio]]+tblOrdenes[[#This Row],[costo_materiales]])</f>
        <v/>
      </c>
      <c r="AO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5">
        <f>IF(tblOrdenes[[#This Row],[link_checklist]]="","",HYPERLINK(p_ruta_base_checklists&amp;tblOrdenes[[#This Row],[link_checklist]],"abrir"))</f>
        <v/>
      </c>
      <c r="AT891" s="4" t="n"/>
      <c r="AU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5" t="n"/>
      <c r="K892" s="5" t="n"/>
      <c r="L892" s="18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Row],[fecha_inicio]]="","",tblOrdenes[[#This Row],[anio]]&amp;"-"&amp;TEXT(tblOrdenes[[#This Row],[mes]],"00"))</f>
        <v/>
      </c>
      <c r="S892" s="5">
        <f>IF(tblOrdenes[[#This Row],[fecha_inicio]]="","",INDEX(lista_dias,WEEKDAY(tblOrdenes[[#This Row],[fecha_inicio]],2)))</f>
        <v/>
      </c>
      <c r="T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5">
        <f>IF(tblOrdenes[[#This Row],[tipo_ot]]="","",_xlfn.XLOOKUP(tblOrdenes[[#This Row],[tipo_ot]],tblTiposOT[codigo],tblTiposOT[clasificacion],"sin_clasificar"))</f>
        <v/>
      </c>
      <c r="V8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5">
        <f>IF(tblOrdenes[[#This Row],[centro_costo]]="","",_xlfn.XLOOKUP(tblOrdenes[[#This Row],[centro_costo]],tblCECO[codigo],tblCECO[linea],"(sin catálogo)"))</f>
        <v/>
      </c>
      <c r="Y892" s="5">
        <f>IF(tblOrdenes[[#This Row],[centro_costo]]="","",_xlfn.XLOOKUP(tblOrdenes[[#This Row],[centro_costo]],tblCECO[codigo],tblCECO[area],"(sin catálogo)"))</f>
        <v/>
      </c>
      <c r="Z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5">
        <f>IF(tblOrdenes[[#This Row],[centro_costo]]="","",_xlfn.XLOOKUP(tblOrdenes[[#This Row],[centro_costo]],tblCECO[codigo],tblCECO[coordinador],"(sin catálogo)"))</f>
        <v/>
      </c>
      <c r="AB892" s="5">
        <f>IF(tblOrdenes[[#This Row],[puesto_trabajo]]="","",_xlfn.XLOOKUP(tblOrdenes[[#This Row],[puesto_trabajo]],tblPuestos[codigo],tblPuestos[especialidad],"(sin catálogo)"))</f>
        <v/>
      </c>
      <c r="AC892" s="5">
        <f>IF(tblOrdenes[[#This Row],[cod_actividad]]="","",_xlfn.XLOOKUP(tblOrdenes[[#This Row],[cod_actividad]],tblActividades[codigo],tblActividades[descripcion],"(sin catálogo)"))</f>
        <v/>
      </c>
      <c r="AD892" s="23">
        <f>IF(tblOrdenes[[#This Row],[fecha_inicio]]="","",TODAY()-tblOrdenes[[#This Row],[fecha_inicio]])</f>
        <v/>
      </c>
      <c r="AE8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5">
        <f>IF(tblOrdenes[[#This Row],[backlog_habiles]]="","",IF(tblOrdenes[[#This Row],[backlog_habiles]]&lt;0,"FUTURO",IF(tblOrdenes[[#This Row],[backlog_habiles]]&gt;p_dias_backlog_max,"BACKLOG","MES CORRIENTE")))</f>
        <v/>
      </c>
      <c r="AG892" s="5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18">
        <f>IF(tblOrdenes[[#This Row],[orden]]="","",_xlfn.XLOOKUP(tblOrdenes[[#This Row],[id_operacion]],tblEjecucion[id_operacion],tblEjecucion[precio],0))</f>
        <v/>
      </c>
      <c r="AM892" s="18">
        <f>IF(tblOrdenes[[#This Row],[orden]]="","",MAX(0,_xlfn.XLOOKUP(tblOrdenes[[#This Row],[id_operacion]],tblEjecucion[id_operacion],tblEjecucion[costo_plan_total],0)-tblOrdenes[[#This Row],[costo_servicio]]))</f>
        <v/>
      </c>
      <c r="AN892" s="18">
        <f>IF(tblOrdenes[[#This Row],[orden]]="","",tblOrdenes[[#This Row],[costo_servicio]]+tblOrdenes[[#This Row],[costo_materiales]])</f>
        <v/>
      </c>
      <c r="AO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5">
        <f>IF(tblOrdenes[[#This Row],[link_checklist]]="","",HYPERLINK(p_ruta_base_checklists&amp;tblOrdenes[[#This Row],[link_checklist]],"abrir"))</f>
        <v/>
      </c>
      <c r="AT892" s="4" t="n"/>
      <c r="AU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5" t="n"/>
      <c r="K893" s="5" t="n"/>
      <c r="L893" s="18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Row],[fecha_inicio]]="","",tblOrdenes[[#This Row],[anio]]&amp;"-"&amp;TEXT(tblOrdenes[[#This Row],[mes]],"00"))</f>
        <v/>
      </c>
      <c r="S893" s="5">
        <f>IF(tblOrdenes[[#This Row],[fecha_inicio]]="","",INDEX(lista_dias,WEEKDAY(tblOrdenes[[#This Row],[fecha_inicio]],2)))</f>
        <v/>
      </c>
      <c r="T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5">
        <f>IF(tblOrdenes[[#This Row],[tipo_ot]]="","",_xlfn.XLOOKUP(tblOrdenes[[#This Row],[tipo_ot]],tblTiposOT[codigo],tblTiposOT[clasificacion],"sin_clasificar"))</f>
        <v/>
      </c>
      <c r="V8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5">
        <f>IF(tblOrdenes[[#This Row],[centro_costo]]="","",_xlfn.XLOOKUP(tblOrdenes[[#This Row],[centro_costo]],tblCECO[codigo],tblCECO[linea],"(sin catálogo)"))</f>
        <v/>
      </c>
      <c r="Y893" s="5">
        <f>IF(tblOrdenes[[#This Row],[centro_costo]]="","",_xlfn.XLOOKUP(tblOrdenes[[#This Row],[centro_costo]],tblCECO[codigo],tblCECO[area],"(sin catálogo)"))</f>
        <v/>
      </c>
      <c r="Z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5">
        <f>IF(tblOrdenes[[#This Row],[centro_costo]]="","",_xlfn.XLOOKUP(tblOrdenes[[#This Row],[centro_costo]],tblCECO[codigo],tblCECO[coordinador],"(sin catálogo)"))</f>
        <v/>
      </c>
      <c r="AB893" s="5">
        <f>IF(tblOrdenes[[#This Row],[puesto_trabajo]]="","",_xlfn.XLOOKUP(tblOrdenes[[#This Row],[puesto_trabajo]],tblPuestos[codigo],tblPuestos[especialidad],"(sin catálogo)"))</f>
        <v/>
      </c>
      <c r="AC893" s="5">
        <f>IF(tblOrdenes[[#This Row],[cod_actividad]]="","",_xlfn.XLOOKUP(tblOrdenes[[#This Row],[cod_actividad]],tblActividades[codigo],tblActividades[descripcion],"(sin catálogo)"))</f>
        <v/>
      </c>
      <c r="AD893" s="23">
        <f>IF(tblOrdenes[[#This Row],[fecha_inicio]]="","",TODAY()-tblOrdenes[[#This Row],[fecha_inicio]])</f>
        <v/>
      </c>
      <c r="AE8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5">
        <f>IF(tblOrdenes[[#This Row],[backlog_habiles]]="","",IF(tblOrdenes[[#This Row],[backlog_habiles]]&lt;0,"FUTURO",IF(tblOrdenes[[#This Row],[backlog_habiles]]&gt;p_dias_backlog_max,"BACKLOG","MES CORRIENTE")))</f>
        <v/>
      </c>
      <c r="AG893" s="5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18">
        <f>IF(tblOrdenes[[#This Row],[orden]]="","",_xlfn.XLOOKUP(tblOrdenes[[#This Row],[id_operacion]],tblEjecucion[id_operacion],tblEjecucion[precio],0))</f>
        <v/>
      </c>
      <c r="AM893" s="18">
        <f>IF(tblOrdenes[[#This Row],[orden]]="","",MAX(0,_xlfn.XLOOKUP(tblOrdenes[[#This Row],[id_operacion]],tblEjecucion[id_operacion],tblEjecucion[costo_plan_total],0)-tblOrdenes[[#This Row],[costo_servicio]]))</f>
        <v/>
      </c>
      <c r="AN893" s="18">
        <f>IF(tblOrdenes[[#This Row],[orden]]="","",tblOrdenes[[#This Row],[costo_servicio]]+tblOrdenes[[#This Row],[costo_materiales]])</f>
        <v/>
      </c>
      <c r="AO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5">
        <f>IF(tblOrdenes[[#This Row],[link_checklist]]="","",HYPERLINK(p_ruta_base_checklists&amp;tblOrdenes[[#This Row],[link_checklist]],"abrir"))</f>
        <v/>
      </c>
      <c r="AT893" s="4" t="n"/>
      <c r="AU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5" t="n"/>
      <c r="K894" s="5" t="n"/>
      <c r="L894" s="18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Row],[fecha_inicio]]="","",tblOrdenes[[#This Row],[anio]]&amp;"-"&amp;TEXT(tblOrdenes[[#This Row],[mes]],"00"))</f>
        <v/>
      </c>
      <c r="S894" s="5">
        <f>IF(tblOrdenes[[#This Row],[fecha_inicio]]="","",INDEX(lista_dias,WEEKDAY(tblOrdenes[[#This Row],[fecha_inicio]],2)))</f>
        <v/>
      </c>
      <c r="T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5">
        <f>IF(tblOrdenes[[#This Row],[tipo_ot]]="","",_xlfn.XLOOKUP(tblOrdenes[[#This Row],[tipo_ot]],tblTiposOT[codigo],tblTiposOT[clasificacion],"sin_clasificar"))</f>
        <v/>
      </c>
      <c r="V8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5">
        <f>IF(tblOrdenes[[#This Row],[centro_costo]]="","",_xlfn.XLOOKUP(tblOrdenes[[#This Row],[centro_costo]],tblCECO[codigo],tblCECO[linea],"(sin catálogo)"))</f>
        <v/>
      </c>
      <c r="Y894" s="5">
        <f>IF(tblOrdenes[[#This Row],[centro_costo]]="","",_xlfn.XLOOKUP(tblOrdenes[[#This Row],[centro_costo]],tblCECO[codigo],tblCECO[area],"(sin catálogo)"))</f>
        <v/>
      </c>
      <c r="Z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5">
        <f>IF(tblOrdenes[[#This Row],[centro_costo]]="","",_xlfn.XLOOKUP(tblOrdenes[[#This Row],[centro_costo]],tblCECO[codigo],tblCECO[coordinador],"(sin catálogo)"))</f>
        <v/>
      </c>
      <c r="AB894" s="5">
        <f>IF(tblOrdenes[[#This Row],[puesto_trabajo]]="","",_xlfn.XLOOKUP(tblOrdenes[[#This Row],[puesto_trabajo]],tblPuestos[codigo],tblPuestos[especialidad],"(sin catálogo)"))</f>
        <v/>
      </c>
      <c r="AC894" s="5">
        <f>IF(tblOrdenes[[#This Row],[cod_actividad]]="","",_xlfn.XLOOKUP(tblOrdenes[[#This Row],[cod_actividad]],tblActividades[codigo],tblActividades[descripcion],"(sin catálogo)"))</f>
        <v/>
      </c>
      <c r="AD894" s="23">
        <f>IF(tblOrdenes[[#This Row],[fecha_inicio]]="","",TODAY()-tblOrdenes[[#This Row],[fecha_inicio]])</f>
        <v/>
      </c>
      <c r="AE8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5">
        <f>IF(tblOrdenes[[#This Row],[backlog_habiles]]="","",IF(tblOrdenes[[#This Row],[backlog_habiles]]&lt;0,"FUTURO",IF(tblOrdenes[[#This Row],[backlog_habiles]]&gt;p_dias_backlog_max,"BACKLOG","MES CORRIENTE")))</f>
        <v/>
      </c>
      <c r="AG894" s="5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18">
        <f>IF(tblOrdenes[[#This Row],[orden]]="","",_xlfn.XLOOKUP(tblOrdenes[[#This Row],[id_operacion]],tblEjecucion[id_operacion],tblEjecucion[precio],0))</f>
        <v/>
      </c>
      <c r="AM894" s="18">
        <f>IF(tblOrdenes[[#This Row],[orden]]="","",MAX(0,_xlfn.XLOOKUP(tblOrdenes[[#This Row],[id_operacion]],tblEjecucion[id_operacion],tblEjecucion[costo_plan_total],0)-tblOrdenes[[#This Row],[costo_servicio]]))</f>
        <v/>
      </c>
      <c r="AN894" s="18">
        <f>IF(tblOrdenes[[#This Row],[orden]]="","",tblOrdenes[[#This Row],[costo_servicio]]+tblOrdenes[[#This Row],[costo_materiales]])</f>
        <v/>
      </c>
      <c r="AO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5">
        <f>IF(tblOrdenes[[#This Row],[link_checklist]]="","",HYPERLINK(p_ruta_base_checklists&amp;tblOrdenes[[#This Row],[link_checklist]],"abrir"))</f>
        <v/>
      </c>
      <c r="AT894" s="4" t="n"/>
      <c r="AU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5" t="n"/>
      <c r="K895" s="5" t="n"/>
      <c r="L895" s="18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Row],[fecha_inicio]]="","",tblOrdenes[[#This Row],[anio]]&amp;"-"&amp;TEXT(tblOrdenes[[#This Row],[mes]],"00"))</f>
        <v/>
      </c>
      <c r="S895" s="5">
        <f>IF(tblOrdenes[[#This Row],[fecha_inicio]]="","",INDEX(lista_dias,WEEKDAY(tblOrdenes[[#This Row],[fecha_inicio]],2)))</f>
        <v/>
      </c>
      <c r="T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5">
        <f>IF(tblOrdenes[[#This Row],[tipo_ot]]="","",_xlfn.XLOOKUP(tblOrdenes[[#This Row],[tipo_ot]],tblTiposOT[codigo],tblTiposOT[clasificacion],"sin_clasificar"))</f>
        <v/>
      </c>
      <c r="V8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5">
        <f>IF(tblOrdenes[[#This Row],[centro_costo]]="","",_xlfn.XLOOKUP(tblOrdenes[[#This Row],[centro_costo]],tblCECO[codigo],tblCECO[linea],"(sin catálogo)"))</f>
        <v/>
      </c>
      <c r="Y895" s="5">
        <f>IF(tblOrdenes[[#This Row],[centro_costo]]="","",_xlfn.XLOOKUP(tblOrdenes[[#This Row],[centro_costo]],tblCECO[codigo],tblCECO[area],"(sin catálogo)"))</f>
        <v/>
      </c>
      <c r="Z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5">
        <f>IF(tblOrdenes[[#This Row],[centro_costo]]="","",_xlfn.XLOOKUP(tblOrdenes[[#This Row],[centro_costo]],tblCECO[codigo],tblCECO[coordinador],"(sin catálogo)"))</f>
        <v/>
      </c>
      <c r="AB895" s="5">
        <f>IF(tblOrdenes[[#This Row],[puesto_trabajo]]="","",_xlfn.XLOOKUP(tblOrdenes[[#This Row],[puesto_trabajo]],tblPuestos[codigo],tblPuestos[especialidad],"(sin catálogo)"))</f>
        <v/>
      </c>
      <c r="AC895" s="5">
        <f>IF(tblOrdenes[[#This Row],[cod_actividad]]="","",_xlfn.XLOOKUP(tblOrdenes[[#This Row],[cod_actividad]],tblActividades[codigo],tblActividades[descripcion],"(sin catálogo)"))</f>
        <v/>
      </c>
      <c r="AD895" s="23">
        <f>IF(tblOrdenes[[#This Row],[fecha_inicio]]="","",TODAY()-tblOrdenes[[#This Row],[fecha_inicio]])</f>
        <v/>
      </c>
      <c r="AE8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5">
        <f>IF(tblOrdenes[[#This Row],[backlog_habiles]]="","",IF(tblOrdenes[[#This Row],[backlog_habiles]]&lt;0,"FUTURO",IF(tblOrdenes[[#This Row],[backlog_habiles]]&gt;p_dias_backlog_max,"BACKLOG","MES CORRIENTE")))</f>
        <v/>
      </c>
      <c r="AG895" s="5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18">
        <f>IF(tblOrdenes[[#This Row],[orden]]="","",_xlfn.XLOOKUP(tblOrdenes[[#This Row],[id_operacion]],tblEjecucion[id_operacion],tblEjecucion[precio],0))</f>
        <v/>
      </c>
      <c r="AM895" s="18">
        <f>IF(tblOrdenes[[#This Row],[orden]]="","",MAX(0,_xlfn.XLOOKUP(tblOrdenes[[#This Row],[id_operacion]],tblEjecucion[id_operacion],tblEjecucion[costo_plan_total],0)-tblOrdenes[[#This Row],[costo_servicio]]))</f>
        <v/>
      </c>
      <c r="AN895" s="18">
        <f>IF(tblOrdenes[[#This Row],[orden]]="","",tblOrdenes[[#This Row],[costo_servicio]]+tblOrdenes[[#This Row],[costo_materiales]])</f>
        <v/>
      </c>
      <c r="AO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5">
        <f>IF(tblOrdenes[[#This Row],[link_checklist]]="","",HYPERLINK(p_ruta_base_checklists&amp;tblOrdenes[[#This Row],[link_checklist]],"abrir"))</f>
        <v/>
      </c>
      <c r="AT895" s="4" t="n"/>
      <c r="AU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5" t="n"/>
      <c r="K896" s="5" t="n"/>
      <c r="L896" s="18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Row],[fecha_inicio]]="","",tblOrdenes[[#This Row],[anio]]&amp;"-"&amp;TEXT(tblOrdenes[[#This Row],[mes]],"00"))</f>
        <v/>
      </c>
      <c r="S896" s="5">
        <f>IF(tblOrdenes[[#This Row],[fecha_inicio]]="","",INDEX(lista_dias,WEEKDAY(tblOrdenes[[#This Row],[fecha_inicio]],2)))</f>
        <v/>
      </c>
      <c r="T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5">
        <f>IF(tblOrdenes[[#This Row],[tipo_ot]]="","",_xlfn.XLOOKUP(tblOrdenes[[#This Row],[tipo_ot]],tblTiposOT[codigo],tblTiposOT[clasificacion],"sin_clasificar"))</f>
        <v/>
      </c>
      <c r="V8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5">
        <f>IF(tblOrdenes[[#This Row],[centro_costo]]="","",_xlfn.XLOOKUP(tblOrdenes[[#This Row],[centro_costo]],tblCECO[codigo],tblCECO[linea],"(sin catálogo)"))</f>
        <v/>
      </c>
      <c r="Y896" s="5">
        <f>IF(tblOrdenes[[#This Row],[centro_costo]]="","",_xlfn.XLOOKUP(tblOrdenes[[#This Row],[centro_costo]],tblCECO[codigo],tblCECO[area],"(sin catálogo)"))</f>
        <v/>
      </c>
      <c r="Z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5">
        <f>IF(tblOrdenes[[#This Row],[centro_costo]]="","",_xlfn.XLOOKUP(tblOrdenes[[#This Row],[centro_costo]],tblCECO[codigo],tblCECO[coordinador],"(sin catálogo)"))</f>
        <v/>
      </c>
      <c r="AB896" s="5">
        <f>IF(tblOrdenes[[#This Row],[puesto_trabajo]]="","",_xlfn.XLOOKUP(tblOrdenes[[#This Row],[puesto_trabajo]],tblPuestos[codigo],tblPuestos[especialidad],"(sin catálogo)"))</f>
        <v/>
      </c>
      <c r="AC896" s="5">
        <f>IF(tblOrdenes[[#This Row],[cod_actividad]]="","",_xlfn.XLOOKUP(tblOrdenes[[#This Row],[cod_actividad]],tblActividades[codigo],tblActividades[descripcion],"(sin catálogo)"))</f>
        <v/>
      </c>
      <c r="AD896" s="23">
        <f>IF(tblOrdenes[[#This Row],[fecha_inicio]]="","",TODAY()-tblOrdenes[[#This Row],[fecha_inicio]])</f>
        <v/>
      </c>
      <c r="AE8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5">
        <f>IF(tblOrdenes[[#This Row],[backlog_habiles]]="","",IF(tblOrdenes[[#This Row],[backlog_habiles]]&lt;0,"FUTURO",IF(tblOrdenes[[#This Row],[backlog_habiles]]&gt;p_dias_backlog_max,"BACKLOG","MES CORRIENTE")))</f>
        <v/>
      </c>
      <c r="AG896" s="5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18">
        <f>IF(tblOrdenes[[#This Row],[orden]]="","",_xlfn.XLOOKUP(tblOrdenes[[#This Row],[id_operacion]],tblEjecucion[id_operacion],tblEjecucion[precio],0))</f>
        <v/>
      </c>
      <c r="AM896" s="18">
        <f>IF(tblOrdenes[[#This Row],[orden]]="","",MAX(0,_xlfn.XLOOKUP(tblOrdenes[[#This Row],[id_operacion]],tblEjecucion[id_operacion],tblEjecucion[costo_plan_total],0)-tblOrdenes[[#This Row],[costo_servicio]]))</f>
        <v/>
      </c>
      <c r="AN896" s="18">
        <f>IF(tblOrdenes[[#This Row],[orden]]="","",tblOrdenes[[#This Row],[costo_servicio]]+tblOrdenes[[#This Row],[costo_materiales]])</f>
        <v/>
      </c>
      <c r="AO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5">
        <f>IF(tblOrdenes[[#This Row],[link_checklist]]="","",HYPERLINK(p_ruta_base_checklists&amp;tblOrdenes[[#This Row],[link_checklist]],"abrir"))</f>
        <v/>
      </c>
      <c r="AT896" s="4" t="n"/>
      <c r="AU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5" t="n"/>
      <c r="K897" s="5" t="n"/>
      <c r="L897" s="18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Row],[fecha_inicio]]="","",tblOrdenes[[#This Row],[anio]]&amp;"-"&amp;TEXT(tblOrdenes[[#This Row],[mes]],"00"))</f>
        <v/>
      </c>
      <c r="S897" s="5">
        <f>IF(tblOrdenes[[#This Row],[fecha_inicio]]="","",INDEX(lista_dias,WEEKDAY(tblOrdenes[[#This Row],[fecha_inicio]],2)))</f>
        <v/>
      </c>
      <c r="T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5">
        <f>IF(tblOrdenes[[#This Row],[tipo_ot]]="","",_xlfn.XLOOKUP(tblOrdenes[[#This Row],[tipo_ot]],tblTiposOT[codigo],tblTiposOT[clasificacion],"sin_clasificar"))</f>
        <v/>
      </c>
      <c r="V8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5">
        <f>IF(tblOrdenes[[#This Row],[centro_costo]]="","",_xlfn.XLOOKUP(tblOrdenes[[#This Row],[centro_costo]],tblCECO[codigo],tblCECO[linea],"(sin catálogo)"))</f>
        <v/>
      </c>
      <c r="Y897" s="5">
        <f>IF(tblOrdenes[[#This Row],[centro_costo]]="","",_xlfn.XLOOKUP(tblOrdenes[[#This Row],[centro_costo]],tblCECO[codigo],tblCECO[area],"(sin catálogo)"))</f>
        <v/>
      </c>
      <c r="Z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5">
        <f>IF(tblOrdenes[[#This Row],[centro_costo]]="","",_xlfn.XLOOKUP(tblOrdenes[[#This Row],[centro_costo]],tblCECO[codigo],tblCECO[coordinador],"(sin catálogo)"))</f>
        <v/>
      </c>
      <c r="AB897" s="5">
        <f>IF(tblOrdenes[[#This Row],[puesto_trabajo]]="","",_xlfn.XLOOKUP(tblOrdenes[[#This Row],[puesto_trabajo]],tblPuestos[codigo],tblPuestos[especialidad],"(sin catálogo)"))</f>
        <v/>
      </c>
      <c r="AC897" s="5">
        <f>IF(tblOrdenes[[#This Row],[cod_actividad]]="","",_xlfn.XLOOKUP(tblOrdenes[[#This Row],[cod_actividad]],tblActividades[codigo],tblActividades[descripcion],"(sin catálogo)"))</f>
        <v/>
      </c>
      <c r="AD897" s="23">
        <f>IF(tblOrdenes[[#This Row],[fecha_inicio]]="","",TODAY()-tblOrdenes[[#This Row],[fecha_inicio]])</f>
        <v/>
      </c>
      <c r="AE8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5">
        <f>IF(tblOrdenes[[#This Row],[backlog_habiles]]="","",IF(tblOrdenes[[#This Row],[backlog_habiles]]&lt;0,"FUTURO",IF(tblOrdenes[[#This Row],[backlog_habiles]]&gt;p_dias_backlog_max,"BACKLOG","MES CORRIENTE")))</f>
        <v/>
      </c>
      <c r="AG897" s="5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18">
        <f>IF(tblOrdenes[[#This Row],[orden]]="","",_xlfn.XLOOKUP(tblOrdenes[[#This Row],[id_operacion]],tblEjecucion[id_operacion],tblEjecucion[precio],0))</f>
        <v/>
      </c>
      <c r="AM897" s="18">
        <f>IF(tblOrdenes[[#This Row],[orden]]="","",MAX(0,_xlfn.XLOOKUP(tblOrdenes[[#This Row],[id_operacion]],tblEjecucion[id_operacion],tblEjecucion[costo_plan_total],0)-tblOrdenes[[#This Row],[costo_servicio]]))</f>
        <v/>
      </c>
      <c r="AN897" s="18">
        <f>IF(tblOrdenes[[#This Row],[orden]]="","",tblOrdenes[[#This Row],[costo_servicio]]+tblOrdenes[[#This Row],[costo_materiales]])</f>
        <v/>
      </c>
      <c r="AO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5">
        <f>IF(tblOrdenes[[#This Row],[link_checklist]]="","",HYPERLINK(p_ruta_base_checklists&amp;tblOrdenes[[#This Row],[link_checklist]],"abrir"))</f>
        <v/>
      </c>
      <c r="AT897" s="4" t="n"/>
      <c r="AU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5" t="n"/>
      <c r="K898" s="5" t="n"/>
      <c r="L898" s="18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Row],[fecha_inicio]]="","",tblOrdenes[[#This Row],[anio]]&amp;"-"&amp;TEXT(tblOrdenes[[#This Row],[mes]],"00"))</f>
        <v/>
      </c>
      <c r="S898" s="5">
        <f>IF(tblOrdenes[[#This Row],[fecha_inicio]]="","",INDEX(lista_dias,WEEKDAY(tblOrdenes[[#This Row],[fecha_inicio]],2)))</f>
        <v/>
      </c>
      <c r="T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5">
        <f>IF(tblOrdenes[[#This Row],[tipo_ot]]="","",_xlfn.XLOOKUP(tblOrdenes[[#This Row],[tipo_ot]],tblTiposOT[codigo],tblTiposOT[clasificacion],"sin_clasificar"))</f>
        <v/>
      </c>
      <c r="V8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5">
        <f>IF(tblOrdenes[[#This Row],[centro_costo]]="","",_xlfn.XLOOKUP(tblOrdenes[[#This Row],[centro_costo]],tblCECO[codigo],tblCECO[linea],"(sin catálogo)"))</f>
        <v/>
      </c>
      <c r="Y898" s="5">
        <f>IF(tblOrdenes[[#This Row],[centro_costo]]="","",_xlfn.XLOOKUP(tblOrdenes[[#This Row],[centro_costo]],tblCECO[codigo],tblCECO[area],"(sin catálogo)"))</f>
        <v/>
      </c>
      <c r="Z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5">
        <f>IF(tblOrdenes[[#This Row],[centro_costo]]="","",_xlfn.XLOOKUP(tblOrdenes[[#This Row],[centro_costo]],tblCECO[codigo],tblCECO[coordinador],"(sin catálogo)"))</f>
        <v/>
      </c>
      <c r="AB898" s="5">
        <f>IF(tblOrdenes[[#This Row],[puesto_trabajo]]="","",_xlfn.XLOOKUP(tblOrdenes[[#This Row],[puesto_trabajo]],tblPuestos[codigo],tblPuestos[especialidad],"(sin catálogo)"))</f>
        <v/>
      </c>
      <c r="AC898" s="5">
        <f>IF(tblOrdenes[[#This Row],[cod_actividad]]="","",_xlfn.XLOOKUP(tblOrdenes[[#This Row],[cod_actividad]],tblActividades[codigo],tblActividades[descripcion],"(sin catálogo)"))</f>
        <v/>
      </c>
      <c r="AD898" s="23">
        <f>IF(tblOrdenes[[#This Row],[fecha_inicio]]="","",TODAY()-tblOrdenes[[#This Row],[fecha_inicio]])</f>
        <v/>
      </c>
      <c r="AE8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5">
        <f>IF(tblOrdenes[[#This Row],[backlog_habiles]]="","",IF(tblOrdenes[[#This Row],[backlog_habiles]]&lt;0,"FUTURO",IF(tblOrdenes[[#This Row],[backlog_habiles]]&gt;p_dias_backlog_max,"BACKLOG","MES CORRIENTE")))</f>
        <v/>
      </c>
      <c r="AG898" s="5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18">
        <f>IF(tblOrdenes[[#This Row],[orden]]="","",_xlfn.XLOOKUP(tblOrdenes[[#This Row],[id_operacion]],tblEjecucion[id_operacion],tblEjecucion[precio],0))</f>
        <v/>
      </c>
      <c r="AM898" s="18">
        <f>IF(tblOrdenes[[#This Row],[orden]]="","",MAX(0,_xlfn.XLOOKUP(tblOrdenes[[#This Row],[id_operacion]],tblEjecucion[id_operacion],tblEjecucion[costo_plan_total],0)-tblOrdenes[[#This Row],[costo_servicio]]))</f>
        <v/>
      </c>
      <c r="AN898" s="18">
        <f>IF(tblOrdenes[[#This Row],[orden]]="","",tblOrdenes[[#This Row],[costo_servicio]]+tblOrdenes[[#This Row],[costo_materiales]])</f>
        <v/>
      </c>
      <c r="AO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5">
        <f>IF(tblOrdenes[[#This Row],[link_checklist]]="","",HYPERLINK(p_ruta_base_checklists&amp;tblOrdenes[[#This Row],[link_checklist]],"abrir"))</f>
        <v/>
      </c>
      <c r="AT898" s="4" t="n"/>
      <c r="AU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5" t="n"/>
      <c r="K899" s="5" t="n"/>
      <c r="L899" s="18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Row],[fecha_inicio]]="","",tblOrdenes[[#This Row],[anio]]&amp;"-"&amp;TEXT(tblOrdenes[[#This Row],[mes]],"00"))</f>
        <v/>
      </c>
      <c r="S899" s="5">
        <f>IF(tblOrdenes[[#This Row],[fecha_inicio]]="","",INDEX(lista_dias,WEEKDAY(tblOrdenes[[#This Row],[fecha_inicio]],2)))</f>
        <v/>
      </c>
      <c r="T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5">
        <f>IF(tblOrdenes[[#This Row],[tipo_ot]]="","",_xlfn.XLOOKUP(tblOrdenes[[#This Row],[tipo_ot]],tblTiposOT[codigo],tblTiposOT[clasificacion],"sin_clasificar"))</f>
        <v/>
      </c>
      <c r="V8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5">
        <f>IF(tblOrdenes[[#This Row],[centro_costo]]="","",_xlfn.XLOOKUP(tblOrdenes[[#This Row],[centro_costo]],tblCECO[codigo],tblCECO[linea],"(sin catálogo)"))</f>
        <v/>
      </c>
      <c r="Y899" s="5">
        <f>IF(tblOrdenes[[#This Row],[centro_costo]]="","",_xlfn.XLOOKUP(tblOrdenes[[#This Row],[centro_costo]],tblCECO[codigo],tblCECO[area],"(sin catálogo)"))</f>
        <v/>
      </c>
      <c r="Z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5">
        <f>IF(tblOrdenes[[#This Row],[centro_costo]]="","",_xlfn.XLOOKUP(tblOrdenes[[#This Row],[centro_costo]],tblCECO[codigo],tblCECO[coordinador],"(sin catálogo)"))</f>
        <v/>
      </c>
      <c r="AB899" s="5">
        <f>IF(tblOrdenes[[#This Row],[puesto_trabajo]]="","",_xlfn.XLOOKUP(tblOrdenes[[#This Row],[puesto_trabajo]],tblPuestos[codigo],tblPuestos[especialidad],"(sin catálogo)"))</f>
        <v/>
      </c>
      <c r="AC899" s="5">
        <f>IF(tblOrdenes[[#This Row],[cod_actividad]]="","",_xlfn.XLOOKUP(tblOrdenes[[#This Row],[cod_actividad]],tblActividades[codigo],tblActividades[descripcion],"(sin catálogo)"))</f>
        <v/>
      </c>
      <c r="AD899" s="23">
        <f>IF(tblOrdenes[[#This Row],[fecha_inicio]]="","",TODAY()-tblOrdenes[[#This Row],[fecha_inicio]])</f>
        <v/>
      </c>
      <c r="AE8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5">
        <f>IF(tblOrdenes[[#This Row],[backlog_habiles]]="","",IF(tblOrdenes[[#This Row],[backlog_habiles]]&lt;0,"FUTURO",IF(tblOrdenes[[#This Row],[backlog_habiles]]&gt;p_dias_backlog_max,"BACKLOG","MES CORRIENTE")))</f>
        <v/>
      </c>
      <c r="AG899" s="5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18">
        <f>IF(tblOrdenes[[#This Row],[orden]]="","",_xlfn.XLOOKUP(tblOrdenes[[#This Row],[id_operacion]],tblEjecucion[id_operacion],tblEjecucion[precio],0))</f>
        <v/>
      </c>
      <c r="AM899" s="18">
        <f>IF(tblOrdenes[[#This Row],[orden]]="","",MAX(0,_xlfn.XLOOKUP(tblOrdenes[[#This Row],[id_operacion]],tblEjecucion[id_operacion],tblEjecucion[costo_plan_total],0)-tblOrdenes[[#This Row],[costo_servicio]]))</f>
        <v/>
      </c>
      <c r="AN899" s="18">
        <f>IF(tblOrdenes[[#This Row],[orden]]="","",tblOrdenes[[#This Row],[costo_servicio]]+tblOrdenes[[#This Row],[costo_materiales]])</f>
        <v/>
      </c>
      <c r="AO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5">
        <f>IF(tblOrdenes[[#This Row],[link_checklist]]="","",HYPERLINK(p_ruta_base_checklists&amp;tblOrdenes[[#This Row],[link_checklist]],"abrir"))</f>
        <v/>
      </c>
      <c r="AT899" s="4" t="n"/>
      <c r="AU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5" t="n"/>
      <c r="K900" s="5" t="n"/>
      <c r="L900" s="18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Row],[fecha_inicio]]="","",tblOrdenes[[#This Row],[anio]]&amp;"-"&amp;TEXT(tblOrdenes[[#This Row],[mes]],"00"))</f>
        <v/>
      </c>
      <c r="S900" s="5">
        <f>IF(tblOrdenes[[#This Row],[fecha_inicio]]="","",INDEX(lista_dias,WEEKDAY(tblOrdenes[[#This Row],[fecha_inicio]],2)))</f>
        <v/>
      </c>
      <c r="T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5">
        <f>IF(tblOrdenes[[#This Row],[tipo_ot]]="","",_xlfn.XLOOKUP(tblOrdenes[[#This Row],[tipo_ot]],tblTiposOT[codigo],tblTiposOT[clasificacion],"sin_clasificar"))</f>
        <v/>
      </c>
      <c r="V9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5">
        <f>IF(tblOrdenes[[#This Row],[centro_costo]]="","",_xlfn.XLOOKUP(tblOrdenes[[#This Row],[centro_costo]],tblCECO[codigo],tblCECO[linea],"(sin catálogo)"))</f>
        <v/>
      </c>
      <c r="Y900" s="5">
        <f>IF(tblOrdenes[[#This Row],[centro_costo]]="","",_xlfn.XLOOKUP(tblOrdenes[[#This Row],[centro_costo]],tblCECO[codigo],tblCECO[area],"(sin catálogo)"))</f>
        <v/>
      </c>
      <c r="Z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5">
        <f>IF(tblOrdenes[[#This Row],[centro_costo]]="","",_xlfn.XLOOKUP(tblOrdenes[[#This Row],[centro_costo]],tblCECO[codigo],tblCECO[coordinador],"(sin catálogo)"))</f>
        <v/>
      </c>
      <c r="AB900" s="5">
        <f>IF(tblOrdenes[[#This Row],[puesto_trabajo]]="","",_xlfn.XLOOKUP(tblOrdenes[[#This Row],[puesto_trabajo]],tblPuestos[codigo],tblPuestos[especialidad],"(sin catálogo)"))</f>
        <v/>
      </c>
      <c r="AC900" s="5">
        <f>IF(tblOrdenes[[#This Row],[cod_actividad]]="","",_xlfn.XLOOKUP(tblOrdenes[[#This Row],[cod_actividad]],tblActividades[codigo],tblActividades[descripcion],"(sin catálogo)"))</f>
        <v/>
      </c>
      <c r="AD900" s="23">
        <f>IF(tblOrdenes[[#This Row],[fecha_inicio]]="","",TODAY()-tblOrdenes[[#This Row],[fecha_inicio]])</f>
        <v/>
      </c>
      <c r="AE9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5">
        <f>IF(tblOrdenes[[#This Row],[backlog_habiles]]="","",IF(tblOrdenes[[#This Row],[backlog_habiles]]&lt;0,"FUTURO",IF(tblOrdenes[[#This Row],[backlog_habiles]]&gt;p_dias_backlog_max,"BACKLOG","MES CORRIENTE")))</f>
        <v/>
      </c>
      <c r="AG900" s="5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18">
        <f>IF(tblOrdenes[[#This Row],[orden]]="","",_xlfn.XLOOKUP(tblOrdenes[[#This Row],[id_operacion]],tblEjecucion[id_operacion],tblEjecucion[precio],0))</f>
        <v/>
      </c>
      <c r="AM900" s="18">
        <f>IF(tblOrdenes[[#This Row],[orden]]="","",MAX(0,_xlfn.XLOOKUP(tblOrdenes[[#This Row],[id_operacion]],tblEjecucion[id_operacion],tblEjecucion[costo_plan_total],0)-tblOrdenes[[#This Row],[costo_servicio]]))</f>
        <v/>
      </c>
      <c r="AN900" s="18">
        <f>IF(tblOrdenes[[#This Row],[orden]]="","",tblOrdenes[[#This Row],[costo_servicio]]+tblOrdenes[[#This Row],[costo_materiales]])</f>
        <v/>
      </c>
      <c r="AO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5">
        <f>IF(tblOrdenes[[#This Row],[link_checklist]]="","",HYPERLINK(p_ruta_base_checklists&amp;tblOrdenes[[#This Row],[link_checklist]],"abrir"))</f>
        <v/>
      </c>
      <c r="AT900" s="4" t="n"/>
      <c r="AU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5" t="n"/>
      <c r="K901" s="5" t="n"/>
      <c r="L901" s="18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Row],[fecha_inicio]]="","",tblOrdenes[[#This Row],[anio]]&amp;"-"&amp;TEXT(tblOrdenes[[#This Row],[mes]],"00"))</f>
        <v/>
      </c>
      <c r="S901" s="5">
        <f>IF(tblOrdenes[[#This Row],[fecha_inicio]]="","",INDEX(lista_dias,WEEKDAY(tblOrdenes[[#This Row],[fecha_inicio]],2)))</f>
        <v/>
      </c>
      <c r="T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5">
        <f>IF(tblOrdenes[[#This Row],[tipo_ot]]="","",_xlfn.XLOOKUP(tblOrdenes[[#This Row],[tipo_ot]],tblTiposOT[codigo],tblTiposOT[clasificacion],"sin_clasificar"))</f>
        <v/>
      </c>
      <c r="V9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5">
        <f>IF(tblOrdenes[[#This Row],[centro_costo]]="","",_xlfn.XLOOKUP(tblOrdenes[[#This Row],[centro_costo]],tblCECO[codigo],tblCECO[linea],"(sin catálogo)"))</f>
        <v/>
      </c>
      <c r="Y901" s="5">
        <f>IF(tblOrdenes[[#This Row],[centro_costo]]="","",_xlfn.XLOOKUP(tblOrdenes[[#This Row],[centro_costo]],tblCECO[codigo],tblCECO[area],"(sin catálogo)"))</f>
        <v/>
      </c>
      <c r="Z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5">
        <f>IF(tblOrdenes[[#This Row],[centro_costo]]="","",_xlfn.XLOOKUP(tblOrdenes[[#This Row],[centro_costo]],tblCECO[codigo],tblCECO[coordinador],"(sin catálogo)"))</f>
        <v/>
      </c>
      <c r="AB901" s="5">
        <f>IF(tblOrdenes[[#This Row],[puesto_trabajo]]="","",_xlfn.XLOOKUP(tblOrdenes[[#This Row],[puesto_trabajo]],tblPuestos[codigo],tblPuestos[especialidad],"(sin catálogo)"))</f>
        <v/>
      </c>
      <c r="AC901" s="5">
        <f>IF(tblOrdenes[[#This Row],[cod_actividad]]="","",_xlfn.XLOOKUP(tblOrdenes[[#This Row],[cod_actividad]],tblActividades[codigo],tblActividades[descripcion],"(sin catálogo)"))</f>
        <v/>
      </c>
      <c r="AD901" s="23">
        <f>IF(tblOrdenes[[#This Row],[fecha_inicio]]="","",TODAY()-tblOrdenes[[#This Row],[fecha_inicio]])</f>
        <v/>
      </c>
      <c r="AE9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5">
        <f>IF(tblOrdenes[[#This Row],[backlog_habiles]]="","",IF(tblOrdenes[[#This Row],[backlog_habiles]]&lt;0,"FUTURO",IF(tblOrdenes[[#This Row],[backlog_habiles]]&gt;p_dias_backlog_max,"BACKLOG","MES CORRIENTE")))</f>
        <v/>
      </c>
      <c r="AG901" s="5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18">
        <f>IF(tblOrdenes[[#This Row],[orden]]="","",_xlfn.XLOOKUP(tblOrdenes[[#This Row],[id_operacion]],tblEjecucion[id_operacion],tblEjecucion[precio],0))</f>
        <v/>
      </c>
      <c r="AM901" s="18">
        <f>IF(tblOrdenes[[#This Row],[orden]]="","",MAX(0,_xlfn.XLOOKUP(tblOrdenes[[#This Row],[id_operacion]],tblEjecucion[id_operacion],tblEjecucion[costo_plan_total],0)-tblOrdenes[[#This Row],[costo_servicio]]))</f>
        <v/>
      </c>
      <c r="AN901" s="18">
        <f>IF(tblOrdenes[[#This Row],[orden]]="","",tblOrdenes[[#This Row],[costo_servicio]]+tblOrdenes[[#This Row],[costo_materiales]])</f>
        <v/>
      </c>
      <c r="AO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5">
        <f>IF(tblOrdenes[[#This Row],[link_checklist]]="","",HYPERLINK(p_ruta_base_checklists&amp;tblOrdenes[[#This Row],[link_checklist]],"abrir"))</f>
        <v/>
      </c>
      <c r="AT901" s="4" t="n"/>
      <c r="AU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5" t="n"/>
      <c r="K902" s="5" t="n"/>
      <c r="L902" s="18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Row],[fecha_inicio]]="","",tblOrdenes[[#This Row],[anio]]&amp;"-"&amp;TEXT(tblOrdenes[[#This Row],[mes]],"00"))</f>
        <v/>
      </c>
      <c r="S902" s="5">
        <f>IF(tblOrdenes[[#This Row],[fecha_inicio]]="","",INDEX(lista_dias,WEEKDAY(tblOrdenes[[#This Row],[fecha_inicio]],2)))</f>
        <v/>
      </c>
      <c r="T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5">
        <f>IF(tblOrdenes[[#This Row],[tipo_ot]]="","",_xlfn.XLOOKUP(tblOrdenes[[#This Row],[tipo_ot]],tblTiposOT[codigo],tblTiposOT[clasificacion],"sin_clasificar"))</f>
        <v/>
      </c>
      <c r="V9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5">
        <f>IF(tblOrdenes[[#This Row],[centro_costo]]="","",_xlfn.XLOOKUP(tblOrdenes[[#This Row],[centro_costo]],tblCECO[codigo],tblCECO[linea],"(sin catálogo)"))</f>
        <v/>
      </c>
      <c r="Y902" s="5">
        <f>IF(tblOrdenes[[#This Row],[centro_costo]]="","",_xlfn.XLOOKUP(tblOrdenes[[#This Row],[centro_costo]],tblCECO[codigo],tblCECO[area],"(sin catálogo)"))</f>
        <v/>
      </c>
      <c r="Z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5">
        <f>IF(tblOrdenes[[#This Row],[centro_costo]]="","",_xlfn.XLOOKUP(tblOrdenes[[#This Row],[centro_costo]],tblCECO[codigo],tblCECO[coordinador],"(sin catálogo)"))</f>
        <v/>
      </c>
      <c r="AB902" s="5">
        <f>IF(tblOrdenes[[#This Row],[puesto_trabajo]]="","",_xlfn.XLOOKUP(tblOrdenes[[#This Row],[puesto_trabajo]],tblPuestos[codigo],tblPuestos[especialidad],"(sin catálogo)"))</f>
        <v/>
      </c>
      <c r="AC902" s="5">
        <f>IF(tblOrdenes[[#This Row],[cod_actividad]]="","",_xlfn.XLOOKUP(tblOrdenes[[#This Row],[cod_actividad]],tblActividades[codigo],tblActividades[descripcion],"(sin catálogo)"))</f>
        <v/>
      </c>
      <c r="AD902" s="23">
        <f>IF(tblOrdenes[[#This Row],[fecha_inicio]]="","",TODAY()-tblOrdenes[[#This Row],[fecha_inicio]])</f>
        <v/>
      </c>
      <c r="AE9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5">
        <f>IF(tblOrdenes[[#This Row],[backlog_habiles]]="","",IF(tblOrdenes[[#This Row],[backlog_habiles]]&lt;0,"FUTURO",IF(tblOrdenes[[#This Row],[backlog_habiles]]&gt;p_dias_backlog_max,"BACKLOG","MES CORRIENTE")))</f>
        <v/>
      </c>
      <c r="AG902" s="5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18">
        <f>IF(tblOrdenes[[#This Row],[orden]]="","",_xlfn.XLOOKUP(tblOrdenes[[#This Row],[id_operacion]],tblEjecucion[id_operacion],tblEjecucion[precio],0))</f>
        <v/>
      </c>
      <c r="AM902" s="18">
        <f>IF(tblOrdenes[[#This Row],[orden]]="","",MAX(0,_xlfn.XLOOKUP(tblOrdenes[[#This Row],[id_operacion]],tblEjecucion[id_operacion],tblEjecucion[costo_plan_total],0)-tblOrdenes[[#This Row],[costo_servicio]]))</f>
        <v/>
      </c>
      <c r="AN902" s="18">
        <f>IF(tblOrdenes[[#This Row],[orden]]="","",tblOrdenes[[#This Row],[costo_servicio]]+tblOrdenes[[#This Row],[costo_materiales]])</f>
        <v/>
      </c>
      <c r="AO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5">
        <f>IF(tblOrdenes[[#This Row],[link_checklist]]="","",HYPERLINK(p_ruta_base_checklists&amp;tblOrdenes[[#This Row],[link_checklist]],"abrir"))</f>
        <v/>
      </c>
      <c r="AT902" s="4" t="n"/>
      <c r="AU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5" t="n"/>
      <c r="K903" s="5" t="n"/>
      <c r="L903" s="18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Row],[fecha_inicio]]="","",tblOrdenes[[#This Row],[anio]]&amp;"-"&amp;TEXT(tblOrdenes[[#This Row],[mes]],"00"))</f>
        <v/>
      </c>
      <c r="S903" s="5">
        <f>IF(tblOrdenes[[#This Row],[fecha_inicio]]="","",INDEX(lista_dias,WEEKDAY(tblOrdenes[[#This Row],[fecha_inicio]],2)))</f>
        <v/>
      </c>
      <c r="T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5">
        <f>IF(tblOrdenes[[#This Row],[tipo_ot]]="","",_xlfn.XLOOKUP(tblOrdenes[[#This Row],[tipo_ot]],tblTiposOT[codigo],tblTiposOT[clasificacion],"sin_clasificar"))</f>
        <v/>
      </c>
      <c r="V9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5">
        <f>IF(tblOrdenes[[#This Row],[centro_costo]]="","",_xlfn.XLOOKUP(tblOrdenes[[#This Row],[centro_costo]],tblCECO[codigo],tblCECO[linea],"(sin catálogo)"))</f>
        <v/>
      </c>
      <c r="Y903" s="5">
        <f>IF(tblOrdenes[[#This Row],[centro_costo]]="","",_xlfn.XLOOKUP(tblOrdenes[[#This Row],[centro_costo]],tblCECO[codigo],tblCECO[area],"(sin catálogo)"))</f>
        <v/>
      </c>
      <c r="Z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5">
        <f>IF(tblOrdenes[[#This Row],[centro_costo]]="","",_xlfn.XLOOKUP(tblOrdenes[[#This Row],[centro_costo]],tblCECO[codigo],tblCECO[coordinador],"(sin catálogo)"))</f>
        <v/>
      </c>
      <c r="AB903" s="5">
        <f>IF(tblOrdenes[[#This Row],[puesto_trabajo]]="","",_xlfn.XLOOKUP(tblOrdenes[[#This Row],[puesto_trabajo]],tblPuestos[codigo],tblPuestos[especialidad],"(sin catálogo)"))</f>
        <v/>
      </c>
      <c r="AC903" s="5">
        <f>IF(tblOrdenes[[#This Row],[cod_actividad]]="","",_xlfn.XLOOKUP(tblOrdenes[[#This Row],[cod_actividad]],tblActividades[codigo],tblActividades[descripcion],"(sin catálogo)"))</f>
        <v/>
      </c>
      <c r="AD903" s="23">
        <f>IF(tblOrdenes[[#This Row],[fecha_inicio]]="","",TODAY()-tblOrdenes[[#This Row],[fecha_inicio]])</f>
        <v/>
      </c>
      <c r="AE9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5">
        <f>IF(tblOrdenes[[#This Row],[backlog_habiles]]="","",IF(tblOrdenes[[#This Row],[backlog_habiles]]&lt;0,"FUTURO",IF(tblOrdenes[[#This Row],[backlog_habiles]]&gt;p_dias_backlog_max,"BACKLOG","MES CORRIENTE")))</f>
        <v/>
      </c>
      <c r="AG903" s="5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18">
        <f>IF(tblOrdenes[[#This Row],[orden]]="","",_xlfn.XLOOKUP(tblOrdenes[[#This Row],[id_operacion]],tblEjecucion[id_operacion],tblEjecucion[precio],0))</f>
        <v/>
      </c>
      <c r="AM903" s="18">
        <f>IF(tblOrdenes[[#This Row],[orden]]="","",MAX(0,_xlfn.XLOOKUP(tblOrdenes[[#This Row],[id_operacion]],tblEjecucion[id_operacion],tblEjecucion[costo_plan_total],0)-tblOrdenes[[#This Row],[costo_servicio]]))</f>
        <v/>
      </c>
      <c r="AN903" s="18">
        <f>IF(tblOrdenes[[#This Row],[orden]]="","",tblOrdenes[[#This Row],[costo_servicio]]+tblOrdenes[[#This Row],[costo_materiales]])</f>
        <v/>
      </c>
      <c r="AO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5">
        <f>IF(tblOrdenes[[#This Row],[link_checklist]]="","",HYPERLINK(p_ruta_base_checklists&amp;tblOrdenes[[#This Row],[link_checklist]],"abrir"))</f>
        <v/>
      </c>
      <c r="AT903" s="4" t="n"/>
      <c r="AU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5" t="n"/>
      <c r="K904" s="5" t="n"/>
      <c r="L904" s="18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Row],[fecha_inicio]]="","",tblOrdenes[[#This Row],[anio]]&amp;"-"&amp;TEXT(tblOrdenes[[#This Row],[mes]],"00"))</f>
        <v/>
      </c>
      <c r="S904" s="5">
        <f>IF(tblOrdenes[[#This Row],[fecha_inicio]]="","",INDEX(lista_dias,WEEKDAY(tblOrdenes[[#This Row],[fecha_inicio]],2)))</f>
        <v/>
      </c>
      <c r="T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5">
        <f>IF(tblOrdenes[[#This Row],[tipo_ot]]="","",_xlfn.XLOOKUP(tblOrdenes[[#This Row],[tipo_ot]],tblTiposOT[codigo],tblTiposOT[clasificacion],"sin_clasificar"))</f>
        <v/>
      </c>
      <c r="V9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5">
        <f>IF(tblOrdenes[[#This Row],[centro_costo]]="","",_xlfn.XLOOKUP(tblOrdenes[[#This Row],[centro_costo]],tblCECO[codigo],tblCECO[linea],"(sin catálogo)"))</f>
        <v/>
      </c>
      <c r="Y904" s="5">
        <f>IF(tblOrdenes[[#This Row],[centro_costo]]="","",_xlfn.XLOOKUP(tblOrdenes[[#This Row],[centro_costo]],tblCECO[codigo],tblCECO[area],"(sin catálogo)"))</f>
        <v/>
      </c>
      <c r="Z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5">
        <f>IF(tblOrdenes[[#This Row],[centro_costo]]="","",_xlfn.XLOOKUP(tblOrdenes[[#This Row],[centro_costo]],tblCECO[codigo],tblCECO[coordinador],"(sin catálogo)"))</f>
        <v/>
      </c>
      <c r="AB904" s="5">
        <f>IF(tblOrdenes[[#This Row],[puesto_trabajo]]="","",_xlfn.XLOOKUP(tblOrdenes[[#This Row],[puesto_trabajo]],tblPuestos[codigo],tblPuestos[especialidad],"(sin catálogo)"))</f>
        <v/>
      </c>
      <c r="AC904" s="5">
        <f>IF(tblOrdenes[[#This Row],[cod_actividad]]="","",_xlfn.XLOOKUP(tblOrdenes[[#This Row],[cod_actividad]],tblActividades[codigo],tblActividades[descripcion],"(sin catálogo)"))</f>
        <v/>
      </c>
      <c r="AD904" s="23">
        <f>IF(tblOrdenes[[#This Row],[fecha_inicio]]="","",TODAY()-tblOrdenes[[#This Row],[fecha_inicio]])</f>
        <v/>
      </c>
      <c r="AE9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5">
        <f>IF(tblOrdenes[[#This Row],[backlog_habiles]]="","",IF(tblOrdenes[[#This Row],[backlog_habiles]]&lt;0,"FUTURO",IF(tblOrdenes[[#This Row],[backlog_habiles]]&gt;p_dias_backlog_max,"BACKLOG","MES CORRIENTE")))</f>
        <v/>
      </c>
      <c r="AG904" s="5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18">
        <f>IF(tblOrdenes[[#This Row],[orden]]="","",_xlfn.XLOOKUP(tblOrdenes[[#This Row],[id_operacion]],tblEjecucion[id_operacion],tblEjecucion[precio],0))</f>
        <v/>
      </c>
      <c r="AM904" s="18">
        <f>IF(tblOrdenes[[#This Row],[orden]]="","",MAX(0,_xlfn.XLOOKUP(tblOrdenes[[#This Row],[id_operacion]],tblEjecucion[id_operacion],tblEjecucion[costo_plan_total],0)-tblOrdenes[[#This Row],[costo_servicio]]))</f>
        <v/>
      </c>
      <c r="AN904" s="18">
        <f>IF(tblOrdenes[[#This Row],[orden]]="","",tblOrdenes[[#This Row],[costo_servicio]]+tblOrdenes[[#This Row],[costo_materiales]])</f>
        <v/>
      </c>
      <c r="AO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5">
        <f>IF(tblOrdenes[[#This Row],[link_checklist]]="","",HYPERLINK(p_ruta_base_checklists&amp;tblOrdenes[[#This Row],[link_checklist]],"abrir"))</f>
        <v/>
      </c>
      <c r="AT904" s="4" t="n"/>
      <c r="AU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5" t="n"/>
      <c r="K905" s="5" t="n"/>
      <c r="L905" s="18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Row],[fecha_inicio]]="","",tblOrdenes[[#This Row],[anio]]&amp;"-"&amp;TEXT(tblOrdenes[[#This Row],[mes]],"00"))</f>
        <v/>
      </c>
      <c r="S905" s="5">
        <f>IF(tblOrdenes[[#This Row],[fecha_inicio]]="","",INDEX(lista_dias,WEEKDAY(tblOrdenes[[#This Row],[fecha_inicio]],2)))</f>
        <v/>
      </c>
      <c r="T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5">
        <f>IF(tblOrdenes[[#This Row],[tipo_ot]]="","",_xlfn.XLOOKUP(tblOrdenes[[#This Row],[tipo_ot]],tblTiposOT[codigo],tblTiposOT[clasificacion],"sin_clasificar"))</f>
        <v/>
      </c>
      <c r="V9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5">
        <f>IF(tblOrdenes[[#This Row],[centro_costo]]="","",_xlfn.XLOOKUP(tblOrdenes[[#This Row],[centro_costo]],tblCECO[codigo],tblCECO[linea],"(sin catálogo)"))</f>
        <v/>
      </c>
      <c r="Y905" s="5">
        <f>IF(tblOrdenes[[#This Row],[centro_costo]]="","",_xlfn.XLOOKUP(tblOrdenes[[#This Row],[centro_costo]],tblCECO[codigo],tblCECO[area],"(sin catálogo)"))</f>
        <v/>
      </c>
      <c r="Z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5">
        <f>IF(tblOrdenes[[#This Row],[centro_costo]]="","",_xlfn.XLOOKUP(tblOrdenes[[#This Row],[centro_costo]],tblCECO[codigo],tblCECO[coordinador],"(sin catálogo)"))</f>
        <v/>
      </c>
      <c r="AB905" s="5">
        <f>IF(tblOrdenes[[#This Row],[puesto_trabajo]]="","",_xlfn.XLOOKUP(tblOrdenes[[#This Row],[puesto_trabajo]],tblPuestos[codigo],tblPuestos[especialidad],"(sin catálogo)"))</f>
        <v/>
      </c>
      <c r="AC905" s="5">
        <f>IF(tblOrdenes[[#This Row],[cod_actividad]]="","",_xlfn.XLOOKUP(tblOrdenes[[#This Row],[cod_actividad]],tblActividades[codigo],tblActividades[descripcion],"(sin catálogo)"))</f>
        <v/>
      </c>
      <c r="AD905" s="23">
        <f>IF(tblOrdenes[[#This Row],[fecha_inicio]]="","",TODAY()-tblOrdenes[[#This Row],[fecha_inicio]])</f>
        <v/>
      </c>
      <c r="AE9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5">
        <f>IF(tblOrdenes[[#This Row],[backlog_habiles]]="","",IF(tblOrdenes[[#This Row],[backlog_habiles]]&lt;0,"FUTURO",IF(tblOrdenes[[#This Row],[backlog_habiles]]&gt;p_dias_backlog_max,"BACKLOG","MES CORRIENTE")))</f>
        <v/>
      </c>
      <c r="AG905" s="5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18">
        <f>IF(tblOrdenes[[#This Row],[orden]]="","",_xlfn.XLOOKUP(tblOrdenes[[#This Row],[id_operacion]],tblEjecucion[id_operacion],tblEjecucion[precio],0))</f>
        <v/>
      </c>
      <c r="AM905" s="18">
        <f>IF(tblOrdenes[[#This Row],[orden]]="","",MAX(0,_xlfn.XLOOKUP(tblOrdenes[[#This Row],[id_operacion]],tblEjecucion[id_operacion],tblEjecucion[costo_plan_total],0)-tblOrdenes[[#This Row],[costo_servicio]]))</f>
        <v/>
      </c>
      <c r="AN905" s="18">
        <f>IF(tblOrdenes[[#This Row],[orden]]="","",tblOrdenes[[#This Row],[costo_servicio]]+tblOrdenes[[#This Row],[costo_materiales]])</f>
        <v/>
      </c>
      <c r="AO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5">
        <f>IF(tblOrdenes[[#This Row],[link_checklist]]="","",HYPERLINK(p_ruta_base_checklists&amp;tblOrdenes[[#This Row],[link_checklist]],"abrir"))</f>
        <v/>
      </c>
      <c r="AT905" s="4" t="n"/>
      <c r="AU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5" t="n"/>
      <c r="K906" s="5" t="n"/>
      <c r="L906" s="18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Row],[fecha_inicio]]="","",tblOrdenes[[#This Row],[anio]]&amp;"-"&amp;TEXT(tblOrdenes[[#This Row],[mes]],"00"))</f>
        <v/>
      </c>
      <c r="S906" s="5">
        <f>IF(tblOrdenes[[#This Row],[fecha_inicio]]="","",INDEX(lista_dias,WEEKDAY(tblOrdenes[[#This Row],[fecha_inicio]],2)))</f>
        <v/>
      </c>
      <c r="T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5">
        <f>IF(tblOrdenes[[#This Row],[tipo_ot]]="","",_xlfn.XLOOKUP(tblOrdenes[[#This Row],[tipo_ot]],tblTiposOT[codigo],tblTiposOT[clasificacion],"sin_clasificar"))</f>
        <v/>
      </c>
      <c r="V9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5">
        <f>IF(tblOrdenes[[#This Row],[centro_costo]]="","",_xlfn.XLOOKUP(tblOrdenes[[#This Row],[centro_costo]],tblCECO[codigo],tblCECO[linea],"(sin catálogo)"))</f>
        <v/>
      </c>
      <c r="Y906" s="5">
        <f>IF(tblOrdenes[[#This Row],[centro_costo]]="","",_xlfn.XLOOKUP(tblOrdenes[[#This Row],[centro_costo]],tblCECO[codigo],tblCECO[area],"(sin catálogo)"))</f>
        <v/>
      </c>
      <c r="Z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5">
        <f>IF(tblOrdenes[[#This Row],[centro_costo]]="","",_xlfn.XLOOKUP(tblOrdenes[[#This Row],[centro_costo]],tblCECO[codigo],tblCECO[coordinador],"(sin catálogo)"))</f>
        <v/>
      </c>
      <c r="AB906" s="5">
        <f>IF(tblOrdenes[[#This Row],[puesto_trabajo]]="","",_xlfn.XLOOKUP(tblOrdenes[[#This Row],[puesto_trabajo]],tblPuestos[codigo],tblPuestos[especialidad],"(sin catálogo)"))</f>
        <v/>
      </c>
      <c r="AC906" s="5">
        <f>IF(tblOrdenes[[#This Row],[cod_actividad]]="","",_xlfn.XLOOKUP(tblOrdenes[[#This Row],[cod_actividad]],tblActividades[codigo],tblActividades[descripcion],"(sin catálogo)"))</f>
        <v/>
      </c>
      <c r="AD906" s="23">
        <f>IF(tblOrdenes[[#This Row],[fecha_inicio]]="","",TODAY()-tblOrdenes[[#This Row],[fecha_inicio]])</f>
        <v/>
      </c>
      <c r="AE9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5">
        <f>IF(tblOrdenes[[#This Row],[backlog_habiles]]="","",IF(tblOrdenes[[#This Row],[backlog_habiles]]&lt;0,"FUTURO",IF(tblOrdenes[[#This Row],[backlog_habiles]]&gt;p_dias_backlog_max,"BACKLOG","MES CORRIENTE")))</f>
        <v/>
      </c>
      <c r="AG906" s="5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18">
        <f>IF(tblOrdenes[[#This Row],[orden]]="","",_xlfn.XLOOKUP(tblOrdenes[[#This Row],[id_operacion]],tblEjecucion[id_operacion],tblEjecucion[precio],0))</f>
        <v/>
      </c>
      <c r="AM906" s="18">
        <f>IF(tblOrdenes[[#This Row],[orden]]="","",MAX(0,_xlfn.XLOOKUP(tblOrdenes[[#This Row],[id_operacion]],tblEjecucion[id_operacion],tblEjecucion[costo_plan_total],0)-tblOrdenes[[#This Row],[costo_servicio]]))</f>
        <v/>
      </c>
      <c r="AN906" s="18">
        <f>IF(tblOrdenes[[#This Row],[orden]]="","",tblOrdenes[[#This Row],[costo_servicio]]+tblOrdenes[[#This Row],[costo_materiales]])</f>
        <v/>
      </c>
      <c r="AO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5">
        <f>IF(tblOrdenes[[#This Row],[link_checklist]]="","",HYPERLINK(p_ruta_base_checklists&amp;tblOrdenes[[#This Row],[link_checklist]],"abrir"))</f>
        <v/>
      </c>
      <c r="AT906" s="4" t="n"/>
      <c r="AU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5" t="n"/>
      <c r="K907" s="5" t="n"/>
      <c r="L907" s="18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Row],[fecha_inicio]]="","",tblOrdenes[[#This Row],[anio]]&amp;"-"&amp;TEXT(tblOrdenes[[#This Row],[mes]],"00"))</f>
        <v/>
      </c>
      <c r="S907" s="5">
        <f>IF(tblOrdenes[[#This Row],[fecha_inicio]]="","",INDEX(lista_dias,WEEKDAY(tblOrdenes[[#This Row],[fecha_inicio]],2)))</f>
        <v/>
      </c>
      <c r="T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5">
        <f>IF(tblOrdenes[[#This Row],[tipo_ot]]="","",_xlfn.XLOOKUP(tblOrdenes[[#This Row],[tipo_ot]],tblTiposOT[codigo],tblTiposOT[clasificacion],"sin_clasificar"))</f>
        <v/>
      </c>
      <c r="V9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5">
        <f>IF(tblOrdenes[[#This Row],[centro_costo]]="","",_xlfn.XLOOKUP(tblOrdenes[[#This Row],[centro_costo]],tblCECO[codigo],tblCECO[linea],"(sin catálogo)"))</f>
        <v/>
      </c>
      <c r="Y907" s="5">
        <f>IF(tblOrdenes[[#This Row],[centro_costo]]="","",_xlfn.XLOOKUP(tblOrdenes[[#This Row],[centro_costo]],tblCECO[codigo],tblCECO[area],"(sin catálogo)"))</f>
        <v/>
      </c>
      <c r="Z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5">
        <f>IF(tblOrdenes[[#This Row],[centro_costo]]="","",_xlfn.XLOOKUP(tblOrdenes[[#This Row],[centro_costo]],tblCECO[codigo],tblCECO[coordinador],"(sin catálogo)"))</f>
        <v/>
      </c>
      <c r="AB907" s="5">
        <f>IF(tblOrdenes[[#This Row],[puesto_trabajo]]="","",_xlfn.XLOOKUP(tblOrdenes[[#This Row],[puesto_trabajo]],tblPuestos[codigo],tblPuestos[especialidad],"(sin catálogo)"))</f>
        <v/>
      </c>
      <c r="AC907" s="5">
        <f>IF(tblOrdenes[[#This Row],[cod_actividad]]="","",_xlfn.XLOOKUP(tblOrdenes[[#This Row],[cod_actividad]],tblActividades[codigo],tblActividades[descripcion],"(sin catálogo)"))</f>
        <v/>
      </c>
      <c r="AD907" s="23">
        <f>IF(tblOrdenes[[#This Row],[fecha_inicio]]="","",TODAY()-tblOrdenes[[#This Row],[fecha_inicio]])</f>
        <v/>
      </c>
      <c r="AE9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5">
        <f>IF(tblOrdenes[[#This Row],[backlog_habiles]]="","",IF(tblOrdenes[[#This Row],[backlog_habiles]]&lt;0,"FUTURO",IF(tblOrdenes[[#This Row],[backlog_habiles]]&gt;p_dias_backlog_max,"BACKLOG","MES CORRIENTE")))</f>
        <v/>
      </c>
      <c r="AG907" s="5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18">
        <f>IF(tblOrdenes[[#This Row],[orden]]="","",_xlfn.XLOOKUP(tblOrdenes[[#This Row],[id_operacion]],tblEjecucion[id_operacion],tblEjecucion[precio],0))</f>
        <v/>
      </c>
      <c r="AM907" s="18">
        <f>IF(tblOrdenes[[#This Row],[orden]]="","",MAX(0,_xlfn.XLOOKUP(tblOrdenes[[#This Row],[id_operacion]],tblEjecucion[id_operacion],tblEjecucion[costo_plan_total],0)-tblOrdenes[[#This Row],[costo_servicio]]))</f>
        <v/>
      </c>
      <c r="AN907" s="18">
        <f>IF(tblOrdenes[[#This Row],[orden]]="","",tblOrdenes[[#This Row],[costo_servicio]]+tblOrdenes[[#This Row],[costo_materiales]])</f>
        <v/>
      </c>
      <c r="AO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5">
        <f>IF(tblOrdenes[[#This Row],[link_checklist]]="","",HYPERLINK(p_ruta_base_checklists&amp;tblOrdenes[[#This Row],[link_checklist]],"abrir"))</f>
        <v/>
      </c>
      <c r="AT907" s="4" t="n"/>
      <c r="AU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5" t="n"/>
      <c r="K908" s="5" t="n"/>
      <c r="L908" s="18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Row],[fecha_inicio]]="","",tblOrdenes[[#This Row],[anio]]&amp;"-"&amp;TEXT(tblOrdenes[[#This Row],[mes]],"00"))</f>
        <v/>
      </c>
      <c r="S908" s="5">
        <f>IF(tblOrdenes[[#This Row],[fecha_inicio]]="","",INDEX(lista_dias,WEEKDAY(tblOrdenes[[#This Row],[fecha_inicio]],2)))</f>
        <v/>
      </c>
      <c r="T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5">
        <f>IF(tblOrdenes[[#This Row],[tipo_ot]]="","",_xlfn.XLOOKUP(tblOrdenes[[#This Row],[tipo_ot]],tblTiposOT[codigo],tblTiposOT[clasificacion],"sin_clasificar"))</f>
        <v/>
      </c>
      <c r="V9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5">
        <f>IF(tblOrdenes[[#This Row],[centro_costo]]="","",_xlfn.XLOOKUP(tblOrdenes[[#This Row],[centro_costo]],tblCECO[codigo],tblCECO[linea],"(sin catálogo)"))</f>
        <v/>
      </c>
      <c r="Y908" s="5">
        <f>IF(tblOrdenes[[#This Row],[centro_costo]]="","",_xlfn.XLOOKUP(tblOrdenes[[#This Row],[centro_costo]],tblCECO[codigo],tblCECO[area],"(sin catálogo)"))</f>
        <v/>
      </c>
      <c r="Z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5">
        <f>IF(tblOrdenes[[#This Row],[centro_costo]]="","",_xlfn.XLOOKUP(tblOrdenes[[#This Row],[centro_costo]],tblCECO[codigo],tblCECO[coordinador],"(sin catálogo)"))</f>
        <v/>
      </c>
      <c r="AB908" s="5">
        <f>IF(tblOrdenes[[#This Row],[puesto_trabajo]]="","",_xlfn.XLOOKUP(tblOrdenes[[#This Row],[puesto_trabajo]],tblPuestos[codigo],tblPuestos[especialidad],"(sin catálogo)"))</f>
        <v/>
      </c>
      <c r="AC908" s="5">
        <f>IF(tblOrdenes[[#This Row],[cod_actividad]]="","",_xlfn.XLOOKUP(tblOrdenes[[#This Row],[cod_actividad]],tblActividades[codigo],tblActividades[descripcion],"(sin catálogo)"))</f>
        <v/>
      </c>
      <c r="AD908" s="23">
        <f>IF(tblOrdenes[[#This Row],[fecha_inicio]]="","",TODAY()-tblOrdenes[[#This Row],[fecha_inicio]])</f>
        <v/>
      </c>
      <c r="AE9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5">
        <f>IF(tblOrdenes[[#This Row],[backlog_habiles]]="","",IF(tblOrdenes[[#This Row],[backlog_habiles]]&lt;0,"FUTURO",IF(tblOrdenes[[#This Row],[backlog_habiles]]&gt;p_dias_backlog_max,"BACKLOG","MES CORRIENTE")))</f>
        <v/>
      </c>
      <c r="AG908" s="5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18">
        <f>IF(tblOrdenes[[#This Row],[orden]]="","",_xlfn.XLOOKUP(tblOrdenes[[#This Row],[id_operacion]],tblEjecucion[id_operacion],tblEjecucion[precio],0))</f>
        <v/>
      </c>
      <c r="AM908" s="18">
        <f>IF(tblOrdenes[[#This Row],[orden]]="","",MAX(0,_xlfn.XLOOKUP(tblOrdenes[[#This Row],[id_operacion]],tblEjecucion[id_operacion],tblEjecucion[costo_plan_total],0)-tblOrdenes[[#This Row],[costo_servicio]]))</f>
        <v/>
      </c>
      <c r="AN908" s="18">
        <f>IF(tblOrdenes[[#This Row],[orden]]="","",tblOrdenes[[#This Row],[costo_servicio]]+tblOrdenes[[#This Row],[costo_materiales]])</f>
        <v/>
      </c>
      <c r="AO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5">
        <f>IF(tblOrdenes[[#This Row],[link_checklist]]="","",HYPERLINK(p_ruta_base_checklists&amp;tblOrdenes[[#This Row],[link_checklist]],"abrir"))</f>
        <v/>
      </c>
      <c r="AT908" s="4" t="n"/>
      <c r="AU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5" t="n"/>
      <c r="K909" s="5" t="n"/>
      <c r="L909" s="18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Row],[fecha_inicio]]="","",tblOrdenes[[#This Row],[anio]]&amp;"-"&amp;TEXT(tblOrdenes[[#This Row],[mes]],"00"))</f>
        <v/>
      </c>
      <c r="S909" s="5">
        <f>IF(tblOrdenes[[#This Row],[fecha_inicio]]="","",INDEX(lista_dias,WEEKDAY(tblOrdenes[[#This Row],[fecha_inicio]],2)))</f>
        <v/>
      </c>
      <c r="T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5">
        <f>IF(tblOrdenes[[#This Row],[tipo_ot]]="","",_xlfn.XLOOKUP(tblOrdenes[[#This Row],[tipo_ot]],tblTiposOT[codigo],tblTiposOT[clasificacion],"sin_clasificar"))</f>
        <v/>
      </c>
      <c r="V9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5">
        <f>IF(tblOrdenes[[#This Row],[centro_costo]]="","",_xlfn.XLOOKUP(tblOrdenes[[#This Row],[centro_costo]],tblCECO[codigo],tblCECO[linea],"(sin catálogo)"))</f>
        <v/>
      </c>
      <c r="Y909" s="5">
        <f>IF(tblOrdenes[[#This Row],[centro_costo]]="","",_xlfn.XLOOKUP(tblOrdenes[[#This Row],[centro_costo]],tblCECO[codigo],tblCECO[area],"(sin catálogo)"))</f>
        <v/>
      </c>
      <c r="Z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5">
        <f>IF(tblOrdenes[[#This Row],[centro_costo]]="","",_xlfn.XLOOKUP(tblOrdenes[[#This Row],[centro_costo]],tblCECO[codigo],tblCECO[coordinador],"(sin catálogo)"))</f>
        <v/>
      </c>
      <c r="AB909" s="5">
        <f>IF(tblOrdenes[[#This Row],[puesto_trabajo]]="","",_xlfn.XLOOKUP(tblOrdenes[[#This Row],[puesto_trabajo]],tblPuestos[codigo],tblPuestos[especialidad],"(sin catálogo)"))</f>
        <v/>
      </c>
      <c r="AC909" s="5">
        <f>IF(tblOrdenes[[#This Row],[cod_actividad]]="","",_xlfn.XLOOKUP(tblOrdenes[[#This Row],[cod_actividad]],tblActividades[codigo],tblActividades[descripcion],"(sin catálogo)"))</f>
        <v/>
      </c>
      <c r="AD909" s="23">
        <f>IF(tblOrdenes[[#This Row],[fecha_inicio]]="","",TODAY()-tblOrdenes[[#This Row],[fecha_inicio]])</f>
        <v/>
      </c>
      <c r="AE9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5">
        <f>IF(tblOrdenes[[#This Row],[backlog_habiles]]="","",IF(tblOrdenes[[#This Row],[backlog_habiles]]&lt;0,"FUTURO",IF(tblOrdenes[[#This Row],[backlog_habiles]]&gt;p_dias_backlog_max,"BACKLOG","MES CORRIENTE")))</f>
        <v/>
      </c>
      <c r="AG909" s="5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18">
        <f>IF(tblOrdenes[[#This Row],[orden]]="","",_xlfn.XLOOKUP(tblOrdenes[[#This Row],[id_operacion]],tblEjecucion[id_operacion],tblEjecucion[precio],0))</f>
        <v/>
      </c>
      <c r="AM909" s="18">
        <f>IF(tblOrdenes[[#This Row],[orden]]="","",MAX(0,_xlfn.XLOOKUP(tblOrdenes[[#This Row],[id_operacion]],tblEjecucion[id_operacion],tblEjecucion[costo_plan_total],0)-tblOrdenes[[#This Row],[costo_servicio]]))</f>
        <v/>
      </c>
      <c r="AN909" s="18">
        <f>IF(tblOrdenes[[#This Row],[orden]]="","",tblOrdenes[[#This Row],[costo_servicio]]+tblOrdenes[[#This Row],[costo_materiales]])</f>
        <v/>
      </c>
      <c r="AO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5">
        <f>IF(tblOrdenes[[#This Row],[link_checklist]]="","",HYPERLINK(p_ruta_base_checklists&amp;tblOrdenes[[#This Row],[link_checklist]],"abrir"))</f>
        <v/>
      </c>
      <c r="AT909" s="4" t="n"/>
      <c r="AU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5" t="n"/>
      <c r="K910" s="5" t="n"/>
      <c r="L910" s="18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Row],[fecha_inicio]]="","",tblOrdenes[[#This Row],[anio]]&amp;"-"&amp;TEXT(tblOrdenes[[#This Row],[mes]],"00"))</f>
        <v/>
      </c>
      <c r="S910" s="5">
        <f>IF(tblOrdenes[[#This Row],[fecha_inicio]]="","",INDEX(lista_dias,WEEKDAY(tblOrdenes[[#This Row],[fecha_inicio]],2)))</f>
        <v/>
      </c>
      <c r="T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5">
        <f>IF(tblOrdenes[[#This Row],[tipo_ot]]="","",_xlfn.XLOOKUP(tblOrdenes[[#This Row],[tipo_ot]],tblTiposOT[codigo],tblTiposOT[clasificacion],"sin_clasificar"))</f>
        <v/>
      </c>
      <c r="V9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5">
        <f>IF(tblOrdenes[[#This Row],[centro_costo]]="","",_xlfn.XLOOKUP(tblOrdenes[[#This Row],[centro_costo]],tblCECO[codigo],tblCECO[linea],"(sin catálogo)"))</f>
        <v/>
      </c>
      <c r="Y910" s="5">
        <f>IF(tblOrdenes[[#This Row],[centro_costo]]="","",_xlfn.XLOOKUP(tblOrdenes[[#This Row],[centro_costo]],tblCECO[codigo],tblCECO[area],"(sin catálogo)"))</f>
        <v/>
      </c>
      <c r="Z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5">
        <f>IF(tblOrdenes[[#This Row],[centro_costo]]="","",_xlfn.XLOOKUP(tblOrdenes[[#This Row],[centro_costo]],tblCECO[codigo],tblCECO[coordinador],"(sin catálogo)"))</f>
        <v/>
      </c>
      <c r="AB910" s="5">
        <f>IF(tblOrdenes[[#This Row],[puesto_trabajo]]="","",_xlfn.XLOOKUP(tblOrdenes[[#This Row],[puesto_trabajo]],tblPuestos[codigo],tblPuestos[especialidad],"(sin catálogo)"))</f>
        <v/>
      </c>
      <c r="AC910" s="5">
        <f>IF(tblOrdenes[[#This Row],[cod_actividad]]="","",_xlfn.XLOOKUP(tblOrdenes[[#This Row],[cod_actividad]],tblActividades[codigo],tblActividades[descripcion],"(sin catálogo)"))</f>
        <v/>
      </c>
      <c r="AD910" s="23">
        <f>IF(tblOrdenes[[#This Row],[fecha_inicio]]="","",TODAY()-tblOrdenes[[#This Row],[fecha_inicio]])</f>
        <v/>
      </c>
      <c r="AE9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5">
        <f>IF(tblOrdenes[[#This Row],[backlog_habiles]]="","",IF(tblOrdenes[[#This Row],[backlog_habiles]]&lt;0,"FUTURO",IF(tblOrdenes[[#This Row],[backlog_habiles]]&gt;p_dias_backlog_max,"BACKLOG","MES CORRIENTE")))</f>
        <v/>
      </c>
      <c r="AG910" s="5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18">
        <f>IF(tblOrdenes[[#This Row],[orden]]="","",_xlfn.XLOOKUP(tblOrdenes[[#This Row],[id_operacion]],tblEjecucion[id_operacion],tblEjecucion[precio],0))</f>
        <v/>
      </c>
      <c r="AM910" s="18">
        <f>IF(tblOrdenes[[#This Row],[orden]]="","",MAX(0,_xlfn.XLOOKUP(tblOrdenes[[#This Row],[id_operacion]],tblEjecucion[id_operacion],tblEjecucion[costo_plan_total],0)-tblOrdenes[[#This Row],[costo_servicio]]))</f>
        <v/>
      </c>
      <c r="AN910" s="18">
        <f>IF(tblOrdenes[[#This Row],[orden]]="","",tblOrdenes[[#This Row],[costo_servicio]]+tblOrdenes[[#This Row],[costo_materiales]])</f>
        <v/>
      </c>
      <c r="AO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5">
        <f>IF(tblOrdenes[[#This Row],[link_checklist]]="","",HYPERLINK(p_ruta_base_checklists&amp;tblOrdenes[[#This Row],[link_checklist]],"abrir"))</f>
        <v/>
      </c>
      <c r="AT910" s="4" t="n"/>
      <c r="AU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5" t="n"/>
      <c r="K911" s="5" t="n"/>
      <c r="L911" s="18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Row],[fecha_inicio]]="","",tblOrdenes[[#This Row],[anio]]&amp;"-"&amp;TEXT(tblOrdenes[[#This Row],[mes]],"00"))</f>
        <v/>
      </c>
      <c r="S911" s="5">
        <f>IF(tblOrdenes[[#This Row],[fecha_inicio]]="","",INDEX(lista_dias,WEEKDAY(tblOrdenes[[#This Row],[fecha_inicio]],2)))</f>
        <v/>
      </c>
      <c r="T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5">
        <f>IF(tblOrdenes[[#This Row],[tipo_ot]]="","",_xlfn.XLOOKUP(tblOrdenes[[#This Row],[tipo_ot]],tblTiposOT[codigo],tblTiposOT[clasificacion],"sin_clasificar"))</f>
        <v/>
      </c>
      <c r="V9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5">
        <f>IF(tblOrdenes[[#This Row],[centro_costo]]="","",_xlfn.XLOOKUP(tblOrdenes[[#This Row],[centro_costo]],tblCECO[codigo],tblCECO[linea],"(sin catálogo)"))</f>
        <v/>
      </c>
      <c r="Y911" s="5">
        <f>IF(tblOrdenes[[#This Row],[centro_costo]]="","",_xlfn.XLOOKUP(tblOrdenes[[#This Row],[centro_costo]],tblCECO[codigo],tblCECO[area],"(sin catálogo)"))</f>
        <v/>
      </c>
      <c r="Z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5">
        <f>IF(tblOrdenes[[#This Row],[centro_costo]]="","",_xlfn.XLOOKUP(tblOrdenes[[#This Row],[centro_costo]],tblCECO[codigo],tblCECO[coordinador],"(sin catálogo)"))</f>
        <v/>
      </c>
      <c r="AB911" s="5">
        <f>IF(tblOrdenes[[#This Row],[puesto_trabajo]]="","",_xlfn.XLOOKUP(tblOrdenes[[#This Row],[puesto_trabajo]],tblPuestos[codigo],tblPuestos[especialidad],"(sin catálogo)"))</f>
        <v/>
      </c>
      <c r="AC911" s="5">
        <f>IF(tblOrdenes[[#This Row],[cod_actividad]]="","",_xlfn.XLOOKUP(tblOrdenes[[#This Row],[cod_actividad]],tblActividades[codigo],tblActividades[descripcion],"(sin catálogo)"))</f>
        <v/>
      </c>
      <c r="AD911" s="23">
        <f>IF(tblOrdenes[[#This Row],[fecha_inicio]]="","",TODAY()-tblOrdenes[[#This Row],[fecha_inicio]])</f>
        <v/>
      </c>
      <c r="AE9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5">
        <f>IF(tblOrdenes[[#This Row],[backlog_habiles]]="","",IF(tblOrdenes[[#This Row],[backlog_habiles]]&lt;0,"FUTURO",IF(tblOrdenes[[#This Row],[backlog_habiles]]&gt;p_dias_backlog_max,"BACKLOG","MES CORRIENTE")))</f>
        <v/>
      </c>
      <c r="AG911" s="5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18">
        <f>IF(tblOrdenes[[#This Row],[orden]]="","",_xlfn.XLOOKUP(tblOrdenes[[#This Row],[id_operacion]],tblEjecucion[id_operacion],tblEjecucion[precio],0))</f>
        <v/>
      </c>
      <c r="AM911" s="18">
        <f>IF(tblOrdenes[[#This Row],[orden]]="","",MAX(0,_xlfn.XLOOKUP(tblOrdenes[[#This Row],[id_operacion]],tblEjecucion[id_operacion],tblEjecucion[costo_plan_total],0)-tblOrdenes[[#This Row],[costo_servicio]]))</f>
        <v/>
      </c>
      <c r="AN911" s="18">
        <f>IF(tblOrdenes[[#This Row],[orden]]="","",tblOrdenes[[#This Row],[costo_servicio]]+tblOrdenes[[#This Row],[costo_materiales]])</f>
        <v/>
      </c>
      <c r="AO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5">
        <f>IF(tblOrdenes[[#This Row],[link_checklist]]="","",HYPERLINK(p_ruta_base_checklists&amp;tblOrdenes[[#This Row],[link_checklist]],"abrir"))</f>
        <v/>
      </c>
      <c r="AT911" s="4" t="n"/>
      <c r="AU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5" t="n"/>
      <c r="K912" s="5" t="n"/>
      <c r="L912" s="18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Row],[fecha_inicio]]="","",tblOrdenes[[#This Row],[anio]]&amp;"-"&amp;TEXT(tblOrdenes[[#This Row],[mes]],"00"))</f>
        <v/>
      </c>
      <c r="S912" s="5">
        <f>IF(tblOrdenes[[#This Row],[fecha_inicio]]="","",INDEX(lista_dias,WEEKDAY(tblOrdenes[[#This Row],[fecha_inicio]],2)))</f>
        <v/>
      </c>
      <c r="T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5">
        <f>IF(tblOrdenes[[#This Row],[tipo_ot]]="","",_xlfn.XLOOKUP(tblOrdenes[[#This Row],[tipo_ot]],tblTiposOT[codigo],tblTiposOT[clasificacion],"sin_clasificar"))</f>
        <v/>
      </c>
      <c r="V9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5">
        <f>IF(tblOrdenes[[#This Row],[centro_costo]]="","",_xlfn.XLOOKUP(tblOrdenes[[#This Row],[centro_costo]],tblCECO[codigo],tblCECO[linea],"(sin catálogo)"))</f>
        <v/>
      </c>
      <c r="Y912" s="5">
        <f>IF(tblOrdenes[[#This Row],[centro_costo]]="","",_xlfn.XLOOKUP(tblOrdenes[[#This Row],[centro_costo]],tblCECO[codigo],tblCECO[area],"(sin catálogo)"))</f>
        <v/>
      </c>
      <c r="Z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5">
        <f>IF(tblOrdenes[[#This Row],[centro_costo]]="","",_xlfn.XLOOKUP(tblOrdenes[[#This Row],[centro_costo]],tblCECO[codigo],tblCECO[coordinador],"(sin catálogo)"))</f>
        <v/>
      </c>
      <c r="AB912" s="5">
        <f>IF(tblOrdenes[[#This Row],[puesto_trabajo]]="","",_xlfn.XLOOKUP(tblOrdenes[[#This Row],[puesto_trabajo]],tblPuestos[codigo],tblPuestos[especialidad],"(sin catálogo)"))</f>
        <v/>
      </c>
      <c r="AC912" s="5">
        <f>IF(tblOrdenes[[#This Row],[cod_actividad]]="","",_xlfn.XLOOKUP(tblOrdenes[[#This Row],[cod_actividad]],tblActividades[codigo],tblActividades[descripcion],"(sin catálogo)"))</f>
        <v/>
      </c>
      <c r="AD912" s="23">
        <f>IF(tblOrdenes[[#This Row],[fecha_inicio]]="","",TODAY()-tblOrdenes[[#This Row],[fecha_inicio]])</f>
        <v/>
      </c>
      <c r="AE9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5">
        <f>IF(tblOrdenes[[#This Row],[backlog_habiles]]="","",IF(tblOrdenes[[#This Row],[backlog_habiles]]&lt;0,"FUTURO",IF(tblOrdenes[[#This Row],[backlog_habiles]]&gt;p_dias_backlog_max,"BACKLOG","MES CORRIENTE")))</f>
        <v/>
      </c>
      <c r="AG912" s="5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18">
        <f>IF(tblOrdenes[[#This Row],[orden]]="","",_xlfn.XLOOKUP(tblOrdenes[[#This Row],[id_operacion]],tblEjecucion[id_operacion],tblEjecucion[precio],0))</f>
        <v/>
      </c>
      <c r="AM912" s="18">
        <f>IF(tblOrdenes[[#This Row],[orden]]="","",MAX(0,_xlfn.XLOOKUP(tblOrdenes[[#This Row],[id_operacion]],tblEjecucion[id_operacion],tblEjecucion[costo_plan_total],0)-tblOrdenes[[#This Row],[costo_servicio]]))</f>
        <v/>
      </c>
      <c r="AN912" s="18">
        <f>IF(tblOrdenes[[#This Row],[orden]]="","",tblOrdenes[[#This Row],[costo_servicio]]+tblOrdenes[[#This Row],[costo_materiales]])</f>
        <v/>
      </c>
      <c r="AO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5">
        <f>IF(tblOrdenes[[#This Row],[link_checklist]]="","",HYPERLINK(p_ruta_base_checklists&amp;tblOrdenes[[#This Row],[link_checklist]],"abrir"))</f>
        <v/>
      </c>
      <c r="AT912" s="4" t="n"/>
      <c r="AU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5" t="n"/>
      <c r="K913" s="5" t="n"/>
      <c r="L913" s="18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Row],[fecha_inicio]]="","",tblOrdenes[[#This Row],[anio]]&amp;"-"&amp;TEXT(tblOrdenes[[#This Row],[mes]],"00"))</f>
        <v/>
      </c>
      <c r="S913" s="5">
        <f>IF(tblOrdenes[[#This Row],[fecha_inicio]]="","",INDEX(lista_dias,WEEKDAY(tblOrdenes[[#This Row],[fecha_inicio]],2)))</f>
        <v/>
      </c>
      <c r="T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5">
        <f>IF(tblOrdenes[[#This Row],[tipo_ot]]="","",_xlfn.XLOOKUP(tblOrdenes[[#This Row],[tipo_ot]],tblTiposOT[codigo],tblTiposOT[clasificacion],"sin_clasificar"))</f>
        <v/>
      </c>
      <c r="V9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5">
        <f>IF(tblOrdenes[[#This Row],[centro_costo]]="","",_xlfn.XLOOKUP(tblOrdenes[[#This Row],[centro_costo]],tblCECO[codigo],tblCECO[linea],"(sin catálogo)"))</f>
        <v/>
      </c>
      <c r="Y913" s="5">
        <f>IF(tblOrdenes[[#This Row],[centro_costo]]="","",_xlfn.XLOOKUP(tblOrdenes[[#This Row],[centro_costo]],tblCECO[codigo],tblCECO[area],"(sin catálogo)"))</f>
        <v/>
      </c>
      <c r="Z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5">
        <f>IF(tblOrdenes[[#This Row],[centro_costo]]="","",_xlfn.XLOOKUP(tblOrdenes[[#This Row],[centro_costo]],tblCECO[codigo],tblCECO[coordinador],"(sin catálogo)"))</f>
        <v/>
      </c>
      <c r="AB913" s="5">
        <f>IF(tblOrdenes[[#This Row],[puesto_trabajo]]="","",_xlfn.XLOOKUP(tblOrdenes[[#This Row],[puesto_trabajo]],tblPuestos[codigo],tblPuestos[especialidad],"(sin catálogo)"))</f>
        <v/>
      </c>
      <c r="AC913" s="5">
        <f>IF(tblOrdenes[[#This Row],[cod_actividad]]="","",_xlfn.XLOOKUP(tblOrdenes[[#This Row],[cod_actividad]],tblActividades[codigo],tblActividades[descripcion],"(sin catálogo)"))</f>
        <v/>
      </c>
      <c r="AD913" s="23">
        <f>IF(tblOrdenes[[#This Row],[fecha_inicio]]="","",TODAY()-tblOrdenes[[#This Row],[fecha_inicio]])</f>
        <v/>
      </c>
      <c r="AE9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5">
        <f>IF(tblOrdenes[[#This Row],[backlog_habiles]]="","",IF(tblOrdenes[[#This Row],[backlog_habiles]]&lt;0,"FUTURO",IF(tblOrdenes[[#This Row],[backlog_habiles]]&gt;p_dias_backlog_max,"BACKLOG","MES CORRIENTE")))</f>
        <v/>
      </c>
      <c r="AG913" s="5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18">
        <f>IF(tblOrdenes[[#This Row],[orden]]="","",_xlfn.XLOOKUP(tblOrdenes[[#This Row],[id_operacion]],tblEjecucion[id_operacion],tblEjecucion[precio],0))</f>
        <v/>
      </c>
      <c r="AM913" s="18">
        <f>IF(tblOrdenes[[#This Row],[orden]]="","",MAX(0,_xlfn.XLOOKUP(tblOrdenes[[#This Row],[id_operacion]],tblEjecucion[id_operacion],tblEjecucion[costo_plan_total],0)-tblOrdenes[[#This Row],[costo_servicio]]))</f>
        <v/>
      </c>
      <c r="AN913" s="18">
        <f>IF(tblOrdenes[[#This Row],[orden]]="","",tblOrdenes[[#This Row],[costo_servicio]]+tblOrdenes[[#This Row],[costo_materiales]])</f>
        <v/>
      </c>
      <c r="AO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5">
        <f>IF(tblOrdenes[[#This Row],[link_checklist]]="","",HYPERLINK(p_ruta_base_checklists&amp;tblOrdenes[[#This Row],[link_checklist]],"abrir"))</f>
        <v/>
      </c>
      <c r="AT913" s="4" t="n"/>
      <c r="AU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5" t="n"/>
      <c r="K914" s="5" t="n"/>
      <c r="L914" s="18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Row],[fecha_inicio]]="","",tblOrdenes[[#This Row],[anio]]&amp;"-"&amp;TEXT(tblOrdenes[[#This Row],[mes]],"00"))</f>
        <v/>
      </c>
      <c r="S914" s="5">
        <f>IF(tblOrdenes[[#This Row],[fecha_inicio]]="","",INDEX(lista_dias,WEEKDAY(tblOrdenes[[#This Row],[fecha_inicio]],2)))</f>
        <v/>
      </c>
      <c r="T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5">
        <f>IF(tblOrdenes[[#This Row],[tipo_ot]]="","",_xlfn.XLOOKUP(tblOrdenes[[#This Row],[tipo_ot]],tblTiposOT[codigo],tblTiposOT[clasificacion],"sin_clasificar"))</f>
        <v/>
      </c>
      <c r="V9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5">
        <f>IF(tblOrdenes[[#This Row],[centro_costo]]="","",_xlfn.XLOOKUP(tblOrdenes[[#This Row],[centro_costo]],tblCECO[codigo],tblCECO[linea],"(sin catálogo)"))</f>
        <v/>
      </c>
      <c r="Y914" s="5">
        <f>IF(tblOrdenes[[#This Row],[centro_costo]]="","",_xlfn.XLOOKUP(tblOrdenes[[#This Row],[centro_costo]],tblCECO[codigo],tblCECO[area],"(sin catálogo)"))</f>
        <v/>
      </c>
      <c r="Z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5">
        <f>IF(tblOrdenes[[#This Row],[centro_costo]]="","",_xlfn.XLOOKUP(tblOrdenes[[#This Row],[centro_costo]],tblCECO[codigo],tblCECO[coordinador],"(sin catálogo)"))</f>
        <v/>
      </c>
      <c r="AB914" s="5">
        <f>IF(tblOrdenes[[#This Row],[puesto_trabajo]]="","",_xlfn.XLOOKUP(tblOrdenes[[#This Row],[puesto_trabajo]],tblPuestos[codigo],tblPuestos[especialidad],"(sin catálogo)"))</f>
        <v/>
      </c>
      <c r="AC914" s="5">
        <f>IF(tblOrdenes[[#This Row],[cod_actividad]]="","",_xlfn.XLOOKUP(tblOrdenes[[#This Row],[cod_actividad]],tblActividades[codigo],tblActividades[descripcion],"(sin catálogo)"))</f>
        <v/>
      </c>
      <c r="AD914" s="23">
        <f>IF(tblOrdenes[[#This Row],[fecha_inicio]]="","",TODAY()-tblOrdenes[[#This Row],[fecha_inicio]])</f>
        <v/>
      </c>
      <c r="AE9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5">
        <f>IF(tblOrdenes[[#This Row],[backlog_habiles]]="","",IF(tblOrdenes[[#This Row],[backlog_habiles]]&lt;0,"FUTURO",IF(tblOrdenes[[#This Row],[backlog_habiles]]&gt;p_dias_backlog_max,"BACKLOG","MES CORRIENTE")))</f>
        <v/>
      </c>
      <c r="AG914" s="5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18">
        <f>IF(tblOrdenes[[#This Row],[orden]]="","",_xlfn.XLOOKUP(tblOrdenes[[#This Row],[id_operacion]],tblEjecucion[id_operacion],tblEjecucion[precio],0))</f>
        <v/>
      </c>
      <c r="AM914" s="18">
        <f>IF(tblOrdenes[[#This Row],[orden]]="","",MAX(0,_xlfn.XLOOKUP(tblOrdenes[[#This Row],[id_operacion]],tblEjecucion[id_operacion],tblEjecucion[costo_plan_total],0)-tblOrdenes[[#This Row],[costo_servicio]]))</f>
        <v/>
      </c>
      <c r="AN914" s="18">
        <f>IF(tblOrdenes[[#This Row],[orden]]="","",tblOrdenes[[#This Row],[costo_servicio]]+tblOrdenes[[#This Row],[costo_materiales]])</f>
        <v/>
      </c>
      <c r="AO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5">
        <f>IF(tblOrdenes[[#This Row],[link_checklist]]="","",HYPERLINK(p_ruta_base_checklists&amp;tblOrdenes[[#This Row],[link_checklist]],"abrir"))</f>
        <v/>
      </c>
      <c r="AT914" s="4" t="n"/>
      <c r="AU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5" t="n"/>
      <c r="K915" s="5" t="n"/>
      <c r="L915" s="18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Row],[fecha_inicio]]="","",tblOrdenes[[#This Row],[anio]]&amp;"-"&amp;TEXT(tblOrdenes[[#This Row],[mes]],"00"))</f>
        <v/>
      </c>
      <c r="S915" s="5">
        <f>IF(tblOrdenes[[#This Row],[fecha_inicio]]="","",INDEX(lista_dias,WEEKDAY(tblOrdenes[[#This Row],[fecha_inicio]],2)))</f>
        <v/>
      </c>
      <c r="T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5">
        <f>IF(tblOrdenes[[#This Row],[tipo_ot]]="","",_xlfn.XLOOKUP(tblOrdenes[[#This Row],[tipo_ot]],tblTiposOT[codigo],tblTiposOT[clasificacion],"sin_clasificar"))</f>
        <v/>
      </c>
      <c r="V9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5">
        <f>IF(tblOrdenes[[#This Row],[centro_costo]]="","",_xlfn.XLOOKUP(tblOrdenes[[#This Row],[centro_costo]],tblCECO[codigo],tblCECO[linea],"(sin catálogo)"))</f>
        <v/>
      </c>
      <c r="Y915" s="5">
        <f>IF(tblOrdenes[[#This Row],[centro_costo]]="","",_xlfn.XLOOKUP(tblOrdenes[[#This Row],[centro_costo]],tblCECO[codigo],tblCECO[area],"(sin catálogo)"))</f>
        <v/>
      </c>
      <c r="Z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5">
        <f>IF(tblOrdenes[[#This Row],[centro_costo]]="","",_xlfn.XLOOKUP(tblOrdenes[[#This Row],[centro_costo]],tblCECO[codigo],tblCECO[coordinador],"(sin catálogo)"))</f>
        <v/>
      </c>
      <c r="AB915" s="5">
        <f>IF(tblOrdenes[[#This Row],[puesto_trabajo]]="","",_xlfn.XLOOKUP(tblOrdenes[[#This Row],[puesto_trabajo]],tblPuestos[codigo],tblPuestos[especialidad],"(sin catálogo)"))</f>
        <v/>
      </c>
      <c r="AC915" s="5">
        <f>IF(tblOrdenes[[#This Row],[cod_actividad]]="","",_xlfn.XLOOKUP(tblOrdenes[[#This Row],[cod_actividad]],tblActividades[codigo],tblActividades[descripcion],"(sin catálogo)"))</f>
        <v/>
      </c>
      <c r="AD915" s="23">
        <f>IF(tblOrdenes[[#This Row],[fecha_inicio]]="","",TODAY()-tblOrdenes[[#This Row],[fecha_inicio]])</f>
        <v/>
      </c>
      <c r="AE9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5">
        <f>IF(tblOrdenes[[#This Row],[backlog_habiles]]="","",IF(tblOrdenes[[#This Row],[backlog_habiles]]&lt;0,"FUTURO",IF(tblOrdenes[[#This Row],[backlog_habiles]]&gt;p_dias_backlog_max,"BACKLOG","MES CORRIENTE")))</f>
        <v/>
      </c>
      <c r="AG915" s="5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18">
        <f>IF(tblOrdenes[[#This Row],[orden]]="","",_xlfn.XLOOKUP(tblOrdenes[[#This Row],[id_operacion]],tblEjecucion[id_operacion],tblEjecucion[precio],0))</f>
        <v/>
      </c>
      <c r="AM915" s="18">
        <f>IF(tblOrdenes[[#This Row],[orden]]="","",MAX(0,_xlfn.XLOOKUP(tblOrdenes[[#This Row],[id_operacion]],tblEjecucion[id_operacion],tblEjecucion[costo_plan_total],0)-tblOrdenes[[#This Row],[costo_servicio]]))</f>
        <v/>
      </c>
      <c r="AN915" s="18">
        <f>IF(tblOrdenes[[#This Row],[orden]]="","",tblOrdenes[[#This Row],[costo_servicio]]+tblOrdenes[[#This Row],[costo_materiales]])</f>
        <v/>
      </c>
      <c r="AO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5">
        <f>IF(tblOrdenes[[#This Row],[link_checklist]]="","",HYPERLINK(p_ruta_base_checklists&amp;tblOrdenes[[#This Row],[link_checklist]],"abrir"))</f>
        <v/>
      </c>
      <c r="AT915" s="4" t="n"/>
      <c r="AU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5" t="n"/>
      <c r="K916" s="5" t="n"/>
      <c r="L916" s="18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Row],[fecha_inicio]]="","",tblOrdenes[[#This Row],[anio]]&amp;"-"&amp;TEXT(tblOrdenes[[#This Row],[mes]],"00"))</f>
        <v/>
      </c>
      <c r="S916" s="5">
        <f>IF(tblOrdenes[[#This Row],[fecha_inicio]]="","",INDEX(lista_dias,WEEKDAY(tblOrdenes[[#This Row],[fecha_inicio]],2)))</f>
        <v/>
      </c>
      <c r="T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5">
        <f>IF(tblOrdenes[[#This Row],[tipo_ot]]="","",_xlfn.XLOOKUP(tblOrdenes[[#This Row],[tipo_ot]],tblTiposOT[codigo],tblTiposOT[clasificacion],"sin_clasificar"))</f>
        <v/>
      </c>
      <c r="V9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5">
        <f>IF(tblOrdenes[[#This Row],[centro_costo]]="","",_xlfn.XLOOKUP(tblOrdenes[[#This Row],[centro_costo]],tblCECO[codigo],tblCECO[linea],"(sin catálogo)"))</f>
        <v/>
      </c>
      <c r="Y916" s="5">
        <f>IF(tblOrdenes[[#This Row],[centro_costo]]="","",_xlfn.XLOOKUP(tblOrdenes[[#This Row],[centro_costo]],tblCECO[codigo],tblCECO[area],"(sin catálogo)"))</f>
        <v/>
      </c>
      <c r="Z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5">
        <f>IF(tblOrdenes[[#This Row],[centro_costo]]="","",_xlfn.XLOOKUP(tblOrdenes[[#This Row],[centro_costo]],tblCECO[codigo],tblCECO[coordinador],"(sin catálogo)"))</f>
        <v/>
      </c>
      <c r="AB916" s="5">
        <f>IF(tblOrdenes[[#This Row],[puesto_trabajo]]="","",_xlfn.XLOOKUP(tblOrdenes[[#This Row],[puesto_trabajo]],tblPuestos[codigo],tblPuestos[especialidad],"(sin catálogo)"))</f>
        <v/>
      </c>
      <c r="AC916" s="5">
        <f>IF(tblOrdenes[[#This Row],[cod_actividad]]="","",_xlfn.XLOOKUP(tblOrdenes[[#This Row],[cod_actividad]],tblActividades[codigo],tblActividades[descripcion],"(sin catálogo)"))</f>
        <v/>
      </c>
      <c r="AD916" s="23">
        <f>IF(tblOrdenes[[#This Row],[fecha_inicio]]="","",TODAY()-tblOrdenes[[#This Row],[fecha_inicio]])</f>
        <v/>
      </c>
      <c r="AE9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5">
        <f>IF(tblOrdenes[[#This Row],[backlog_habiles]]="","",IF(tblOrdenes[[#This Row],[backlog_habiles]]&lt;0,"FUTURO",IF(tblOrdenes[[#This Row],[backlog_habiles]]&gt;p_dias_backlog_max,"BACKLOG","MES CORRIENTE")))</f>
        <v/>
      </c>
      <c r="AG916" s="5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18">
        <f>IF(tblOrdenes[[#This Row],[orden]]="","",_xlfn.XLOOKUP(tblOrdenes[[#This Row],[id_operacion]],tblEjecucion[id_operacion],tblEjecucion[precio],0))</f>
        <v/>
      </c>
      <c r="AM916" s="18">
        <f>IF(tblOrdenes[[#This Row],[orden]]="","",MAX(0,_xlfn.XLOOKUP(tblOrdenes[[#This Row],[id_operacion]],tblEjecucion[id_operacion],tblEjecucion[costo_plan_total],0)-tblOrdenes[[#This Row],[costo_servicio]]))</f>
        <v/>
      </c>
      <c r="AN916" s="18">
        <f>IF(tblOrdenes[[#This Row],[orden]]="","",tblOrdenes[[#This Row],[costo_servicio]]+tblOrdenes[[#This Row],[costo_materiales]])</f>
        <v/>
      </c>
      <c r="AO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5">
        <f>IF(tblOrdenes[[#This Row],[link_checklist]]="","",HYPERLINK(p_ruta_base_checklists&amp;tblOrdenes[[#This Row],[link_checklist]],"abrir"))</f>
        <v/>
      </c>
      <c r="AT916" s="4" t="n"/>
      <c r="AU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5" t="n"/>
      <c r="K917" s="5" t="n"/>
      <c r="L917" s="18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Row],[fecha_inicio]]="","",tblOrdenes[[#This Row],[anio]]&amp;"-"&amp;TEXT(tblOrdenes[[#This Row],[mes]],"00"))</f>
        <v/>
      </c>
      <c r="S917" s="5">
        <f>IF(tblOrdenes[[#This Row],[fecha_inicio]]="","",INDEX(lista_dias,WEEKDAY(tblOrdenes[[#This Row],[fecha_inicio]],2)))</f>
        <v/>
      </c>
      <c r="T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5">
        <f>IF(tblOrdenes[[#This Row],[tipo_ot]]="","",_xlfn.XLOOKUP(tblOrdenes[[#This Row],[tipo_ot]],tblTiposOT[codigo],tblTiposOT[clasificacion],"sin_clasificar"))</f>
        <v/>
      </c>
      <c r="V9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5">
        <f>IF(tblOrdenes[[#This Row],[centro_costo]]="","",_xlfn.XLOOKUP(tblOrdenes[[#This Row],[centro_costo]],tblCECO[codigo],tblCECO[linea],"(sin catálogo)"))</f>
        <v/>
      </c>
      <c r="Y917" s="5">
        <f>IF(tblOrdenes[[#This Row],[centro_costo]]="","",_xlfn.XLOOKUP(tblOrdenes[[#This Row],[centro_costo]],tblCECO[codigo],tblCECO[area],"(sin catálogo)"))</f>
        <v/>
      </c>
      <c r="Z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5">
        <f>IF(tblOrdenes[[#This Row],[centro_costo]]="","",_xlfn.XLOOKUP(tblOrdenes[[#This Row],[centro_costo]],tblCECO[codigo],tblCECO[coordinador],"(sin catálogo)"))</f>
        <v/>
      </c>
      <c r="AB917" s="5">
        <f>IF(tblOrdenes[[#This Row],[puesto_trabajo]]="","",_xlfn.XLOOKUP(tblOrdenes[[#This Row],[puesto_trabajo]],tblPuestos[codigo],tblPuestos[especialidad],"(sin catálogo)"))</f>
        <v/>
      </c>
      <c r="AC917" s="5">
        <f>IF(tblOrdenes[[#This Row],[cod_actividad]]="","",_xlfn.XLOOKUP(tblOrdenes[[#This Row],[cod_actividad]],tblActividades[codigo],tblActividades[descripcion],"(sin catálogo)"))</f>
        <v/>
      </c>
      <c r="AD917" s="23">
        <f>IF(tblOrdenes[[#This Row],[fecha_inicio]]="","",TODAY()-tblOrdenes[[#This Row],[fecha_inicio]])</f>
        <v/>
      </c>
      <c r="AE9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5">
        <f>IF(tblOrdenes[[#This Row],[backlog_habiles]]="","",IF(tblOrdenes[[#This Row],[backlog_habiles]]&lt;0,"FUTURO",IF(tblOrdenes[[#This Row],[backlog_habiles]]&gt;p_dias_backlog_max,"BACKLOG","MES CORRIENTE")))</f>
        <v/>
      </c>
      <c r="AG917" s="5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18">
        <f>IF(tblOrdenes[[#This Row],[orden]]="","",_xlfn.XLOOKUP(tblOrdenes[[#This Row],[id_operacion]],tblEjecucion[id_operacion],tblEjecucion[precio],0))</f>
        <v/>
      </c>
      <c r="AM917" s="18">
        <f>IF(tblOrdenes[[#This Row],[orden]]="","",MAX(0,_xlfn.XLOOKUP(tblOrdenes[[#This Row],[id_operacion]],tblEjecucion[id_operacion],tblEjecucion[costo_plan_total],0)-tblOrdenes[[#This Row],[costo_servicio]]))</f>
        <v/>
      </c>
      <c r="AN917" s="18">
        <f>IF(tblOrdenes[[#This Row],[orden]]="","",tblOrdenes[[#This Row],[costo_servicio]]+tblOrdenes[[#This Row],[costo_materiales]])</f>
        <v/>
      </c>
      <c r="AO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5">
        <f>IF(tblOrdenes[[#This Row],[link_checklist]]="","",HYPERLINK(p_ruta_base_checklists&amp;tblOrdenes[[#This Row],[link_checklist]],"abrir"))</f>
        <v/>
      </c>
      <c r="AT917" s="4" t="n"/>
      <c r="AU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5" t="n"/>
      <c r="K918" s="5" t="n"/>
      <c r="L918" s="18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Row],[fecha_inicio]]="","",tblOrdenes[[#This Row],[anio]]&amp;"-"&amp;TEXT(tblOrdenes[[#This Row],[mes]],"00"))</f>
        <v/>
      </c>
      <c r="S918" s="5">
        <f>IF(tblOrdenes[[#This Row],[fecha_inicio]]="","",INDEX(lista_dias,WEEKDAY(tblOrdenes[[#This Row],[fecha_inicio]],2)))</f>
        <v/>
      </c>
      <c r="T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5">
        <f>IF(tblOrdenes[[#This Row],[tipo_ot]]="","",_xlfn.XLOOKUP(tblOrdenes[[#This Row],[tipo_ot]],tblTiposOT[codigo],tblTiposOT[clasificacion],"sin_clasificar"))</f>
        <v/>
      </c>
      <c r="V9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5">
        <f>IF(tblOrdenes[[#This Row],[centro_costo]]="","",_xlfn.XLOOKUP(tblOrdenes[[#This Row],[centro_costo]],tblCECO[codigo],tblCECO[linea],"(sin catálogo)"))</f>
        <v/>
      </c>
      <c r="Y918" s="5">
        <f>IF(tblOrdenes[[#This Row],[centro_costo]]="","",_xlfn.XLOOKUP(tblOrdenes[[#This Row],[centro_costo]],tblCECO[codigo],tblCECO[area],"(sin catálogo)"))</f>
        <v/>
      </c>
      <c r="Z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5">
        <f>IF(tblOrdenes[[#This Row],[centro_costo]]="","",_xlfn.XLOOKUP(tblOrdenes[[#This Row],[centro_costo]],tblCECO[codigo],tblCECO[coordinador],"(sin catálogo)"))</f>
        <v/>
      </c>
      <c r="AB918" s="5">
        <f>IF(tblOrdenes[[#This Row],[puesto_trabajo]]="","",_xlfn.XLOOKUP(tblOrdenes[[#This Row],[puesto_trabajo]],tblPuestos[codigo],tblPuestos[especialidad],"(sin catálogo)"))</f>
        <v/>
      </c>
      <c r="AC918" s="5">
        <f>IF(tblOrdenes[[#This Row],[cod_actividad]]="","",_xlfn.XLOOKUP(tblOrdenes[[#This Row],[cod_actividad]],tblActividades[codigo],tblActividades[descripcion],"(sin catálogo)"))</f>
        <v/>
      </c>
      <c r="AD918" s="23">
        <f>IF(tblOrdenes[[#This Row],[fecha_inicio]]="","",TODAY()-tblOrdenes[[#This Row],[fecha_inicio]])</f>
        <v/>
      </c>
      <c r="AE9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5">
        <f>IF(tblOrdenes[[#This Row],[backlog_habiles]]="","",IF(tblOrdenes[[#This Row],[backlog_habiles]]&lt;0,"FUTURO",IF(tblOrdenes[[#This Row],[backlog_habiles]]&gt;p_dias_backlog_max,"BACKLOG","MES CORRIENTE")))</f>
        <v/>
      </c>
      <c r="AG918" s="5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18">
        <f>IF(tblOrdenes[[#This Row],[orden]]="","",_xlfn.XLOOKUP(tblOrdenes[[#This Row],[id_operacion]],tblEjecucion[id_operacion],tblEjecucion[precio],0))</f>
        <v/>
      </c>
      <c r="AM918" s="18">
        <f>IF(tblOrdenes[[#This Row],[orden]]="","",MAX(0,_xlfn.XLOOKUP(tblOrdenes[[#This Row],[id_operacion]],tblEjecucion[id_operacion],tblEjecucion[costo_plan_total],0)-tblOrdenes[[#This Row],[costo_servicio]]))</f>
        <v/>
      </c>
      <c r="AN918" s="18">
        <f>IF(tblOrdenes[[#This Row],[orden]]="","",tblOrdenes[[#This Row],[costo_servicio]]+tblOrdenes[[#This Row],[costo_materiales]])</f>
        <v/>
      </c>
      <c r="AO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5">
        <f>IF(tblOrdenes[[#This Row],[link_checklist]]="","",HYPERLINK(p_ruta_base_checklists&amp;tblOrdenes[[#This Row],[link_checklist]],"abrir"))</f>
        <v/>
      </c>
      <c r="AT918" s="4" t="n"/>
      <c r="AU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5" t="n"/>
      <c r="K919" s="5" t="n"/>
      <c r="L919" s="18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Row],[fecha_inicio]]="","",tblOrdenes[[#This Row],[anio]]&amp;"-"&amp;TEXT(tblOrdenes[[#This Row],[mes]],"00"))</f>
        <v/>
      </c>
      <c r="S919" s="5">
        <f>IF(tblOrdenes[[#This Row],[fecha_inicio]]="","",INDEX(lista_dias,WEEKDAY(tblOrdenes[[#This Row],[fecha_inicio]],2)))</f>
        <v/>
      </c>
      <c r="T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5">
        <f>IF(tblOrdenes[[#This Row],[tipo_ot]]="","",_xlfn.XLOOKUP(tblOrdenes[[#This Row],[tipo_ot]],tblTiposOT[codigo],tblTiposOT[clasificacion],"sin_clasificar"))</f>
        <v/>
      </c>
      <c r="V9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5">
        <f>IF(tblOrdenes[[#This Row],[centro_costo]]="","",_xlfn.XLOOKUP(tblOrdenes[[#This Row],[centro_costo]],tblCECO[codigo],tblCECO[linea],"(sin catálogo)"))</f>
        <v/>
      </c>
      <c r="Y919" s="5">
        <f>IF(tblOrdenes[[#This Row],[centro_costo]]="","",_xlfn.XLOOKUP(tblOrdenes[[#This Row],[centro_costo]],tblCECO[codigo],tblCECO[area],"(sin catálogo)"))</f>
        <v/>
      </c>
      <c r="Z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5">
        <f>IF(tblOrdenes[[#This Row],[centro_costo]]="","",_xlfn.XLOOKUP(tblOrdenes[[#This Row],[centro_costo]],tblCECO[codigo],tblCECO[coordinador],"(sin catálogo)"))</f>
        <v/>
      </c>
      <c r="AB919" s="5">
        <f>IF(tblOrdenes[[#This Row],[puesto_trabajo]]="","",_xlfn.XLOOKUP(tblOrdenes[[#This Row],[puesto_trabajo]],tblPuestos[codigo],tblPuestos[especialidad],"(sin catálogo)"))</f>
        <v/>
      </c>
      <c r="AC919" s="5">
        <f>IF(tblOrdenes[[#This Row],[cod_actividad]]="","",_xlfn.XLOOKUP(tblOrdenes[[#This Row],[cod_actividad]],tblActividades[codigo],tblActividades[descripcion],"(sin catálogo)"))</f>
        <v/>
      </c>
      <c r="AD919" s="23">
        <f>IF(tblOrdenes[[#This Row],[fecha_inicio]]="","",TODAY()-tblOrdenes[[#This Row],[fecha_inicio]])</f>
        <v/>
      </c>
      <c r="AE9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5">
        <f>IF(tblOrdenes[[#This Row],[backlog_habiles]]="","",IF(tblOrdenes[[#This Row],[backlog_habiles]]&lt;0,"FUTURO",IF(tblOrdenes[[#This Row],[backlog_habiles]]&gt;p_dias_backlog_max,"BACKLOG","MES CORRIENTE")))</f>
        <v/>
      </c>
      <c r="AG919" s="5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18">
        <f>IF(tblOrdenes[[#This Row],[orden]]="","",_xlfn.XLOOKUP(tblOrdenes[[#This Row],[id_operacion]],tblEjecucion[id_operacion],tblEjecucion[precio],0))</f>
        <v/>
      </c>
      <c r="AM919" s="18">
        <f>IF(tblOrdenes[[#This Row],[orden]]="","",MAX(0,_xlfn.XLOOKUP(tblOrdenes[[#This Row],[id_operacion]],tblEjecucion[id_operacion],tblEjecucion[costo_plan_total],0)-tblOrdenes[[#This Row],[costo_servicio]]))</f>
        <v/>
      </c>
      <c r="AN919" s="18">
        <f>IF(tblOrdenes[[#This Row],[orden]]="","",tblOrdenes[[#This Row],[costo_servicio]]+tblOrdenes[[#This Row],[costo_materiales]])</f>
        <v/>
      </c>
      <c r="AO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5">
        <f>IF(tblOrdenes[[#This Row],[link_checklist]]="","",HYPERLINK(p_ruta_base_checklists&amp;tblOrdenes[[#This Row],[link_checklist]],"abrir"))</f>
        <v/>
      </c>
      <c r="AT919" s="4" t="n"/>
      <c r="AU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5" t="n"/>
      <c r="K920" s="5" t="n"/>
      <c r="L920" s="18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Row],[fecha_inicio]]="","",tblOrdenes[[#This Row],[anio]]&amp;"-"&amp;TEXT(tblOrdenes[[#This Row],[mes]],"00"))</f>
        <v/>
      </c>
      <c r="S920" s="5">
        <f>IF(tblOrdenes[[#This Row],[fecha_inicio]]="","",INDEX(lista_dias,WEEKDAY(tblOrdenes[[#This Row],[fecha_inicio]],2)))</f>
        <v/>
      </c>
      <c r="T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5">
        <f>IF(tblOrdenes[[#This Row],[tipo_ot]]="","",_xlfn.XLOOKUP(tblOrdenes[[#This Row],[tipo_ot]],tblTiposOT[codigo],tblTiposOT[clasificacion],"sin_clasificar"))</f>
        <v/>
      </c>
      <c r="V9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5">
        <f>IF(tblOrdenes[[#This Row],[centro_costo]]="","",_xlfn.XLOOKUP(tblOrdenes[[#This Row],[centro_costo]],tblCECO[codigo],tblCECO[linea],"(sin catálogo)"))</f>
        <v/>
      </c>
      <c r="Y920" s="5">
        <f>IF(tblOrdenes[[#This Row],[centro_costo]]="","",_xlfn.XLOOKUP(tblOrdenes[[#This Row],[centro_costo]],tblCECO[codigo],tblCECO[area],"(sin catálogo)"))</f>
        <v/>
      </c>
      <c r="Z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5">
        <f>IF(tblOrdenes[[#This Row],[centro_costo]]="","",_xlfn.XLOOKUP(tblOrdenes[[#This Row],[centro_costo]],tblCECO[codigo],tblCECO[coordinador],"(sin catálogo)"))</f>
        <v/>
      </c>
      <c r="AB920" s="5">
        <f>IF(tblOrdenes[[#This Row],[puesto_trabajo]]="","",_xlfn.XLOOKUP(tblOrdenes[[#This Row],[puesto_trabajo]],tblPuestos[codigo],tblPuestos[especialidad],"(sin catálogo)"))</f>
        <v/>
      </c>
      <c r="AC920" s="5">
        <f>IF(tblOrdenes[[#This Row],[cod_actividad]]="","",_xlfn.XLOOKUP(tblOrdenes[[#This Row],[cod_actividad]],tblActividades[codigo],tblActividades[descripcion],"(sin catálogo)"))</f>
        <v/>
      </c>
      <c r="AD920" s="23">
        <f>IF(tblOrdenes[[#This Row],[fecha_inicio]]="","",TODAY()-tblOrdenes[[#This Row],[fecha_inicio]])</f>
        <v/>
      </c>
      <c r="AE9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5">
        <f>IF(tblOrdenes[[#This Row],[backlog_habiles]]="","",IF(tblOrdenes[[#This Row],[backlog_habiles]]&lt;0,"FUTURO",IF(tblOrdenes[[#This Row],[backlog_habiles]]&gt;p_dias_backlog_max,"BACKLOG","MES CORRIENTE")))</f>
        <v/>
      </c>
      <c r="AG920" s="5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18">
        <f>IF(tblOrdenes[[#This Row],[orden]]="","",_xlfn.XLOOKUP(tblOrdenes[[#This Row],[id_operacion]],tblEjecucion[id_operacion],tblEjecucion[precio],0))</f>
        <v/>
      </c>
      <c r="AM920" s="18">
        <f>IF(tblOrdenes[[#This Row],[orden]]="","",MAX(0,_xlfn.XLOOKUP(tblOrdenes[[#This Row],[id_operacion]],tblEjecucion[id_operacion],tblEjecucion[costo_plan_total],0)-tblOrdenes[[#This Row],[costo_servicio]]))</f>
        <v/>
      </c>
      <c r="AN920" s="18">
        <f>IF(tblOrdenes[[#This Row],[orden]]="","",tblOrdenes[[#This Row],[costo_servicio]]+tblOrdenes[[#This Row],[costo_materiales]])</f>
        <v/>
      </c>
      <c r="AO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5">
        <f>IF(tblOrdenes[[#This Row],[link_checklist]]="","",HYPERLINK(p_ruta_base_checklists&amp;tblOrdenes[[#This Row],[link_checklist]],"abrir"))</f>
        <v/>
      </c>
      <c r="AT920" s="4" t="n"/>
      <c r="AU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5" t="n"/>
      <c r="K921" s="5" t="n"/>
      <c r="L921" s="18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Row],[fecha_inicio]]="","",tblOrdenes[[#This Row],[anio]]&amp;"-"&amp;TEXT(tblOrdenes[[#This Row],[mes]],"00"))</f>
        <v/>
      </c>
      <c r="S921" s="5">
        <f>IF(tblOrdenes[[#This Row],[fecha_inicio]]="","",INDEX(lista_dias,WEEKDAY(tblOrdenes[[#This Row],[fecha_inicio]],2)))</f>
        <v/>
      </c>
      <c r="T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5">
        <f>IF(tblOrdenes[[#This Row],[tipo_ot]]="","",_xlfn.XLOOKUP(tblOrdenes[[#This Row],[tipo_ot]],tblTiposOT[codigo],tblTiposOT[clasificacion],"sin_clasificar"))</f>
        <v/>
      </c>
      <c r="V9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5">
        <f>IF(tblOrdenes[[#This Row],[centro_costo]]="","",_xlfn.XLOOKUP(tblOrdenes[[#This Row],[centro_costo]],tblCECO[codigo],tblCECO[linea],"(sin catálogo)"))</f>
        <v/>
      </c>
      <c r="Y921" s="5">
        <f>IF(tblOrdenes[[#This Row],[centro_costo]]="","",_xlfn.XLOOKUP(tblOrdenes[[#This Row],[centro_costo]],tblCECO[codigo],tblCECO[area],"(sin catálogo)"))</f>
        <v/>
      </c>
      <c r="Z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5">
        <f>IF(tblOrdenes[[#This Row],[centro_costo]]="","",_xlfn.XLOOKUP(tblOrdenes[[#This Row],[centro_costo]],tblCECO[codigo],tblCECO[coordinador],"(sin catálogo)"))</f>
        <v/>
      </c>
      <c r="AB921" s="5">
        <f>IF(tblOrdenes[[#This Row],[puesto_trabajo]]="","",_xlfn.XLOOKUP(tblOrdenes[[#This Row],[puesto_trabajo]],tblPuestos[codigo],tblPuestos[especialidad],"(sin catálogo)"))</f>
        <v/>
      </c>
      <c r="AC921" s="5">
        <f>IF(tblOrdenes[[#This Row],[cod_actividad]]="","",_xlfn.XLOOKUP(tblOrdenes[[#This Row],[cod_actividad]],tblActividades[codigo],tblActividades[descripcion],"(sin catálogo)"))</f>
        <v/>
      </c>
      <c r="AD921" s="23">
        <f>IF(tblOrdenes[[#This Row],[fecha_inicio]]="","",TODAY()-tblOrdenes[[#This Row],[fecha_inicio]])</f>
        <v/>
      </c>
      <c r="AE9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5">
        <f>IF(tblOrdenes[[#This Row],[backlog_habiles]]="","",IF(tblOrdenes[[#This Row],[backlog_habiles]]&lt;0,"FUTURO",IF(tblOrdenes[[#This Row],[backlog_habiles]]&gt;p_dias_backlog_max,"BACKLOG","MES CORRIENTE")))</f>
        <v/>
      </c>
      <c r="AG921" s="5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18">
        <f>IF(tblOrdenes[[#This Row],[orden]]="","",_xlfn.XLOOKUP(tblOrdenes[[#This Row],[id_operacion]],tblEjecucion[id_operacion],tblEjecucion[precio],0))</f>
        <v/>
      </c>
      <c r="AM921" s="18">
        <f>IF(tblOrdenes[[#This Row],[orden]]="","",MAX(0,_xlfn.XLOOKUP(tblOrdenes[[#This Row],[id_operacion]],tblEjecucion[id_operacion],tblEjecucion[costo_plan_total],0)-tblOrdenes[[#This Row],[costo_servicio]]))</f>
        <v/>
      </c>
      <c r="AN921" s="18">
        <f>IF(tblOrdenes[[#This Row],[orden]]="","",tblOrdenes[[#This Row],[costo_servicio]]+tblOrdenes[[#This Row],[costo_materiales]])</f>
        <v/>
      </c>
      <c r="AO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5">
        <f>IF(tblOrdenes[[#This Row],[link_checklist]]="","",HYPERLINK(p_ruta_base_checklists&amp;tblOrdenes[[#This Row],[link_checklist]],"abrir"))</f>
        <v/>
      </c>
      <c r="AT921" s="4" t="n"/>
      <c r="AU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5" t="n"/>
      <c r="K922" s="5" t="n"/>
      <c r="L922" s="18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Row],[fecha_inicio]]="","",tblOrdenes[[#This Row],[anio]]&amp;"-"&amp;TEXT(tblOrdenes[[#This Row],[mes]],"00"))</f>
        <v/>
      </c>
      <c r="S922" s="5">
        <f>IF(tblOrdenes[[#This Row],[fecha_inicio]]="","",INDEX(lista_dias,WEEKDAY(tblOrdenes[[#This Row],[fecha_inicio]],2)))</f>
        <v/>
      </c>
      <c r="T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5">
        <f>IF(tblOrdenes[[#This Row],[tipo_ot]]="","",_xlfn.XLOOKUP(tblOrdenes[[#This Row],[tipo_ot]],tblTiposOT[codigo],tblTiposOT[clasificacion],"sin_clasificar"))</f>
        <v/>
      </c>
      <c r="V9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5">
        <f>IF(tblOrdenes[[#This Row],[centro_costo]]="","",_xlfn.XLOOKUP(tblOrdenes[[#This Row],[centro_costo]],tblCECO[codigo],tblCECO[linea],"(sin catálogo)"))</f>
        <v/>
      </c>
      <c r="Y922" s="5">
        <f>IF(tblOrdenes[[#This Row],[centro_costo]]="","",_xlfn.XLOOKUP(tblOrdenes[[#This Row],[centro_costo]],tblCECO[codigo],tblCECO[area],"(sin catálogo)"))</f>
        <v/>
      </c>
      <c r="Z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5">
        <f>IF(tblOrdenes[[#This Row],[centro_costo]]="","",_xlfn.XLOOKUP(tblOrdenes[[#This Row],[centro_costo]],tblCECO[codigo],tblCECO[coordinador],"(sin catálogo)"))</f>
        <v/>
      </c>
      <c r="AB922" s="5">
        <f>IF(tblOrdenes[[#This Row],[puesto_trabajo]]="","",_xlfn.XLOOKUP(tblOrdenes[[#This Row],[puesto_trabajo]],tblPuestos[codigo],tblPuestos[especialidad],"(sin catálogo)"))</f>
        <v/>
      </c>
      <c r="AC922" s="5">
        <f>IF(tblOrdenes[[#This Row],[cod_actividad]]="","",_xlfn.XLOOKUP(tblOrdenes[[#This Row],[cod_actividad]],tblActividades[codigo],tblActividades[descripcion],"(sin catálogo)"))</f>
        <v/>
      </c>
      <c r="AD922" s="23">
        <f>IF(tblOrdenes[[#This Row],[fecha_inicio]]="","",TODAY()-tblOrdenes[[#This Row],[fecha_inicio]])</f>
        <v/>
      </c>
      <c r="AE9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5">
        <f>IF(tblOrdenes[[#This Row],[backlog_habiles]]="","",IF(tblOrdenes[[#This Row],[backlog_habiles]]&lt;0,"FUTURO",IF(tblOrdenes[[#This Row],[backlog_habiles]]&gt;p_dias_backlog_max,"BACKLOG","MES CORRIENTE")))</f>
        <v/>
      </c>
      <c r="AG922" s="5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18">
        <f>IF(tblOrdenes[[#This Row],[orden]]="","",_xlfn.XLOOKUP(tblOrdenes[[#This Row],[id_operacion]],tblEjecucion[id_operacion],tblEjecucion[precio],0))</f>
        <v/>
      </c>
      <c r="AM922" s="18">
        <f>IF(tblOrdenes[[#This Row],[orden]]="","",MAX(0,_xlfn.XLOOKUP(tblOrdenes[[#This Row],[id_operacion]],tblEjecucion[id_operacion],tblEjecucion[costo_plan_total],0)-tblOrdenes[[#This Row],[costo_servicio]]))</f>
        <v/>
      </c>
      <c r="AN922" s="18">
        <f>IF(tblOrdenes[[#This Row],[orden]]="","",tblOrdenes[[#This Row],[costo_servicio]]+tblOrdenes[[#This Row],[costo_materiales]])</f>
        <v/>
      </c>
      <c r="AO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5">
        <f>IF(tblOrdenes[[#This Row],[link_checklist]]="","",HYPERLINK(p_ruta_base_checklists&amp;tblOrdenes[[#This Row],[link_checklist]],"abrir"))</f>
        <v/>
      </c>
      <c r="AT922" s="4" t="n"/>
      <c r="AU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5" t="n"/>
      <c r="K923" s="5" t="n"/>
      <c r="L923" s="18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Row],[fecha_inicio]]="","",tblOrdenes[[#This Row],[anio]]&amp;"-"&amp;TEXT(tblOrdenes[[#This Row],[mes]],"00"))</f>
        <v/>
      </c>
      <c r="S923" s="5">
        <f>IF(tblOrdenes[[#This Row],[fecha_inicio]]="","",INDEX(lista_dias,WEEKDAY(tblOrdenes[[#This Row],[fecha_inicio]],2)))</f>
        <v/>
      </c>
      <c r="T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5">
        <f>IF(tblOrdenes[[#This Row],[tipo_ot]]="","",_xlfn.XLOOKUP(tblOrdenes[[#This Row],[tipo_ot]],tblTiposOT[codigo],tblTiposOT[clasificacion],"sin_clasificar"))</f>
        <v/>
      </c>
      <c r="V9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5">
        <f>IF(tblOrdenes[[#This Row],[centro_costo]]="","",_xlfn.XLOOKUP(tblOrdenes[[#This Row],[centro_costo]],tblCECO[codigo],tblCECO[linea],"(sin catálogo)"))</f>
        <v/>
      </c>
      <c r="Y923" s="5">
        <f>IF(tblOrdenes[[#This Row],[centro_costo]]="","",_xlfn.XLOOKUP(tblOrdenes[[#This Row],[centro_costo]],tblCECO[codigo],tblCECO[area],"(sin catálogo)"))</f>
        <v/>
      </c>
      <c r="Z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5">
        <f>IF(tblOrdenes[[#This Row],[centro_costo]]="","",_xlfn.XLOOKUP(tblOrdenes[[#This Row],[centro_costo]],tblCECO[codigo],tblCECO[coordinador],"(sin catálogo)"))</f>
        <v/>
      </c>
      <c r="AB923" s="5">
        <f>IF(tblOrdenes[[#This Row],[puesto_trabajo]]="","",_xlfn.XLOOKUP(tblOrdenes[[#This Row],[puesto_trabajo]],tblPuestos[codigo],tblPuestos[especialidad],"(sin catálogo)"))</f>
        <v/>
      </c>
      <c r="AC923" s="5">
        <f>IF(tblOrdenes[[#This Row],[cod_actividad]]="","",_xlfn.XLOOKUP(tblOrdenes[[#This Row],[cod_actividad]],tblActividades[codigo],tblActividades[descripcion],"(sin catálogo)"))</f>
        <v/>
      </c>
      <c r="AD923" s="23">
        <f>IF(tblOrdenes[[#This Row],[fecha_inicio]]="","",TODAY()-tblOrdenes[[#This Row],[fecha_inicio]])</f>
        <v/>
      </c>
      <c r="AE9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5">
        <f>IF(tblOrdenes[[#This Row],[backlog_habiles]]="","",IF(tblOrdenes[[#This Row],[backlog_habiles]]&lt;0,"FUTURO",IF(tblOrdenes[[#This Row],[backlog_habiles]]&gt;p_dias_backlog_max,"BACKLOG","MES CORRIENTE")))</f>
        <v/>
      </c>
      <c r="AG923" s="5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18">
        <f>IF(tblOrdenes[[#This Row],[orden]]="","",_xlfn.XLOOKUP(tblOrdenes[[#This Row],[id_operacion]],tblEjecucion[id_operacion],tblEjecucion[precio],0))</f>
        <v/>
      </c>
      <c r="AM923" s="18">
        <f>IF(tblOrdenes[[#This Row],[orden]]="","",MAX(0,_xlfn.XLOOKUP(tblOrdenes[[#This Row],[id_operacion]],tblEjecucion[id_operacion],tblEjecucion[costo_plan_total],0)-tblOrdenes[[#This Row],[costo_servicio]]))</f>
        <v/>
      </c>
      <c r="AN923" s="18">
        <f>IF(tblOrdenes[[#This Row],[orden]]="","",tblOrdenes[[#This Row],[costo_servicio]]+tblOrdenes[[#This Row],[costo_materiales]])</f>
        <v/>
      </c>
      <c r="AO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5">
        <f>IF(tblOrdenes[[#This Row],[link_checklist]]="","",HYPERLINK(p_ruta_base_checklists&amp;tblOrdenes[[#This Row],[link_checklist]],"abrir"))</f>
        <v/>
      </c>
      <c r="AT923" s="4" t="n"/>
      <c r="AU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5" t="n"/>
      <c r="K924" s="5" t="n"/>
      <c r="L924" s="18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Row],[fecha_inicio]]="","",tblOrdenes[[#This Row],[anio]]&amp;"-"&amp;TEXT(tblOrdenes[[#This Row],[mes]],"00"))</f>
        <v/>
      </c>
      <c r="S924" s="5">
        <f>IF(tblOrdenes[[#This Row],[fecha_inicio]]="","",INDEX(lista_dias,WEEKDAY(tblOrdenes[[#This Row],[fecha_inicio]],2)))</f>
        <v/>
      </c>
      <c r="T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5">
        <f>IF(tblOrdenes[[#This Row],[tipo_ot]]="","",_xlfn.XLOOKUP(tblOrdenes[[#This Row],[tipo_ot]],tblTiposOT[codigo],tblTiposOT[clasificacion],"sin_clasificar"))</f>
        <v/>
      </c>
      <c r="V9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5">
        <f>IF(tblOrdenes[[#This Row],[centro_costo]]="","",_xlfn.XLOOKUP(tblOrdenes[[#This Row],[centro_costo]],tblCECO[codigo],tblCECO[linea],"(sin catálogo)"))</f>
        <v/>
      </c>
      <c r="Y924" s="5">
        <f>IF(tblOrdenes[[#This Row],[centro_costo]]="","",_xlfn.XLOOKUP(tblOrdenes[[#This Row],[centro_costo]],tblCECO[codigo],tblCECO[area],"(sin catálogo)"))</f>
        <v/>
      </c>
      <c r="Z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5">
        <f>IF(tblOrdenes[[#This Row],[centro_costo]]="","",_xlfn.XLOOKUP(tblOrdenes[[#This Row],[centro_costo]],tblCECO[codigo],tblCECO[coordinador],"(sin catálogo)"))</f>
        <v/>
      </c>
      <c r="AB924" s="5">
        <f>IF(tblOrdenes[[#This Row],[puesto_trabajo]]="","",_xlfn.XLOOKUP(tblOrdenes[[#This Row],[puesto_trabajo]],tblPuestos[codigo],tblPuestos[especialidad],"(sin catálogo)"))</f>
        <v/>
      </c>
      <c r="AC924" s="5">
        <f>IF(tblOrdenes[[#This Row],[cod_actividad]]="","",_xlfn.XLOOKUP(tblOrdenes[[#This Row],[cod_actividad]],tblActividades[codigo],tblActividades[descripcion],"(sin catálogo)"))</f>
        <v/>
      </c>
      <c r="AD924" s="23">
        <f>IF(tblOrdenes[[#This Row],[fecha_inicio]]="","",TODAY()-tblOrdenes[[#This Row],[fecha_inicio]])</f>
        <v/>
      </c>
      <c r="AE9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5">
        <f>IF(tblOrdenes[[#This Row],[backlog_habiles]]="","",IF(tblOrdenes[[#This Row],[backlog_habiles]]&lt;0,"FUTURO",IF(tblOrdenes[[#This Row],[backlog_habiles]]&gt;p_dias_backlog_max,"BACKLOG","MES CORRIENTE")))</f>
        <v/>
      </c>
      <c r="AG924" s="5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18">
        <f>IF(tblOrdenes[[#This Row],[orden]]="","",_xlfn.XLOOKUP(tblOrdenes[[#This Row],[id_operacion]],tblEjecucion[id_operacion],tblEjecucion[precio],0))</f>
        <v/>
      </c>
      <c r="AM924" s="18">
        <f>IF(tblOrdenes[[#This Row],[orden]]="","",MAX(0,_xlfn.XLOOKUP(tblOrdenes[[#This Row],[id_operacion]],tblEjecucion[id_operacion],tblEjecucion[costo_plan_total],0)-tblOrdenes[[#This Row],[costo_servicio]]))</f>
        <v/>
      </c>
      <c r="AN924" s="18">
        <f>IF(tblOrdenes[[#This Row],[orden]]="","",tblOrdenes[[#This Row],[costo_servicio]]+tblOrdenes[[#This Row],[costo_materiales]])</f>
        <v/>
      </c>
      <c r="AO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5">
        <f>IF(tblOrdenes[[#This Row],[link_checklist]]="","",HYPERLINK(p_ruta_base_checklists&amp;tblOrdenes[[#This Row],[link_checklist]],"abrir"))</f>
        <v/>
      </c>
      <c r="AT924" s="4" t="n"/>
      <c r="AU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5" t="n"/>
      <c r="K925" s="5" t="n"/>
      <c r="L925" s="18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Row],[fecha_inicio]]="","",tblOrdenes[[#This Row],[anio]]&amp;"-"&amp;TEXT(tblOrdenes[[#This Row],[mes]],"00"))</f>
        <v/>
      </c>
      <c r="S925" s="5">
        <f>IF(tblOrdenes[[#This Row],[fecha_inicio]]="","",INDEX(lista_dias,WEEKDAY(tblOrdenes[[#This Row],[fecha_inicio]],2)))</f>
        <v/>
      </c>
      <c r="T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5">
        <f>IF(tblOrdenes[[#This Row],[tipo_ot]]="","",_xlfn.XLOOKUP(tblOrdenes[[#This Row],[tipo_ot]],tblTiposOT[codigo],tblTiposOT[clasificacion],"sin_clasificar"))</f>
        <v/>
      </c>
      <c r="V9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5">
        <f>IF(tblOrdenes[[#This Row],[centro_costo]]="","",_xlfn.XLOOKUP(tblOrdenes[[#This Row],[centro_costo]],tblCECO[codigo],tblCECO[linea],"(sin catálogo)"))</f>
        <v/>
      </c>
      <c r="Y925" s="5">
        <f>IF(tblOrdenes[[#This Row],[centro_costo]]="","",_xlfn.XLOOKUP(tblOrdenes[[#This Row],[centro_costo]],tblCECO[codigo],tblCECO[area],"(sin catálogo)"))</f>
        <v/>
      </c>
      <c r="Z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5">
        <f>IF(tblOrdenes[[#This Row],[centro_costo]]="","",_xlfn.XLOOKUP(tblOrdenes[[#This Row],[centro_costo]],tblCECO[codigo],tblCECO[coordinador],"(sin catálogo)"))</f>
        <v/>
      </c>
      <c r="AB925" s="5">
        <f>IF(tblOrdenes[[#This Row],[puesto_trabajo]]="","",_xlfn.XLOOKUP(tblOrdenes[[#This Row],[puesto_trabajo]],tblPuestos[codigo],tblPuestos[especialidad],"(sin catálogo)"))</f>
        <v/>
      </c>
      <c r="AC925" s="5">
        <f>IF(tblOrdenes[[#This Row],[cod_actividad]]="","",_xlfn.XLOOKUP(tblOrdenes[[#This Row],[cod_actividad]],tblActividades[codigo],tblActividades[descripcion],"(sin catálogo)"))</f>
        <v/>
      </c>
      <c r="AD925" s="23">
        <f>IF(tblOrdenes[[#This Row],[fecha_inicio]]="","",TODAY()-tblOrdenes[[#This Row],[fecha_inicio]])</f>
        <v/>
      </c>
      <c r="AE9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5">
        <f>IF(tblOrdenes[[#This Row],[backlog_habiles]]="","",IF(tblOrdenes[[#This Row],[backlog_habiles]]&lt;0,"FUTURO",IF(tblOrdenes[[#This Row],[backlog_habiles]]&gt;p_dias_backlog_max,"BACKLOG","MES CORRIENTE")))</f>
        <v/>
      </c>
      <c r="AG925" s="5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18">
        <f>IF(tblOrdenes[[#This Row],[orden]]="","",_xlfn.XLOOKUP(tblOrdenes[[#This Row],[id_operacion]],tblEjecucion[id_operacion],tblEjecucion[precio],0))</f>
        <v/>
      </c>
      <c r="AM925" s="18">
        <f>IF(tblOrdenes[[#This Row],[orden]]="","",MAX(0,_xlfn.XLOOKUP(tblOrdenes[[#This Row],[id_operacion]],tblEjecucion[id_operacion],tblEjecucion[costo_plan_total],0)-tblOrdenes[[#This Row],[costo_servicio]]))</f>
        <v/>
      </c>
      <c r="AN925" s="18">
        <f>IF(tblOrdenes[[#This Row],[orden]]="","",tblOrdenes[[#This Row],[costo_servicio]]+tblOrdenes[[#This Row],[costo_materiales]])</f>
        <v/>
      </c>
      <c r="AO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5">
        <f>IF(tblOrdenes[[#This Row],[link_checklist]]="","",HYPERLINK(p_ruta_base_checklists&amp;tblOrdenes[[#This Row],[link_checklist]],"abrir"))</f>
        <v/>
      </c>
      <c r="AT925" s="4" t="n"/>
      <c r="AU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5" t="n"/>
      <c r="K926" s="5" t="n"/>
      <c r="L926" s="18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Row],[fecha_inicio]]="","",tblOrdenes[[#This Row],[anio]]&amp;"-"&amp;TEXT(tblOrdenes[[#This Row],[mes]],"00"))</f>
        <v/>
      </c>
      <c r="S926" s="5">
        <f>IF(tblOrdenes[[#This Row],[fecha_inicio]]="","",INDEX(lista_dias,WEEKDAY(tblOrdenes[[#This Row],[fecha_inicio]],2)))</f>
        <v/>
      </c>
      <c r="T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5">
        <f>IF(tblOrdenes[[#This Row],[tipo_ot]]="","",_xlfn.XLOOKUP(tblOrdenes[[#This Row],[tipo_ot]],tblTiposOT[codigo],tblTiposOT[clasificacion],"sin_clasificar"))</f>
        <v/>
      </c>
      <c r="V9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5">
        <f>IF(tblOrdenes[[#This Row],[centro_costo]]="","",_xlfn.XLOOKUP(tblOrdenes[[#This Row],[centro_costo]],tblCECO[codigo],tblCECO[linea],"(sin catálogo)"))</f>
        <v/>
      </c>
      <c r="Y926" s="5">
        <f>IF(tblOrdenes[[#This Row],[centro_costo]]="","",_xlfn.XLOOKUP(tblOrdenes[[#This Row],[centro_costo]],tblCECO[codigo],tblCECO[area],"(sin catálogo)"))</f>
        <v/>
      </c>
      <c r="Z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5">
        <f>IF(tblOrdenes[[#This Row],[centro_costo]]="","",_xlfn.XLOOKUP(tblOrdenes[[#This Row],[centro_costo]],tblCECO[codigo],tblCECO[coordinador],"(sin catálogo)"))</f>
        <v/>
      </c>
      <c r="AB926" s="5">
        <f>IF(tblOrdenes[[#This Row],[puesto_trabajo]]="","",_xlfn.XLOOKUP(tblOrdenes[[#This Row],[puesto_trabajo]],tblPuestos[codigo],tblPuestos[especialidad],"(sin catálogo)"))</f>
        <v/>
      </c>
      <c r="AC926" s="5">
        <f>IF(tblOrdenes[[#This Row],[cod_actividad]]="","",_xlfn.XLOOKUP(tblOrdenes[[#This Row],[cod_actividad]],tblActividades[codigo],tblActividades[descripcion],"(sin catálogo)"))</f>
        <v/>
      </c>
      <c r="AD926" s="23">
        <f>IF(tblOrdenes[[#This Row],[fecha_inicio]]="","",TODAY()-tblOrdenes[[#This Row],[fecha_inicio]])</f>
        <v/>
      </c>
      <c r="AE9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5">
        <f>IF(tblOrdenes[[#This Row],[backlog_habiles]]="","",IF(tblOrdenes[[#This Row],[backlog_habiles]]&lt;0,"FUTURO",IF(tblOrdenes[[#This Row],[backlog_habiles]]&gt;p_dias_backlog_max,"BACKLOG","MES CORRIENTE")))</f>
        <v/>
      </c>
      <c r="AG926" s="5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18">
        <f>IF(tblOrdenes[[#This Row],[orden]]="","",_xlfn.XLOOKUP(tblOrdenes[[#This Row],[id_operacion]],tblEjecucion[id_operacion],tblEjecucion[precio],0))</f>
        <v/>
      </c>
      <c r="AM926" s="18">
        <f>IF(tblOrdenes[[#This Row],[orden]]="","",MAX(0,_xlfn.XLOOKUP(tblOrdenes[[#This Row],[id_operacion]],tblEjecucion[id_operacion],tblEjecucion[costo_plan_total],0)-tblOrdenes[[#This Row],[costo_servicio]]))</f>
        <v/>
      </c>
      <c r="AN926" s="18">
        <f>IF(tblOrdenes[[#This Row],[orden]]="","",tblOrdenes[[#This Row],[costo_servicio]]+tblOrdenes[[#This Row],[costo_materiales]])</f>
        <v/>
      </c>
      <c r="AO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5">
        <f>IF(tblOrdenes[[#This Row],[link_checklist]]="","",HYPERLINK(p_ruta_base_checklists&amp;tblOrdenes[[#This Row],[link_checklist]],"abrir"))</f>
        <v/>
      </c>
      <c r="AT926" s="4" t="n"/>
      <c r="AU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5" t="n"/>
      <c r="K927" s="5" t="n"/>
      <c r="L927" s="18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Row],[fecha_inicio]]="","",tblOrdenes[[#This Row],[anio]]&amp;"-"&amp;TEXT(tblOrdenes[[#This Row],[mes]],"00"))</f>
        <v/>
      </c>
      <c r="S927" s="5">
        <f>IF(tblOrdenes[[#This Row],[fecha_inicio]]="","",INDEX(lista_dias,WEEKDAY(tblOrdenes[[#This Row],[fecha_inicio]],2)))</f>
        <v/>
      </c>
      <c r="T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5">
        <f>IF(tblOrdenes[[#This Row],[tipo_ot]]="","",_xlfn.XLOOKUP(tblOrdenes[[#This Row],[tipo_ot]],tblTiposOT[codigo],tblTiposOT[clasificacion],"sin_clasificar"))</f>
        <v/>
      </c>
      <c r="V9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5">
        <f>IF(tblOrdenes[[#This Row],[centro_costo]]="","",_xlfn.XLOOKUP(tblOrdenes[[#This Row],[centro_costo]],tblCECO[codigo],tblCECO[linea],"(sin catálogo)"))</f>
        <v/>
      </c>
      <c r="Y927" s="5">
        <f>IF(tblOrdenes[[#This Row],[centro_costo]]="","",_xlfn.XLOOKUP(tblOrdenes[[#This Row],[centro_costo]],tblCECO[codigo],tblCECO[area],"(sin catálogo)"))</f>
        <v/>
      </c>
      <c r="Z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5">
        <f>IF(tblOrdenes[[#This Row],[centro_costo]]="","",_xlfn.XLOOKUP(tblOrdenes[[#This Row],[centro_costo]],tblCECO[codigo],tblCECO[coordinador],"(sin catálogo)"))</f>
        <v/>
      </c>
      <c r="AB927" s="5">
        <f>IF(tblOrdenes[[#This Row],[puesto_trabajo]]="","",_xlfn.XLOOKUP(tblOrdenes[[#This Row],[puesto_trabajo]],tblPuestos[codigo],tblPuestos[especialidad],"(sin catálogo)"))</f>
        <v/>
      </c>
      <c r="AC927" s="5">
        <f>IF(tblOrdenes[[#This Row],[cod_actividad]]="","",_xlfn.XLOOKUP(tblOrdenes[[#This Row],[cod_actividad]],tblActividades[codigo],tblActividades[descripcion],"(sin catálogo)"))</f>
        <v/>
      </c>
      <c r="AD927" s="23">
        <f>IF(tblOrdenes[[#This Row],[fecha_inicio]]="","",TODAY()-tblOrdenes[[#This Row],[fecha_inicio]])</f>
        <v/>
      </c>
      <c r="AE9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5">
        <f>IF(tblOrdenes[[#This Row],[backlog_habiles]]="","",IF(tblOrdenes[[#This Row],[backlog_habiles]]&lt;0,"FUTURO",IF(tblOrdenes[[#This Row],[backlog_habiles]]&gt;p_dias_backlog_max,"BACKLOG","MES CORRIENTE")))</f>
        <v/>
      </c>
      <c r="AG927" s="5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18">
        <f>IF(tblOrdenes[[#This Row],[orden]]="","",_xlfn.XLOOKUP(tblOrdenes[[#This Row],[id_operacion]],tblEjecucion[id_operacion],tblEjecucion[precio],0))</f>
        <v/>
      </c>
      <c r="AM927" s="18">
        <f>IF(tblOrdenes[[#This Row],[orden]]="","",MAX(0,_xlfn.XLOOKUP(tblOrdenes[[#This Row],[id_operacion]],tblEjecucion[id_operacion],tblEjecucion[costo_plan_total],0)-tblOrdenes[[#This Row],[costo_servicio]]))</f>
        <v/>
      </c>
      <c r="AN927" s="18">
        <f>IF(tblOrdenes[[#This Row],[orden]]="","",tblOrdenes[[#This Row],[costo_servicio]]+tblOrdenes[[#This Row],[costo_materiales]])</f>
        <v/>
      </c>
      <c r="AO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5">
        <f>IF(tblOrdenes[[#This Row],[link_checklist]]="","",HYPERLINK(p_ruta_base_checklists&amp;tblOrdenes[[#This Row],[link_checklist]],"abrir"))</f>
        <v/>
      </c>
      <c r="AT927" s="4" t="n"/>
      <c r="AU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5" t="n"/>
      <c r="K928" s="5" t="n"/>
      <c r="L928" s="18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Row],[fecha_inicio]]="","",tblOrdenes[[#This Row],[anio]]&amp;"-"&amp;TEXT(tblOrdenes[[#This Row],[mes]],"00"))</f>
        <v/>
      </c>
      <c r="S928" s="5">
        <f>IF(tblOrdenes[[#This Row],[fecha_inicio]]="","",INDEX(lista_dias,WEEKDAY(tblOrdenes[[#This Row],[fecha_inicio]],2)))</f>
        <v/>
      </c>
      <c r="T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5">
        <f>IF(tblOrdenes[[#This Row],[tipo_ot]]="","",_xlfn.XLOOKUP(tblOrdenes[[#This Row],[tipo_ot]],tblTiposOT[codigo],tblTiposOT[clasificacion],"sin_clasificar"))</f>
        <v/>
      </c>
      <c r="V9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5">
        <f>IF(tblOrdenes[[#This Row],[centro_costo]]="","",_xlfn.XLOOKUP(tblOrdenes[[#This Row],[centro_costo]],tblCECO[codigo],tblCECO[linea],"(sin catálogo)"))</f>
        <v/>
      </c>
      <c r="Y928" s="5">
        <f>IF(tblOrdenes[[#This Row],[centro_costo]]="","",_xlfn.XLOOKUP(tblOrdenes[[#This Row],[centro_costo]],tblCECO[codigo],tblCECO[area],"(sin catálogo)"))</f>
        <v/>
      </c>
      <c r="Z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5">
        <f>IF(tblOrdenes[[#This Row],[centro_costo]]="","",_xlfn.XLOOKUP(tblOrdenes[[#This Row],[centro_costo]],tblCECO[codigo],tblCECO[coordinador],"(sin catálogo)"))</f>
        <v/>
      </c>
      <c r="AB928" s="5">
        <f>IF(tblOrdenes[[#This Row],[puesto_trabajo]]="","",_xlfn.XLOOKUP(tblOrdenes[[#This Row],[puesto_trabajo]],tblPuestos[codigo],tblPuestos[especialidad],"(sin catálogo)"))</f>
        <v/>
      </c>
      <c r="AC928" s="5">
        <f>IF(tblOrdenes[[#This Row],[cod_actividad]]="","",_xlfn.XLOOKUP(tblOrdenes[[#This Row],[cod_actividad]],tblActividades[codigo],tblActividades[descripcion],"(sin catálogo)"))</f>
        <v/>
      </c>
      <c r="AD928" s="23">
        <f>IF(tblOrdenes[[#This Row],[fecha_inicio]]="","",TODAY()-tblOrdenes[[#This Row],[fecha_inicio]])</f>
        <v/>
      </c>
      <c r="AE9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5">
        <f>IF(tblOrdenes[[#This Row],[backlog_habiles]]="","",IF(tblOrdenes[[#This Row],[backlog_habiles]]&lt;0,"FUTURO",IF(tblOrdenes[[#This Row],[backlog_habiles]]&gt;p_dias_backlog_max,"BACKLOG","MES CORRIENTE")))</f>
        <v/>
      </c>
      <c r="AG928" s="5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18">
        <f>IF(tblOrdenes[[#This Row],[orden]]="","",_xlfn.XLOOKUP(tblOrdenes[[#This Row],[id_operacion]],tblEjecucion[id_operacion],tblEjecucion[precio],0))</f>
        <v/>
      </c>
      <c r="AM928" s="18">
        <f>IF(tblOrdenes[[#This Row],[orden]]="","",MAX(0,_xlfn.XLOOKUP(tblOrdenes[[#This Row],[id_operacion]],tblEjecucion[id_operacion],tblEjecucion[costo_plan_total],0)-tblOrdenes[[#This Row],[costo_servicio]]))</f>
        <v/>
      </c>
      <c r="AN928" s="18">
        <f>IF(tblOrdenes[[#This Row],[orden]]="","",tblOrdenes[[#This Row],[costo_servicio]]+tblOrdenes[[#This Row],[costo_materiales]])</f>
        <v/>
      </c>
      <c r="AO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5">
        <f>IF(tblOrdenes[[#This Row],[link_checklist]]="","",HYPERLINK(p_ruta_base_checklists&amp;tblOrdenes[[#This Row],[link_checklist]],"abrir"))</f>
        <v/>
      </c>
      <c r="AT928" s="4" t="n"/>
      <c r="AU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5" t="n"/>
      <c r="K929" s="5" t="n"/>
      <c r="L929" s="18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Row],[fecha_inicio]]="","",tblOrdenes[[#This Row],[anio]]&amp;"-"&amp;TEXT(tblOrdenes[[#This Row],[mes]],"00"))</f>
        <v/>
      </c>
      <c r="S929" s="5">
        <f>IF(tblOrdenes[[#This Row],[fecha_inicio]]="","",INDEX(lista_dias,WEEKDAY(tblOrdenes[[#This Row],[fecha_inicio]],2)))</f>
        <v/>
      </c>
      <c r="T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5">
        <f>IF(tblOrdenes[[#This Row],[tipo_ot]]="","",_xlfn.XLOOKUP(tblOrdenes[[#This Row],[tipo_ot]],tblTiposOT[codigo],tblTiposOT[clasificacion],"sin_clasificar"))</f>
        <v/>
      </c>
      <c r="V9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5">
        <f>IF(tblOrdenes[[#This Row],[centro_costo]]="","",_xlfn.XLOOKUP(tblOrdenes[[#This Row],[centro_costo]],tblCECO[codigo],tblCECO[linea],"(sin catálogo)"))</f>
        <v/>
      </c>
      <c r="Y929" s="5">
        <f>IF(tblOrdenes[[#This Row],[centro_costo]]="","",_xlfn.XLOOKUP(tblOrdenes[[#This Row],[centro_costo]],tblCECO[codigo],tblCECO[area],"(sin catálogo)"))</f>
        <v/>
      </c>
      <c r="Z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5">
        <f>IF(tblOrdenes[[#This Row],[centro_costo]]="","",_xlfn.XLOOKUP(tblOrdenes[[#This Row],[centro_costo]],tblCECO[codigo],tblCECO[coordinador],"(sin catálogo)"))</f>
        <v/>
      </c>
      <c r="AB929" s="5">
        <f>IF(tblOrdenes[[#This Row],[puesto_trabajo]]="","",_xlfn.XLOOKUP(tblOrdenes[[#This Row],[puesto_trabajo]],tblPuestos[codigo],tblPuestos[especialidad],"(sin catálogo)"))</f>
        <v/>
      </c>
      <c r="AC929" s="5">
        <f>IF(tblOrdenes[[#This Row],[cod_actividad]]="","",_xlfn.XLOOKUP(tblOrdenes[[#This Row],[cod_actividad]],tblActividades[codigo],tblActividades[descripcion],"(sin catálogo)"))</f>
        <v/>
      </c>
      <c r="AD929" s="23">
        <f>IF(tblOrdenes[[#This Row],[fecha_inicio]]="","",TODAY()-tblOrdenes[[#This Row],[fecha_inicio]])</f>
        <v/>
      </c>
      <c r="AE9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5">
        <f>IF(tblOrdenes[[#This Row],[backlog_habiles]]="","",IF(tblOrdenes[[#This Row],[backlog_habiles]]&lt;0,"FUTURO",IF(tblOrdenes[[#This Row],[backlog_habiles]]&gt;p_dias_backlog_max,"BACKLOG","MES CORRIENTE")))</f>
        <v/>
      </c>
      <c r="AG929" s="5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18">
        <f>IF(tblOrdenes[[#This Row],[orden]]="","",_xlfn.XLOOKUP(tblOrdenes[[#This Row],[id_operacion]],tblEjecucion[id_operacion],tblEjecucion[precio],0))</f>
        <v/>
      </c>
      <c r="AM929" s="18">
        <f>IF(tblOrdenes[[#This Row],[orden]]="","",MAX(0,_xlfn.XLOOKUP(tblOrdenes[[#This Row],[id_operacion]],tblEjecucion[id_operacion],tblEjecucion[costo_plan_total],0)-tblOrdenes[[#This Row],[costo_servicio]]))</f>
        <v/>
      </c>
      <c r="AN929" s="18">
        <f>IF(tblOrdenes[[#This Row],[orden]]="","",tblOrdenes[[#This Row],[costo_servicio]]+tblOrdenes[[#This Row],[costo_materiales]])</f>
        <v/>
      </c>
      <c r="AO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5">
        <f>IF(tblOrdenes[[#This Row],[link_checklist]]="","",HYPERLINK(p_ruta_base_checklists&amp;tblOrdenes[[#This Row],[link_checklist]],"abrir"))</f>
        <v/>
      </c>
      <c r="AT929" s="4" t="n"/>
      <c r="AU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5" t="n"/>
      <c r="K930" s="5" t="n"/>
      <c r="L930" s="18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Row],[fecha_inicio]]="","",tblOrdenes[[#This Row],[anio]]&amp;"-"&amp;TEXT(tblOrdenes[[#This Row],[mes]],"00"))</f>
        <v/>
      </c>
      <c r="S930" s="5">
        <f>IF(tblOrdenes[[#This Row],[fecha_inicio]]="","",INDEX(lista_dias,WEEKDAY(tblOrdenes[[#This Row],[fecha_inicio]],2)))</f>
        <v/>
      </c>
      <c r="T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5">
        <f>IF(tblOrdenes[[#This Row],[tipo_ot]]="","",_xlfn.XLOOKUP(tblOrdenes[[#This Row],[tipo_ot]],tblTiposOT[codigo],tblTiposOT[clasificacion],"sin_clasificar"))</f>
        <v/>
      </c>
      <c r="V9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5">
        <f>IF(tblOrdenes[[#This Row],[centro_costo]]="","",_xlfn.XLOOKUP(tblOrdenes[[#This Row],[centro_costo]],tblCECO[codigo],tblCECO[linea],"(sin catálogo)"))</f>
        <v/>
      </c>
      <c r="Y930" s="5">
        <f>IF(tblOrdenes[[#This Row],[centro_costo]]="","",_xlfn.XLOOKUP(tblOrdenes[[#This Row],[centro_costo]],tblCECO[codigo],tblCECO[area],"(sin catálogo)"))</f>
        <v/>
      </c>
      <c r="Z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5">
        <f>IF(tblOrdenes[[#This Row],[centro_costo]]="","",_xlfn.XLOOKUP(tblOrdenes[[#This Row],[centro_costo]],tblCECO[codigo],tblCECO[coordinador],"(sin catálogo)"))</f>
        <v/>
      </c>
      <c r="AB930" s="5">
        <f>IF(tblOrdenes[[#This Row],[puesto_trabajo]]="","",_xlfn.XLOOKUP(tblOrdenes[[#This Row],[puesto_trabajo]],tblPuestos[codigo],tblPuestos[especialidad],"(sin catálogo)"))</f>
        <v/>
      </c>
      <c r="AC930" s="5">
        <f>IF(tblOrdenes[[#This Row],[cod_actividad]]="","",_xlfn.XLOOKUP(tblOrdenes[[#This Row],[cod_actividad]],tblActividades[codigo],tblActividades[descripcion],"(sin catálogo)"))</f>
        <v/>
      </c>
      <c r="AD930" s="23">
        <f>IF(tblOrdenes[[#This Row],[fecha_inicio]]="","",TODAY()-tblOrdenes[[#This Row],[fecha_inicio]])</f>
        <v/>
      </c>
      <c r="AE9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5">
        <f>IF(tblOrdenes[[#This Row],[backlog_habiles]]="","",IF(tblOrdenes[[#This Row],[backlog_habiles]]&lt;0,"FUTURO",IF(tblOrdenes[[#This Row],[backlog_habiles]]&gt;p_dias_backlog_max,"BACKLOG","MES CORRIENTE")))</f>
        <v/>
      </c>
      <c r="AG930" s="5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18">
        <f>IF(tblOrdenes[[#This Row],[orden]]="","",_xlfn.XLOOKUP(tblOrdenes[[#This Row],[id_operacion]],tblEjecucion[id_operacion],tblEjecucion[precio],0))</f>
        <v/>
      </c>
      <c r="AM930" s="18">
        <f>IF(tblOrdenes[[#This Row],[orden]]="","",MAX(0,_xlfn.XLOOKUP(tblOrdenes[[#This Row],[id_operacion]],tblEjecucion[id_operacion],tblEjecucion[costo_plan_total],0)-tblOrdenes[[#This Row],[costo_servicio]]))</f>
        <v/>
      </c>
      <c r="AN930" s="18">
        <f>IF(tblOrdenes[[#This Row],[orden]]="","",tblOrdenes[[#This Row],[costo_servicio]]+tblOrdenes[[#This Row],[costo_materiales]])</f>
        <v/>
      </c>
      <c r="AO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5">
        <f>IF(tblOrdenes[[#This Row],[link_checklist]]="","",HYPERLINK(p_ruta_base_checklists&amp;tblOrdenes[[#This Row],[link_checklist]],"abrir"))</f>
        <v/>
      </c>
      <c r="AT930" s="4" t="n"/>
      <c r="AU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5" t="n"/>
      <c r="K931" s="5" t="n"/>
      <c r="L931" s="18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Row],[fecha_inicio]]="","",tblOrdenes[[#This Row],[anio]]&amp;"-"&amp;TEXT(tblOrdenes[[#This Row],[mes]],"00"))</f>
        <v/>
      </c>
      <c r="S931" s="5">
        <f>IF(tblOrdenes[[#This Row],[fecha_inicio]]="","",INDEX(lista_dias,WEEKDAY(tblOrdenes[[#This Row],[fecha_inicio]],2)))</f>
        <v/>
      </c>
      <c r="T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5">
        <f>IF(tblOrdenes[[#This Row],[tipo_ot]]="","",_xlfn.XLOOKUP(tblOrdenes[[#This Row],[tipo_ot]],tblTiposOT[codigo],tblTiposOT[clasificacion],"sin_clasificar"))</f>
        <v/>
      </c>
      <c r="V9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5">
        <f>IF(tblOrdenes[[#This Row],[centro_costo]]="","",_xlfn.XLOOKUP(tblOrdenes[[#This Row],[centro_costo]],tblCECO[codigo],tblCECO[linea],"(sin catálogo)"))</f>
        <v/>
      </c>
      <c r="Y931" s="5">
        <f>IF(tblOrdenes[[#This Row],[centro_costo]]="","",_xlfn.XLOOKUP(tblOrdenes[[#This Row],[centro_costo]],tblCECO[codigo],tblCECO[area],"(sin catálogo)"))</f>
        <v/>
      </c>
      <c r="Z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5">
        <f>IF(tblOrdenes[[#This Row],[centro_costo]]="","",_xlfn.XLOOKUP(tblOrdenes[[#This Row],[centro_costo]],tblCECO[codigo],tblCECO[coordinador],"(sin catálogo)"))</f>
        <v/>
      </c>
      <c r="AB931" s="5">
        <f>IF(tblOrdenes[[#This Row],[puesto_trabajo]]="","",_xlfn.XLOOKUP(tblOrdenes[[#This Row],[puesto_trabajo]],tblPuestos[codigo],tblPuestos[especialidad],"(sin catálogo)"))</f>
        <v/>
      </c>
      <c r="AC931" s="5">
        <f>IF(tblOrdenes[[#This Row],[cod_actividad]]="","",_xlfn.XLOOKUP(tblOrdenes[[#This Row],[cod_actividad]],tblActividades[codigo],tblActividades[descripcion],"(sin catálogo)"))</f>
        <v/>
      </c>
      <c r="AD931" s="23">
        <f>IF(tblOrdenes[[#This Row],[fecha_inicio]]="","",TODAY()-tblOrdenes[[#This Row],[fecha_inicio]])</f>
        <v/>
      </c>
      <c r="AE9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5">
        <f>IF(tblOrdenes[[#This Row],[backlog_habiles]]="","",IF(tblOrdenes[[#This Row],[backlog_habiles]]&lt;0,"FUTURO",IF(tblOrdenes[[#This Row],[backlog_habiles]]&gt;p_dias_backlog_max,"BACKLOG","MES CORRIENTE")))</f>
        <v/>
      </c>
      <c r="AG931" s="5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18">
        <f>IF(tblOrdenes[[#This Row],[orden]]="","",_xlfn.XLOOKUP(tblOrdenes[[#This Row],[id_operacion]],tblEjecucion[id_operacion],tblEjecucion[precio],0))</f>
        <v/>
      </c>
      <c r="AM931" s="18">
        <f>IF(tblOrdenes[[#This Row],[orden]]="","",MAX(0,_xlfn.XLOOKUP(tblOrdenes[[#This Row],[id_operacion]],tblEjecucion[id_operacion],tblEjecucion[costo_plan_total],0)-tblOrdenes[[#This Row],[costo_servicio]]))</f>
        <v/>
      </c>
      <c r="AN931" s="18">
        <f>IF(tblOrdenes[[#This Row],[orden]]="","",tblOrdenes[[#This Row],[costo_servicio]]+tblOrdenes[[#This Row],[costo_materiales]])</f>
        <v/>
      </c>
      <c r="AO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5">
        <f>IF(tblOrdenes[[#This Row],[link_checklist]]="","",HYPERLINK(p_ruta_base_checklists&amp;tblOrdenes[[#This Row],[link_checklist]],"abrir"))</f>
        <v/>
      </c>
      <c r="AT931" s="4" t="n"/>
      <c r="AU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5" t="n"/>
      <c r="K932" s="5" t="n"/>
      <c r="L932" s="18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Row],[fecha_inicio]]="","",tblOrdenes[[#This Row],[anio]]&amp;"-"&amp;TEXT(tblOrdenes[[#This Row],[mes]],"00"))</f>
        <v/>
      </c>
      <c r="S932" s="5">
        <f>IF(tblOrdenes[[#This Row],[fecha_inicio]]="","",INDEX(lista_dias,WEEKDAY(tblOrdenes[[#This Row],[fecha_inicio]],2)))</f>
        <v/>
      </c>
      <c r="T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5">
        <f>IF(tblOrdenes[[#This Row],[tipo_ot]]="","",_xlfn.XLOOKUP(tblOrdenes[[#This Row],[tipo_ot]],tblTiposOT[codigo],tblTiposOT[clasificacion],"sin_clasificar"))</f>
        <v/>
      </c>
      <c r="V9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5">
        <f>IF(tblOrdenes[[#This Row],[centro_costo]]="","",_xlfn.XLOOKUP(tblOrdenes[[#This Row],[centro_costo]],tblCECO[codigo],tblCECO[linea],"(sin catálogo)"))</f>
        <v/>
      </c>
      <c r="Y932" s="5">
        <f>IF(tblOrdenes[[#This Row],[centro_costo]]="","",_xlfn.XLOOKUP(tblOrdenes[[#This Row],[centro_costo]],tblCECO[codigo],tblCECO[area],"(sin catálogo)"))</f>
        <v/>
      </c>
      <c r="Z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5">
        <f>IF(tblOrdenes[[#This Row],[centro_costo]]="","",_xlfn.XLOOKUP(tblOrdenes[[#This Row],[centro_costo]],tblCECO[codigo],tblCECO[coordinador],"(sin catálogo)"))</f>
        <v/>
      </c>
      <c r="AB932" s="5">
        <f>IF(tblOrdenes[[#This Row],[puesto_trabajo]]="","",_xlfn.XLOOKUP(tblOrdenes[[#This Row],[puesto_trabajo]],tblPuestos[codigo],tblPuestos[especialidad],"(sin catálogo)"))</f>
        <v/>
      </c>
      <c r="AC932" s="5">
        <f>IF(tblOrdenes[[#This Row],[cod_actividad]]="","",_xlfn.XLOOKUP(tblOrdenes[[#This Row],[cod_actividad]],tblActividades[codigo],tblActividades[descripcion],"(sin catálogo)"))</f>
        <v/>
      </c>
      <c r="AD932" s="23">
        <f>IF(tblOrdenes[[#This Row],[fecha_inicio]]="","",TODAY()-tblOrdenes[[#This Row],[fecha_inicio]])</f>
        <v/>
      </c>
      <c r="AE9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5">
        <f>IF(tblOrdenes[[#This Row],[backlog_habiles]]="","",IF(tblOrdenes[[#This Row],[backlog_habiles]]&lt;0,"FUTURO",IF(tblOrdenes[[#This Row],[backlog_habiles]]&gt;p_dias_backlog_max,"BACKLOG","MES CORRIENTE")))</f>
        <v/>
      </c>
      <c r="AG932" s="5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18">
        <f>IF(tblOrdenes[[#This Row],[orden]]="","",_xlfn.XLOOKUP(tblOrdenes[[#This Row],[id_operacion]],tblEjecucion[id_operacion],tblEjecucion[precio],0))</f>
        <v/>
      </c>
      <c r="AM932" s="18">
        <f>IF(tblOrdenes[[#This Row],[orden]]="","",MAX(0,_xlfn.XLOOKUP(tblOrdenes[[#This Row],[id_operacion]],tblEjecucion[id_operacion],tblEjecucion[costo_plan_total],0)-tblOrdenes[[#This Row],[costo_servicio]]))</f>
        <v/>
      </c>
      <c r="AN932" s="18">
        <f>IF(tblOrdenes[[#This Row],[orden]]="","",tblOrdenes[[#This Row],[costo_servicio]]+tblOrdenes[[#This Row],[costo_materiales]])</f>
        <v/>
      </c>
      <c r="AO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5">
        <f>IF(tblOrdenes[[#This Row],[link_checklist]]="","",HYPERLINK(p_ruta_base_checklists&amp;tblOrdenes[[#This Row],[link_checklist]],"abrir"))</f>
        <v/>
      </c>
      <c r="AT932" s="4" t="n"/>
      <c r="AU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5" t="n"/>
      <c r="K933" s="5" t="n"/>
      <c r="L933" s="18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Row],[fecha_inicio]]="","",tblOrdenes[[#This Row],[anio]]&amp;"-"&amp;TEXT(tblOrdenes[[#This Row],[mes]],"00"))</f>
        <v/>
      </c>
      <c r="S933" s="5">
        <f>IF(tblOrdenes[[#This Row],[fecha_inicio]]="","",INDEX(lista_dias,WEEKDAY(tblOrdenes[[#This Row],[fecha_inicio]],2)))</f>
        <v/>
      </c>
      <c r="T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5">
        <f>IF(tblOrdenes[[#This Row],[tipo_ot]]="","",_xlfn.XLOOKUP(tblOrdenes[[#This Row],[tipo_ot]],tblTiposOT[codigo],tblTiposOT[clasificacion],"sin_clasificar"))</f>
        <v/>
      </c>
      <c r="V9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5">
        <f>IF(tblOrdenes[[#This Row],[centro_costo]]="","",_xlfn.XLOOKUP(tblOrdenes[[#This Row],[centro_costo]],tblCECO[codigo],tblCECO[linea],"(sin catálogo)"))</f>
        <v/>
      </c>
      <c r="Y933" s="5">
        <f>IF(tblOrdenes[[#This Row],[centro_costo]]="","",_xlfn.XLOOKUP(tblOrdenes[[#This Row],[centro_costo]],tblCECO[codigo],tblCECO[area],"(sin catálogo)"))</f>
        <v/>
      </c>
      <c r="Z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5">
        <f>IF(tblOrdenes[[#This Row],[centro_costo]]="","",_xlfn.XLOOKUP(tblOrdenes[[#This Row],[centro_costo]],tblCECO[codigo],tblCECO[coordinador],"(sin catálogo)"))</f>
        <v/>
      </c>
      <c r="AB933" s="5">
        <f>IF(tblOrdenes[[#This Row],[puesto_trabajo]]="","",_xlfn.XLOOKUP(tblOrdenes[[#This Row],[puesto_trabajo]],tblPuestos[codigo],tblPuestos[especialidad],"(sin catálogo)"))</f>
        <v/>
      </c>
      <c r="AC933" s="5">
        <f>IF(tblOrdenes[[#This Row],[cod_actividad]]="","",_xlfn.XLOOKUP(tblOrdenes[[#This Row],[cod_actividad]],tblActividades[codigo],tblActividades[descripcion],"(sin catálogo)"))</f>
        <v/>
      </c>
      <c r="AD933" s="23">
        <f>IF(tblOrdenes[[#This Row],[fecha_inicio]]="","",TODAY()-tblOrdenes[[#This Row],[fecha_inicio]])</f>
        <v/>
      </c>
      <c r="AE9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5">
        <f>IF(tblOrdenes[[#This Row],[backlog_habiles]]="","",IF(tblOrdenes[[#This Row],[backlog_habiles]]&lt;0,"FUTURO",IF(tblOrdenes[[#This Row],[backlog_habiles]]&gt;p_dias_backlog_max,"BACKLOG","MES CORRIENTE")))</f>
        <v/>
      </c>
      <c r="AG933" s="5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18">
        <f>IF(tblOrdenes[[#This Row],[orden]]="","",_xlfn.XLOOKUP(tblOrdenes[[#This Row],[id_operacion]],tblEjecucion[id_operacion],tblEjecucion[precio],0))</f>
        <v/>
      </c>
      <c r="AM933" s="18">
        <f>IF(tblOrdenes[[#This Row],[orden]]="","",MAX(0,_xlfn.XLOOKUP(tblOrdenes[[#This Row],[id_operacion]],tblEjecucion[id_operacion],tblEjecucion[costo_plan_total],0)-tblOrdenes[[#This Row],[costo_servicio]]))</f>
        <v/>
      </c>
      <c r="AN933" s="18">
        <f>IF(tblOrdenes[[#This Row],[orden]]="","",tblOrdenes[[#This Row],[costo_servicio]]+tblOrdenes[[#This Row],[costo_materiales]])</f>
        <v/>
      </c>
      <c r="AO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5">
        <f>IF(tblOrdenes[[#This Row],[link_checklist]]="","",HYPERLINK(p_ruta_base_checklists&amp;tblOrdenes[[#This Row],[link_checklist]],"abrir"))</f>
        <v/>
      </c>
      <c r="AT933" s="4" t="n"/>
      <c r="AU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5" t="n"/>
      <c r="K934" s="5" t="n"/>
      <c r="L934" s="18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Row],[fecha_inicio]]="","",tblOrdenes[[#This Row],[anio]]&amp;"-"&amp;TEXT(tblOrdenes[[#This Row],[mes]],"00"))</f>
        <v/>
      </c>
      <c r="S934" s="5">
        <f>IF(tblOrdenes[[#This Row],[fecha_inicio]]="","",INDEX(lista_dias,WEEKDAY(tblOrdenes[[#This Row],[fecha_inicio]],2)))</f>
        <v/>
      </c>
      <c r="T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5">
        <f>IF(tblOrdenes[[#This Row],[tipo_ot]]="","",_xlfn.XLOOKUP(tblOrdenes[[#This Row],[tipo_ot]],tblTiposOT[codigo],tblTiposOT[clasificacion],"sin_clasificar"))</f>
        <v/>
      </c>
      <c r="V9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5">
        <f>IF(tblOrdenes[[#This Row],[centro_costo]]="","",_xlfn.XLOOKUP(tblOrdenes[[#This Row],[centro_costo]],tblCECO[codigo],tblCECO[linea],"(sin catálogo)"))</f>
        <v/>
      </c>
      <c r="Y934" s="5">
        <f>IF(tblOrdenes[[#This Row],[centro_costo]]="","",_xlfn.XLOOKUP(tblOrdenes[[#This Row],[centro_costo]],tblCECO[codigo],tblCECO[area],"(sin catálogo)"))</f>
        <v/>
      </c>
      <c r="Z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5">
        <f>IF(tblOrdenes[[#This Row],[centro_costo]]="","",_xlfn.XLOOKUP(tblOrdenes[[#This Row],[centro_costo]],tblCECO[codigo],tblCECO[coordinador],"(sin catálogo)"))</f>
        <v/>
      </c>
      <c r="AB934" s="5">
        <f>IF(tblOrdenes[[#This Row],[puesto_trabajo]]="","",_xlfn.XLOOKUP(tblOrdenes[[#This Row],[puesto_trabajo]],tblPuestos[codigo],tblPuestos[especialidad],"(sin catálogo)"))</f>
        <v/>
      </c>
      <c r="AC934" s="5">
        <f>IF(tblOrdenes[[#This Row],[cod_actividad]]="","",_xlfn.XLOOKUP(tblOrdenes[[#This Row],[cod_actividad]],tblActividades[codigo],tblActividades[descripcion],"(sin catálogo)"))</f>
        <v/>
      </c>
      <c r="AD934" s="23">
        <f>IF(tblOrdenes[[#This Row],[fecha_inicio]]="","",TODAY()-tblOrdenes[[#This Row],[fecha_inicio]])</f>
        <v/>
      </c>
      <c r="AE9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5">
        <f>IF(tblOrdenes[[#This Row],[backlog_habiles]]="","",IF(tblOrdenes[[#This Row],[backlog_habiles]]&lt;0,"FUTURO",IF(tblOrdenes[[#This Row],[backlog_habiles]]&gt;p_dias_backlog_max,"BACKLOG","MES CORRIENTE")))</f>
        <v/>
      </c>
      <c r="AG934" s="5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18">
        <f>IF(tblOrdenes[[#This Row],[orden]]="","",_xlfn.XLOOKUP(tblOrdenes[[#This Row],[id_operacion]],tblEjecucion[id_operacion],tblEjecucion[precio],0))</f>
        <v/>
      </c>
      <c r="AM934" s="18">
        <f>IF(tblOrdenes[[#This Row],[orden]]="","",MAX(0,_xlfn.XLOOKUP(tblOrdenes[[#This Row],[id_operacion]],tblEjecucion[id_operacion],tblEjecucion[costo_plan_total],0)-tblOrdenes[[#This Row],[costo_servicio]]))</f>
        <v/>
      </c>
      <c r="AN934" s="18">
        <f>IF(tblOrdenes[[#This Row],[orden]]="","",tblOrdenes[[#This Row],[costo_servicio]]+tblOrdenes[[#This Row],[costo_materiales]])</f>
        <v/>
      </c>
      <c r="AO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5">
        <f>IF(tblOrdenes[[#This Row],[link_checklist]]="","",HYPERLINK(p_ruta_base_checklists&amp;tblOrdenes[[#This Row],[link_checklist]],"abrir"))</f>
        <v/>
      </c>
      <c r="AT934" s="4" t="n"/>
      <c r="AU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5" t="n"/>
      <c r="K935" s="5" t="n"/>
      <c r="L935" s="18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Row],[fecha_inicio]]="","",tblOrdenes[[#This Row],[anio]]&amp;"-"&amp;TEXT(tblOrdenes[[#This Row],[mes]],"00"))</f>
        <v/>
      </c>
      <c r="S935" s="5">
        <f>IF(tblOrdenes[[#This Row],[fecha_inicio]]="","",INDEX(lista_dias,WEEKDAY(tblOrdenes[[#This Row],[fecha_inicio]],2)))</f>
        <v/>
      </c>
      <c r="T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5">
        <f>IF(tblOrdenes[[#This Row],[tipo_ot]]="","",_xlfn.XLOOKUP(tblOrdenes[[#This Row],[tipo_ot]],tblTiposOT[codigo],tblTiposOT[clasificacion],"sin_clasificar"))</f>
        <v/>
      </c>
      <c r="V9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5">
        <f>IF(tblOrdenes[[#This Row],[centro_costo]]="","",_xlfn.XLOOKUP(tblOrdenes[[#This Row],[centro_costo]],tblCECO[codigo],tblCECO[linea],"(sin catálogo)"))</f>
        <v/>
      </c>
      <c r="Y935" s="5">
        <f>IF(tblOrdenes[[#This Row],[centro_costo]]="","",_xlfn.XLOOKUP(tblOrdenes[[#This Row],[centro_costo]],tblCECO[codigo],tblCECO[area],"(sin catálogo)"))</f>
        <v/>
      </c>
      <c r="Z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5">
        <f>IF(tblOrdenes[[#This Row],[centro_costo]]="","",_xlfn.XLOOKUP(tblOrdenes[[#This Row],[centro_costo]],tblCECO[codigo],tblCECO[coordinador],"(sin catálogo)"))</f>
        <v/>
      </c>
      <c r="AB935" s="5">
        <f>IF(tblOrdenes[[#This Row],[puesto_trabajo]]="","",_xlfn.XLOOKUP(tblOrdenes[[#This Row],[puesto_trabajo]],tblPuestos[codigo],tblPuestos[especialidad],"(sin catálogo)"))</f>
        <v/>
      </c>
      <c r="AC935" s="5">
        <f>IF(tblOrdenes[[#This Row],[cod_actividad]]="","",_xlfn.XLOOKUP(tblOrdenes[[#This Row],[cod_actividad]],tblActividades[codigo],tblActividades[descripcion],"(sin catálogo)"))</f>
        <v/>
      </c>
      <c r="AD935" s="23">
        <f>IF(tblOrdenes[[#This Row],[fecha_inicio]]="","",TODAY()-tblOrdenes[[#This Row],[fecha_inicio]])</f>
        <v/>
      </c>
      <c r="AE9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5">
        <f>IF(tblOrdenes[[#This Row],[backlog_habiles]]="","",IF(tblOrdenes[[#This Row],[backlog_habiles]]&lt;0,"FUTURO",IF(tblOrdenes[[#This Row],[backlog_habiles]]&gt;p_dias_backlog_max,"BACKLOG","MES CORRIENTE")))</f>
        <v/>
      </c>
      <c r="AG935" s="5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18">
        <f>IF(tblOrdenes[[#This Row],[orden]]="","",_xlfn.XLOOKUP(tblOrdenes[[#This Row],[id_operacion]],tblEjecucion[id_operacion],tblEjecucion[precio],0))</f>
        <v/>
      </c>
      <c r="AM935" s="18">
        <f>IF(tblOrdenes[[#This Row],[orden]]="","",MAX(0,_xlfn.XLOOKUP(tblOrdenes[[#This Row],[id_operacion]],tblEjecucion[id_operacion],tblEjecucion[costo_plan_total],0)-tblOrdenes[[#This Row],[costo_servicio]]))</f>
        <v/>
      </c>
      <c r="AN935" s="18">
        <f>IF(tblOrdenes[[#This Row],[orden]]="","",tblOrdenes[[#This Row],[costo_servicio]]+tblOrdenes[[#This Row],[costo_materiales]])</f>
        <v/>
      </c>
      <c r="AO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5">
        <f>IF(tblOrdenes[[#This Row],[link_checklist]]="","",HYPERLINK(p_ruta_base_checklists&amp;tblOrdenes[[#This Row],[link_checklist]],"abrir"))</f>
        <v/>
      </c>
      <c r="AT935" s="4" t="n"/>
      <c r="AU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5" t="n"/>
      <c r="K936" s="5" t="n"/>
      <c r="L936" s="18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Row],[fecha_inicio]]="","",tblOrdenes[[#This Row],[anio]]&amp;"-"&amp;TEXT(tblOrdenes[[#This Row],[mes]],"00"))</f>
        <v/>
      </c>
      <c r="S936" s="5">
        <f>IF(tblOrdenes[[#This Row],[fecha_inicio]]="","",INDEX(lista_dias,WEEKDAY(tblOrdenes[[#This Row],[fecha_inicio]],2)))</f>
        <v/>
      </c>
      <c r="T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5">
        <f>IF(tblOrdenes[[#This Row],[tipo_ot]]="","",_xlfn.XLOOKUP(tblOrdenes[[#This Row],[tipo_ot]],tblTiposOT[codigo],tblTiposOT[clasificacion],"sin_clasificar"))</f>
        <v/>
      </c>
      <c r="V9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5">
        <f>IF(tblOrdenes[[#This Row],[centro_costo]]="","",_xlfn.XLOOKUP(tblOrdenes[[#This Row],[centro_costo]],tblCECO[codigo],tblCECO[linea],"(sin catálogo)"))</f>
        <v/>
      </c>
      <c r="Y936" s="5">
        <f>IF(tblOrdenes[[#This Row],[centro_costo]]="","",_xlfn.XLOOKUP(tblOrdenes[[#This Row],[centro_costo]],tblCECO[codigo],tblCECO[area],"(sin catálogo)"))</f>
        <v/>
      </c>
      <c r="Z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5">
        <f>IF(tblOrdenes[[#This Row],[centro_costo]]="","",_xlfn.XLOOKUP(tblOrdenes[[#This Row],[centro_costo]],tblCECO[codigo],tblCECO[coordinador],"(sin catálogo)"))</f>
        <v/>
      </c>
      <c r="AB936" s="5">
        <f>IF(tblOrdenes[[#This Row],[puesto_trabajo]]="","",_xlfn.XLOOKUP(tblOrdenes[[#This Row],[puesto_trabajo]],tblPuestos[codigo],tblPuestos[especialidad],"(sin catálogo)"))</f>
        <v/>
      </c>
      <c r="AC936" s="5">
        <f>IF(tblOrdenes[[#This Row],[cod_actividad]]="","",_xlfn.XLOOKUP(tblOrdenes[[#This Row],[cod_actividad]],tblActividades[codigo],tblActividades[descripcion],"(sin catálogo)"))</f>
        <v/>
      </c>
      <c r="AD936" s="23">
        <f>IF(tblOrdenes[[#This Row],[fecha_inicio]]="","",TODAY()-tblOrdenes[[#This Row],[fecha_inicio]])</f>
        <v/>
      </c>
      <c r="AE9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5">
        <f>IF(tblOrdenes[[#This Row],[backlog_habiles]]="","",IF(tblOrdenes[[#This Row],[backlog_habiles]]&lt;0,"FUTURO",IF(tblOrdenes[[#This Row],[backlog_habiles]]&gt;p_dias_backlog_max,"BACKLOG","MES CORRIENTE")))</f>
        <v/>
      </c>
      <c r="AG936" s="5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18">
        <f>IF(tblOrdenes[[#This Row],[orden]]="","",_xlfn.XLOOKUP(tblOrdenes[[#This Row],[id_operacion]],tblEjecucion[id_operacion],tblEjecucion[precio],0))</f>
        <v/>
      </c>
      <c r="AM936" s="18">
        <f>IF(tblOrdenes[[#This Row],[orden]]="","",MAX(0,_xlfn.XLOOKUP(tblOrdenes[[#This Row],[id_operacion]],tblEjecucion[id_operacion],tblEjecucion[costo_plan_total],0)-tblOrdenes[[#This Row],[costo_servicio]]))</f>
        <v/>
      </c>
      <c r="AN936" s="18">
        <f>IF(tblOrdenes[[#This Row],[orden]]="","",tblOrdenes[[#This Row],[costo_servicio]]+tblOrdenes[[#This Row],[costo_materiales]])</f>
        <v/>
      </c>
      <c r="AO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5">
        <f>IF(tblOrdenes[[#This Row],[link_checklist]]="","",HYPERLINK(p_ruta_base_checklists&amp;tblOrdenes[[#This Row],[link_checklist]],"abrir"))</f>
        <v/>
      </c>
      <c r="AT936" s="4" t="n"/>
      <c r="AU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5" t="n"/>
      <c r="K937" s="5" t="n"/>
      <c r="L937" s="18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Row],[fecha_inicio]]="","",tblOrdenes[[#This Row],[anio]]&amp;"-"&amp;TEXT(tblOrdenes[[#This Row],[mes]],"00"))</f>
        <v/>
      </c>
      <c r="S937" s="5">
        <f>IF(tblOrdenes[[#This Row],[fecha_inicio]]="","",INDEX(lista_dias,WEEKDAY(tblOrdenes[[#This Row],[fecha_inicio]],2)))</f>
        <v/>
      </c>
      <c r="T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5">
        <f>IF(tblOrdenes[[#This Row],[tipo_ot]]="","",_xlfn.XLOOKUP(tblOrdenes[[#This Row],[tipo_ot]],tblTiposOT[codigo],tblTiposOT[clasificacion],"sin_clasificar"))</f>
        <v/>
      </c>
      <c r="V9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5">
        <f>IF(tblOrdenes[[#This Row],[centro_costo]]="","",_xlfn.XLOOKUP(tblOrdenes[[#This Row],[centro_costo]],tblCECO[codigo],tblCECO[linea],"(sin catálogo)"))</f>
        <v/>
      </c>
      <c r="Y937" s="5">
        <f>IF(tblOrdenes[[#This Row],[centro_costo]]="","",_xlfn.XLOOKUP(tblOrdenes[[#This Row],[centro_costo]],tblCECO[codigo],tblCECO[area],"(sin catálogo)"))</f>
        <v/>
      </c>
      <c r="Z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5">
        <f>IF(tblOrdenes[[#This Row],[centro_costo]]="","",_xlfn.XLOOKUP(tblOrdenes[[#This Row],[centro_costo]],tblCECO[codigo],tblCECO[coordinador],"(sin catálogo)"))</f>
        <v/>
      </c>
      <c r="AB937" s="5">
        <f>IF(tblOrdenes[[#This Row],[puesto_trabajo]]="","",_xlfn.XLOOKUP(tblOrdenes[[#This Row],[puesto_trabajo]],tblPuestos[codigo],tblPuestos[especialidad],"(sin catálogo)"))</f>
        <v/>
      </c>
      <c r="AC937" s="5">
        <f>IF(tblOrdenes[[#This Row],[cod_actividad]]="","",_xlfn.XLOOKUP(tblOrdenes[[#This Row],[cod_actividad]],tblActividades[codigo],tblActividades[descripcion],"(sin catálogo)"))</f>
        <v/>
      </c>
      <c r="AD937" s="23">
        <f>IF(tblOrdenes[[#This Row],[fecha_inicio]]="","",TODAY()-tblOrdenes[[#This Row],[fecha_inicio]])</f>
        <v/>
      </c>
      <c r="AE9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5">
        <f>IF(tblOrdenes[[#This Row],[backlog_habiles]]="","",IF(tblOrdenes[[#This Row],[backlog_habiles]]&lt;0,"FUTURO",IF(tblOrdenes[[#This Row],[backlog_habiles]]&gt;p_dias_backlog_max,"BACKLOG","MES CORRIENTE")))</f>
        <v/>
      </c>
      <c r="AG937" s="5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18">
        <f>IF(tblOrdenes[[#This Row],[orden]]="","",_xlfn.XLOOKUP(tblOrdenes[[#This Row],[id_operacion]],tblEjecucion[id_operacion],tblEjecucion[precio],0))</f>
        <v/>
      </c>
      <c r="AM937" s="18">
        <f>IF(tblOrdenes[[#This Row],[orden]]="","",MAX(0,_xlfn.XLOOKUP(tblOrdenes[[#This Row],[id_operacion]],tblEjecucion[id_operacion],tblEjecucion[costo_plan_total],0)-tblOrdenes[[#This Row],[costo_servicio]]))</f>
        <v/>
      </c>
      <c r="AN937" s="18">
        <f>IF(tblOrdenes[[#This Row],[orden]]="","",tblOrdenes[[#This Row],[costo_servicio]]+tblOrdenes[[#This Row],[costo_materiales]])</f>
        <v/>
      </c>
      <c r="AO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5">
        <f>IF(tblOrdenes[[#This Row],[link_checklist]]="","",HYPERLINK(p_ruta_base_checklists&amp;tblOrdenes[[#This Row],[link_checklist]],"abrir"))</f>
        <v/>
      </c>
      <c r="AT937" s="4" t="n"/>
      <c r="AU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5" t="n"/>
      <c r="K938" s="5" t="n"/>
      <c r="L938" s="18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Row],[fecha_inicio]]="","",tblOrdenes[[#This Row],[anio]]&amp;"-"&amp;TEXT(tblOrdenes[[#This Row],[mes]],"00"))</f>
        <v/>
      </c>
      <c r="S938" s="5">
        <f>IF(tblOrdenes[[#This Row],[fecha_inicio]]="","",INDEX(lista_dias,WEEKDAY(tblOrdenes[[#This Row],[fecha_inicio]],2)))</f>
        <v/>
      </c>
      <c r="T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5">
        <f>IF(tblOrdenes[[#This Row],[tipo_ot]]="","",_xlfn.XLOOKUP(tblOrdenes[[#This Row],[tipo_ot]],tblTiposOT[codigo],tblTiposOT[clasificacion],"sin_clasificar"))</f>
        <v/>
      </c>
      <c r="V9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5">
        <f>IF(tblOrdenes[[#This Row],[centro_costo]]="","",_xlfn.XLOOKUP(tblOrdenes[[#This Row],[centro_costo]],tblCECO[codigo],tblCECO[linea],"(sin catálogo)"))</f>
        <v/>
      </c>
      <c r="Y938" s="5">
        <f>IF(tblOrdenes[[#This Row],[centro_costo]]="","",_xlfn.XLOOKUP(tblOrdenes[[#This Row],[centro_costo]],tblCECO[codigo],tblCECO[area],"(sin catálogo)"))</f>
        <v/>
      </c>
      <c r="Z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5">
        <f>IF(tblOrdenes[[#This Row],[centro_costo]]="","",_xlfn.XLOOKUP(tblOrdenes[[#This Row],[centro_costo]],tblCECO[codigo],tblCECO[coordinador],"(sin catálogo)"))</f>
        <v/>
      </c>
      <c r="AB938" s="5">
        <f>IF(tblOrdenes[[#This Row],[puesto_trabajo]]="","",_xlfn.XLOOKUP(tblOrdenes[[#This Row],[puesto_trabajo]],tblPuestos[codigo],tblPuestos[especialidad],"(sin catálogo)"))</f>
        <v/>
      </c>
      <c r="AC938" s="5">
        <f>IF(tblOrdenes[[#This Row],[cod_actividad]]="","",_xlfn.XLOOKUP(tblOrdenes[[#This Row],[cod_actividad]],tblActividades[codigo],tblActividades[descripcion],"(sin catálogo)"))</f>
        <v/>
      </c>
      <c r="AD938" s="23">
        <f>IF(tblOrdenes[[#This Row],[fecha_inicio]]="","",TODAY()-tblOrdenes[[#This Row],[fecha_inicio]])</f>
        <v/>
      </c>
      <c r="AE9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5">
        <f>IF(tblOrdenes[[#This Row],[backlog_habiles]]="","",IF(tblOrdenes[[#This Row],[backlog_habiles]]&lt;0,"FUTURO",IF(tblOrdenes[[#This Row],[backlog_habiles]]&gt;p_dias_backlog_max,"BACKLOG","MES CORRIENTE")))</f>
        <v/>
      </c>
      <c r="AG938" s="5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18">
        <f>IF(tblOrdenes[[#This Row],[orden]]="","",_xlfn.XLOOKUP(tblOrdenes[[#This Row],[id_operacion]],tblEjecucion[id_operacion],tblEjecucion[precio],0))</f>
        <v/>
      </c>
      <c r="AM938" s="18">
        <f>IF(tblOrdenes[[#This Row],[orden]]="","",MAX(0,_xlfn.XLOOKUP(tblOrdenes[[#This Row],[id_operacion]],tblEjecucion[id_operacion],tblEjecucion[costo_plan_total],0)-tblOrdenes[[#This Row],[costo_servicio]]))</f>
        <v/>
      </c>
      <c r="AN938" s="18">
        <f>IF(tblOrdenes[[#This Row],[orden]]="","",tblOrdenes[[#This Row],[costo_servicio]]+tblOrdenes[[#This Row],[costo_materiales]])</f>
        <v/>
      </c>
      <c r="AO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5">
        <f>IF(tblOrdenes[[#This Row],[link_checklist]]="","",HYPERLINK(p_ruta_base_checklists&amp;tblOrdenes[[#This Row],[link_checklist]],"abrir"))</f>
        <v/>
      </c>
      <c r="AT938" s="4" t="n"/>
      <c r="AU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5" t="n"/>
      <c r="K939" s="5" t="n"/>
      <c r="L939" s="18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Row],[fecha_inicio]]="","",tblOrdenes[[#This Row],[anio]]&amp;"-"&amp;TEXT(tblOrdenes[[#This Row],[mes]],"00"))</f>
        <v/>
      </c>
      <c r="S939" s="5">
        <f>IF(tblOrdenes[[#This Row],[fecha_inicio]]="","",INDEX(lista_dias,WEEKDAY(tblOrdenes[[#This Row],[fecha_inicio]],2)))</f>
        <v/>
      </c>
      <c r="T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5">
        <f>IF(tblOrdenes[[#This Row],[tipo_ot]]="","",_xlfn.XLOOKUP(tblOrdenes[[#This Row],[tipo_ot]],tblTiposOT[codigo],tblTiposOT[clasificacion],"sin_clasificar"))</f>
        <v/>
      </c>
      <c r="V9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5">
        <f>IF(tblOrdenes[[#This Row],[centro_costo]]="","",_xlfn.XLOOKUP(tblOrdenes[[#This Row],[centro_costo]],tblCECO[codigo],tblCECO[linea],"(sin catálogo)"))</f>
        <v/>
      </c>
      <c r="Y939" s="5">
        <f>IF(tblOrdenes[[#This Row],[centro_costo]]="","",_xlfn.XLOOKUP(tblOrdenes[[#This Row],[centro_costo]],tblCECO[codigo],tblCECO[area],"(sin catálogo)"))</f>
        <v/>
      </c>
      <c r="Z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5">
        <f>IF(tblOrdenes[[#This Row],[centro_costo]]="","",_xlfn.XLOOKUP(tblOrdenes[[#This Row],[centro_costo]],tblCECO[codigo],tblCECO[coordinador],"(sin catálogo)"))</f>
        <v/>
      </c>
      <c r="AB939" s="5">
        <f>IF(tblOrdenes[[#This Row],[puesto_trabajo]]="","",_xlfn.XLOOKUP(tblOrdenes[[#This Row],[puesto_trabajo]],tblPuestos[codigo],tblPuestos[especialidad],"(sin catálogo)"))</f>
        <v/>
      </c>
      <c r="AC939" s="5">
        <f>IF(tblOrdenes[[#This Row],[cod_actividad]]="","",_xlfn.XLOOKUP(tblOrdenes[[#This Row],[cod_actividad]],tblActividades[codigo],tblActividades[descripcion],"(sin catálogo)"))</f>
        <v/>
      </c>
      <c r="AD939" s="23">
        <f>IF(tblOrdenes[[#This Row],[fecha_inicio]]="","",TODAY()-tblOrdenes[[#This Row],[fecha_inicio]])</f>
        <v/>
      </c>
      <c r="AE9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5">
        <f>IF(tblOrdenes[[#This Row],[backlog_habiles]]="","",IF(tblOrdenes[[#This Row],[backlog_habiles]]&lt;0,"FUTURO",IF(tblOrdenes[[#This Row],[backlog_habiles]]&gt;p_dias_backlog_max,"BACKLOG","MES CORRIENTE")))</f>
        <v/>
      </c>
      <c r="AG939" s="5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18">
        <f>IF(tblOrdenes[[#This Row],[orden]]="","",_xlfn.XLOOKUP(tblOrdenes[[#This Row],[id_operacion]],tblEjecucion[id_operacion],tblEjecucion[precio],0))</f>
        <v/>
      </c>
      <c r="AM939" s="18">
        <f>IF(tblOrdenes[[#This Row],[orden]]="","",MAX(0,_xlfn.XLOOKUP(tblOrdenes[[#This Row],[id_operacion]],tblEjecucion[id_operacion],tblEjecucion[costo_plan_total],0)-tblOrdenes[[#This Row],[costo_servicio]]))</f>
        <v/>
      </c>
      <c r="AN939" s="18">
        <f>IF(tblOrdenes[[#This Row],[orden]]="","",tblOrdenes[[#This Row],[costo_servicio]]+tblOrdenes[[#This Row],[costo_materiales]])</f>
        <v/>
      </c>
      <c r="AO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5">
        <f>IF(tblOrdenes[[#This Row],[link_checklist]]="","",HYPERLINK(p_ruta_base_checklists&amp;tblOrdenes[[#This Row],[link_checklist]],"abrir"))</f>
        <v/>
      </c>
      <c r="AT939" s="4" t="n"/>
      <c r="AU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5" t="n"/>
      <c r="K940" s="5" t="n"/>
      <c r="L940" s="18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Row],[fecha_inicio]]="","",tblOrdenes[[#This Row],[anio]]&amp;"-"&amp;TEXT(tblOrdenes[[#This Row],[mes]],"00"))</f>
        <v/>
      </c>
      <c r="S940" s="5">
        <f>IF(tblOrdenes[[#This Row],[fecha_inicio]]="","",INDEX(lista_dias,WEEKDAY(tblOrdenes[[#This Row],[fecha_inicio]],2)))</f>
        <v/>
      </c>
      <c r="T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5">
        <f>IF(tblOrdenes[[#This Row],[tipo_ot]]="","",_xlfn.XLOOKUP(tblOrdenes[[#This Row],[tipo_ot]],tblTiposOT[codigo],tblTiposOT[clasificacion],"sin_clasificar"))</f>
        <v/>
      </c>
      <c r="V9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5">
        <f>IF(tblOrdenes[[#This Row],[centro_costo]]="","",_xlfn.XLOOKUP(tblOrdenes[[#This Row],[centro_costo]],tblCECO[codigo],tblCECO[linea],"(sin catálogo)"))</f>
        <v/>
      </c>
      <c r="Y940" s="5">
        <f>IF(tblOrdenes[[#This Row],[centro_costo]]="","",_xlfn.XLOOKUP(tblOrdenes[[#This Row],[centro_costo]],tblCECO[codigo],tblCECO[area],"(sin catálogo)"))</f>
        <v/>
      </c>
      <c r="Z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5">
        <f>IF(tblOrdenes[[#This Row],[centro_costo]]="","",_xlfn.XLOOKUP(tblOrdenes[[#This Row],[centro_costo]],tblCECO[codigo],tblCECO[coordinador],"(sin catálogo)"))</f>
        <v/>
      </c>
      <c r="AB940" s="5">
        <f>IF(tblOrdenes[[#This Row],[puesto_trabajo]]="","",_xlfn.XLOOKUP(tblOrdenes[[#This Row],[puesto_trabajo]],tblPuestos[codigo],tblPuestos[especialidad],"(sin catálogo)"))</f>
        <v/>
      </c>
      <c r="AC940" s="5">
        <f>IF(tblOrdenes[[#This Row],[cod_actividad]]="","",_xlfn.XLOOKUP(tblOrdenes[[#This Row],[cod_actividad]],tblActividades[codigo],tblActividades[descripcion],"(sin catálogo)"))</f>
        <v/>
      </c>
      <c r="AD940" s="23">
        <f>IF(tblOrdenes[[#This Row],[fecha_inicio]]="","",TODAY()-tblOrdenes[[#This Row],[fecha_inicio]])</f>
        <v/>
      </c>
      <c r="AE9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5">
        <f>IF(tblOrdenes[[#This Row],[backlog_habiles]]="","",IF(tblOrdenes[[#This Row],[backlog_habiles]]&lt;0,"FUTURO",IF(tblOrdenes[[#This Row],[backlog_habiles]]&gt;p_dias_backlog_max,"BACKLOG","MES CORRIENTE")))</f>
        <v/>
      </c>
      <c r="AG940" s="5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18">
        <f>IF(tblOrdenes[[#This Row],[orden]]="","",_xlfn.XLOOKUP(tblOrdenes[[#This Row],[id_operacion]],tblEjecucion[id_operacion],tblEjecucion[precio],0))</f>
        <v/>
      </c>
      <c r="AM940" s="18">
        <f>IF(tblOrdenes[[#This Row],[orden]]="","",MAX(0,_xlfn.XLOOKUP(tblOrdenes[[#This Row],[id_operacion]],tblEjecucion[id_operacion],tblEjecucion[costo_plan_total],0)-tblOrdenes[[#This Row],[costo_servicio]]))</f>
        <v/>
      </c>
      <c r="AN940" s="18">
        <f>IF(tblOrdenes[[#This Row],[orden]]="","",tblOrdenes[[#This Row],[costo_servicio]]+tblOrdenes[[#This Row],[costo_materiales]])</f>
        <v/>
      </c>
      <c r="AO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5">
        <f>IF(tblOrdenes[[#This Row],[link_checklist]]="","",HYPERLINK(p_ruta_base_checklists&amp;tblOrdenes[[#This Row],[link_checklist]],"abrir"))</f>
        <v/>
      </c>
      <c r="AT940" s="4" t="n"/>
      <c r="AU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5" t="n"/>
      <c r="K941" s="5" t="n"/>
      <c r="L941" s="18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Row],[fecha_inicio]]="","",tblOrdenes[[#This Row],[anio]]&amp;"-"&amp;TEXT(tblOrdenes[[#This Row],[mes]],"00"))</f>
        <v/>
      </c>
      <c r="S941" s="5">
        <f>IF(tblOrdenes[[#This Row],[fecha_inicio]]="","",INDEX(lista_dias,WEEKDAY(tblOrdenes[[#This Row],[fecha_inicio]],2)))</f>
        <v/>
      </c>
      <c r="T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5">
        <f>IF(tblOrdenes[[#This Row],[tipo_ot]]="","",_xlfn.XLOOKUP(tblOrdenes[[#This Row],[tipo_ot]],tblTiposOT[codigo],tblTiposOT[clasificacion],"sin_clasificar"))</f>
        <v/>
      </c>
      <c r="V9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5">
        <f>IF(tblOrdenes[[#This Row],[centro_costo]]="","",_xlfn.XLOOKUP(tblOrdenes[[#This Row],[centro_costo]],tblCECO[codigo],tblCECO[linea],"(sin catálogo)"))</f>
        <v/>
      </c>
      <c r="Y941" s="5">
        <f>IF(tblOrdenes[[#This Row],[centro_costo]]="","",_xlfn.XLOOKUP(tblOrdenes[[#This Row],[centro_costo]],tblCECO[codigo],tblCECO[area],"(sin catálogo)"))</f>
        <v/>
      </c>
      <c r="Z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5">
        <f>IF(tblOrdenes[[#This Row],[centro_costo]]="","",_xlfn.XLOOKUP(tblOrdenes[[#This Row],[centro_costo]],tblCECO[codigo],tblCECO[coordinador],"(sin catálogo)"))</f>
        <v/>
      </c>
      <c r="AB941" s="5">
        <f>IF(tblOrdenes[[#This Row],[puesto_trabajo]]="","",_xlfn.XLOOKUP(tblOrdenes[[#This Row],[puesto_trabajo]],tblPuestos[codigo],tblPuestos[especialidad],"(sin catálogo)"))</f>
        <v/>
      </c>
      <c r="AC941" s="5">
        <f>IF(tblOrdenes[[#This Row],[cod_actividad]]="","",_xlfn.XLOOKUP(tblOrdenes[[#This Row],[cod_actividad]],tblActividades[codigo],tblActividades[descripcion],"(sin catálogo)"))</f>
        <v/>
      </c>
      <c r="AD941" s="23">
        <f>IF(tblOrdenes[[#This Row],[fecha_inicio]]="","",TODAY()-tblOrdenes[[#This Row],[fecha_inicio]])</f>
        <v/>
      </c>
      <c r="AE9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5">
        <f>IF(tblOrdenes[[#This Row],[backlog_habiles]]="","",IF(tblOrdenes[[#This Row],[backlog_habiles]]&lt;0,"FUTURO",IF(tblOrdenes[[#This Row],[backlog_habiles]]&gt;p_dias_backlog_max,"BACKLOG","MES CORRIENTE")))</f>
        <v/>
      </c>
      <c r="AG941" s="5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18">
        <f>IF(tblOrdenes[[#This Row],[orden]]="","",_xlfn.XLOOKUP(tblOrdenes[[#This Row],[id_operacion]],tblEjecucion[id_operacion],tblEjecucion[precio],0))</f>
        <v/>
      </c>
      <c r="AM941" s="18">
        <f>IF(tblOrdenes[[#This Row],[orden]]="","",MAX(0,_xlfn.XLOOKUP(tblOrdenes[[#This Row],[id_operacion]],tblEjecucion[id_operacion],tblEjecucion[costo_plan_total],0)-tblOrdenes[[#This Row],[costo_servicio]]))</f>
        <v/>
      </c>
      <c r="AN941" s="18">
        <f>IF(tblOrdenes[[#This Row],[orden]]="","",tblOrdenes[[#This Row],[costo_servicio]]+tblOrdenes[[#This Row],[costo_materiales]])</f>
        <v/>
      </c>
      <c r="AO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5">
        <f>IF(tblOrdenes[[#This Row],[link_checklist]]="","",HYPERLINK(p_ruta_base_checklists&amp;tblOrdenes[[#This Row],[link_checklist]],"abrir"))</f>
        <v/>
      </c>
      <c r="AT941" s="4" t="n"/>
      <c r="AU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5" t="n"/>
      <c r="K942" s="5" t="n"/>
      <c r="L942" s="18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Row],[fecha_inicio]]="","",tblOrdenes[[#This Row],[anio]]&amp;"-"&amp;TEXT(tblOrdenes[[#This Row],[mes]],"00"))</f>
        <v/>
      </c>
      <c r="S942" s="5">
        <f>IF(tblOrdenes[[#This Row],[fecha_inicio]]="","",INDEX(lista_dias,WEEKDAY(tblOrdenes[[#This Row],[fecha_inicio]],2)))</f>
        <v/>
      </c>
      <c r="T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5">
        <f>IF(tblOrdenes[[#This Row],[tipo_ot]]="","",_xlfn.XLOOKUP(tblOrdenes[[#This Row],[tipo_ot]],tblTiposOT[codigo],tblTiposOT[clasificacion],"sin_clasificar"))</f>
        <v/>
      </c>
      <c r="V9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5">
        <f>IF(tblOrdenes[[#This Row],[centro_costo]]="","",_xlfn.XLOOKUP(tblOrdenes[[#This Row],[centro_costo]],tblCECO[codigo],tblCECO[linea],"(sin catálogo)"))</f>
        <v/>
      </c>
      <c r="Y942" s="5">
        <f>IF(tblOrdenes[[#This Row],[centro_costo]]="","",_xlfn.XLOOKUP(tblOrdenes[[#This Row],[centro_costo]],tblCECO[codigo],tblCECO[area],"(sin catálogo)"))</f>
        <v/>
      </c>
      <c r="Z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5">
        <f>IF(tblOrdenes[[#This Row],[centro_costo]]="","",_xlfn.XLOOKUP(tblOrdenes[[#This Row],[centro_costo]],tblCECO[codigo],tblCECO[coordinador],"(sin catálogo)"))</f>
        <v/>
      </c>
      <c r="AB942" s="5">
        <f>IF(tblOrdenes[[#This Row],[puesto_trabajo]]="","",_xlfn.XLOOKUP(tblOrdenes[[#This Row],[puesto_trabajo]],tblPuestos[codigo],tblPuestos[especialidad],"(sin catálogo)"))</f>
        <v/>
      </c>
      <c r="AC942" s="5">
        <f>IF(tblOrdenes[[#This Row],[cod_actividad]]="","",_xlfn.XLOOKUP(tblOrdenes[[#This Row],[cod_actividad]],tblActividades[codigo],tblActividades[descripcion],"(sin catálogo)"))</f>
        <v/>
      </c>
      <c r="AD942" s="23">
        <f>IF(tblOrdenes[[#This Row],[fecha_inicio]]="","",TODAY()-tblOrdenes[[#This Row],[fecha_inicio]])</f>
        <v/>
      </c>
      <c r="AE9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5">
        <f>IF(tblOrdenes[[#This Row],[backlog_habiles]]="","",IF(tblOrdenes[[#This Row],[backlog_habiles]]&lt;0,"FUTURO",IF(tblOrdenes[[#This Row],[backlog_habiles]]&gt;p_dias_backlog_max,"BACKLOG","MES CORRIENTE")))</f>
        <v/>
      </c>
      <c r="AG942" s="5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18">
        <f>IF(tblOrdenes[[#This Row],[orden]]="","",_xlfn.XLOOKUP(tblOrdenes[[#This Row],[id_operacion]],tblEjecucion[id_operacion],tblEjecucion[precio],0))</f>
        <v/>
      </c>
      <c r="AM942" s="18">
        <f>IF(tblOrdenes[[#This Row],[orden]]="","",MAX(0,_xlfn.XLOOKUP(tblOrdenes[[#This Row],[id_operacion]],tblEjecucion[id_operacion],tblEjecucion[costo_plan_total],0)-tblOrdenes[[#This Row],[costo_servicio]]))</f>
        <v/>
      </c>
      <c r="AN942" s="18">
        <f>IF(tblOrdenes[[#This Row],[orden]]="","",tblOrdenes[[#This Row],[costo_servicio]]+tblOrdenes[[#This Row],[costo_materiales]])</f>
        <v/>
      </c>
      <c r="AO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5">
        <f>IF(tblOrdenes[[#This Row],[link_checklist]]="","",HYPERLINK(p_ruta_base_checklists&amp;tblOrdenes[[#This Row],[link_checklist]],"abrir"))</f>
        <v/>
      </c>
      <c r="AT942" s="4" t="n"/>
      <c r="AU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5" t="n"/>
      <c r="K943" s="5" t="n"/>
      <c r="L943" s="18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Row],[fecha_inicio]]="","",tblOrdenes[[#This Row],[anio]]&amp;"-"&amp;TEXT(tblOrdenes[[#This Row],[mes]],"00"))</f>
        <v/>
      </c>
      <c r="S943" s="5">
        <f>IF(tblOrdenes[[#This Row],[fecha_inicio]]="","",INDEX(lista_dias,WEEKDAY(tblOrdenes[[#This Row],[fecha_inicio]],2)))</f>
        <v/>
      </c>
      <c r="T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5">
        <f>IF(tblOrdenes[[#This Row],[tipo_ot]]="","",_xlfn.XLOOKUP(tblOrdenes[[#This Row],[tipo_ot]],tblTiposOT[codigo],tblTiposOT[clasificacion],"sin_clasificar"))</f>
        <v/>
      </c>
      <c r="V9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5">
        <f>IF(tblOrdenes[[#This Row],[centro_costo]]="","",_xlfn.XLOOKUP(tblOrdenes[[#This Row],[centro_costo]],tblCECO[codigo],tblCECO[linea],"(sin catálogo)"))</f>
        <v/>
      </c>
      <c r="Y943" s="5">
        <f>IF(tblOrdenes[[#This Row],[centro_costo]]="","",_xlfn.XLOOKUP(tblOrdenes[[#This Row],[centro_costo]],tblCECO[codigo],tblCECO[area],"(sin catálogo)"))</f>
        <v/>
      </c>
      <c r="Z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5">
        <f>IF(tblOrdenes[[#This Row],[centro_costo]]="","",_xlfn.XLOOKUP(tblOrdenes[[#This Row],[centro_costo]],tblCECO[codigo],tblCECO[coordinador],"(sin catálogo)"))</f>
        <v/>
      </c>
      <c r="AB943" s="5">
        <f>IF(tblOrdenes[[#This Row],[puesto_trabajo]]="","",_xlfn.XLOOKUP(tblOrdenes[[#This Row],[puesto_trabajo]],tblPuestos[codigo],tblPuestos[especialidad],"(sin catálogo)"))</f>
        <v/>
      </c>
      <c r="AC943" s="5">
        <f>IF(tblOrdenes[[#This Row],[cod_actividad]]="","",_xlfn.XLOOKUP(tblOrdenes[[#This Row],[cod_actividad]],tblActividades[codigo],tblActividades[descripcion],"(sin catálogo)"))</f>
        <v/>
      </c>
      <c r="AD943" s="23">
        <f>IF(tblOrdenes[[#This Row],[fecha_inicio]]="","",TODAY()-tblOrdenes[[#This Row],[fecha_inicio]])</f>
        <v/>
      </c>
      <c r="AE9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5">
        <f>IF(tblOrdenes[[#This Row],[backlog_habiles]]="","",IF(tblOrdenes[[#This Row],[backlog_habiles]]&lt;0,"FUTURO",IF(tblOrdenes[[#This Row],[backlog_habiles]]&gt;p_dias_backlog_max,"BACKLOG","MES CORRIENTE")))</f>
        <v/>
      </c>
      <c r="AG943" s="5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18">
        <f>IF(tblOrdenes[[#This Row],[orden]]="","",_xlfn.XLOOKUP(tblOrdenes[[#This Row],[id_operacion]],tblEjecucion[id_operacion],tblEjecucion[precio],0))</f>
        <v/>
      </c>
      <c r="AM943" s="18">
        <f>IF(tblOrdenes[[#This Row],[orden]]="","",MAX(0,_xlfn.XLOOKUP(tblOrdenes[[#This Row],[id_operacion]],tblEjecucion[id_operacion],tblEjecucion[costo_plan_total],0)-tblOrdenes[[#This Row],[costo_servicio]]))</f>
        <v/>
      </c>
      <c r="AN943" s="18">
        <f>IF(tblOrdenes[[#This Row],[orden]]="","",tblOrdenes[[#This Row],[costo_servicio]]+tblOrdenes[[#This Row],[costo_materiales]])</f>
        <v/>
      </c>
      <c r="AO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5">
        <f>IF(tblOrdenes[[#This Row],[link_checklist]]="","",HYPERLINK(p_ruta_base_checklists&amp;tblOrdenes[[#This Row],[link_checklist]],"abrir"))</f>
        <v/>
      </c>
      <c r="AT943" s="4" t="n"/>
      <c r="AU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5" t="n"/>
      <c r="K944" s="5" t="n"/>
      <c r="L944" s="18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Row],[fecha_inicio]]="","",tblOrdenes[[#This Row],[anio]]&amp;"-"&amp;TEXT(tblOrdenes[[#This Row],[mes]],"00"))</f>
        <v/>
      </c>
      <c r="S944" s="5">
        <f>IF(tblOrdenes[[#This Row],[fecha_inicio]]="","",INDEX(lista_dias,WEEKDAY(tblOrdenes[[#This Row],[fecha_inicio]],2)))</f>
        <v/>
      </c>
      <c r="T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5">
        <f>IF(tblOrdenes[[#This Row],[tipo_ot]]="","",_xlfn.XLOOKUP(tblOrdenes[[#This Row],[tipo_ot]],tblTiposOT[codigo],tblTiposOT[clasificacion],"sin_clasificar"))</f>
        <v/>
      </c>
      <c r="V9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5">
        <f>IF(tblOrdenes[[#This Row],[centro_costo]]="","",_xlfn.XLOOKUP(tblOrdenes[[#This Row],[centro_costo]],tblCECO[codigo],tblCECO[linea],"(sin catálogo)"))</f>
        <v/>
      </c>
      <c r="Y944" s="5">
        <f>IF(tblOrdenes[[#This Row],[centro_costo]]="","",_xlfn.XLOOKUP(tblOrdenes[[#This Row],[centro_costo]],tblCECO[codigo],tblCECO[area],"(sin catálogo)"))</f>
        <v/>
      </c>
      <c r="Z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5">
        <f>IF(tblOrdenes[[#This Row],[centro_costo]]="","",_xlfn.XLOOKUP(tblOrdenes[[#This Row],[centro_costo]],tblCECO[codigo],tblCECO[coordinador],"(sin catálogo)"))</f>
        <v/>
      </c>
      <c r="AB944" s="5">
        <f>IF(tblOrdenes[[#This Row],[puesto_trabajo]]="","",_xlfn.XLOOKUP(tblOrdenes[[#This Row],[puesto_trabajo]],tblPuestos[codigo],tblPuestos[especialidad],"(sin catálogo)"))</f>
        <v/>
      </c>
      <c r="AC944" s="5">
        <f>IF(tblOrdenes[[#This Row],[cod_actividad]]="","",_xlfn.XLOOKUP(tblOrdenes[[#This Row],[cod_actividad]],tblActividades[codigo],tblActividades[descripcion],"(sin catálogo)"))</f>
        <v/>
      </c>
      <c r="AD944" s="23">
        <f>IF(tblOrdenes[[#This Row],[fecha_inicio]]="","",TODAY()-tblOrdenes[[#This Row],[fecha_inicio]])</f>
        <v/>
      </c>
      <c r="AE9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5">
        <f>IF(tblOrdenes[[#This Row],[backlog_habiles]]="","",IF(tblOrdenes[[#This Row],[backlog_habiles]]&lt;0,"FUTURO",IF(tblOrdenes[[#This Row],[backlog_habiles]]&gt;p_dias_backlog_max,"BACKLOG","MES CORRIENTE")))</f>
        <v/>
      </c>
      <c r="AG944" s="5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18">
        <f>IF(tblOrdenes[[#This Row],[orden]]="","",_xlfn.XLOOKUP(tblOrdenes[[#This Row],[id_operacion]],tblEjecucion[id_operacion],tblEjecucion[precio],0))</f>
        <v/>
      </c>
      <c r="AM944" s="18">
        <f>IF(tblOrdenes[[#This Row],[orden]]="","",MAX(0,_xlfn.XLOOKUP(tblOrdenes[[#This Row],[id_operacion]],tblEjecucion[id_operacion],tblEjecucion[costo_plan_total],0)-tblOrdenes[[#This Row],[costo_servicio]]))</f>
        <v/>
      </c>
      <c r="AN944" s="18">
        <f>IF(tblOrdenes[[#This Row],[orden]]="","",tblOrdenes[[#This Row],[costo_servicio]]+tblOrdenes[[#This Row],[costo_materiales]])</f>
        <v/>
      </c>
      <c r="AO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5">
        <f>IF(tblOrdenes[[#This Row],[link_checklist]]="","",HYPERLINK(p_ruta_base_checklists&amp;tblOrdenes[[#This Row],[link_checklist]],"abrir"))</f>
        <v/>
      </c>
      <c r="AT944" s="4" t="n"/>
      <c r="AU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5" t="n"/>
      <c r="K945" s="5" t="n"/>
      <c r="L945" s="18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Row],[fecha_inicio]]="","",tblOrdenes[[#This Row],[anio]]&amp;"-"&amp;TEXT(tblOrdenes[[#This Row],[mes]],"00"))</f>
        <v/>
      </c>
      <c r="S945" s="5">
        <f>IF(tblOrdenes[[#This Row],[fecha_inicio]]="","",INDEX(lista_dias,WEEKDAY(tblOrdenes[[#This Row],[fecha_inicio]],2)))</f>
        <v/>
      </c>
      <c r="T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5">
        <f>IF(tblOrdenes[[#This Row],[tipo_ot]]="","",_xlfn.XLOOKUP(tblOrdenes[[#This Row],[tipo_ot]],tblTiposOT[codigo],tblTiposOT[clasificacion],"sin_clasificar"))</f>
        <v/>
      </c>
      <c r="V9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5">
        <f>IF(tblOrdenes[[#This Row],[centro_costo]]="","",_xlfn.XLOOKUP(tblOrdenes[[#This Row],[centro_costo]],tblCECO[codigo],tblCECO[linea],"(sin catálogo)"))</f>
        <v/>
      </c>
      <c r="Y945" s="5">
        <f>IF(tblOrdenes[[#This Row],[centro_costo]]="","",_xlfn.XLOOKUP(tblOrdenes[[#This Row],[centro_costo]],tblCECO[codigo],tblCECO[area],"(sin catálogo)"))</f>
        <v/>
      </c>
      <c r="Z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5">
        <f>IF(tblOrdenes[[#This Row],[centro_costo]]="","",_xlfn.XLOOKUP(tblOrdenes[[#This Row],[centro_costo]],tblCECO[codigo],tblCECO[coordinador],"(sin catálogo)"))</f>
        <v/>
      </c>
      <c r="AB945" s="5">
        <f>IF(tblOrdenes[[#This Row],[puesto_trabajo]]="","",_xlfn.XLOOKUP(tblOrdenes[[#This Row],[puesto_trabajo]],tblPuestos[codigo],tblPuestos[especialidad],"(sin catálogo)"))</f>
        <v/>
      </c>
      <c r="AC945" s="5">
        <f>IF(tblOrdenes[[#This Row],[cod_actividad]]="","",_xlfn.XLOOKUP(tblOrdenes[[#This Row],[cod_actividad]],tblActividades[codigo],tblActividades[descripcion],"(sin catálogo)"))</f>
        <v/>
      </c>
      <c r="AD945" s="23">
        <f>IF(tblOrdenes[[#This Row],[fecha_inicio]]="","",TODAY()-tblOrdenes[[#This Row],[fecha_inicio]])</f>
        <v/>
      </c>
      <c r="AE9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5">
        <f>IF(tblOrdenes[[#This Row],[backlog_habiles]]="","",IF(tblOrdenes[[#This Row],[backlog_habiles]]&lt;0,"FUTURO",IF(tblOrdenes[[#This Row],[backlog_habiles]]&gt;p_dias_backlog_max,"BACKLOG","MES CORRIENTE")))</f>
        <v/>
      </c>
      <c r="AG945" s="5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18">
        <f>IF(tblOrdenes[[#This Row],[orden]]="","",_xlfn.XLOOKUP(tblOrdenes[[#This Row],[id_operacion]],tblEjecucion[id_operacion],tblEjecucion[precio],0))</f>
        <v/>
      </c>
      <c r="AM945" s="18">
        <f>IF(tblOrdenes[[#This Row],[orden]]="","",MAX(0,_xlfn.XLOOKUP(tblOrdenes[[#This Row],[id_operacion]],tblEjecucion[id_operacion],tblEjecucion[costo_plan_total],0)-tblOrdenes[[#This Row],[costo_servicio]]))</f>
        <v/>
      </c>
      <c r="AN945" s="18">
        <f>IF(tblOrdenes[[#This Row],[orden]]="","",tblOrdenes[[#This Row],[costo_servicio]]+tblOrdenes[[#This Row],[costo_materiales]])</f>
        <v/>
      </c>
      <c r="AO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5">
        <f>IF(tblOrdenes[[#This Row],[link_checklist]]="","",HYPERLINK(p_ruta_base_checklists&amp;tblOrdenes[[#This Row],[link_checklist]],"abrir"))</f>
        <v/>
      </c>
      <c r="AT945" s="4" t="n"/>
      <c r="AU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5" t="n"/>
      <c r="K946" s="5" t="n"/>
      <c r="L946" s="18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Row],[fecha_inicio]]="","",tblOrdenes[[#This Row],[anio]]&amp;"-"&amp;TEXT(tblOrdenes[[#This Row],[mes]],"00"))</f>
        <v/>
      </c>
      <c r="S946" s="5">
        <f>IF(tblOrdenes[[#This Row],[fecha_inicio]]="","",INDEX(lista_dias,WEEKDAY(tblOrdenes[[#This Row],[fecha_inicio]],2)))</f>
        <v/>
      </c>
      <c r="T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5">
        <f>IF(tblOrdenes[[#This Row],[tipo_ot]]="","",_xlfn.XLOOKUP(tblOrdenes[[#This Row],[tipo_ot]],tblTiposOT[codigo],tblTiposOT[clasificacion],"sin_clasificar"))</f>
        <v/>
      </c>
      <c r="V9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5">
        <f>IF(tblOrdenes[[#This Row],[centro_costo]]="","",_xlfn.XLOOKUP(tblOrdenes[[#This Row],[centro_costo]],tblCECO[codigo],tblCECO[linea],"(sin catálogo)"))</f>
        <v/>
      </c>
      <c r="Y946" s="5">
        <f>IF(tblOrdenes[[#This Row],[centro_costo]]="","",_xlfn.XLOOKUP(tblOrdenes[[#This Row],[centro_costo]],tblCECO[codigo],tblCECO[area],"(sin catálogo)"))</f>
        <v/>
      </c>
      <c r="Z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5">
        <f>IF(tblOrdenes[[#This Row],[centro_costo]]="","",_xlfn.XLOOKUP(tblOrdenes[[#This Row],[centro_costo]],tblCECO[codigo],tblCECO[coordinador],"(sin catálogo)"))</f>
        <v/>
      </c>
      <c r="AB946" s="5">
        <f>IF(tblOrdenes[[#This Row],[puesto_trabajo]]="","",_xlfn.XLOOKUP(tblOrdenes[[#This Row],[puesto_trabajo]],tblPuestos[codigo],tblPuestos[especialidad],"(sin catálogo)"))</f>
        <v/>
      </c>
      <c r="AC946" s="5">
        <f>IF(tblOrdenes[[#This Row],[cod_actividad]]="","",_xlfn.XLOOKUP(tblOrdenes[[#This Row],[cod_actividad]],tblActividades[codigo],tblActividades[descripcion],"(sin catálogo)"))</f>
        <v/>
      </c>
      <c r="AD946" s="23">
        <f>IF(tblOrdenes[[#This Row],[fecha_inicio]]="","",TODAY()-tblOrdenes[[#This Row],[fecha_inicio]])</f>
        <v/>
      </c>
      <c r="AE9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5">
        <f>IF(tblOrdenes[[#This Row],[backlog_habiles]]="","",IF(tblOrdenes[[#This Row],[backlog_habiles]]&lt;0,"FUTURO",IF(tblOrdenes[[#This Row],[backlog_habiles]]&gt;p_dias_backlog_max,"BACKLOG","MES CORRIENTE")))</f>
        <v/>
      </c>
      <c r="AG946" s="5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18">
        <f>IF(tblOrdenes[[#This Row],[orden]]="","",_xlfn.XLOOKUP(tblOrdenes[[#This Row],[id_operacion]],tblEjecucion[id_operacion],tblEjecucion[precio],0))</f>
        <v/>
      </c>
      <c r="AM946" s="18">
        <f>IF(tblOrdenes[[#This Row],[orden]]="","",MAX(0,_xlfn.XLOOKUP(tblOrdenes[[#This Row],[id_operacion]],tblEjecucion[id_operacion],tblEjecucion[costo_plan_total],0)-tblOrdenes[[#This Row],[costo_servicio]]))</f>
        <v/>
      </c>
      <c r="AN946" s="18">
        <f>IF(tblOrdenes[[#This Row],[orden]]="","",tblOrdenes[[#This Row],[costo_servicio]]+tblOrdenes[[#This Row],[costo_materiales]])</f>
        <v/>
      </c>
      <c r="AO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5">
        <f>IF(tblOrdenes[[#This Row],[link_checklist]]="","",HYPERLINK(p_ruta_base_checklists&amp;tblOrdenes[[#This Row],[link_checklist]],"abrir"))</f>
        <v/>
      </c>
      <c r="AT946" s="4" t="n"/>
      <c r="AU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5" t="n"/>
      <c r="K947" s="5" t="n"/>
      <c r="L947" s="18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Row],[fecha_inicio]]="","",tblOrdenes[[#This Row],[anio]]&amp;"-"&amp;TEXT(tblOrdenes[[#This Row],[mes]],"00"))</f>
        <v/>
      </c>
      <c r="S947" s="5">
        <f>IF(tblOrdenes[[#This Row],[fecha_inicio]]="","",INDEX(lista_dias,WEEKDAY(tblOrdenes[[#This Row],[fecha_inicio]],2)))</f>
        <v/>
      </c>
      <c r="T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5">
        <f>IF(tblOrdenes[[#This Row],[tipo_ot]]="","",_xlfn.XLOOKUP(tblOrdenes[[#This Row],[tipo_ot]],tblTiposOT[codigo],tblTiposOT[clasificacion],"sin_clasificar"))</f>
        <v/>
      </c>
      <c r="V9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5">
        <f>IF(tblOrdenes[[#This Row],[centro_costo]]="","",_xlfn.XLOOKUP(tblOrdenes[[#This Row],[centro_costo]],tblCECO[codigo],tblCECO[linea],"(sin catálogo)"))</f>
        <v/>
      </c>
      <c r="Y947" s="5">
        <f>IF(tblOrdenes[[#This Row],[centro_costo]]="","",_xlfn.XLOOKUP(tblOrdenes[[#This Row],[centro_costo]],tblCECO[codigo],tblCECO[area],"(sin catálogo)"))</f>
        <v/>
      </c>
      <c r="Z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5">
        <f>IF(tblOrdenes[[#This Row],[centro_costo]]="","",_xlfn.XLOOKUP(tblOrdenes[[#This Row],[centro_costo]],tblCECO[codigo],tblCECO[coordinador],"(sin catálogo)"))</f>
        <v/>
      </c>
      <c r="AB947" s="5">
        <f>IF(tblOrdenes[[#This Row],[puesto_trabajo]]="","",_xlfn.XLOOKUP(tblOrdenes[[#This Row],[puesto_trabajo]],tblPuestos[codigo],tblPuestos[especialidad],"(sin catálogo)"))</f>
        <v/>
      </c>
      <c r="AC947" s="5">
        <f>IF(tblOrdenes[[#This Row],[cod_actividad]]="","",_xlfn.XLOOKUP(tblOrdenes[[#This Row],[cod_actividad]],tblActividades[codigo],tblActividades[descripcion],"(sin catálogo)"))</f>
        <v/>
      </c>
      <c r="AD947" s="23">
        <f>IF(tblOrdenes[[#This Row],[fecha_inicio]]="","",TODAY()-tblOrdenes[[#This Row],[fecha_inicio]])</f>
        <v/>
      </c>
      <c r="AE9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5">
        <f>IF(tblOrdenes[[#This Row],[backlog_habiles]]="","",IF(tblOrdenes[[#This Row],[backlog_habiles]]&lt;0,"FUTURO",IF(tblOrdenes[[#This Row],[backlog_habiles]]&gt;p_dias_backlog_max,"BACKLOG","MES CORRIENTE")))</f>
        <v/>
      </c>
      <c r="AG947" s="5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18">
        <f>IF(tblOrdenes[[#This Row],[orden]]="","",_xlfn.XLOOKUP(tblOrdenes[[#This Row],[id_operacion]],tblEjecucion[id_operacion],tblEjecucion[precio],0))</f>
        <v/>
      </c>
      <c r="AM947" s="18">
        <f>IF(tblOrdenes[[#This Row],[orden]]="","",MAX(0,_xlfn.XLOOKUP(tblOrdenes[[#This Row],[id_operacion]],tblEjecucion[id_operacion],tblEjecucion[costo_plan_total],0)-tblOrdenes[[#This Row],[costo_servicio]]))</f>
        <v/>
      </c>
      <c r="AN947" s="18">
        <f>IF(tblOrdenes[[#This Row],[orden]]="","",tblOrdenes[[#This Row],[costo_servicio]]+tblOrdenes[[#This Row],[costo_materiales]])</f>
        <v/>
      </c>
      <c r="AO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5">
        <f>IF(tblOrdenes[[#This Row],[link_checklist]]="","",HYPERLINK(p_ruta_base_checklists&amp;tblOrdenes[[#This Row],[link_checklist]],"abrir"))</f>
        <v/>
      </c>
      <c r="AT947" s="4" t="n"/>
      <c r="AU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5" t="n"/>
      <c r="K948" s="5" t="n"/>
      <c r="L948" s="18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Row],[fecha_inicio]]="","",tblOrdenes[[#This Row],[anio]]&amp;"-"&amp;TEXT(tblOrdenes[[#This Row],[mes]],"00"))</f>
        <v/>
      </c>
      <c r="S948" s="5">
        <f>IF(tblOrdenes[[#This Row],[fecha_inicio]]="","",INDEX(lista_dias,WEEKDAY(tblOrdenes[[#This Row],[fecha_inicio]],2)))</f>
        <v/>
      </c>
      <c r="T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5">
        <f>IF(tblOrdenes[[#This Row],[tipo_ot]]="","",_xlfn.XLOOKUP(tblOrdenes[[#This Row],[tipo_ot]],tblTiposOT[codigo],tblTiposOT[clasificacion],"sin_clasificar"))</f>
        <v/>
      </c>
      <c r="V9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5">
        <f>IF(tblOrdenes[[#This Row],[centro_costo]]="","",_xlfn.XLOOKUP(tblOrdenes[[#This Row],[centro_costo]],tblCECO[codigo],tblCECO[linea],"(sin catálogo)"))</f>
        <v/>
      </c>
      <c r="Y948" s="5">
        <f>IF(tblOrdenes[[#This Row],[centro_costo]]="","",_xlfn.XLOOKUP(tblOrdenes[[#This Row],[centro_costo]],tblCECO[codigo],tblCECO[area],"(sin catálogo)"))</f>
        <v/>
      </c>
      <c r="Z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5">
        <f>IF(tblOrdenes[[#This Row],[centro_costo]]="","",_xlfn.XLOOKUP(tblOrdenes[[#This Row],[centro_costo]],tblCECO[codigo],tblCECO[coordinador],"(sin catálogo)"))</f>
        <v/>
      </c>
      <c r="AB948" s="5">
        <f>IF(tblOrdenes[[#This Row],[puesto_trabajo]]="","",_xlfn.XLOOKUP(tblOrdenes[[#This Row],[puesto_trabajo]],tblPuestos[codigo],tblPuestos[especialidad],"(sin catálogo)"))</f>
        <v/>
      </c>
      <c r="AC948" s="5">
        <f>IF(tblOrdenes[[#This Row],[cod_actividad]]="","",_xlfn.XLOOKUP(tblOrdenes[[#This Row],[cod_actividad]],tblActividades[codigo],tblActividades[descripcion],"(sin catálogo)"))</f>
        <v/>
      </c>
      <c r="AD948" s="23">
        <f>IF(tblOrdenes[[#This Row],[fecha_inicio]]="","",TODAY()-tblOrdenes[[#This Row],[fecha_inicio]])</f>
        <v/>
      </c>
      <c r="AE9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5">
        <f>IF(tblOrdenes[[#This Row],[backlog_habiles]]="","",IF(tblOrdenes[[#This Row],[backlog_habiles]]&lt;0,"FUTURO",IF(tblOrdenes[[#This Row],[backlog_habiles]]&gt;p_dias_backlog_max,"BACKLOG","MES CORRIENTE")))</f>
        <v/>
      </c>
      <c r="AG948" s="5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18">
        <f>IF(tblOrdenes[[#This Row],[orden]]="","",_xlfn.XLOOKUP(tblOrdenes[[#This Row],[id_operacion]],tblEjecucion[id_operacion],tblEjecucion[precio],0))</f>
        <v/>
      </c>
      <c r="AM948" s="18">
        <f>IF(tblOrdenes[[#This Row],[orden]]="","",MAX(0,_xlfn.XLOOKUP(tblOrdenes[[#This Row],[id_operacion]],tblEjecucion[id_operacion],tblEjecucion[costo_plan_total],0)-tblOrdenes[[#This Row],[costo_servicio]]))</f>
        <v/>
      </c>
      <c r="AN948" s="18">
        <f>IF(tblOrdenes[[#This Row],[orden]]="","",tblOrdenes[[#This Row],[costo_servicio]]+tblOrdenes[[#This Row],[costo_materiales]])</f>
        <v/>
      </c>
      <c r="AO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5">
        <f>IF(tblOrdenes[[#This Row],[link_checklist]]="","",HYPERLINK(p_ruta_base_checklists&amp;tblOrdenes[[#This Row],[link_checklist]],"abrir"))</f>
        <v/>
      </c>
      <c r="AT948" s="4" t="n"/>
      <c r="AU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5" t="n"/>
      <c r="K949" s="5" t="n"/>
      <c r="L949" s="18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Row],[fecha_inicio]]="","",tblOrdenes[[#This Row],[anio]]&amp;"-"&amp;TEXT(tblOrdenes[[#This Row],[mes]],"00"))</f>
        <v/>
      </c>
      <c r="S949" s="5">
        <f>IF(tblOrdenes[[#This Row],[fecha_inicio]]="","",INDEX(lista_dias,WEEKDAY(tblOrdenes[[#This Row],[fecha_inicio]],2)))</f>
        <v/>
      </c>
      <c r="T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5">
        <f>IF(tblOrdenes[[#This Row],[tipo_ot]]="","",_xlfn.XLOOKUP(tblOrdenes[[#This Row],[tipo_ot]],tblTiposOT[codigo],tblTiposOT[clasificacion],"sin_clasificar"))</f>
        <v/>
      </c>
      <c r="V9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5">
        <f>IF(tblOrdenes[[#This Row],[centro_costo]]="","",_xlfn.XLOOKUP(tblOrdenes[[#This Row],[centro_costo]],tblCECO[codigo],tblCECO[linea],"(sin catálogo)"))</f>
        <v/>
      </c>
      <c r="Y949" s="5">
        <f>IF(tblOrdenes[[#This Row],[centro_costo]]="","",_xlfn.XLOOKUP(tblOrdenes[[#This Row],[centro_costo]],tblCECO[codigo],tblCECO[area],"(sin catálogo)"))</f>
        <v/>
      </c>
      <c r="Z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5">
        <f>IF(tblOrdenes[[#This Row],[centro_costo]]="","",_xlfn.XLOOKUP(tblOrdenes[[#This Row],[centro_costo]],tblCECO[codigo],tblCECO[coordinador],"(sin catálogo)"))</f>
        <v/>
      </c>
      <c r="AB949" s="5">
        <f>IF(tblOrdenes[[#This Row],[puesto_trabajo]]="","",_xlfn.XLOOKUP(tblOrdenes[[#This Row],[puesto_trabajo]],tblPuestos[codigo],tblPuestos[especialidad],"(sin catálogo)"))</f>
        <v/>
      </c>
      <c r="AC949" s="5">
        <f>IF(tblOrdenes[[#This Row],[cod_actividad]]="","",_xlfn.XLOOKUP(tblOrdenes[[#This Row],[cod_actividad]],tblActividades[codigo],tblActividades[descripcion],"(sin catálogo)"))</f>
        <v/>
      </c>
      <c r="AD949" s="23">
        <f>IF(tblOrdenes[[#This Row],[fecha_inicio]]="","",TODAY()-tblOrdenes[[#This Row],[fecha_inicio]])</f>
        <v/>
      </c>
      <c r="AE9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5">
        <f>IF(tblOrdenes[[#This Row],[backlog_habiles]]="","",IF(tblOrdenes[[#This Row],[backlog_habiles]]&lt;0,"FUTURO",IF(tblOrdenes[[#This Row],[backlog_habiles]]&gt;p_dias_backlog_max,"BACKLOG","MES CORRIENTE")))</f>
        <v/>
      </c>
      <c r="AG949" s="5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18">
        <f>IF(tblOrdenes[[#This Row],[orden]]="","",_xlfn.XLOOKUP(tblOrdenes[[#This Row],[id_operacion]],tblEjecucion[id_operacion],tblEjecucion[precio],0))</f>
        <v/>
      </c>
      <c r="AM949" s="18">
        <f>IF(tblOrdenes[[#This Row],[orden]]="","",MAX(0,_xlfn.XLOOKUP(tblOrdenes[[#This Row],[id_operacion]],tblEjecucion[id_operacion],tblEjecucion[costo_plan_total],0)-tblOrdenes[[#This Row],[costo_servicio]]))</f>
        <v/>
      </c>
      <c r="AN949" s="18">
        <f>IF(tblOrdenes[[#This Row],[orden]]="","",tblOrdenes[[#This Row],[costo_servicio]]+tblOrdenes[[#This Row],[costo_materiales]])</f>
        <v/>
      </c>
      <c r="AO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5">
        <f>IF(tblOrdenes[[#This Row],[link_checklist]]="","",HYPERLINK(p_ruta_base_checklists&amp;tblOrdenes[[#This Row],[link_checklist]],"abrir"))</f>
        <v/>
      </c>
      <c r="AT949" s="4" t="n"/>
      <c r="AU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5" t="n"/>
      <c r="K950" s="5" t="n"/>
      <c r="L950" s="18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Row],[fecha_inicio]]="","",tblOrdenes[[#This Row],[anio]]&amp;"-"&amp;TEXT(tblOrdenes[[#This Row],[mes]],"00"))</f>
        <v/>
      </c>
      <c r="S950" s="5">
        <f>IF(tblOrdenes[[#This Row],[fecha_inicio]]="","",INDEX(lista_dias,WEEKDAY(tblOrdenes[[#This Row],[fecha_inicio]],2)))</f>
        <v/>
      </c>
      <c r="T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5">
        <f>IF(tblOrdenes[[#This Row],[tipo_ot]]="","",_xlfn.XLOOKUP(tblOrdenes[[#This Row],[tipo_ot]],tblTiposOT[codigo],tblTiposOT[clasificacion],"sin_clasificar"))</f>
        <v/>
      </c>
      <c r="V9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5">
        <f>IF(tblOrdenes[[#This Row],[centro_costo]]="","",_xlfn.XLOOKUP(tblOrdenes[[#This Row],[centro_costo]],tblCECO[codigo],tblCECO[linea],"(sin catálogo)"))</f>
        <v/>
      </c>
      <c r="Y950" s="5">
        <f>IF(tblOrdenes[[#This Row],[centro_costo]]="","",_xlfn.XLOOKUP(tblOrdenes[[#This Row],[centro_costo]],tblCECO[codigo],tblCECO[area],"(sin catálogo)"))</f>
        <v/>
      </c>
      <c r="Z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5">
        <f>IF(tblOrdenes[[#This Row],[centro_costo]]="","",_xlfn.XLOOKUP(tblOrdenes[[#This Row],[centro_costo]],tblCECO[codigo],tblCECO[coordinador],"(sin catálogo)"))</f>
        <v/>
      </c>
      <c r="AB950" s="5">
        <f>IF(tblOrdenes[[#This Row],[puesto_trabajo]]="","",_xlfn.XLOOKUP(tblOrdenes[[#This Row],[puesto_trabajo]],tblPuestos[codigo],tblPuestos[especialidad],"(sin catálogo)"))</f>
        <v/>
      </c>
      <c r="AC950" s="5">
        <f>IF(tblOrdenes[[#This Row],[cod_actividad]]="","",_xlfn.XLOOKUP(tblOrdenes[[#This Row],[cod_actividad]],tblActividades[codigo],tblActividades[descripcion],"(sin catálogo)"))</f>
        <v/>
      </c>
      <c r="AD950" s="23">
        <f>IF(tblOrdenes[[#This Row],[fecha_inicio]]="","",TODAY()-tblOrdenes[[#This Row],[fecha_inicio]])</f>
        <v/>
      </c>
      <c r="AE9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5">
        <f>IF(tblOrdenes[[#This Row],[backlog_habiles]]="","",IF(tblOrdenes[[#This Row],[backlog_habiles]]&lt;0,"FUTURO",IF(tblOrdenes[[#This Row],[backlog_habiles]]&gt;p_dias_backlog_max,"BACKLOG","MES CORRIENTE")))</f>
        <v/>
      </c>
      <c r="AG950" s="5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18">
        <f>IF(tblOrdenes[[#This Row],[orden]]="","",_xlfn.XLOOKUP(tblOrdenes[[#This Row],[id_operacion]],tblEjecucion[id_operacion],tblEjecucion[precio],0))</f>
        <v/>
      </c>
      <c r="AM950" s="18">
        <f>IF(tblOrdenes[[#This Row],[orden]]="","",MAX(0,_xlfn.XLOOKUP(tblOrdenes[[#This Row],[id_operacion]],tblEjecucion[id_operacion],tblEjecucion[costo_plan_total],0)-tblOrdenes[[#This Row],[costo_servicio]]))</f>
        <v/>
      </c>
      <c r="AN950" s="18">
        <f>IF(tblOrdenes[[#This Row],[orden]]="","",tblOrdenes[[#This Row],[costo_servicio]]+tblOrdenes[[#This Row],[costo_materiales]])</f>
        <v/>
      </c>
      <c r="AO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5">
        <f>IF(tblOrdenes[[#This Row],[link_checklist]]="","",HYPERLINK(p_ruta_base_checklists&amp;tblOrdenes[[#This Row],[link_checklist]],"abrir"))</f>
        <v/>
      </c>
      <c r="AT950" s="4" t="n"/>
      <c r="AU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5" t="n"/>
      <c r="K951" s="5" t="n"/>
      <c r="L951" s="18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Row],[fecha_inicio]]="","",tblOrdenes[[#This Row],[anio]]&amp;"-"&amp;TEXT(tblOrdenes[[#This Row],[mes]],"00"))</f>
        <v/>
      </c>
      <c r="S951" s="5">
        <f>IF(tblOrdenes[[#This Row],[fecha_inicio]]="","",INDEX(lista_dias,WEEKDAY(tblOrdenes[[#This Row],[fecha_inicio]],2)))</f>
        <v/>
      </c>
      <c r="T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5">
        <f>IF(tblOrdenes[[#This Row],[tipo_ot]]="","",_xlfn.XLOOKUP(tblOrdenes[[#This Row],[tipo_ot]],tblTiposOT[codigo],tblTiposOT[clasificacion],"sin_clasificar"))</f>
        <v/>
      </c>
      <c r="V9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5">
        <f>IF(tblOrdenes[[#This Row],[centro_costo]]="","",_xlfn.XLOOKUP(tblOrdenes[[#This Row],[centro_costo]],tblCECO[codigo],tblCECO[linea],"(sin catálogo)"))</f>
        <v/>
      </c>
      <c r="Y951" s="5">
        <f>IF(tblOrdenes[[#This Row],[centro_costo]]="","",_xlfn.XLOOKUP(tblOrdenes[[#This Row],[centro_costo]],tblCECO[codigo],tblCECO[area],"(sin catálogo)"))</f>
        <v/>
      </c>
      <c r="Z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5">
        <f>IF(tblOrdenes[[#This Row],[centro_costo]]="","",_xlfn.XLOOKUP(tblOrdenes[[#This Row],[centro_costo]],tblCECO[codigo],tblCECO[coordinador],"(sin catálogo)"))</f>
        <v/>
      </c>
      <c r="AB951" s="5">
        <f>IF(tblOrdenes[[#This Row],[puesto_trabajo]]="","",_xlfn.XLOOKUP(tblOrdenes[[#This Row],[puesto_trabajo]],tblPuestos[codigo],tblPuestos[especialidad],"(sin catálogo)"))</f>
        <v/>
      </c>
      <c r="AC951" s="5">
        <f>IF(tblOrdenes[[#This Row],[cod_actividad]]="","",_xlfn.XLOOKUP(tblOrdenes[[#This Row],[cod_actividad]],tblActividades[codigo],tblActividades[descripcion],"(sin catálogo)"))</f>
        <v/>
      </c>
      <c r="AD951" s="23">
        <f>IF(tblOrdenes[[#This Row],[fecha_inicio]]="","",TODAY()-tblOrdenes[[#This Row],[fecha_inicio]])</f>
        <v/>
      </c>
      <c r="AE9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5">
        <f>IF(tblOrdenes[[#This Row],[backlog_habiles]]="","",IF(tblOrdenes[[#This Row],[backlog_habiles]]&lt;0,"FUTURO",IF(tblOrdenes[[#This Row],[backlog_habiles]]&gt;p_dias_backlog_max,"BACKLOG","MES CORRIENTE")))</f>
        <v/>
      </c>
      <c r="AG951" s="5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18">
        <f>IF(tblOrdenes[[#This Row],[orden]]="","",_xlfn.XLOOKUP(tblOrdenes[[#This Row],[id_operacion]],tblEjecucion[id_operacion],tblEjecucion[precio],0))</f>
        <v/>
      </c>
      <c r="AM951" s="18">
        <f>IF(tblOrdenes[[#This Row],[orden]]="","",MAX(0,_xlfn.XLOOKUP(tblOrdenes[[#This Row],[id_operacion]],tblEjecucion[id_operacion],tblEjecucion[costo_plan_total],0)-tblOrdenes[[#This Row],[costo_servicio]]))</f>
        <v/>
      </c>
      <c r="AN951" s="18">
        <f>IF(tblOrdenes[[#This Row],[orden]]="","",tblOrdenes[[#This Row],[costo_servicio]]+tblOrdenes[[#This Row],[costo_materiales]])</f>
        <v/>
      </c>
      <c r="AO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5">
        <f>IF(tblOrdenes[[#This Row],[link_checklist]]="","",HYPERLINK(p_ruta_base_checklists&amp;tblOrdenes[[#This Row],[link_checklist]],"abrir"))</f>
        <v/>
      </c>
      <c r="AT951" s="4" t="n"/>
      <c r="AU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5" t="n"/>
      <c r="K952" s="5" t="n"/>
      <c r="L952" s="18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Row],[fecha_inicio]]="","",tblOrdenes[[#This Row],[anio]]&amp;"-"&amp;TEXT(tblOrdenes[[#This Row],[mes]],"00"))</f>
        <v/>
      </c>
      <c r="S952" s="5">
        <f>IF(tblOrdenes[[#This Row],[fecha_inicio]]="","",INDEX(lista_dias,WEEKDAY(tblOrdenes[[#This Row],[fecha_inicio]],2)))</f>
        <v/>
      </c>
      <c r="T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5">
        <f>IF(tblOrdenes[[#This Row],[tipo_ot]]="","",_xlfn.XLOOKUP(tblOrdenes[[#This Row],[tipo_ot]],tblTiposOT[codigo],tblTiposOT[clasificacion],"sin_clasificar"))</f>
        <v/>
      </c>
      <c r="V9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5">
        <f>IF(tblOrdenes[[#This Row],[centro_costo]]="","",_xlfn.XLOOKUP(tblOrdenes[[#This Row],[centro_costo]],tblCECO[codigo],tblCECO[linea],"(sin catálogo)"))</f>
        <v/>
      </c>
      <c r="Y952" s="5">
        <f>IF(tblOrdenes[[#This Row],[centro_costo]]="","",_xlfn.XLOOKUP(tblOrdenes[[#This Row],[centro_costo]],tblCECO[codigo],tblCECO[area],"(sin catálogo)"))</f>
        <v/>
      </c>
      <c r="Z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5">
        <f>IF(tblOrdenes[[#This Row],[centro_costo]]="","",_xlfn.XLOOKUP(tblOrdenes[[#This Row],[centro_costo]],tblCECO[codigo],tblCECO[coordinador],"(sin catálogo)"))</f>
        <v/>
      </c>
      <c r="AB952" s="5">
        <f>IF(tblOrdenes[[#This Row],[puesto_trabajo]]="","",_xlfn.XLOOKUP(tblOrdenes[[#This Row],[puesto_trabajo]],tblPuestos[codigo],tblPuestos[especialidad],"(sin catálogo)"))</f>
        <v/>
      </c>
      <c r="AC952" s="5">
        <f>IF(tblOrdenes[[#This Row],[cod_actividad]]="","",_xlfn.XLOOKUP(tblOrdenes[[#This Row],[cod_actividad]],tblActividades[codigo],tblActividades[descripcion],"(sin catálogo)"))</f>
        <v/>
      </c>
      <c r="AD952" s="23">
        <f>IF(tblOrdenes[[#This Row],[fecha_inicio]]="","",TODAY()-tblOrdenes[[#This Row],[fecha_inicio]])</f>
        <v/>
      </c>
      <c r="AE9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5">
        <f>IF(tblOrdenes[[#This Row],[backlog_habiles]]="","",IF(tblOrdenes[[#This Row],[backlog_habiles]]&lt;0,"FUTURO",IF(tblOrdenes[[#This Row],[backlog_habiles]]&gt;p_dias_backlog_max,"BACKLOG","MES CORRIENTE")))</f>
        <v/>
      </c>
      <c r="AG952" s="5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18">
        <f>IF(tblOrdenes[[#This Row],[orden]]="","",_xlfn.XLOOKUP(tblOrdenes[[#This Row],[id_operacion]],tblEjecucion[id_operacion],tblEjecucion[precio],0))</f>
        <v/>
      </c>
      <c r="AM952" s="18">
        <f>IF(tblOrdenes[[#This Row],[orden]]="","",MAX(0,_xlfn.XLOOKUP(tblOrdenes[[#This Row],[id_operacion]],tblEjecucion[id_operacion],tblEjecucion[costo_plan_total],0)-tblOrdenes[[#This Row],[costo_servicio]]))</f>
        <v/>
      </c>
      <c r="AN952" s="18">
        <f>IF(tblOrdenes[[#This Row],[orden]]="","",tblOrdenes[[#This Row],[costo_servicio]]+tblOrdenes[[#This Row],[costo_materiales]])</f>
        <v/>
      </c>
      <c r="AO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5">
        <f>IF(tblOrdenes[[#This Row],[link_checklist]]="","",HYPERLINK(p_ruta_base_checklists&amp;tblOrdenes[[#This Row],[link_checklist]],"abrir"))</f>
        <v/>
      </c>
      <c r="AT952" s="4" t="n"/>
      <c r="AU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5" t="n"/>
      <c r="K953" s="5" t="n"/>
      <c r="L953" s="18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Row],[fecha_inicio]]="","",tblOrdenes[[#This Row],[anio]]&amp;"-"&amp;TEXT(tblOrdenes[[#This Row],[mes]],"00"))</f>
        <v/>
      </c>
      <c r="S953" s="5">
        <f>IF(tblOrdenes[[#This Row],[fecha_inicio]]="","",INDEX(lista_dias,WEEKDAY(tblOrdenes[[#This Row],[fecha_inicio]],2)))</f>
        <v/>
      </c>
      <c r="T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5">
        <f>IF(tblOrdenes[[#This Row],[tipo_ot]]="","",_xlfn.XLOOKUP(tblOrdenes[[#This Row],[tipo_ot]],tblTiposOT[codigo],tblTiposOT[clasificacion],"sin_clasificar"))</f>
        <v/>
      </c>
      <c r="V9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5">
        <f>IF(tblOrdenes[[#This Row],[centro_costo]]="","",_xlfn.XLOOKUP(tblOrdenes[[#This Row],[centro_costo]],tblCECO[codigo],tblCECO[linea],"(sin catálogo)"))</f>
        <v/>
      </c>
      <c r="Y953" s="5">
        <f>IF(tblOrdenes[[#This Row],[centro_costo]]="","",_xlfn.XLOOKUP(tblOrdenes[[#This Row],[centro_costo]],tblCECO[codigo],tblCECO[area],"(sin catálogo)"))</f>
        <v/>
      </c>
      <c r="Z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5">
        <f>IF(tblOrdenes[[#This Row],[centro_costo]]="","",_xlfn.XLOOKUP(tblOrdenes[[#This Row],[centro_costo]],tblCECO[codigo],tblCECO[coordinador],"(sin catálogo)"))</f>
        <v/>
      </c>
      <c r="AB953" s="5">
        <f>IF(tblOrdenes[[#This Row],[puesto_trabajo]]="","",_xlfn.XLOOKUP(tblOrdenes[[#This Row],[puesto_trabajo]],tblPuestos[codigo],tblPuestos[especialidad],"(sin catálogo)"))</f>
        <v/>
      </c>
      <c r="AC953" s="5">
        <f>IF(tblOrdenes[[#This Row],[cod_actividad]]="","",_xlfn.XLOOKUP(tblOrdenes[[#This Row],[cod_actividad]],tblActividades[codigo],tblActividades[descripcion],"(sin catálogo)"))</f>
        <v/>
      </c>
      <c r="AD953" s="23">
        <f>IF(tblOrdenes[[#This Row],[fecha_inicio]]="","",TODAY()-tblOrdenes[[#This Row],[fecha_inicio]])</f>
        <v/>
      </c>
      <c r="AE9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5">
        <f>IF(tblOrdenes[[#This Row],[backlog_habiles]]="","",IF(tblOrdenes[[#This Row],[backlog_habiles]]&lt;0,"FUTURO",IF(tblOrdenes[[#This Row],[backlog_habiles]]&gt;p_dias_backlog_max,"BACKLOG","MES CORRIENTE")))</f>
        <v/>
      </c>
      <c r="AG953" s="5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18">
        <f>IF(tblOrdenes[[#This Row],[orden]]="","",_xlfn.XLOOKUP(tblOrdenes[[#This Row],[id_operacion]],tblEjecucion[id_operacion],tblEjecucion[precio],0))</f>
        <v/>
      </c>
      <c r="AM953" s="18">
        <f>IF(tblOrdenes[[#This Row],[orden]]="","",MAX(0,_xlfn.XLOOKUP(tblOrdenes[[#This Row],[id_operacion]],tblEjecucion[id_operacion],tblEjecucion[costo_plan_total],0)-tblOrdenes[[#This Row],[costo_servicio]]))</f>
        <v/>
      </c>
      <c r="AN953" s="18">
        <f>IF(tblOrdenes[[#This Row],[orden]]="","",tblOrdenes[[#This Row],[costo_servicio]]+tblOrdenes[[#This Row],[costo_materiales]])</f>
        <v/>
      </c>
      <c r="AO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5">
        <f>IF(tblOrdenes[[#This Row],[link_checklist]]="","",HYPERLINK(p_ruta_base_checklists&amp;tblOrdenes[[#This Row],[link_checklist]],"abrir"))</f>
        <v/>
      </c>
      <c r="AT953" s="4" t="n"/>
      <c r="AU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5" t="n"/>
      <c r="K954" s="5" t="n"/>
      <c r="L954" s="18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Row],[fecha_inicio]]="","",tblOrdenes[[#This Row],[anio]]&amp;"-"&amp;TEXT(tblOrdenes[[#This Row],[mes]],"00"))</f>
        <v/>
      </c>
      <c r="S954" s="5">
        <f>IF(tblOrdenes[[#This Row],[fecha_inicio]]="","",INDEX(lista_dias,WEEKDAY(tblOrdenes[[#This Row],[fecha_inicio]],2)))</f>
        <v/>
      </c>
      <c r="T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5">
        <f>IF(tblOrdenes[[#This Row],[tipo_ot]]="","",_xlfn.XLOOKUP(tblOrdenes[[#This Row],[tipo_ot]],tblTiposOT[codigo],tblTiposOT[clasificacion],"sin_clasificar"))</f>
        <v/>
      </c>
      <c r="V9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5">
        <f>IF(tblOrdenes[[#This Row],[centro_costo]]="","",_xlfn.XLOOKUP(tblOrdenes[[#This Row],[centro_costo]],tblCECO[codigo],tblCECO[linea],"(sin catálogo)"))</f>
        <v/>
      </c>
      <c r="Y954" s="5">
        <f>IF(tblOrdenes[[#This Row],[centro_costo]]="","",_xlfn.XLOOKUP(tblOrdenes[[#This Row],[centro_costo]],tblCECO[codigo],tblCECO[area],"(sin catálogo)"))</f>
        <v/>
      </c>
      <c r="Z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5">
        <f>IF(tblOrdenes[[#This Row],[centro_costo]]="","",_xlfn.XLOOKUP(tblOrdenes[[#This Row],[centro_costo]],tblCECO[codigo],tblCECO[coordinador],"(sin catálogo)"))</f>
        <v/>
      </c>
      <c r="AB954" s="5">
        <f>IF(tblOrdenes[[#This Row],[puesto_trabajo]]="","",_xlfn.XLOOKUP(tblOrdenes[[#This Row],[puesto_trabajo]],tblPuestos[codigo],tblPuestos[especialidad],"(sin catálogo)"))</f>
        <v/>
      </c>
      <c r="AC954" s="5">
        <f>IF(tblOrdenes[[#This Row],[cod_actividad]]="","",_xlfn.XLOOKUP(tblOrdenes[[#This Row],[cod_actividad]],tblActividades[codigo],tblActividades[descripcion],"(sin catálogo)"))</f>
        <v/>
      </c>
      <c r="AD954" s="23">
        <f>IF(tblOrdenes[[#This Row],[fecha_inicio]]="","",TODAY()-tblOrdenes[[#This Row],[fecha_inicio]])</f>
        <v/>
      </c>
      <c r="AE9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5">
        <f>IF(tblOrdenes[[#This Row],[backlog_habiles]]="","",IF(tblOrdenes[[#This Row],[backlog_habiles]]&lt;0,"FUTURO",IF(tblOrdenes[[#This Row],[backlog_habiles]]&gt;p_dias_backlog_max,"BACKLOG","MES CORRIENTE")))</f>
        <v/>
      </c>
      <c r="AG954" s="5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18">
        <f>IF(tblOrdenes[[#This Row],[orden]]="","",_xlfn.XLOOKUP(tblOrdenes[[#This Row],[id_operacion]],tblEjecucion[id_operacion],tblEjecucion[precio],0))</f>
        <v/>
      </c>
      <c r="AM954" s="18">
        <f>IF(tblOrdenes[[#This Row],[orden]]="","",MAX(0,_xlfn.XLOOKUP(tblOrdenes[[#This Row],[id_operacion]],tblEjecucion[id_operacion],tblEjecucion[costo_plan_total],0)-tblOrdenes[[#This Row],[costo_servicio]]))</f>
        <v/>
      </c>
      <c r="AN954" s="18">
        <f>IF(tblOrdenes[[#This Row],[orden]]="","",tblOrdenes[[#This Row],[costo_servicio]]+tblOrdenes[[#This Row],[costo_materiales]])</f>
        <v/>
      </c>
      <c r="AO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5">
        <f>IF(tblOrdenes[[#This Row],[link_checklist]]="","",HYPERLINK(p_ruta_base_checklists&amp;tblOrdenes[[#This Row],[link_checklist]],"abrir"))</f>
        <v/>
      </c>
      <c r="AT954" s="4" t="n"/>
      <c r="AU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5" t="n"/>
      <c r="K955" s="5" t="n"/>
      <c r="L955" s="18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Row],[fecha_inicio]]="","",tblOrdenes[[#This Row],[anio]]&amp;"-"&amp;TEXT(tblOrdenes[[#This Row],[mes]],"00"))</f>
        <v/>
      </c>
      <c r="S955" s="5">
        <f>IF(tblOrdenes[[#This Row],[fecha_inicio]]="","",INDEX(lista_dias,WEEKDAY(tblOrdenes[[#This Row],[fecha_inicio]],2)))</f>
        <v/>
      </c>
      <c r="T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5">
        <f>IF(tblOrdenes[[#This Row],[tipo_ot]]="","",_xlfn.XLOOKUP(tblOrdenes[[#This Row],[tipo_ot]],tblTiposOT[codigo],tblTiposOT[clasificacion],"sin_clasificar"))</f>
        <v/>
      </c>
      <c r="V9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5">
        <f>IF(tblOrdenes[[#This Row],[centro_costo]]="","",_xlfn.XLOOKUP(tblOrdenes[[#This Row],[centro_costo]],tblCECO[codigo],tblCECO[linea],"(sin catálogo)"))</f>
        <v/>
      </c>
      <c r="Y955" s="5">
        <f>IF(tblOrdenes[[#This Row],[centro_costo]]="","",_xlfn.XLOOKUP(tblOrdenes[[#This Row],[centro_costo]],tblCECO[codigo],tblCECO[area],"(sin catálogo)"))</f>
        <v/>
      </c>
      <c r="Z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5">
        <f>IF(tblOrdenes[[#This Row],[centro_costo]]="","",_xlfn.XLOOKUP(tblOrdenes[[#This Row],[centro_costo]],tblCECO[codigo],tblCECO[coordinador],"(sin catálogo)"))</f>
        <v/>
      </c>
      <c r="AB955" s="5">
        <f>IF(tblOrdenes[[#This Row],[puesto_trabajo]]="","",_xlfn.XLOOKUP(tblOrdenes[[#This Row],[puesto_trabajo]],tblPuestos[codigo],tblPuestos[especialidad],"(sin catálogo)"))</f>
        <v/>
      </c>
      <c r="AC955" s="5">
        <f>IF(tblOrdenes[[#This Row],[cod_actividad]]="","",_xlfn.XLOOKUP(tblOrdenes[[#This Row],[cod_actividad]],tblActividades[codigo],tblActividades[descripcion],"(sin catálogo)"))</f>
        <v/>
      </c>
      <c r="AD955" s="23">
        <f>IF(tblOrdenes[[#This Row],[fecha_inicio]]="","",TODAY()-tblOrdenes[[#This Row],[fecha_inicio]])</f>
        <v/>
      </c>
      <c r="AE9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5">
        <f>IF(tblOrdenes[[#This Row],[backlog_habiles]]="","",IF(tblOrdenes[[#This Row],[backlog_habiles]]&lt;0,"FUTURO",IF(tblOrdenes[[#This Row],[backlog_habiles]]&gt;p_dias_backlog_max,"BACKLOG","MES CORRIENTE")))</f>
        <v/>
      </c>
      <c r="AG955" s="5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18">
        <f>IF(tblOrdenes[[#This Row],[orden]]="","",_xlfn.XLOOKUP(tblOrdenes[[#This Row],[id_operacion]],tblEjecucion[id_operacion],tblEjecucion[precio],0))</f>
        <v/>
      </c>
      <c r="AM955" s="18">
        <f>IF(tblOrdenes[[#This Row],[orden]]="","",MAX(0,_xlfn.XLOOKUP(tblOrdenes[[#This Row],[id_operacion]],tblEjecucion[id_operacion],tblEjecucion[costo_plan_total],0)-tblOrdenes[[#This Row],[costo_servicio]]))</f>
        <v/>
      </c>
      <c r="AN955" s="18">
        <f>IF(tblOrdenes[[#This Row],[orden]]="","",tblOrdenes[[#This Row],[costo_servicio]]+tblOrdenes[[#This Row],[costo_materiales]])</f>
        <v/>
      </c>
      <c r="AO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5">
        <f>IF(tblOrdenes[[#This Row],[link_checklist]]="","",HYPERLINK(p_ruta_base_checklists&amp;tblOrdenes[[#This Row],[link_checklist]],"abrir"))</f>
        <v/>
      </c>
      <c r="AT955" s="4" t="n"/>
      <c r="AU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5" t="n"/>
      <c r="K956" s="5" t="n"/>
      <c r="L956" s="18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Row],[fecha_inicio]]="","",tblOrdenes[[#This Row],[anio]]&amp;"-"&amp;TEXT(tblOrdenes[[#This Row],[mes]],"00"))</f>
        <v/>
      </c>
      <c r="S956" s="5">
        <f>IF(tblOrdenes[[#This Row],[fecha_inicio]]="","",INDEX(lista_dias,WEEKDAY(tblOrdenes[[#This Row],[fecha_inicio]],2)))</f>
        <v/>
      </c>
      <c r="T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5">
        <f>IF(tblOrdenes[[#This Row],[tipo_ot]]="","",_xlfn.XLOOKUP(tblOrdenes[[#This Row],[tipo_ot]],tblTiposOT[codigo],tblTiposOT[clasificacion],"sin_clasificar"))</f>
        <v/>
      </c>
      <c r="V9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5">
        <f>IF(tblOrdenes[[#This Row],[centro_costo]]="","",_xlfn.XLOOKUP(tblOrdenes[[#This Row],[centro_costo]],tblCECO[codigo],tblCECO[linea],"(sin catálogo)"))</f>
        <v/>
      </c>
      <c r="Y956" s="5">
        <f>IF(tblOrdenes[[#This Row],[centro_costo]]="","",_xlfn.XLOOKUP(tblOrdenes[[#This Row],[centro_costo]],tblCECO[codigo],tblCECO[area],"(sin catálogo)"))</f>
        <v/>
      </c>
      <c r="Z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5">
        <f>IF(tblOrdenes[[#This Row],[centro_costo]]="","",_xlfn.XLOOKUP(tblOrdenes[[#This Row],[centro_costo]],tblCECO[codigo],tblCECO[coordinador],"(sin catálogo)"))</f>
        <v/>
      </c>
      <c r="AB956" s="5">
        <f>IF(tblOrdenes[[#This Row],[puesto_trabajo]]="","",_xlfn.XLOOKUP(tblOrdenes[[#This Row],[puesto_trabajo]],tblPuestos[codigo],tblPuestos[especialidad],"(sin catálogo)"))</f>
        <v/>
      </c>
      <c r="AC956" s="5">
        <f>IF(tblOrdenes[[#This Row],[cod_actividad]]="","",_xlfn.XLOOKUP(tblOrdenes[[#This Row],[cod_actividad]],tblActividades[codigo],tblActividades[descripcion],"(sin catálogo)"))</f>
        <v/>
      </c>
      <c r="AD956" s="23">
        <f>IF(tblOrdenes[[#This Row],[fecha_inicio]]="","",TODAY()-tblOrdenes[[#This Row],[fecha_inicio]])</f>
        <v/>
      </c>
      <c r="AE9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5">
        <f>IF(tblOrdenes[[#This Row],[backlog_habiles]]="","",IF(tblOrdenes[[#This Row],[backlog_habiles]]&lt;0,"FUTURO",IF(tblOrdenes[[#This Row],[backlog_habiles]]&gt;p_dias_backlog_max,"BACKLOG","MES CORRIENTE")))</f>
        <v/>
      </c>
      <c r="AG956" s="5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18">
        <f>IF(tblOrdenes[[#This Row],[orden]]="","",_xlfn.XLOOKUP(tblOrdenes[[#This Row],[id_operacion]],tblEjecucion[id_operacion],tblEjecucion[precio],0))</f>
        <v/>
      </c>
      <c r="AM956" s="18">
        <f>IF(tblOrdenes[[#This Row],[orden]]="","",MAX(0,_xlfn.XLOOKUP(tblOrdenes[[#This Row],[id_operacion]],tblEjecucion[id_operacion],tblEjecucion[costo_plan_total],0)-tblOrdenes[[#This Row],[costo_servicio]]))</f>
        <v/>
      </c>
      <c r="AN956" s="18">
        <f>IF(tblOrdenes[[#This Row],[orden]]="","",tblOrdenes[[#This Row],[costo_servicio]]+tblOrdenes[[#This Row],[costo_materiales]])</f>
        <v/>
      </c>
      <c r="AO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5">
        <f>IF(tblOrdenes[[#This Row],[link_checklist]]="","",HYPERLINK(p_ruta_base_checklists&amp;tblOrdenes[[#This Row],[link_checklist]],"abrir"))</f>
        <v/>
      </c>
      <c r="AT956" s="4" t="n"/>
      <c r="AU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5" t="n"/>
      <c r="K957" s="5" t="n"/>
      <c r="L957" s="18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Row],[fecha_inicio]]="","",tblOrdenes[[#This Row],[anio]]&amp;"-"&amp;TEXT(tblOrdenes[[#This Row],[mes]],"00"))</f>
        <v/>
      </c>
      <c r="S957" s="5">
        <f>IF(tblOrdenes[[#This Row],[fecha_inicio]]="","",INDEX(lista_dias,WEEKDAY(tblOrdenes[[#This Row],[fecha_inicio]],2)))</f>
        <v/>
      </c>
      <c r="T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5">
        <f>IF(tblOrdenes[[#This Row],[tipo_ot]]="","",_xlfn.XLOOKUP(tblOrdenes[[#This Row],[tipo_ot]],tblTiposOT[codigo],tblTiposOT[clasificacion],"sin_clasificar"))</f>
        <v/>
      </c>
      <c r="V9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5">
        <f>IF(tblOrdenes[[#This Row],[centro_costo]]="","",_xlfn.XLOOKUP(tblOrdenes[[#This Row],[centro_costo]],tblCECO[codigo],tblCECO[linea],"(sin catálogo)"))</f>
        <v/>
      </c>
      <c r="Y957" s="5">
        <f>IF(tblOrdenes[[#This Row],[centro_costo]]="","",_xlfn.XLOOKUP(tblOrdenes[[#This Row],[centro_costo]],tblCECO[codigo],tblCECO[area],"(sin catálogo)"))</f>
        <v/>
      </c>
      <c r="Z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5">
        <f>IF(tblOrdenes[[#This Row],[centro_costo]]="","",_xlfn.XLOOKUP(tblOrdenes[[#This Row],[centro_costo]],tblCECO[codigo],tblCECO[coordinador],"(sin catálogo)"))</f>
        <v/>
      </c>
      <c r="AB957" s="5">
        <f>IF(tblOrdenes[[#This Row],[puesto_trabajo]]="","",_xlfn.XLOOKUP(tblOrdenes[[#This Row],[puesto_trabajo]],tblPuestos[codigo],tblPuestos[especialidad],"(sin catálogo)"))</f>
        <v/>
      </c>
      <c r="AC957" s="5">
        <f>IF(tblOrdenes[[#This Row],[cod_actividad]]="","",_xlfn.XLOOKUP(tblOrdenes[[#This Row],[cod_actividad]],tblActividades[codigo],tblActividades[descripcion],"(sin catálogo)"))</f>
        <v/>
      </c>
      <c r="AD957" s="23">
        <f>IF(tblOrdenes[[#This Row],[fecha_inicio]]="","",TODAY()-tblOrdenes[[#This Row],[fecha_inicio]])</f>
        <v/>
      </c>
      <c r="AE9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5">
        <f>IF(tblOrdenes[[#This Row],[backlog_habiles]]="","",IF(tblOrdenes[[#This Row],[backlog_habiles]]&lt;0,"FUTURO",IF(tblOrdenes[[#This Row],[backlog_habiles]]&gt;p_dias_backlog_max,"BACKLOG","MES CORRIENTE")))</f>
        <v/>
      </c>
      <c r="AG957" s="5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18">
        <f>IF(tblOrdenes[[#This Row],[orden]]="","",_xlfn.XLOOKUP(tblOrdenes[[#This Row],[id_operacion]],tblEjecucion[id_operacion],tblEjecucion[precio],0))</f>
        <v/>
      </c>
      <c r="AM957" s="18">
        <f>IF(tblOrdenes[[#This Row],[orden]]="","",MAX(0,_xlfn.XLOOKUP(tblOrdenes[[#This Row],[id_operacion]],tblEjecucion[id_operacion],tblEjecucion[costo_plan_total],0)-tblOrdenes[[#This Row],[costo_servicio]]))</f>
        <v/>
      </c>
      <c r="AN957" s="18">
        <f>IF(tblOrdenes[[#This Row],[orden]]="","",tblOrdenes[[#This Row],[costo_servicio]]+tblOrdenes[[#This Row],[costo_materiales]])</f>
        <v/>
      </c>
      <c r="AO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5">
        <f>IF(tblOrdenes[[#This Row],[link_checklist]]="","",HYPERLINK(p_ruta_base_checklists&amp;tblOrdenes[[#This Row],[link_checklist]],"abrir"))</f>
        <v/>
      </c>
      <c r="AT957" s="4" t="n"/>
      <c r="AU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5" t="n"/>
      <c r="K958" s="5" t="n"/>
      <c r="L958" s="18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Row],[fecha_inicio]]="","",tblOrdenes[[#This Row],[anio]]&amp;"-"&amp;TEXT(tblOrdenes[[#This Row],[mes]],"00"))</f>
        <v/>
      </c>
      <c r="S958" s="5">
        <f>IF(tblOrdenes[[#This Row],[fecha_inicio]]="","",INDEX(lista_dias,WEEKDAY(tblOrdenes[[#This Row],[fecha_inicio]],2)))</f>
        <v/>
      </c>
      <c r="T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5">
        <f>IF(tblOrdenes[[#This Row],[tipo_ot]]="","",_xlfn.XLOOKUP(tblOrdenes[[#This Row],[tipo_ot]],tblTiposOT[codigo],tblTiposOT[clasificacion],"sin_clasificar"))</f>
        <v/>
      </c>
      <c r="V9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5">
        <f>IF(tblOrdenes[[#This Row],[centro_costo]]="","",_xlfn.XLOOKUP(tblOrdenes[[#This Row],[centro_costo]],tblCECO[codigo],tblCECO[linea],"(sin catálogo)"))</f>
        <v/>
      </c>
      <c r="Y958" s="5">
        <f>IF(tblOrdenes[[#This Row],[centro_costo]]="","",_xlfn.XLOOKUP(tblOrdenes[[#This Row],[centro_costo]],tblCECO[codigo],tblCECO[area],"(sin catálogo)"))</f>
        <v/>
      </c>
      <c r="Z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5">
        <f>IF(tblOrdenes[[#This Row],[centro_costo]]="","",_xlfn.XLOOKUP(tblOrdenes[[#This Row],[centro_costo]],tblCECO[codigo],tblCECO[coordinador],"(sin catálogo)"))</f>
        <v/>
      </c>
      <c r="AB958" s="5">
        <f>IF(tblOrdenes[[#This Row],[puesto_trabajo]]="","",_xlfn.XLOOKUP(tblOrdenes[[#This Row],[puesto_trabajo]],tblPuestos[codigo],tblPuestos[especialidad],"(sin catálogo)"))</f>
        <v/>
      </c>
      <c r="AC958" s="5">
        <f>IF(tblOrdenes[[#This Row],[cod_actividad]]="","",_xlfn.XLOOKUP(tblOrdenes[[#This Row],[cod_actividad]],tblActividades[codigo],tblActividades[descripcion],"(sin catálogo)"))</f>
        <v/>
      </c>
      <c r="AD958" s="23">
        <f>IF(tblOrdenes[[#This Row],[fecha_inicio]]="","",TODAY()-tblOrdenes[[#This Row],[fecha_inicio]])</f>
        <v/>
      </c>
      <c r="AE9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5">
        <f>IF(tblOrdenes[[#This Row],[backlog_habiles]]="","",IF(tblOrdenes[[#This Row],[backlog_habiles]]&lt;0,"FUTURO",IF(tblOrdenes[[#This Row],[backlog_habiles]]&gt;p_dias_backlog_max,"BACKLOG","MES CORRIENTE")))</f>
        <v/>
      </c>
      <c r="AG958" s="5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18">
        <f>IF(tblOrdenes[[#This Row],[orden]]="","",_xlfn.XLOOKUP(tblOrdenes[[#This Row],[id_operacion]],tblEjecucion[id_operacion],tblEjecucion[precio],0))</f>
        <v/>
      </c>
      <c r="AM958" s="18">
        <f>IF(tblOrdenes[[#This Row],[orden]]="","",MAX(0,_xlfn.XLOOKUP(tblOrdenes[[#This Row],[id_operacion]],tblEjecucion[id_operacion],tblEjecucion[costo_plan_total],0)-tblOrdenes[[#This Row],[costo_servicio]]))</f>
        <v/>
      </c>
      <c r="AN958" s="18">
        <f>IF(tblOrdenes[[#This Row],[orden]]="","",tblOrdenes[[#This Row],[costo_servicio]]+tblOrdenes[[#This Row],[costo_materiales]])</f>
        <v/>
      </c>
      <c r="AO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5">
        <f>IF(tblOrdenes[[#This Row],[link_checklist]]="","",HYPERLINK(p_ruta_base_checklists&amp;tblOrdenes[[#This Row],[link_checklist]],"abrir"))</f>
        <v/>
      </c>
      <c r="AT958" s="4" t="n"/>
      <c r="AU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5" t="n"/>
      <c r="K959" s="5" t="n"/>
      <c r="L959" s="18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Row],[fecha_inicio]]="","",tblOrdenes[[#This Row],[anio]]&amp;"-"&amp;TEXT(tblOrdenes[[#This Row],[mes]],"00"))</f>
        <v/>
      </c>
      <c r="S959" s="5">
        <f>IF(tblOrdenes[[#This Row],[fecha_inicio]]="","",INDEX(lista_dias,WEEKDAY(tblOrdenes[[#This Row],[fecha_inicio]],2)))</f>
        <v/>
      </c>
      <c r="T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5">
        <f>IF(tblOrdenes[[#This Row],[tipo_ot]]="","",_xlfn.XLOOKUP(tblOrdenes[[#This Row],[tipo_ot]],tblTiposOT[codigo],tblTiposOT[clasificacion],"sin_clasificar"))</f>
        <v/>
      </c>
      <c r="V9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5">
        <f>IF(tblOrdenes[[#This Row],[centro_costo]]="","",_xlfn.XLOOKUP(tblOrdenes[[#This Row],[centro_costo]],tblCECO[codigo],tblCECO[linea],"(sin catálogo)"))</f>
        <v/>
      </c>
      <c r="Y959" s="5">
        <f>IF(tblOrdenes[[#This Row],[centro_costo]]="","",_xlfn.XLOOKUP(tblOrdenes[[#This Row],[centro_costo]],tblCECO[codigo],tblCECO[area],"(sin catálogo)"))</f>
        <v/>
      </c>
      <c r="Z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5">
        <f>IF(tblOrdenes[[#This Row],[centro_costo]]="","",_xlfn.XLOOKUP(tblOrdenes[[#This Row],[centro_costo]],tblCECO[codigo],tblCECO[coordinador],"(sin catálogo)"))</f>
        <v/>
      </c>
      <c r="AB959" s="5">
        <f>IF(tblOrdenes[[#This Row],[puesto_trabajo]]="","",_xlfn.XLOOKUP(tblOrdenes[[#This Row],[puesto_trabajo]],tblPuestos[codigo],tblPuestos[especialidad],"(sin catálogo)"))</f>
        <v/>
      </c>
      <c r="AC959" s="5">
        <f>IF(tblOrdenes[[#This Row],[cod_actividad]]="","",_xlfn.XLOOKUP(tblOrdenes[[#This Row],[cod_actividad]],tblActividades[codigo],tblActividades[descripcion],"(sin catálogo)"))</f>
        <v/>
      </c>
      <c r="AD959" s="23">
        <f>IF(tblOrdenes[[#This Row],[fecha_inicio]]="","",TODAY()-tblOrdenes[[#This Row],[fecha_inicio]])</f>
        <v/>
      </c>
      <c r="AE9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5">
        <f>IF(tblOrdenes[[#This Row],[backlog_habiles]]="","",IF(tblOrdenes[[#This Row],[backlog_habiles]]&lt;0,"FUTURO",IF(tblOrdenes[[#This Row],[backlog_habiles]]&gt;p_dias_backlog_max,"BACKLOG","MES CORRIENTE")))</f>
        <v/>
      </c>
      <c r="AG959" s="5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18">
        <f>IF(tblOrdenes[[#This Row],[orden]]="","",_xlfn.XLOOKUP(tblOrdenes[[#This Row],[id_operacion]],tblEjecucion[id_operacion],tblEjecucion[precio],0))</f>
        <v/>
      </c>
      <c r="AM959" s="18">
        <f>IF(tblOrdenes[[#This Row],[orden]]="","",MAX(0,_xlfn.XLOOKUP(tblOrdenes[[#This Row],[id_operacion]],tblEjecucion[id_operacion],tblEjecucion[costo_plan_total],0)-tblOrdenes[[#This Row],[costo_servicio]]))</f>
        <v/>
      </c>
      <c r="AN959" s="18">
        <f>IF(tblOrdenes[[#This Row],[orden]]="","",tblOrdenes[[#This Row],[costo_servicio]]+tblOrdenes[[#This Row],[costo_materiales]])</f>
        <v/>
      </c>
      <c r="AO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5">
        <f>IF(tblOrdenes[[#This Row],[link_checklist]]="","",HYPERLINK(p_ruta_base_checklists&amp;tblOrdenes[[#This Row],[link_checklist]],"abrir"))</f>
        <v/>
      </c>
      <c r="AT959" s="4" t="n"/>
      <c r="AU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5" t="n"/>
      <c r="K960" s="5" t="n"/>
      <c r="L960" s="18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Row],[fecha_inicio]]="","",tblOrdenes[[#This Row],[anio]]&amp;"-"&amp;TEXT(tblOrdenes[[#This Row],[mes]],"00"))</f>
        <v/>
      </c>
      <c r="S960" s="5">
        <f>IF(tblOrdenes[[#This Row],[fecha_inicio]]="","",INDEX(lista_dias,WEEKDAY(tblOrdenes[[#This Row],[fecha_inicio]],2)))</f>
        <v/>
      </c>
      <c r="T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5">
        <f>IF(tblOrdenes[[#This Row],[tipo_ot]]="","",_xlfn.XLOOKUP(tblOrdenes[[#This Row],[tipo_ot]],tblTiposOT[codigo],tblTiposOT[clasificacion],"sin_clasificar"))</f>
        <v/>
      </c>
      <c r="V9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5">
        <f>IF(tblOrdenes[[#This Row],[centro_costo]]="","",_xlfn.XLOOKUP(tblOrdenes[[#This Row],[centro_costo]],tblCECO[codigo],tblCECO[linea],"(sin catálogo)"))</f>
        <v/>
      </c>
      <c r="Y960" s="5">
        <f>IF(tblOrdenes[[#This Row],[centro_costo]]="","",_xlfn.XLOOKUP(tblOrdenes[[#This Row],[centro_costo]],tblCECO[codigo],tblCECO[area],"(sin catálogo)"))</f>
        <v/>
      </c>
      <c r="Z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5">
        <f>IF(tblOrdenes[[#This Row],[centro_costo]]="","",_xlfn.XLOOKUP(tblOrdenes[[#This Row],[centro_costo]],tblCECO[codigo],tblCECO[coordinador],"(sin catálogo)"))</f>
        <v/>
      </c>
      <c r="AB960" s="5">
        <f>IF(tblOrdenes[[#This Row],[puesto_trabajo]]="","",_xlfn.XLOOKUP(tblOrdenes[[#This Row],[puesto_trabajo]],tblPuestos[codigo],tblPuestos[especialidad],"(sin catálogo)"))</f>
        <v/>
      </c>
      <c r="AC960" s="5">
        <f>IF(tblOrdenes[[#This Row],[cod_actividad]]="","",_xlfn.XLOOKUP(tblOrdenes[[#This Row],[cod_actividad]],tblActividades[codigo],tblActividades[descripcion],"(sin catálogo)"))</f>
        <v/>
      </c>
      <c r="AD960" s="23">
        <f>IF(tblOrdenes[[#This Row],[fecha_inicio]]="","",TODAY()-tblOrdenes[[#This Row],[fecha_inicio]])</f>
        <v/>
      </c>
      <c r="AE9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5">
        <f>IF(tblOrdenes[[#This Row],[backlog_habiles]]="","",IF(tblOrdenes[[#This Row],[backlog_habiles]]&lt;0,"FUTURO",IF(tblOrdenes[[#This Row],[backlog_habiles]]&gt;p_dias_backlog_max,"BACKLOG","MES CORRIENTE")))</f>
        <v/>
      </c>
      <c r="AG960" s="5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18">
        <f>IF(tblOrdenes[[#This Row],[orden]]="","",_xlfn.XLOOKUP(tblOrdenes[[#This Row],[id_operacion]],tblEjecucion[id_operacion],tblEjecucion[precio],0))</f>
        <v/>
      </c>
      <c r="AM960" s="18">
        <f>IF(tblOrdenes[[#This Row],[orden]]="","",MAX(0,_xlfn.XLOOKUP(tblOrdenes[[#This Row],[id_operacion]],tblEjecucion[id_operacion],tblEjecucion[costo_plan_total],0)-tblOrdenes[[#This Row],[costo_servicio]]))</f>
        <v/>
      </c>
      <c r="AN960" s="18">
        <f>IF(tblOrdenes[[#This Row],[orden]]="","",tblOrdenes[[#This Row],[costo_servicio]]+tblOrdenes[[#This Row],[costo_materiales]])</f>
        <v/>
      </c>
      <c r="AO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5">
        <f>IF(tblOrdenes[[#This Row],[link_checklist]]="","",HYPERLINK(p_ruta_base_checklists&amp;tblOrdenes[[#This Row],[link_checklist]],"abrir"))</f>
        <v/>
      </c>
      <c r="AT960" s="4" t="n"/>
      <c r="AU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5" t="n"/>
      <c r="K961" s="5" t="n"/>
      <c r="L961" s="18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Row],[fecha_inicio]]="","",tblOrdenes[[#This Row],[anio]]&amp;"-"&amp;TEXT(tblOrdenes[[#This Row],[mes]],"00"))</f>
        <v/>
      </c>
      <c r="S961" s="5">
        <f>IF(tblOrdenes[[#This Row],[fecha_inicio]]="","",INDEX(lista_dias,WEEKDAY(tblOrdenes[[#This Row],[fecha_inicio]],2)))</f>
        <v/>
      </c>
      <c r="T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5">
        <f>IF(tblOrdenes[[#This Row],[tipo_ot]]="","",_xlfn.XLOOKUP(tblOrdenes[[#This Row],[tipo_ot]],tblTiposOT[codigo],tblTiposOT[clasificacion],"sin_clasificar"))</f>
        <v/>
      </c>
      <c r="V9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5">
        <f>IF(tblOrdenes[[#This Row],[centro_costo]]="","",_xlfn.XLOOKUP(tblOrdenes[[#This Row],[centro_costo]],tblCECO[codigo],tblCECO[linea],"(sin catálogo)"))</f>
        <v/>
      </c>
      <c r="Y961" s="5">
        <f>IF(tblOrdenes[[#This Row],[centro_costo]]="","",_xlfn.XLOOKUP(tblOrdenes[[#This Row],[centro_costo]],tblCECO[codigo],tblCECO[area],"(sin catálogo)"))</f>
        <v/>
      </c>
      <c r="Z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5">
        <f>IF(tblOrdenes[[#This Row],[centro_costo]]="","",_xlfn.XLOOKUP(tblOrdenes[[#This Row],[centro_costo]],tblCECO[codigo],tblCECO[coordinador],"(sin catálogo)"))</f>
        <v/>
      </c>
      <c r="AB961" s="5">
        <f>IF(tblOrdenes[[#This Row],[puesto_trabajo]]="","",_xlfn.XLOOKUP(tblOrdenes[[#This Row],[puesto_trabajo]],tblPuestos[codigo],tblPuestos[especialidad],"(sin catálogo)"))</f>
        <v/>
      </c>
      <c r="AC961" s="5">
        <f>IF(tblOrdenes[[#This Row],[cod_actividad]]="","",_xlfn.XLOOKUP(tblOrdenes[[#This Row],[cod_actividad]],tblActividades[codigo],tblActividades[descripcion],"(sin catálogo)"))</f>
        <v/>
      </c>
      <c r="AD961" s="23">
        <f>IF(tblOrdenes[[#This Row],[fecha_inicio]]="","",TODAY()-tblOrdenes[[#This Row],[fecha_inicio]])</f>
        <v/>
      </c>
      <c r="AE9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5">
        <f>IF(tblOrdenes[[#This Row],[backlog_habiles]]="","",IF(tblOrdenes[[#This Row],[backlog_habiles]]&lt;0,"FUTURO",IF(tblOrdenes[[#This Row],[backlog_habiles]]&gt;p_dias_backlog_max,"BACKLOG","MES CORRIENTE")))</f>
        <v/>
      </c>
      <c r="AG961" s="5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18">
        <f>IF(tblOrdenes[[#This Row],[orden]]="","",_xlfn.XLOOKUP(tblOrdenes[[#This Row],[id_operacion]],tblEjecucion[id_operacion],tblEjecucion[precio],0))</f>
        <v/>
      </c>
      <c r="AM961" s="18">
        <f>IF(tblOrdenes[[#This Row],[orden]]="","",MAX(0,_xlfn.XLOOKUP(tblOrdenes[[#This Row],[id_operacion]],tblEjecucion[id_operacion],tblEjecucion[costo_plan_total],0)-tblOrdenes[[#This Row],[costo_servicio]]))</f>
        <v/>
      </c>
      <c r="AN961" s="18">
        <f>IF(tblOrdenes[[#This Row],[orden]]="","",tblOrdenes[[#This Row],[costo_servicio]]+tblOrdenes[[#This Row],[costo_materiales]])</f>
        <v/>
      </c>
      <c r="AO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5">
        <f>IF(tblOrdenes[[#This Row],[link_checklist]]="","",HYPERLINK(p_ruta_base_checklists&amp;tblOrdenes[[#This Row],[link_checklist]],"abrir"))</f>
        <v/>
      </c>
      <c r="AT961" s="4" t="n"/>
      <c r="AU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5" t="n"/>
      <c r="K962" s="5" t="n"/>
      <c r="L962" s="18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Row],[fecha_inicio]]="","",tblOrdenes[[#This Row],[anio]]&amp;"-"&amp;TEXT(tblOrdenes[[#This Row],[mes]],"00"))</f>
        <v/>
      </c>
      <c r="S962" s="5">
        <f>IF(tblOrdenes[[#This Row],[fecha_inicio]]="","",INDEX(lista_dias,WEEKDAY(tblOrdenes[[#This Row],[fecha_inicio]],2)))</f>
        <v/>
      </c>
      <c r="T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5">
        <f>IF(tblOrdenes[[#This Row],[tipo_ot]]="","",_xlfn.XLOOKUP(tblOrdenes[[#This Row],[tipo_ot]],tblTiposOT[codigo],tblTiposOT[clasificacion],"sin_clasificar"))</f>
        <v/>
      </c>
      <c r="V9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5">
        <f>IF(tblOrdenes[[#This Row],[centro_costo]]="","",_xlfn.XLOOKUP(tblOrdenes[[#This Row],[centro_costo]],tblCECO[codigo],tblCECO[linea],"(sin catálogo)"))</f>
        <v/>
      </c>
      <c r="Y962" s="5">
        <f>IF(tblOrdenes[[#This Row],[centro_costo]]="","",_xlfn.XLOOKUP(tblOrdenes[[#This Row],[centro_costo]],tblCECO[codigo],tblCECO[area],"(sin catálogo)"))</f>
        <v/>
      </c>
      <c r="Z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5">
        <f>IF(tblOrdenes[[#This Row],[centro_costo]]="","",_xlfn.XLOOKUP(tblOrdenes[[#This Row],[centro_costo]],tblCECO[codigo],tblCECO[coordinador],"(sin catálogo)"))</f>
        <v/>
      </c>
      <c r="AB962" s="5">
        <f>IF(tblOrdenes[[#This Row],[puesto_trabajo]]="","",_xlfn.XLOOKUP(tblOrdenes[[#This Row],[puesto_trabajo]],tblPuestos[codigo],tblPuestos[especialidad],"(sin catálogo)"))</f>
        <v/>
      </c>
      <c r="AC962" s="5">
        <f>IF(tblOrdenes[[#This Row],[cod_actividad]]="","",_xlfn.XLOOKUP(tblOrdenes[[#This Row],[cod_actividad]],tblActividades[codigo],tblActividades[descripcion],"(sin catálogo)"))</f>
        <v/>
      </c>
      <c r="AD962" s="23">
        <f>IF(tblOrdenes[[#This Row],[fecha_inicio]]="","",TODAY()-tblOrdenes[[#This Row],[fecha_inicio]])</f>
        <v/>
      </c>
      <c r="AE9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5">
        <f>IF(tblOrdenes[[#This Row],[backlog_habiles]]="","",IF(tblOrdenes[[#This Row],[backlog_habiles]]&lt;0,"FUTURO",IF(tblOrdenes[[#This Row],[backlog_habiles]]&gt;p_dias_backlog_max,"BACKLOG","MES CORRIENTE")))</f>
        <v/>
      </c>
      <c r="AG962" s="5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18">
        <f>IF(tblOrdenes[[#This Row],[orden]]="","",_xlfn.XLOOKUP(tblOrdenes[[#This Row],[id_operacion]],tblEjecucion[id_operacion],tblEjecucion[precio],0))</f>
        <v/>
      </c>
      <c r="AM962" s="18">
        <f>IF(tblOrdenes[[#This Row],[orden]]="","",MAX(0,_xlfn.XLOOKUP(tblOrdenes[[#This Row],[id_operacion]],tblEjecucion[id_operacion],tblEjecucion[costo_plan_total],0)-tblOrdenes[[#This Row],[costo_servicio]]))</f>
        <v/>
      </c>
      <c r="AN962" s="18">
        <f>IF(tblOrdenes[[#This Row],[orden]]="","",tblOrdenes[[#This Row],[costo_servicio]]+tblOrdenes[[#This Row],[costo_materiales]])</f>
        <v/>
      </c>
      <c r="AO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5">
        <f>IF(tblOrdenes[[#This Row],[link_checklist]]="","",HYPERLINK(p_ruta_base_checklists&amp;tblOrdenes[[#This Row],[link_checklist]],"abrir"))</f>
        <v/>
      </c>
      <c r="AT962" s="4" t="n"/>
      <c r="AU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5" t="n"/>
      <c r="K963" s="5" t="n"/>
      <c r="L963" s="18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Row],[fecha_inicio]]="","",tblOrdenes[[#This Row],[anio]]&amp;"-"&amp;TEXT(tblOrdenes[[#This Row],[mes]],"00"))</f>
        <v/>
      </c>
      <c r="S963" s="5">
        <f>IF(tblOrdenes[[#This Row],[fecha_inicio]]="","",INDEX(lista_dias,WEEKDAY(tblOrdenes[[#This Row],[fecha_inicio]],2)))</f>
        <v/>
      </c>
      <c r="T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5">
        <f>IF(tblOrdenes[[#This Row],[tipo_ot]]="","",_xlfn.XLOOKUP(tblOrdenes[[#This Row],[tipo_ot]],tblTiposOT[codigo],tblTiposOT[clasificacion],"sin_clasificar"))</f>
        <v/>
      </c>
      <c r="V9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5">
        <f>IF(tblOrdenes[[#This Row],[centro_costo]]="","",_xlfn.XLOOKUP(tblOrdenes[[#This Row],[centro_costo]],tblCECO[codigo],tblCECO[linea],"(sin catálogo)"))</f>
        <v/>
      </c>
      <c r="Y963" s="5">
        <f>IF(tblOrdenes[[#This Row],[centro_costo]]="","",_xlfn.XLOOKUP(tblOrdenes[[#This Row],[centro_costo]],tblCECO[codigo],tblCECO[area],"(sin catálogo)"))</f>
        <v/>
      </c>
      <c r="Z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5">
        <f>IF(tblOrdenes[[#This Row],[centro_costo]]="","",_xlfn.XLOOKUP(tblOrdenes[[#This Row],[centro_costo]],tblCECO[codigo],tblCECO[coordinador],"(sin catálogo)"))</f>
        <v/>
      </c>
      <c r="AB963" s="5">
        <f>IF(tblOrdenes[[#This Row],[puesto_trabajo]]="","",_xlfn.XLOOKUP(tblOrdenes[[#This Row],[puesto_trabajo]],tblPuestos[codigo],tblPuestos[especialidad],"(sin catálogo)"))</f>
        <v/>
      </c>
      <c r="AC963" s="5">
        <f>IF(tblOrdenes[[#This Row],[cod_actividad]]="","",_xlfn.XLOOKUP(tblOrdenes[[#This Row],[cod_actividad]],tblActividades[codigo],tblActividades[descripcion],"(sin catálogo)"))</f>
        <v/>
      </c>
      <c r="AD963" s="23">
        <f>IF(tblOrdenes[[#This Row],[fecha_inicio]]="","",TODAY()-tblOrdenes[[#This Row],[fecha_inicio]])</f>
        <v/>
      </c>
      <c r="AE9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5">
        <f>IF(tblOrdenes[[#This Row],[backlog_habiles]]="","",IF(tblOrdenes[[#This Row],[backlog_habiles]]&lt;0,"FUTURO",IF(tblOrdenes[[#This Row],[backlog_habiles]]&gt;p_dias_backlog_max,"BACKLOG","MES CORRIENTE")))</f>
        <v/>
      </c>
      <c r="AG963" s="5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18">
        <f>IF(tblOrdenes[[#This Row],[orden]]="","",_xlfn.XLOOKUP(tblOrdenes[[#This Row],[id_operacion]],tblEjecucion[id_operacion],tblEjecucion[precio],0))</f>
        <v/>
      </c>
      <c r="AM963" s="18">
        <f>IF(tblOrdenes[[#This Row],[orden]]="","",MAX(0,_xlfn.XLOOKUP(tblOrdenes[[#This Row],[id_operacion]],tblEjecucion[id_operacion],tblEjecucion[costo_plan_total],0)-tblOrdenes[[#This Row],[costo_servicio]]))</f>
        <v/>
      </c>
      <c r="AN963" s="18">
        <f>IF(tblOrdenes[[#This Row],[orden]]="","",tblOrdenes[[#This Row],[costo_servicio]]+tblOrdenes[[#This Row],[costo_materiales]])</f>
        <v/>
      </c>
      <c r="AO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5">
        <f>IF(tblOrdenes[[#This Row],[link_checklist]]="","",HYPERLINK(p_ruta_base_checklists&amp;tblOrdenes[[#This Row],[link_checklist]],"abrir"))</f>
        <v/>
      </c>
      <c r="AT963" s="4" t="n"/>
      <c r="AU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5" t="n"/>
      <c r="K964" s="5" t="n"/>
      <c r="L964" s="18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Row],[fecha_inicio]]="","",tblOrdenes[[#This Row],[anio]]&amp;"-"&amp;TEXT(tblOrdenes[[#This Row],[mes]],"00"))</f>
        <v/>
      </c>
      <c r="S964" s="5">
        <f>IF(tblOrdenes[[#This Row],[fecha_inicio]]="","",INDEX(lista_dias,WEEKDAY(tblOrdenes[[#This Row],[fecha_inicio]],2)))</f>
        <v/>
      </c>
      <c r="T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5">
        <f>IF(tblOrdenes[[#This Row],[tipo_ot]]="","",_xlfn.XLOOKUP(tblOrdenes[[#This Row],[tipo_ot]],tblTiposOT[codigo],tblTiposOT[clasificacion],"sin_clasificar"))</f>
        <v/>
      </c>
      <c r="V9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5">
        <f>IF(tblOrdenes[[#This Row],[centro_costo]]="","",_xlfn.XLOOKUP(tblOrdenes[[#This Row],[centro_costo]],tblCECO[codigo],tblCECO[linea],"(sin catálogo)"))</f>
        <v/>
      </c>
      <c r="Y964" s="5">
        <f>IF(tblOrdenes[[#This Row],[centro_costo]]="","",_xlfn.XLOOKUP(tblOrdenes[[#This Row],[centro_costo]],tblCECO[codigo],tblCECO[area],"(sin catálogo)"))</f>
        <v/>
      </c>
      <c r="Z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5">
        <f>IF(tblOrdenes[[#This Row],[centro_costo]]="","",_xlfn.XLOOKUP(tblOrdenes[[#This Row],[centro_costo]],tblCECO[codigo],tblCECO[coordinador],"(sin catálogo)"))</f>
        <v/>
      </c>
      <c r="AB964" s="5">
        <f>IF(tblOrdenes[[#This Row],[puesto_trabajo]]="","",_xlfn.XLOOKUP(tblOrdenes[[#This Row],[puesto_trabajo]],tblPuestos[codigo],tblPuestos[especialidad],"(sin catálogo)"))</f>
        <v/>
      </c>
      <c r="AC964" s="5">
        <f>IF(tblOrdenes[[#This Row],[cod_actividad]]="","",_xlfn.XLOOKUP(tblOrdenes[[#This Row],[cod_actividad]],tblActividades[codigo],tblActividades[descripcion],"(sin catálogo)"))</f>
        <v/>
      </c>
      <c r="AD964" s="23">
        <f>IF(tblOrdenes[[#This Row],[fecha_inicio]]="","",TODAY()-tblOrdenes[[#This Row],[fecha_inicio]])</f>
        <v/>
      </c>
      <c r="AE9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5">
        <f>IF(tblOrdenes[[#This Row],[backlog_habiles]]="","",IF(tblOrdenes[[#This Row],[backlog_habiles]]&lt;0,"FUTURO",IF(tblOrdenes[[#This Row],[backlog_habiles]]&gt;p_dias_backlog_max,"BACKLOG","MES CORRIENTE")))</f>
        <v/>
      </c>
      <c r="AG964" s="5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18">
        <f>IF(tblOrdenes[[#This Row],[orden]]="","",_xlfn.XLOOKUP(tblOrdenes[[#This Row],[id_operacion]],tblEjecucion[id_operacion],tblEjecucion[precio],0))</f>
        <v/>
      </c>
      <c r="AM964" s="18">
        <f>IF(tblOrdenes[[#This Row],[orden]]="","",MAX(0,_xlfn.XLOOKUP(tblOrdenes[[#This Row],[id_operacion]],tblEjecucion[id_operacion],tblEjecucion[costo_plan_total],0)-tblOrdenes[[#This Row],[costo_servicio]]))</f>
        <v/>
      </c>
      <c r="AN964" s="18">
        <f>IF(tblOrdenes[[#This Row],[orden]]="","",tblOrdenes[[#This Row],[costo_servicio]]+tblOrdenes[[#This Row],[costo_materiales]])</f>
        <v/>
      </c>
      <c r="AO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5">
        <f>IF(tblOrdenes[[#This Row],[link_checklist]]="","",HYPERLINK(p_ruta_base_checklists&amp;tblOrdenes[[#This Row],[link_checklist]],"abrir"))</f>
        <v/>
      </c>
      <c r="AT964" s="4" t="n"/>
      <c r="AU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5" t="n"/>
      <c r="K965" s="5" t="n"/>
      <c r="L965" s="18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Row],[fecha_inicio]]="","",tblOrdenes[[#This Row],[anio]]&amp;"-"&amp;TEXT(tblOrdenes[[#This Row],[mes]],"00"))</f>
        <v/>
      </c>
      <c r="S965" s="5">
        <f>IF(tblOrdenes[[#This Row],[fecha_inicio]]="","",INDEX(lista_dias,WEEKDAY(tblOrdenes[[#This Row],[fecha_inicio]],2)))</f>
        <v/>
      </c>
      <c r="T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5">
        <f>IF(tblOrdenes[[#This Row],[tipo_ot]]="","",_xlfn.XLOOKUP(tblOrdenes[[#This Row],[tipo_ot]],tblTiposOT[codigo],tblTiposOT[clasificacion],"sin_clasificar"))</f>
        <v/>
      </c>
      <c r="V9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5">
        <f>IF(tblOrdenes[[#This Row],[centro_costo]]="","",_xlfn.XLOOKUP(tblOrdenes[[#This Row],[centro_costo]],tblCECO[codigo],tblCECO[linea],"(sin catálogo)"))</f>
        <v/>
      </c>
      <c r="Y965" s="5">
        <f>IF(tblOrdenes[[#This Row],[centro_costo]]="","",_xlfn.XLOOKUP(tblOrdenes[[#This Row],[centro_costo]],tblCECO[codigo],tblCECO[area],"(sin catálogo)"))</f>
        <v/>
      </c>
      <c r="Z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5">
        <f>IF(tblOrdenes[[#This Row],[centro_costo]]="","",_xlfn.XLOOKUP(tblOrdenes[[#This Row],[centro_costo]],tblCECO[codigo],tblCECO[coordinador],"(sin catálogo)"))</f>
        <v/>
      </c>
      <c r="AB965" s="5">
        <f>IF(tblOrdenes[[#This Row],[puesto_trabajo]]="","",_xlfn.XLOOKUP(tblOrdenes[[#This Row],[puesto_trabajo]],tblPuestos[codigo],tblPuestos[especialidad],"(sin catálogo)"))</f>
        <v/>
      </c>
      <c r="AC965" s="5">
        <f>IF(tblOrdenes[[#This Row],[cod_actividad]]="","",_xlfn.XLOOKUP(tblOrdenes[[#This Row],[cod_actividad]],tblActividades[codigo],tblActividades[descripcion],"(sin catálogo)"))</f>
        <v/>
      </c>
      <c r="AD965" s="23">
        <f>IF(tblOrdenes[[#This Row],[fecha_inicio]]="","",TODAY()-tblOrdenes[[#This Row],[fecha_inicio]])</f>
        <v/>
      </c>
      <c r="AE9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5">
        <f>IF(tblOrdenes[[#This Row],[backlog_habiles]]="","",IF(tblOrdenes[[#This Row],[backlog_habiles]]&lt;0,"FUTURO",IF(tblOrdenes[[#This Row],[backlog_habiles]]&gt;p_dias_backlog_max,"BACKLOG","MES CORRIENTE")))</f>
        <v/>
      </c>
      <c r="AG965" s="5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18">
        <f>IF(tblOrdenes[[#This Row],[orden]]="","",_xlfn.XLOOKUP(tblOrdenes[[#This Row],[id_operacion]],tblEjecucion[id_operacion],tblEjecucion[precio],0))</f>
        <v/>
      </c>
      <c r="AM965" s="18">
        <f>IF(tblOrdenes[[#This Row],[orden]]="","",MAX(0,_xlfn.XLOOKUP(tblOrdenes[[#This Row],[id_operacion]],tblEjecucion[id_operacion],tblEjecucion[costo_plan_total],0)-tblOrdenes[[#This Row],[costo_servicio]]))</f>
        <v/>
      </c>
      <c r="AN965" s="18">
        <f>IF(tblOrdenes[[#This Row],[orden]]="","",tblOrdenes[[#This Row],[costo_servicio]]+tblOrdenes[[#This Row],[costo_materiales]])</f>
        <v/>
      </c>
      <c r="AO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5">
        <f>IF(tblOrdenes[[#This Row],[link_checklist]]="","",HYPERLINK(p_ruta_base_checklists&amp;tblOrdenes[[#This Row],[link_checklist]],"abrir"))</f>
        <v/>
      </c>
      <c r="AT965" s="4" t="n"/>
      <c r="AU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5" t="n"/>
      <c r="K966" s="5" t="n"/>
      <c r="L966" s="18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Row],[fecha_inicio]]="","",tblOrdenes[[#This Row],[anio]]&amp;"-"&amp;TEXT(tblOrdenes[[#This Row],[mes]],"00"))</f>
        <v/>
      </c>
      <c r="S966" s="5">
        <f>IF(tblOrdenes[[#This Row],[fecha_inicio]]="","",INDEX(lista_dias,WEEKDAY(tblOrdenes[[#This Row],[fecha_inicio]],2)))</f>
        <v/>
      </c>
      <c r="T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5">
        <f>IF(tblOrdenes[[#This Row],[tipo_ot]]="","",_xlfn.XLOOKUP(tblOrdenes[[#This Row],[tipo_ot]],tblTiposOT[codigo],tblTiposOT[clasificacion],"sin_clasificar"))</f>
        <v/>
      </c>
      <c r="V9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5">
        <f>IF(tblOrdenes[[#This Row],[centro_costo]]="","",_xlfn.XLOOKUP(tblOrdenes[[#This Row],[centro_costo]],tblCECO[codigo],tblCECO[linea],"(sin catálogo)"))</f>
        <v/>
      </c>
      <c r="Y966" s="5">
        <f>IF(tblOrdenes[[#This Row],[centro_costo]]="","",_xlfn.XLOOKUP(tblOrdenes[[#This Row],[centro_costo]],tblCECO[codigo],tblCECO[area],"(sin catálogo)"))</f>
        <v/>
      </c>
      <c r="Z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5">
        <f>IF(tblOrdenes[[#This Row],[centro_costo]]="","",_xlfn.XLOOKUP(tblOrdenes[[#This Row],[centro_costo]],tblCECO[codigo],tblCECO[coordinador],"(sin catálogo)"))</f>
        <v/>
      </c>
      <c r="AB966" s="5">
        <f>IF(tblOrdenes[[#This Row],[puesto_trabajo]]="","",_xlfn.XLOOKUP(tblOrdenes[[#This Row],[puesto_trabajo]],tblPuestos[codigo],tblPuestos[especialidad],"(sin catálogo)"))</f>
        <v/>
      </c>
      <c r="AC966" s="5">
        <f>IF(tblOrdenes[[#This Row],[cod_actividad]]="","",_xlfn.XLOOKUP(tblOrdenes[[#This Row],[cod_actividad]],tblActividades[codigo],tblActividades[descripcion],"(sin catálogo)"))</f>
        <v/>
      </c>
      <c r="AD966" s="23">
        <f>IF(tblOrdenes[[#This Row],[fecha_inicio]]="","",TODAY()-tblOrdenes[[#This Row],[fecha_inicio]])</f>
        <v/>
      </c>
      <c r="AE9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5">
        <f>IF(tblOrdenes[[#This Row],[backlog_habiles]]="","",IF(tblOrdenes[[#This Row],[backlog_habiles]]&lt;0,"FUTURO",IF(tblOrdenes[[#This Row],[backlog_habiles]]&gt;p_dias_backlog_max,"BACKLOG","MES CORRIENTE")))</f>
        <v/>
      </c>
      <c r="AG966" s="5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18">
        <f>IF(tblOrdenes[[#This Row],[orden]]="","",_xlfn.XLOOKUP(tblOrdenes[[#This Row],[id_operacion]],tblEjecucion[id_operacion],tblEjecucion[precio],0))</f>
        <v/>
      </c>
      <c r="AM966" s="18">
        <f>IF(tblOrdenes[[#This Row],[orden]]="","",MAX(0,_xlfn.XLOOKUP(tblOrdenes[[#This Row],[id_operacion]],tblEjecucion[id_operacion],tblEjecucion[costo_plan_total],0)-tblOrdenes[[#This Row],[costo_servicio]]))</f>
        <v/>
      </c>
      <c r="AN966" s="18">
        <f>IF(tblOrdenes[[#This Row],[orden]]="","",tblOrdenes[[#This Row],[costo_servicio]]+tblOrdenes[[#This Row],[costo_materiales]])</f>
        <v/>
      </c>
      <c r="AO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5">
        <f>IF(tblOrdenes[[#This Row],[link_checklist]]="","",HYPERLINK(p_ruta_base_checklists&amp;tblOrdenes[[#This Row],[link_checklist]],"abrir"))</f>
        <v/>
      </c>
      <c r="AT966" s="4" t="n"/>
      <c r="AU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5" t="n"/>
      <c r="K967" s="5" t="n"/>
      <c r="L967" s="18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Row],[fecha_inicio]]="","",tblOrdenes[[#This Row],[anio]]&amp;"-"&amp;TEXT(tblOrdenes[[#This Row],[mes]],"00"))</f>
        <v/>
      </c>
      <c r="S967" s="5">
        <f>IF(tblOrdenes[[#This Row],[fecha_inicio]]="","",INDEX(lista_dias,WEEKDAY(tblOrdenes[[#This Row],[fecha_inicio]],2)))</f>
        <v/>
      </c>
      <c r="T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5">
        <f>IF(tblOrdenes[[#This Row],[tipo_ot]]="","",_xlfn.XLOOKUP(tblOrdenes[[#This Row],[tipo_ot]],tblTiposOT[codigo],tblTiposOT[clasificacion],"sin_clasificar"))</f>
        <v/>
      </c>
      <c r="V9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5">
        <f>IF(tblOrdenes[[#This Row],[centro_costo]]="","",_xlfn.XLOOKUP(tblOrdenes[[#This Row],[centro_costo]],tblCECO[codigo],tblCECO[linea],"(sin catálogo)"))</f>
        <v/>
      </c>
      <c r="Y967" s="5">
        <f>IF(tblOrdenes[[#This Row],[centro_costo]]="","",_xlfn.XLOOKUP(tblOrdenes[[#This Row],[centro_costo]],tblCECO[codigo],tblCECO[area],"(sin catálogo)"))</f>
        <v/>
      </c>
      <c r="Z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5">
        <f>IF(tblOrdenes[[#This Row],[centro_costo]]="","",_xlfn.XLOOKUP(tblOrdenes[[#This Row],[centro_costo]],tblCECO[codigo],tblCECO[coordinador],"(sin catálogo)"))</f>
        <v/>
      </c>
      <c r="AB967" s="5">
        <f>IF(tblOrdenes[[#This Row],[puesto_trabajo]]="","",_xlfn.XLOOKUP(tblOrdenes[[#This Row],[puesto_trabajo]],tblPuestos[codigo],tblPuestos[especialidad],"(sin catálogo)"))</f>
        <v/>
      </c>
      <c r="AC967" s="5">
        <f>IF(tblOrdenes[[#This Row],[cod_actividad]]="","",_xlfn.XLOOKUP(tblOrdenes[[#This Row],[cod_actividad]],tblActividades[codigo],tblActividades[descripcion],"(sin catálogo)"))</f>
        <v/>
      </c>
      <c r="AD967" s="23">
        <f>IF(tblOrdenes[[#This Row],[fecha_inicio]]="","",TODAY()-tblOrdenes[[#This Row],[fecha_inicio]])</f>
        <v/>
      </c>
      <c r="AE9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5">
        <f>IF(tblOrdenes[[#This Row],[backlog_habiles]]="","",IF(tblOrdenes[[#This Row],[backlog_habiles]]&lt;0,"FUTURO",IF(tblOrdenes[[#This Row],[backlog_habiles]]&gt;p_dias_backlog_max,"BACKLOG","MES CORRIENTE")))</f>
        <v/>
      </c>
      <c r="AG967" s="5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18">
        <f>IF(tblOrdenes[[#This Row],[orden]]="","",_xlfn.XLOOKUP(tblOrdenes[[#This Row],[id_operacion]],tblEjecucion[id_operacion],tblEjecucion[precio],0))</f>
        <v/>
      </c>
      <c r="AM967" s="18">
        <f>IF(tblOrdenes[[#This Row],[orden]]="","",MAX(0,_xlfn.XLOOKUP(tblOrdenes[[#This Row],[id_operacion]],tblEjecucion[id_operacion],tblEjecucion[costo_plan_total],0)-tblOrdenes[[#This Row],[costo_servicio]]))</f>
        <v/>
      </c>
      <c r="AN967" s="18">
        <f>IF(tblOrdenes[[#This Row],[orden]]="","",tblOrdenes[[#This Row],[costo_servicio]]+tblOrdenes[[#This Row],[costo_materiales]])</f>
        <v/>
      </c>
      <c r="AO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5">
        <f>IF(tblOrdenes[[#This Row],[link_checklist]]="","",HYPERLINK(p_ruta_base_checklists&amp;tblOrdenes[[#This Row],[link_checklist]],"abrir"))</f>
        <v/>
      </c>
      <c r="AT967" s="4" t="n"/>
      <c r="AU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5" t="n"/>
      <c r="K968" s="5" t="n"/>
      <c r="L968" s="18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Row],[fecha_inicio]]="","",tblOrdenes[[#This Row],[anio]]&amp;"-"&amp;TEXT(tblOrdenes[[#This Row],[mes]],"00"))</f>
        <v/>
      </c>
      <c r="S968" s="5">
        <f>IF(tblOrdenes[[#This Row],[fecha_inicio]]="","",INDEX(lista_dias,WEEKDAY(tblOrdenes[[#This Row],[fecha_inicio]],2)))</f>
        <v/>
      </c>
      <c r="T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5">
        <f>IF(tblOrdenes[[#This Row],[tipo_ot]]="","",_xlfn.XLOOKUP(tblOrdenes[[#This Row],[tipo_ot]],tblTiposOT[codigo],tblTiposOT[clasificacion],"sin_clasificar"))</f>
        <v/>
      </c>
      <c r="V9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5">
        <f>IF(tblOrdenes[[#This Row],[centro_costo]]="","",_xlfn.XLOOKUP(tblOrdenes[[#This Row],[centro_costo]],tblCECO[codigo],tblCECO[linea],"(sin catálogo)"))</f>
        <v/>
      </c>
      <c r="Y968" s="5">
        <f>IF(tblOrdenes[[#This Row],[centro_costo]]="","",_xlfn.XLOOKUP(tblOrdenes[[#This Row],[centro_costo]],tblCECO[codigo],tblCECO[area],"(sin catálogo)"))</f>
        <v/>
      </c>
      <c r="Z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5">
        <f>IF(tblOrdenes[[#This Row],[centro_costo]]="","",_xlfn.XLOOKUP(tblOrdenes[[#This Row],[centro_costo]],tblCECO[codigo],tblCECO[coordinador],"(sin catálogo)"))</f>
        <v/>
      </c>
      <c r="AB968" s="5">
        <f>IF(tblOrdenes[[#This Row],[puesto_trabajo]]="","",_xlfn.XLOOKUP(tblOrdenes[[#This Row],[puesto_trabajo]],tblPuestos[codigo],tblPuestos[especialidad],"(sin catálogo)"))</f>
        <v/>
      </c>
      <c r="AC968" s="5">
        <f>IF(tblOrdenes[[#This Row],[cod_actividad]]="","",_xlfn.XLOOKUP(tblOrdenes[[#This Row],[cod_actividad]],tblActividades[codigo],tblActividades[descripcion],"(sin catálogo)"))</f>
        <v/>
      </c>
      <c r="AD968" s="23">
        <f>IF(tblOrdenes[[#This Row],[fecha_inicio]]="","",TODAY()-tblOrdenes[[#This Row],[fecha_inicio]])</f>
        <v/>
      </c>
      <c r="AE9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5">
        <f>IF(tblOrdenes[[#This Row],[backlog_habiles]]="","",IF(tblOrdenes[[#This Row],[backlog_habiles]]&lt;0,"FUTURO",IF(tblOrdenes[[#This Row],[backlog_habiles]]&gt;p_dias_backlog_max,"BACKLOG","MES CORRIENTE")))</f>
        <v/>
      </c>
      <c r="AG968" s="5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18">
        <f>IF(tblOrdenes[[#This Row],[orden]]="","",_xlfn.XLOOKUP(tblOrdenes[[#This Row],[id_operacion]],tblEjecucion[id_operacion],tblEjecucion[precio],0))</f>
        <v/>
      </c>
      <c r="AM968" s="18">
        <f>IF(tblOrdenes[[#This Row],[orden]]="","",MAX(0,_xlfn.XLOOKUP(tblOrdenes[[#This Row],[id_operacion]],tblEjecucion[id_operacion],tblEjecucion[costo_plan_total],0)-tblOrdenes[[#This Row],[costo_servicio]]))</f>
        <v/>
      </c>
      <c r="AN968" s="18">
        <f>IF(tblOrdenes[[#This Row],[orden]]="","",tblOrdenes[[#This Row],[costo_servicio]]+tblOrdenes[[#This Row],[costo_materiales]])</f>
        <v/>
      </c>
      <c r="AO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5">
        <f>IF(tblOrdenes[[#This Row],[link_checklist]]="","",HYPERLINK(p_ruta_base_checklists&amp;tblOrdenes[[#This Row],[link_checklist]],"abrir"))</f>
        <v/>
      </c>
      <c r="AT968" s="4" t="n"/>
      <c r="AU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5" t="n"/>
      <c r="K969" s="5" t="n"/>
      <c r="L969" s="18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Row],[fecha_inicio]]="","",tblOrdenes[[#This Row],[anio]]&amp;"-"&amp;TEXT(tblOrdenes[[#This Row],[mes]],"00"))</f>
        <v/>
      </c>
      <c r="S969" s="5">
        <f>IF(tblOrdenes[[#This Row],[fecha_inicio]]="","",INDEX(lista_dias,WEEKDAY(tblOrdenes[[#This Row],[fecha_inicio]],2)))</f>
        <v/>
      </c>
      <c r="T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5">
        <f>IF(tblOrdenes[[#This Row],[tipo_ot]]="","",_xlfn.XLOOKUP(tblOrdenes[[#This Row],[tipo_ot]],tblTiposOT[codigo],tblTiposOT[clasificacion],"sin_clasificar"))</f>
        <v/>
      </c>
      <c r="V9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5">
        <f>IF(tblOrdenes[[#This Row],[centro_costo]]="","",_xlfn.XLOOKUP(tblOrdenes[[#This Row],[centro_costo]],tblCECO[codigo],tblCECO[linea],"(sin catálogo)"))</f>
        <v/>
      </c>
      <c r="Y969" s="5">
        <f>IF(tblOrdenes[[#This Row],[centro_costo]]="","",_xlfn.XLOOKUP(tblOrdenes[[#This Row],[centro_costo]],tblCECO[codigo],tblCECO[area],"(sin catálogo)"))</f>
        <v/>
      </c>
      <c r="Z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5">
        <f>IF(tblOrdenes[[#This Row],[centro_costo]]="","",_xlfn.XLOOKUP(tblOrdenes[[#This Row],[centro_costo]],tblCECO[codigo],tblCECO[coordinador],"(sin catálogo)"))</f>
        <v/>
      </c>
      <c r="AB969" s="5">
        <f>IF(tblOrdenes[[#This Row],[puesto_trabajo]]="","",_xlfn.XLOOKUP(tblOrdenes[[#This Row],[puesto_trabajo]],tblPuestos[codigo],tblPuestos[especialidad],"(sin catálogo)"))</f>
        <v/>
      </c>
      <c r="AC969" s="5">
        <f>IF(tblOrdenes[[#This Row],[cod_actividad]]="","",_xlfn.XLOOKUP(tblOrdenes[[#This Row],[cod_actividad]],tblActividades[codigo],tblActividades[descripcion],"(sin catálogo)"))</f>
        <v/>
      </c>
      <c r="AD969" s="23">
        <f>IF(tblOrdenes[[#This Row],[fecha_inicio]]="","",TODAY()-tblOrdenes[[#This Row],[fecha_inicio]])</f>
        <v/>
      </c>
      <c r="AE9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5">
        <f>IF(tblOrdenes[[#This Row],[backlog_habiles]]="","",IF(tblOrdenes[[#This Row],[backlog_habiles]]&lt;0,"FUTURO",IF(tblOrdenes[[#This Row],[backlog_habiles]]&gt;p_dias_backlog_max,"BACKLOG","MES CORRIENTE")))</f>
        <v/>
      </c>
      <c r="AG969" s="5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18">
        <f>IF(tblOrdenes[[#This Row],[orden]]="","",_xlfn.XLOOKUP(tblOrdenes[[#This Row],[id_operacion]],tblEjecucion[id_operacion],tblEjecucion[precio],0))</f>
        <v/>
      </c>
      <c r="AM969" s="18">
        <f>IF(tblOrdenes[[#This Row],[orden]]="","",MAX(0,_xlfn.XLOOKUP(tblOrdenes[[#This Row],[id_operacion]],tblEjecucion[id_operacion],tblEjecucion[costo_plan_total],0)-tblOrdenes[[#This Row],[costo_servicio]]))</f>
        <v/>
      </c>
      <c r="AN969" s="18">
        <f>IF(tblOrdenes[[#This Row],[orden]]="","",tblOrdenes[[#This Row],[costo_servicio]]+tblOrdenes[[#This Row],[costo_materiales]])</f>
        <v/>
      </c>
      <c r="AO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5">
        <f>IF(tblOrdenes[[#This Row],[link_checklist]]="","",HYPERLINK(p_ruta_base_checklists&amp;tblOrdenes[[#This Row],[link_checklist]],"abrir"))</f>
        <v/>
      </c>
      <c r="AT969" s="4" t="n"/>
      <c r="AU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5" t="n"/>
      <c r="K970" s="5" t="n"/>
      <c r="L970" s="18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Row],[fecha_inicio]]="","",tblOrdenes[[#This Row],[anio]]&amp;"-"&amp;TEXT(tblOrdenes[[#This Row],[mes]],"00"))</f>
        <v/>
      </c>
      <c r="S970" s="5">
        <f>IF(tblOrdenes[[#This Row],[fecha_inicio]]="","",INDEX(lista_dias,WEEKDAY(tblOrdenes[[#This Row],[fecha_inicio]],2)))</f>
        <v/>
      </c>
      <c r="T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5">
        <f>IF(tblOrdenes[[#This Row],[tipo_ot]]="","",_xlfn.XLOOKUP(tblOrdenes[[#This Row],[tipo_ot]],tblTiposOT[codigo],tblTiposOT[clasificacion],"sin_clasificar"))</f>
        <v/>
      </c>
      <c r="V9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5">
        <f>IF(tblOrdenes[[#This Row],[centro_costo]]="","",_xlfn.XLOOKUP(tblOrdenes[[#This Row],[centro_costo]],tblCECO[codigo],tblCECO[linea],"(sin catálogo)"))</f>
        <v/>
      </c>
      <c r="Y970" s="5">
        <f>IF(tblOrdenes[[#This Row],[centro_costo]]="","",_xlfn.XLOOKUP(tblOrdenes[[#This Row],[centro_costo]],tblCECO[codigo],tblCECO[area],"(sin catálogo)"))</f>
        <v/>
      </c>
      <c r="Z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5">
        <f>IF(tblOrdenes[[#This Row],[centro_costo]]="","",_xlfn.XLOOKUP(tblOrdenes[[#This Row],[centro_costo]],tblCECO[codigo],tblCECO[coordinador],"(sin catálogo)"))</f>
        <v/>
      </c>
      <c r="AB970" s="5">
        <f>IF(tblOrdenes[[#This Row],[puesto_trabajo]]="","",_xlfn.XLOOKUP(tblOrdenes[[#This Row],[puesto_trabajo]],tblPuestos[codigo],tblPuestos[especialidad],"(sin catálogo)"))</f>
        <v/>
      </c>
      <c r="AC970" s="5">
        <f>IF(tblOrdenes[[#This Row],[cod_actividad]]="","",_xlfn.XLOOKUP(tblOrdenes[[#This Row],[cod_actividad]],tblActividades[codigo],tblActividades[descripcion],"(sin catálogo)"))</f>
        <v/>
      </c>
      <c r="AD970" s="23">
        <f>IF(tblOrdenes[[#This Row],[fecha_inicio]]="","",TODAY()-tblOrdenes[[#This Row],[fecha_inicio]])</f>
        <v/>
      </c>
      <c r="AE9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5">
        <f>IF(tblOrdenes[[#This Row],[backlog_habiles]]="","",IF(tblOrdenes[[#This Row],[backlog_habiles]]&lt;0,"FUTURO",IF(tblOrdenes[[#This Row],[backlog_habiles]]&gt;p_dias_backlog_max,"BACKLOG","MES CORRIENTE")))</f>
        <v/>
      </c>
      <c r="AG970" s="5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18">
        <f>IF(tblOrdenes[[#This Row],[orden]]="","",_xlfn.XLOOKUP(tblOrdenes[[#This Row],[id_operacion]],tblEjecucion[id_operacion],tblEjecucion[precio],0))</f>
        <v/>
      </c>
      <c r="AM970" s="18">
        <f>IF(tblOrdenes[[#This Row],[orden]]="","",MAX(0,_xlfn.XLOOKUP(tblOrdenes[[#This Row],[id_operacion]],tblEjecucion[id_operacion],tblEjecucion[costo_plan_total],0)-tblOrdenes[[#This Row],[costo_servicio]]))</f>
        <v/>
      </c>
      <c r="AN970" s="18">
        <f>IF(tblOrdenes[[#This Row],[orden]]="","",tblOrdenes[[#This Row],[costo_servicio]]+tblOrdenes[[#This Row],[costo_materiales]])</f>
        <v/>
      </c>
      <c r="AO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5">
        <f>IF(tblOrdenes[[#This Row],[link_checklist]]="","",HYPERLINK(p_ruta_base_checklists&amp;tblOrdenes[[#This Row],[link_checklist]],"abrir"))</f>
        <v/>
      </c>
      <c r="AT970" s="4" t="n"/>
      <c r="AU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5" t="n"/>
      <c r="K971" s="5" t="n"/>
      <c r="L971" s="18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Row],[fecha_inicio]]="","",tblOrdenes[[#This Row],[anio]]&amp;"-"&amp;TEXT(tblOrdenes[[#This Row],[mes]],"00"))</f>
        <v/>
      </c>
      <c r="S971" s="5">
        <f>IF(tblOrdenes[[#This Row],[fecha_inicio]]="","",INDEX(lista_dias,WEEKDAY(tblOrdenes[[#This Row],[fecha_inicio]],2)))</f>
        <v/>
      </c>
      <c r="T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5">
        <f>IF(tblOrdenes[[#This Row],[tipo_ot]]="","",_xlfn.XLOOKUP(tblOrdenes[[#This Row],[tipo_ot]],tblTiposOT[codigo],tblTiposOT[clasificacion],"sin_clasificar"))</f>
        <v/>
      </c>
      <c r="V9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5">
        <f>IF(tblOrdenes[[#This Row],[centro_costo]]="","",_xlfn.XLOOKUP(tblOrdenes[[#This Row],[centro_costo]],tblCECO[codigo],tblCECO[linea],"(sin catálogo)"))</f>
        <v/>
      </c>
      <c r="Y971" s="5">
        <f>IF(tblOrdenes[[#This Row],[centro_costo]]="","",_xlfn.XLOOKUP(tblOrdenes[[#This Row],[centro_costo]],tblCECO[codigo],tblCECO[area],"(sin catálogo)"))</f>
        <v/>
      </c>
      <c r="Z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5">
        <f>IF(tblOrdenes[[#This Row],[centro_costo]]="","",_xlfn.XLOOKUP(tblOrdenes[[#This Row],[centro_costo]],tblCECO[codigo],tblCECO[coordinador],"(sin catálogo)"))</f>
        <v/>
      </c>
      <c r="AB971" s="5">
        <f>IF(tblOrdenes[[#This Row],[puesto_trabajo]]="","",_xlfn.XLOOKUP(tblOrdenes[[#This Row],[puesto_trabajo]],tblPuestos[codigo],tblPuestos[especialidad],"(sin catálogo)"))</f>
        <v/>
      </c>
      <c r="AC971" s="5">
        <f>IF(tblOrdenes[[#This Row],[cod_actividad]]="","",_xlfn.XLOOKUP(tblOrdenes[[#This Row],[cod_actividad]],tblActividades[codigo],tblActividades[descripcion],"(sin catálogo)"))</f>
        <v/>
      </c>
      <c r="AD971" s="23">
        <f>IF(tblOrdenes[[#This Row],[fecha_inicio]]="","",TODAY()-tblOrdenes[[#This Row],[fecha_inicio]])</f>
        <v/>
      </c>
      <c r="AE9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5">
        <f>IF(tblOrdenes[[#This Row],[backlog_habiles]]="","",IF(tblOrdenes[[#This Row],[backlog_habiles]]&lt;0,"FUTURO",IF(tblOrdenes[[#This Row],[backlog_habiles]]&gt;p_dias_backlog_max,"BACKLOG","MES CORRIENTE")))</f>
        <v/>
      </c>
      <c r="AG971" s="5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18">
        <f>IF(tblOrdenes[[#This Row],[orden]]="","",_xlfn.XLOOKUP(tblOrdenes[[#This Row],[id_operacion]],tblEjecucion[id_operacion],tblEjecucion[precio],0))</f>
        <v/>
      </c>
      <c r="AM971" s="18">
        <f>IF(tblOrdenes[[#This Row],[orden]]="","",MAX(0,_xlfn.XLOOKUP(tblOrdenes[[#This Row],[id_operacion]],tblEjecucion[id_operacion],tblEjecucion[costo_plan_total],0)-tblOrdenes[[#This Row],[costo_servicio]]))</f>
        <v/>
      </c>
      <c r="AN971" s="18">
        <f>IF(tblOrdenes[[#This Row],[orden]]="","",tblOrdenes[[#This Row],[costo_servicio]]+tblOrdenes[[#This Row],[costo_materiales]])</f>
        <v/>
      </c>
      <c r="AO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5">
        <f>IF(tblOrdenes[[#This Row],[link_checklist]]="","",HYPERLINK(p_ruta_base_checklists&amp;tblOrdenes[[#This Row],[link_checklist]],"abrir"))</f>
        <v/>
      </c>
      <c r="AT971" s="4" t="n"/>
      <c r="AU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5" t="n"/>
      <c r="K972" s="5" t="n"/>
      <c r="L972" s="18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Row],[fecha_inicio]]="","",tblOrdenes[[#This Row],[anio]]&amp;"-"&amp;TEXT(tblOrdenes[[#This Row],[mes]],"00"))</f>
        <v/>
      </c>
      <c r="S972" s="5">
        <f>IF(tblOrdenes[[#This Row],[fecha_inicio]]="","",INDEX(lista_dias,WEEKDAY(tblOrdenes[[#This Row],[fecha_inicio]],2)))</f>
        <v/>
      </c>
      <c r="T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5">
        <f>IF(tblOrdenes[[#This Row],[tipo_ot]]="","",_xlfn.XLOOKUP(tblOrdenes[[#This Row],[tipo_ot]],tblTiposOT[codigo],tblTiposOT[clasificacion],"sin_clasificar"))</f>
        <v/>
      </c>
      <c r="V9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5">
        <f>IF(tblOrdenes[[#This Row],[centro_costo]]="","",_xlfn.XLOOKUP(tblOrdenes[[#This Row],[centro_costo]],tblCECO[codigo],tblCECO[linea],"(sin catálogo)"))</f>
        <v/>
      </c>
      <c r="Y972" s="5">
        <f>IF(tblOrdenes[[#This Row],[centro_costo]]="","",_xlfn.XLOOKUP(tblOrdenes[[#This Row],[centro_costo]],tblCECO[codigo],tblCECO[area],"(sin catálogo)"))</f>
        <v/>
      </c>
      <c r="Z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5">
        <f>IF(tblOrdenes[[#This Row],[centro_costo]]="","",_xlfn.XLOOKUP(tblOrdenes[[#This Row],[centro_costo]],tblCECO[codigo],tblCECO[coordinador],"(sin catálogo)"))</f>
        <v/>
      </c>
      <c r="AB972" s="5">
        <f>IF(tblOrdenes[[#This Row],[puesto_trabajo]]="","",_xlfn.XLOOKUP(tblOrdenes[[#This Row],[puesto_trabajo]],tblPuestos[codigo],tblPuestos[especialidad],"(sin catálogo)"))</f>
        <v/>
      </c>
      <c r="AC972" s="5">
        <f>IF(tblOrdenes[[#This Row],[cod_actividad]]="","",_xlfn.XLOOKUP(tblOrdenes[[#This Row],[cod_actividad]],tblActividades[codigo],tblActividades[descripcion],"(sin catálogo)"))</f>
        <v/>
      </c>
      <c r="AD972" s="23">
        <f>IF(tblOrdenes[[#This Row],[fecha_inicio]]="","",TODAY()-tblOrdenes[[#This Row],[fecha_inicio]])</f>
        <v/>
      </c>
      <c r="AE9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5">
        <f>IF(tblOrdenes[[#This Row],[backlog_habiles]]="","",IF(tblOrdenes[[#This Row],[backlog_habiles]]&lt;0,"FUTURO",IF(tblOrdenes[[#This Row],[backlog_habiles]]&gt;p_dias_backlog_max,"BACKLOG","MES CORRIENTE")))</f>
        <v/>
      </c>
      <c r="AG972" s="5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18">
        <f>IF(tblOrdenes[[#This Row],[orden]]="","",_xlfn.XLOOKUP(tblOrdenes[[#This Row],[id_operacion]],tblEjecucion[id_operacion],tblEjecucion[precio],0))</f>
        <v/>
      </c>
      <c r="AM972" s="18">
        <f>IF(tblOrdenes[[#This Row],[orden]]="","",MAX(0,_xlfn.XLOOKUP(tblOrdenes[[#This Row],[id_operacion]],tblEjecucion[id_operacion],tblEjecucion[costo_plan_total],0)-tblOrdenes[[#This Row],[costo_servicio]]))</f>
        <v/>
      </c>
      <c r="AN972" s="18">
        <f>IF(tblOrdenes[[#This Row],[orden]]="","",tblOrdenes[[#This Row],[costo_servicio]]+tblOrdenes[[#This Row],[costo_materiales]])</f>
        <v/>
      </c>
      <c r="AO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5">
        <f>IF(tblOrdenes[[#This Row],[link_checklist]]="","",HYPERLINK(p_ruta_base_checklists&amp;tblOrdenes[[#This Row],[link_checklist]],"abrir"))</f>
        <v/>
      </c>
      <c r="AT972" s="4" t="n"/>
      <c r="AU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5" t="n"/>
      <c r="K973" s="5" t="n"/>
      <c r="L973" s="18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Row],[fecha_inicio]]="","",tblOrdenes[[#This Row],[anio]]&amp;"-"&amp;TEXT(tblOrdenes[[#This Row],[mes]],"00"))</f>
        <v/>
      </c>
      <c r="S973" s="5">
        <f>IF(tblOrdenes[[#This Row],[fecha_inicio]]="","",INDEX(lista_dias,WEEKDAY(tblOrdenes[[#This Row],[fecha_inicio]],2)))</f>
        <v/>
      </c>
      <c r="T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5">
        <f>IF(tblOrdenes[[#This Row],[tipo_ot]]="","",_xlfn.XLOOKUP(tblOrdenes[[#This Row],[tipo_ot]],tblTiposOT[codigo],tblTiposOT[clasificacion],"sin_clasificar"))</f>
        <v/>
      </c>
      <c r="V9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5">
        <f>IF(tblOrdenes[[#This Row],[centro_costo]]="","",_xlfn.XLOOKUP(tblOrdenes[[#This Row],[centro_costo]],tblCECO[codigo],tblCECO[linea],"(sin catálogo)"))</f>
        <v/>
      </c>
      <c r="Y973" s="5">
        <f>IF(tblOrdenes[[#This Row],[centro_costo]]="","",_xlfn.XLOOKUP(tblOrdenes[[#This Row],[centro_costo]],tblCECO[codigo],tblCECO[area],"(sin catálogo)"))</f>
        <v/>
      </c>
      <c r="Z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5">
        <f>IF(tblOrdenes[[#This Row],[centro_costo]]="","",_xlfn.XLOOKUP(tblOrdenes[[#This Row],[centro_costo]],tblCECO[codigo],tblCECO[coordinador],"(sin catálogo)"))</f>
        <v/>
      </c>
      <c r="AB973" s="5">
        <f>IF(tblOrdenes[[#This Row],[puesto_trabajo]]="","",_xlfn.XLOOKUP(tblOrdenes[[#This Row],[puesto_trabajo]],tblPuestos[codigo],tblPuestos[especialidad],"(sin catálogo)"))</f>
        <v/>
      </c>
      <c r="AC973" s="5">
        <f>IF(tblOrdenes[[#This Row],[cod_actividad]]="","",_xlfn.XLOOKUP(tblOrdenes[[#This Row],[cod_actividad]],tblActividades[codigo],tblActividades[descripcion],"(sin catálogo)"))</f>
        <v/>
      </c>
      <c r="AD973" s="23">
        <f>IF(tblOrdenes[[#This Row],[fecha_inicio]]="","",TODAY()-tblOrdenes[[#This Row],[fecha_inicio]])</f>
        <v/>
      </c>
      <c r="AE9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5">
        <f>IF(tblOrdenes[[#This Row],[backlog_habiles]]="","",IF(tblOrdenes[[#This Row],[backlog_habiles]]&lt;0,"FUTURO",IF(tblOrdenes[[#This Row],[backlog_habiles]]&gt;p_dias_backlog_max,"BACKLOG","MES CORRIENTE")))</f>
        <v/>
      </c>
      <c r="AG973" s="5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18">
        <f>IF(tblOrdenes[[#This Row],[orden]]="","",_xlfn.XLOOKUP(tblOrdenes[[#This Row],[id_operacion]],tblEjecucion[id_operacion],tblEjecucion[precio],0))</f>
        <v/>
      </c>
      <c r="AM973" s="18">
        <f>IF(tblOrdenes[[#This Row],[orden]]="","",MAX(0,_xlfn.XLOOKUP(tblOrdenes[[#This Row],[id_operacion]],tblEjecucion[id_operacion],tblEjecucion[costo_plan_total],0)-tblOrdenes[[#This Row],[costo_servicio]]))</f>
        <v/>
      </c>
      <c r="AN973" s="18">
        <f>IF(tblOrdenes[[#This Row],[orden]]="","",tblOrdenes[[#This Row],[costo_servicio]]+tblOrdenes[[#This Row],[costo_materiales]])</f>
        <v/>
      </c>
      <c r="AO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5">
        <f>IF(tblOrdenes[[#This Row],[link_checklist]]="","",HYPERLINK(p_ruta_base_checklists&amp;tblOrdenes[[#This Row],[link_checklist]],"abrir"))</f>
        <v/>
      </c>
      <c r="AT973" s="4" t="n"/>
      <c r="AU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5" t="n"/>
      <c r="K974" s="5" t="n"/>
      <c r="L974" s="18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Row],[fecha_inicio]]="","",tblOrdenes[[#This Row],[anio]]&amp;"-"&amp;TEXT(tblOrdenes[[#This Row],[mes]],"00"))</f>
        <v/>
      </c>
      <c r="S974" s="5">
        <f>IF(tblOrdenes[[#This Row],[fecha_inicio]]="","",INDEX(lista_dias,WEEKDAY(tblOrdenes[[#This Row],[fecha_inicio]],2)))</f>
        <v/>
      </c>
      <c r="T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5">
        <f>IF(tblOrdenes[[#This Row],[tipo_ot]]="","",_xlfn.XLOOKUP(tblOrdenes[[#This Row],[tipo_ot]],tblTiposOT[codigo],tblTiposOT[clasificacion],"sin_clasificar"))</f>
        <v/>
      </c>
      <c r="V9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5">
        <f>IF(tblOrdenes[[#This Row],[centro_costo]]="","",_xlfn.XLOOKUP(tblOrdenes[[#This Row],[centro_costo]],tblCECO[codigo],tblCECO[linea],"(sin catálogo)"))</f>
        <v/>
      </c>
      <c r="Y974" s="5">
        <f>IF(tblOrdenes[[#This Row],[centro_costo]]="","",_xlfn.XLOOKUP(tblOrdenes[[#This Row],[centro_costo]],tblCECO[codigo],tblCECO[area],"(sin catálogo)"))</f>
        <v/>
      </c>
      <c r="Z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5">
        <f>IF(tblOrdenes[[#This Row],[centro_costo]]="","",_xlfn.XLOOKUP(tblOrdenes[[#This Row],[centro_costo]],tblCECO[codigo],tblCECO[coordinador],"(sin catálogo)"))</f>
        <v/>
      </c>
      <c r="AB974" s="5">
        <f>IF(tblOrdenes[[#This Row],[puesto_trabajo]]="","",_xlfn.XLOOKUP(tblOrdenes[[#This Row],[puesto_trabajo]],tblPuestos[codigo],tblPuestos[especialidad],"(sin catálogo)"))</f>
        <v/>
      </c>
      <c r="AC974" s="5">
        <f>IF(tblOrdenes[[#This Row],[cod_actividad]]="","",_xlfn.XLOOKUP(tblOrdenes[[#This Row],[cod_actividad]],tblActividades[codigo],tblActividades[descripcion],"(sin catálogo)"))</f>
        <v/>
      </c>
      <c r="AD974" s="23">
        <f>IF(tblOrdenes[[#This Row],[fecha_inicio]]="","",TODAY()-tblOrdenes[[#This Row],[fecha_inicio]])</f>
        <v/>
      </c>
      <c r="AE9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5">
        <f>IF(tblOrdenes[[#This Row],[backlog_habiles]]="","",IF(tblOrdenes[[#This Row],[backlog_habiles]]&lt;0,"FUTURO",IF(tblOrdenes[[#This Row],[backlog_habiles]]&gt;p_dias_backlog_max,"BACKLOG","MES CORRIENTE")))</f>
        <v/>
      </c>
      <c r="AG974" s="5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18">
        <f>IF(tblOrdenes[[#This Row],[orden]]="","",_xlfn.XLOOKUP(tblOrdenes[[#This Row],[id_operacion]],tblEjecucion[id_operacion],tblEjecucion[precio],0))</f>
        <v/>
      </c>
      <c r="AM974" s="18">
        <f>IF(tblOrdenes[[#This Row],[orden]]="","",MAX(0,_xlfn.XLOOKUP(tblOrdenes[[#This Row],[id_operacion]],tblEjecucion[id_operacion],tblEjecucion[costo_plan_total],0)-tblOrdenes[[#This Row],[costo_servicio]]))</f>
        <v/>
      </c>
      <c r="AN974" s="18">
        <f>IF(tblOrdenes[[#This Row],[orden]]="","",tblOrdenes[[#This Row],[costo_servicio]]+tblOrdenes[[#This Row],[costo_materiales]])</f>
        <v/>
      </c>
      <c r="AO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5">
        <f>IF(tblOrdenes[[#This Row],[link_checklist]]="","",HYPERLINK(p_ruta_base_checklists&amp;tblOrdenes[[#This Row],[link_checklist]],"abrir"))</f>
        <v/>
      </c>
      <c r="AT974" s="4" t="n"/>
      <c r="AU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5" t="n"/>
      <c r="K975" s="5" t="n"/>
      <c r="L975" s="18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Row],[fecha_inicio]]="","",tblOrdenes[[#This Row],[anio]]&amp;"-"&amp;TEXT(tblOrdenes[[#This Row],[mes]],"00"))</f>
        <v/>
      </c>
      <c r="S975" s="5">
        <f>IF(tblOrdenes[[#This Row],[fecha_inicio]]="","",INDEX(lista_dias,WEEKDAY(tblOrdenes[[#This Row],[fecha_inicio]],2)))</f>
        <v/>
      </c>
      <c r="T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5">
        <f>IF(tblOrdenes[[#This Row],[tipo_ot]]="","",_xlfn.XLOOKUP(tblOrdenes[[#This Row],[tipo_ot]],tblTiposOT[codigo],tblTiposOT[clasificacion],"sin_clasificar"))</f>
        <v/>
      </c>
      <c r="V9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5">
        <f>IF(tblOrdenes[[#This Row],[centro_costo]]="","",_xlfn.XLOOKUP(tblOrdenes[[#This Row],[centro_costo]],tblCECO[codigo],tblCECO[linea],"(sin catálogo)"))</f>
        <v/>
      </c>
      <c r="Y975" s="5">
        <f>IF(tblOrdenes[[#This Row],[centro_costo]]="","",_xlfn.XLOOKUP(tblOrdenes[[#This Row],[centro_costo]],tblCECO[codigo],tblCECO[area],"(sin catálogo)"))</f>
        <v/>
      </c>
      <c r="Z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5">
        <f>IF(tblOrdenes[[#This Row],[centro_costo]]="","",_xlfn.XLOOKUP(tblOrdenes[[#This Row],[centro_costo]],tblCECO[codigo],tblCECO[coordinador],"(sin catálogo)"))</f>
        <v/>
      </c>
      <c r="AB975" s="5">
        <f>IF(tblOrdenes[[#This Row],[puesto_trabajo]]="","",_xlfn.XLOOKUP(tblOrdenes[[#This Row],[puesto_trabajo]],tblPuestos[codigo],tblPuestos[especialidad],"(sin catálogo)"))</f>
        <v/>
      </c>
      <c r="AC975" s="5">
        <f>IF(tblOrdenes[[#This Row],[cod_actividad]]="","",_xlfn.XLOOKUP(tblOrdenes[[#This Row],[cod_actividad]],tblActividades[codigo],tblActividades[descripcion],"(sin catálogo)"))</f>
        <v/>
      </c>
      <c r="AD975" s="23">
        <f>IF(tblOrdenes[[#This Row],[fecha_inicio]]="","",TODAY()-tblOrdenes[[#This Row],[fecha_inicio]])</f>
        <v/>
      </c>
      <c r="AE9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5">
        <f>IF(tblOrdenes[[#This Row],[backlog_habiles]]="","",IF(tblOrdenes[[#This Row],[backlog_habiles]]&lt;0,"FUTURO",IF(tblOrdenes[[#This Row],[backlog_habiles]]&gt;p_dias_backlog_max,"BACKLOG","MES CORRIENTE")))</f>
        <v/>
      </c>
      <c r="AG975" s="5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18">
        <f>IF(tblOrdenes[[#This Row],[orden]]="","",_xlfn.XLOOKUP(tblOrdenes[[#This Row],[id_operacion]],tblEjecucion[id_operacion],tblEjecucion[precio],0))</f>
        <v/>
      </c>
      <c r="AM975" s="18">
        <f>IF(tblOrdenes[[#This Row],[orden]]="","",MAX(0,_xlfn.XLOOKUP(tblOrdenes[[#This Row],[id_operacion]],tblEjecucion[id_operacion],tblEjecucion[costo_plan_total],0)-tblOrdenes[[#This Row],[costo_servicio]]))</f>
        <v/>
      </c>
      <c r="AN975" s="18">
        <f>IF(tblOrdenes[[#This Row],[orden]]="","",tblOrdenes[[#This Row],[costo_servicio]]+tblOrdenes[[#This Row],[costo_materiales]])</f>
        <v/>
      </c>
      <c r="AO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5">
        <f>IF(tblOrdenes[[#This Row],[link_checklist]]="","",HYPERLINK(p_ruta_base_checklists&amp;tblOrdenes[[#This Row],[link_checklist]],"abrir"))</f>
        <v/>
      </c>
      <c r="AT975" s="4" t="n"/>
      <c r="AU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5" t="n"/>
      <c r="K976" s="5" t="n"/>
      <c r="L976" s="18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Row],[fecha_inicio]]="","",tblOrdenes[[#This Row],[anio]]&amp;"-"&amp;TEXT(tblOrdenes[[#This Row],[mes]],"00"))</f>
        <v/>
      </c>
      <c r="S976" s="5">
        <f>IF(tblOrdenes[[#This Row],[fecha_inicio]]="","",INDEX(lista_dias,WEEKDAY(tblOrdenes[[#This Row],[fecha_inicio]],2)))</f>
        <v/>
      </c>
      <c r="T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5">
        <f>IF(tblOrdenes[[#This Row],[tipo_ot]]="","",_xlfn.XLOOKUP(tblOrdenes[[#This Row],[tipo_ot]],tblTiposOT[codigo],tblTiposOT[clasificacion],"sin_clasificar"))</f>
        <v/>
      </c>
      <c r="V9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5">
        <f>IF(tblOrdenes[[#This Row],[centro_costo]]="","",_xlfn.XLOOKUP(tblOrdenes[[#This Row],[centro_costo]],tblCECO[codigo],tblCECO[linea],"(sin catálogo)"))</f>
        <v/>
      </c>
      <c r="Y976" s="5">
        <f>IF(tblOrdenes[[#This Row],[centro_costo]]="","",_xlfn.XLOOKUP(tblOrdenes[[#This Row],[centro_costo]],tblCECO[codigo],tblCECO[area],"(sin catálogo)"))</f>
        <v/>
      </c>
      <c r="Z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5">
        <f>IF(tblOrdenes[[#This Row],[centro_costo]]="","",_xlfn.XLOOKUP(tblOrdenes[[#This Row],[centro_costo]],tblCECO[codigo],tblCECO[coordinador],"(sin catálogo)"))</f>
        <v/>
      </c>
      <c r="AB976" s="5">
        <f>IF(tblOrdenes[[#This Row],[puesto_trabajo]]="","",_xlfn.XLOOKUP(tblOrdenes[[#This Row],[puesto_trabajo]],tblPuestos[codigo],tblPuestos[especialidad],"(sin catálogo)"))</f>
        <v/>
      </c>
      <c r="AC976" s="5">
        <f>IF(tblOrdenes[[#This Row],[cod_actividad]]="","",_xlfn.XLOOKUP(tblOrdenes[[#This Row],[cod_actividad]],tblActividades[codigo],tblActividades[descripcion],"(sin catálogo)"))</f>
        <v/>
      </c>
      <c r="AD976" s="23">
        <f>IF(tblOrdenes[[#This Row],[fecha_inicio]]="","",TODAY()-tblOrdenes[[#This Row],[fecha_inicio]])</f>
        <v/>
      </c>
      <c r="AE9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5">
        <f>IF(tblOrdenes[[#This Row],[backlog_habiles]]="","",IF(tblOrdenes[[#This Row],[backlog_habiles]]&lt;0,"FUTURO",IF(tblOrdenes[[#This Row],[backlog_habiles]]&gt;p_dias_backlog_max,"BACKLOG","MES CORRIENTE")))</f>
        <v/>
      </c>
      <c r="AG976" s="5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18">
        <f>IF(tblOrdenes[[#This Row],[orden]]="","",_xlfn.XLOOKUP(tblOrdenes[[#This Row],[id_operacion]],tblEjecucion[id_operacion],tblEjecucion[precio],0))</f>
        <v/>
      </c>
      <c r="AM976" s="18">
        <f>IF(tblOrdenes[[#This Row],[orden]]="","",MAX(0,_xlfn.XLOOKUP(tblOrdenes[[#This Row],[id_operacion]],tblEjecucion[id_operacion],tblEjecucion[costo_plan_total],0)-tblOrdenes[[#This Row],[costo_servicio]]))</f>
        <v/>
      </c>
      <c r="AN976" s="18">
        <f>IF(tblOrdenes[[#This Row],[orden]]="","",tblOrdenes[[#This Row],[costo_servicio]]+tblOrdenes[[#This Row],[costo_materiales]])</f>
        <v/>
      </c>
      <c r="AO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5">
        <f>IF(tblOrdenes[[#This Row],[link_checklist]]="","",HYPERLINK(p_ruta_base_checklists&amp;tblOrdenes[[#This Row],[link_checklist]],"abrir"))</f>
        <v/>
      </c>
      <c r="AT976" s="4" t="n"/>
      <c r="AU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5" t="n"/>
      <c r="K977" s="5" t="n"/>
      <c r="L977" s="18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Row],[fecha_inicio]]="","",tblOrdenes[[#This Row],[anio]]&amp;"-"&amp;TEXT(tblOrdenes[[#This Row],[mes]],"00"))</f>
        <v/>
      </c>
      <c r="S977" s="5">
        <f>IF(tblOrdenes[[#This Row],[fecha_inicio]]="","",INDEX(lista_dias,WEEKDAY(tblOrdenes[[#This Row],[fecha_inicio]],2)))</f>
        <v/>
      </c>
      <c r="T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5">
        <f>IF(tblOrdenes[[#This Row],[tipo_ot]]="","",_xlfn.XLOOKUP(tblOrdenes[[#This Row],[tipo_ot]],tblTiposOT[codigo],tblTiposOT[clasificacion],"sin_clasificar"))</f>
        <v/>
      </c>
      <c r="V9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5">
        <f>IF(tblOrdenes[[#This Row],[centro_costo]]="","",_xlfn.XLOOKUP(tblOrdenes[[#This Row],[centro_costo]],tblCECO[codigo],tblCECO[linea],"(sin catálogo)"))</f>
        <v/>
      </c>
      <c r="Y977" s="5">
        <f>IF(tblOrdenes[[#This Row],[centro_costo]]="","",_xlfn.XLOOKUP(tblOrdenes[[#This Row],[centro_costo]],tblCECO[codigo],tblCECO[area],"(sin catálogo)"))</f>
        <v/>
      </c>
      <c r="Z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5">
        <f>IF(tblOrdenes[[#This Row],[centro_costo]]="","",_xlfn.XLOOKUP(tblOrdenes[[#This Row],[centro_costo]],tblCECO[codigo],tblCECO[coordinador],"(sin catálogo)"))</f>
        <v/>
      </c>
      <c r="AB977" s="5">
        <f>IF(tblOrdenes[[#This Row],[puesto_trabajo]]="","",_xlfn.XLOOKUP(tblOrdenes[[#This Row],[puesto_trabajo]],tblPuestos[codigo],tblPuestos[especialidad],"(sin catálogo)"))</f>
        <v/>
      </c>
      <c r="AC977" s="5">
        <f>IF(tblOrdenes[[#This Row],[cod_actividad]]="","",_xlfn.XLOOKUP(tblOrdenes[[#This Row],[cod_actividad]],tblActividades[codigo],tblActividades[descripcion],"(sin catálogo)"))</f>
        <v/>
      </c>
      <c r="AD977" s="23">
        <f>IF(tblOrdenes[[#This Row],[fecha_inicio]]="","",TODAY()-tblOrdenes[[#This Row],[fecha_inicio]])</f>
        <v/>
      </c>
      <c r="AE9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5">
        <f>IF(tblOrdenes[[#This Row],[backlog_habiles]]="","",IF(tblOrdenes[[#This Row],[backlog_habiles]]&lt;0,"FUTURO",IF(tblOrdenes[[#This Row],[backlog_habiles]]&gt;p_dias_backlog_max,"BACKLOG","MES CORRIENTE")))</f>
        <v/>
      </c>
      <c r="AG977" s="5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18">
        <f>IF(tblOrdenes[[#This Row],[orden]]="","",_xlfn.XLOOKUP(tblOrdenes[[#This Row],[id_operacion]],tblEjecucion[id_operacion],tblEjecucion[precio],0))</f>
        <v/>
      </c>
      <c r="AM977" s="18">
        <f>IF(tblOrdenes[[#This Row],[orden]]="","",MAX(0,_xlfn.XLOOKUP(tblOrdenes[[#This Row],[id_operacion]],tblEjecucion[id_operacion],tblEjecucion[costo_plan_total],0)-tblOrdenes[[#This Row],[costo_servicio]]))</f>
        <v/>
      </c>
      <c r="AN977" s="18">
        <f>IF(tblOrdenes[[#This Row],[orden]]="","",tblOrdenes[[#This Row],[costo_servicio]]+tblOrdenes[[#This Row],[costo_materiales]])</f>
        <v/>
      </c>
      <c r="AO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5">
        <f>IF(tblOrdenes[[#This Row],[link_checklist]]="","",HYPERLINK(p_ruta_base_checklists&amp;tblOrdenes[[#This Row],[link_checklist]],"abrir"))</f>
        <v/>
      </c>
      <c r="AT977" s="4" t="n"/>
      <c r="AU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5" t="n"/>
      <c r="K978" s="5" t="n"/>
      <c r="L978" s="18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Row],[fecha_inicio]]="","",tblOrdenes[[#This Row],[anio]]&amp;"-"&amp;TEXT(tblOrdenes[[#This Row],[mes]],"00"))</f>
        <v/>
      </c>
      <c r="S978" s="5">
        <f>IF(tblOrdenes[[#This Row],[fecha_inicio]]="","",INDEX(lista_dias,WEEKDAY(tblOrdenes[[#This Row],[fecha_inicio]],2)))</f>
        <v/>
      </c>
      <c r="T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5">
        <f>IF(tblOrdenes[[#This Row],[tipo_ot]]="","",_xlfn.XLOOKUP(tblOrdenes[[#This Row],[tipo_ot]],tblTiposOT[codigo],tblTiposOT[clasificacion],"sin_clasificar"))</f>
        <v/>
      </c>
      <c r="V9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5">
        <f>IF(tblOrdenes[[#This Row],[centro_costo]]="","",_xlfn.XLOOKUP(tblOrdenes[[#This Row],[centro_costo]],tblCECO[codigo],tblCECO[linea],"(sin catálogo)"))</f>
        <v/>
      </c>
      <c r="Y978" s="5">
        <f>IF(tblOrdenes[[#This Row],[centro_costo]]="","",_xlfn.XLOOKUP(tblOrdenes[[#This Row],[centro_costo]],tblCECO[codigo],tblCECO[area],"(sin catálogo)"))</f>
        <v/>
      </c>
      <c r="Z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5">
        <f>IF(tblOrdenes[[#This Row],[centro_costo]]="","",_xlfn.XLOOKUP(tblOrdenes[[#This Row],[centro_costo]],tblCECO[codigo],tblCECO[coordinador],"(sin catálogo)"))</f>
        <v/>
      </c>
      <c r="AB978" s="5">
        <f>IF(tblOrdenes[[#This Row],[puesto_trabajo]]="","",_xlfn.XLOOKUP(tblOrdenes[[#This Row],[puesto_trabajo]],tblPuestos[codigo],tblPuestos[especialidad],"(sin catálogo)"))</f>
        <v/>
      </c>
      <c r="AC978" s="5">
        <f>IF(tblOrdenes[[#This Row],[cod_actividad]]="","",_xlfn.XLOOKUP(tblOrdenes[[#This Row],[cod_actividad]],tblActividades[codigo],tblActividades[descripcion],"(sin catálogo)"))</f>
        <v/>
      </c>
      <c r="AD978" s="23">
        <f>IF(tblOrdenes[[#This Row],[fecha_inicio]]="","",TODAY()-tblOrdenes[[#This Row],[fecha_inicio]])</f>
        <v/>
      </c>
      <c r="AE9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5">
        <f>IF(tblOrdenes[[#This Row],[backlog_habiles]]="","",IF(tblOrdenes[[#This Row],[backlog_habiles]]&lt;0,"FUTURO",IF(tblOrdenes[[#This Row],[backlog_habiles]]&gt;p_dias_backlog_max,"BACKLOG","MES CORRIENTE")))</f>
        <v/>
      </c>
      <c r="AG978" s="5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18">
        <f>IF(tblOrdenes[[#This Row],[orden]]="","",_xlfn.XLOOKUP(tblOrdenes[[#This Row],[id_operacion]],tblEjecucion[id_operacion],tblEjecucion[precio],0))</f>
        <v/>
      </c>
      <c r="AM978" s="18">
        <f>IF(tblOrdenes[[#This Row],[orden]]="","",MAX(0,_xlfn.XLOOKUP(tblOrdenes[[#This Row],[id_operacion]],tblEjecucion[id_operacion],tblEjecucion[costo_plan_total],0)-tblOrdenes[[#This Row],[costo_servicio]]))</f>
        <v/>
      </c>
      <c r="AN978" s="18">
        <f>IF(tblOrdenes[[#This Row],[orden]]="","",tblOrdenes[[#This Row],[costo_servicio]]+tblOrdenes[[#This Row],[costo_materiales]])</f>
        <v/>
      </c>
      <c r="AO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5">
        <f>IF(tblOrdenes[[#This Row],[link_checklist]]="","",HYPERLINK(p_ruta_base_checklists&amp;tblOrdenes[[#This Row],[link_checklist]],"abrir"))</f>
        <v/>
      </c>
      <c r="AT978" s="4" t="n"/>
      <c r="AU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5" t="n"/>
      <c r="K979" s="5" t="n"/>
      <c r="L979" s="18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Row],[fecha_inicio]]="","",tblOrdenes[[#This Row],[anio]]&amp;"-"&amp;TEXT(tblOrdenes[[#This Row],[mes]],"00"))</f>
        <v/>
      </c>
      <c r="S979" s="5">
        <f>IF(tblOrdenes[[#This Row],[fecha_inicio]]="","",INDEX(lista_dias,WEEKDAY(tblOrdenes[[#This Row],[fecha_inicio]],2)))</f>
        <v/>
      </c>
      <c r="T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5">
        <f>IF(tblOrdenes[[#This Row],[tipo_ot]]="","",_xlfn.XLOOKUP(tblOrdenes[[#This Row],[tipo_ot]],tblTiposOT[codigo],tblTiposOT[clasificacion],"sin_clasificar"))</f>
        <v/>
      </c>
      <c r="V9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5">
        <f>IF(tblOrdenes[[#This Row],[centro_costo]]="","",_xlfn.XLOOKUP(tblOrdenes[[#This Row],[centro_costo]],tblCECO[codigo],tblCECO[linea],"(sin catálogo)"))</f>
        <v/>
      </c>
      <c r="Y979" s="5">
        <f>IF(tblOrdenes[[#This Row],[centro_costo]]="","",_xlfn.XLOOKUP(tblOrdenes[[#This Row],[centro_costo]],tblCECO[codigo],tblCECO[area],"(sin catálogo)"))</f>
        <v/>
      </c>
      <c r="Z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5">
        <f>IF(tblOrdenes[[#This Row],[centro_costo]]="","",_xlfn.XLOOKUP(tblOrdenes[[#This Row],[centro_costo]],tblCECO[codigo],tblCECO[coordinador],"(sin catálogo)"))</f>
        <v/>
      </c>
      <c r="AB979" s="5">
        <f>IF(tblOrdenes[[#This Row],[puesto_trabajo]]="","",_xlfn.XLOOKUP(tblOrdenes[[#This Row],[puesto_trabajo]],tblPuestos[codigo],tblPuestos[especialidad],"(sin catálogo)"))</f>
        <v/>
      </c>
      <c r="AC979" s="5">
        <f>IF(tblOrdenes[[#This Row],[cod_actividad]]="","",_xlfn.XLOOKUP(tblOrdenes[[#This Row],[cod_actividad]],tblActividades[codigo],tblActividades[descripcion],"(sin catálogo)"))</f>
        <v/>
      </c>
      <c r="AD979" s="23">
        <f>IF(tblOrdenes[[#This Row],[fecha_inicio]]="","",TODAY()-tblOrdenes[[#This Row],[fecha_inicio]])</f>
        <v/>
      </c>
      <c r="AE9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5">
        <f>IF(tblOrdenes[[#This Row],[backlog_habiles]]="","",IF(tblOrdenes[[#This Row],[backlog_habiles]]&lt;0,"FUTURO",IF(tblOrdenes[[#This Row],[backlog_habiles]]&gt;p_dias_backlog_max,"BACKLOG","MES CORRIENTE")))</f>
        <v/>
      </c>
      <c r="AG979" s="5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18">
        <f>IF(tblOrdenes[[#This Row],[orden]]="","",_xlfn.XLOOKUP(tblOrdenes[[#This Row],[id_operacion]],tblEjecucion[id_operacion],tblEjecucion[precio],0))</f>
        <v/>
      </c>
      <c r="AM979" s="18">
        <f>IF(tblOrdenes[[#This Row],[orden]]="","",MAX(0,_xlfn.XLOOKUP(tblOrdenes[[#This Row],[id_operacion]],tblEjecucion[id_operacion],tblEjecucion[costo_plan_total],0)-tblOrdenes[[#This Row],[costo_servicio]]))</f>
        <v/>
      </c>
      <c r="AN979" s="18">
        <f>IF(tblOrdenes[[#This Row],[orden]]="","",tblOrdenes[[#This Row],[costo_servicio]]+tblOrdenes[[#This Row],[costo_materiales]])</f>
        <v/>
      </c>
      <c r="AO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5">
        <f>IF(tblOrdenes[[#This Row],[link_checklist]]="","",HYPERLINK(p_ruta_base_checklists&amp;tblOrdenes[[#This Row],[link_checklist]],"abrir"))</f>
        <v/>
      </c>
      <c r="AT979" s="4" t="n"/>
      <c r="AU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5" t="n"/>
      <c r="K980" s="5" t="n"/>
      <c r="L980" s="18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Row],[fecha_inicio]]="","",tblOrdenes[[#This Row],[anio]]&amp;"-"&amp;TEXT(tblOrdenes[[#This Row],[mes]],"00"))</f>
        <v/>
      </c>
      <c r="S980" s="5">
        <f>IF(tblOrdenes[[#This Row],[fecha_inicio]]="","",INDEX(lista_dias,WEEKDAY(tblOrdenes[[#This Row],[fecha_inicio]],2)))</f>
        <v/>
      </c>
      <c r="T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5">
        <f>IF(tblOrdenes[[#This Row],[tipo_ot]]="","",_xlfn.XLOOKUP(tblOrdenes[[#This Row],[tipo_ot]],tblTiposOT[codigo],tblTiposOT[clasificacion],"sin_clasificar"))</f>
        <v/>
      </c>
      <c r="V9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5">
        <f>IF(tblOrdenes[[#This Row],[centro_costo]]="","",_xlfn.XLOOKUP(tblOrdenes[[#This Row],[centro_costo]],tblCECO[codigo],tblCECO[linea],"(sin catálogo)"))</f>
        <v/>
      </c>
      <c r="Y980" s="5">
        <f>IF(tblOrdenes[[#This Row],[centro_costo]]="","",_xlfn.XLOOKUP(tblOrdenes[[#This Row],[centro_costo]],tblCECO[codigo],tblCECO[area],"(sin catálogo)"))</f>
        <v/>
      </c>
      <c r="Z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5">
        <f>IF(tblOrdenes[[#This Row],[centro_costo]]="","",_xlfn.XLOOKUP(tblOrdenes[[#This Row],[centro_costo]],tblCECO[codigo],tblCECO[coordinador],"(sin catálogo)"))</f>
        <v/>
      </c>
      <c r="AB980" s="5">
        <f>IF(tblOrdenes[[#This Row],[puesto_trabajo]]="","",_xlfn.XLOOKUP(tblOrdenes[[#This Row],[puesto_trabajo]],tblPuestos[codigo],tblPuestos[especialidad],"(sin catálogo)"))</f>
        <v/>
      </c>
      <c r="AC980" s="5">
        <f>IF(tblOrdenes[[#This Row],[cod_actividad]]="","",_xlfn.XLOOKUP(tblOrdenes[[#This Row],[cod_actividad]],tblActividades[codigo],tblActividades[descripcion],"(sin catálogo)"))</f>
        <v/>
      </c>
      <c r="AD980" s="23">
        <f>IF(tblOrdenes[[#This Row],[fecha_inicio]]="","",TODAY()-tblOrdenes[[#This Row],[fecha_inicio]])</f>
        <v/>
      </c>
      <c r="AE9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5">
        <f>IF(tblOrdenes[[#This Row],[backlog_habiles]]="","",IF(tblOrdenes[[#This Row],[backlog_habiles]]&lt;0,"FUTURO",IF(tblOrdenes[[#This Row],[backlog_habiles]]&gt;p_dias_backlog_max,"BACKLOG","MES CORRIENTE")))</f>
        <v/>
      </c>
      <c r="AG980" s="5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18">
        <f>IF(tblOrdenes[[#This Row],[orden]]="","",_xlfn.XLOOKUP(tblOrdenes[[#This Row],[id_operacion]],tblEjecucion[id_operacion],tblEjecucion[precio],0))</f>
        <v/>
      </c>
      <c r="AM980" s="18">
        <f>IF(tblOrdenes[[#This Row],[orden]]="","",MAX(0,_xlfn.XLOOKUP(tblOrdenes[[#This Row],[id_operacion]],tblEjecucion[id_operacion],tblEjecucion[costo_plan_total],0)-tblOrdenes[[#This Row],[costo_servicio]]))</f>
        <v/>
      </c>
      <c r="AN980" s="18">
        <f>IF(tblOrdenes[[#This Row],[orden]]="","",tblOrdenes[[#This Row],[costo_servicio]]+tblOrdenes[[#This Row],[costo_materiales]])</f>
        <v/>
      </c>
      <c r="AO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5">
        <f>IF(tblOrdenes[[#This Row],[link_checklist]]="","",HYPERLINK(p_ruta_base_checklists&amp;tblOrdenes[[#This Row],[link_checklist]],"abrir"))</f>
        <v/>
      </c>
      <c r="AT980" s="4" t="n"/>
      <c r="AU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5" t="n"/>
      <c r="K981" s="5" t="n"/>
      <c r="L981" s="18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Row],[fecha_inicio]]="","",tblOrdenes[[#This Row],[anio]]&amp;"-"&amp;TEXT(tblOrdenes[[#This Row],[mes]],"00"))</f>
        <v/>
      </c>
      <c r="S981" s="5">
        <f>IF(tblOrdenes[[#This Row],[fecha_inicio]]="","",INDEX(lista_dias,WEEKDAY(tblOrdenes[[#This Row],[fecha_inicio]],2)))</f>
        <v/>
      </c>
      <c r="T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5">
        <f>IF(tblOrdenes[[#This Row],[tipo_ot]]="","",_xlfn.XLOOKUP(tblOrdenes[[#This Row],[tipo_ot]],tblTiposOT[codigo],tblTiposOT[clasificacion],"sin_clasificar"))</f>
        <v/>
      </c>
      <c r="V9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5">
        <f>IF(tblOrdenes[[#This Row],[centro_costo]]="","",_xlfn.XLOOKUP(tblOrdenes[[#This Row],[centro_costo]],tblCECO[codigo],tblCECO[linea],"(sin catálogo)"))</f>
        <v/>
      </c>
      <c r="Y981" s="5">
        <f>IF(tblOrdenes[[#This Row],[centro_costo]]="","",_xlfn.XLOOKUP(tblOrdenes[[#This Row],[centro_costo]],tblCECO[codigo],tblCECO[area],"(sin catálogo)"))</f>
        <v/>
      </c>
      <c r="Z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5">
        <f>IF(tblOrdenes[[#This Row],[centro_costo]]="","",_xlfn.XLOOKUP(tblOrdenes[[#This Row],[centro_costo]],tblCECO[codigo],tblCECO[coordinador],"(sin catálogo)"))</f>
        <v/>
      </c>
      <c r="AB981" s="5">
        <f>IF(tblOrdenes[[#This Row],[puesto_trabajo]]="","",_xlfn.XLOOKUP(tblOrdenes[[#This Row],[puesto_trabajo]],tblPuestos[codigo],tblPuestos[especialidad],"(sin catálogo)"))</f>
        <v/>
      </c>
      <c r="AC981" s="5">
        <f>IF(tblOrdenes[[#This Row],[cod_actividad]]="","",_xlfn.XLOOKUP(tblOrdenes[[#This Row],[cod_actividad]],tblActividades[codigo],tblActividades[descripcion],"(sin catálogo)"))</f>
        <v/>
      </c>
      <c r="AD981" s="23">
        <f>IF(tblOrdenes[[#This Row],[fecha_inicio]]="","",TODAY()-tblOrdenes[[#This Row],[fecha_inicio]])</f>
        <v/>
      </c>
      <c r="AE9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5">
        <f>IF(tblOrdenes[[#This Row],[backlog_habiles]]="","",IF(tblOrdenes[[#This Row],[backlog_habiles]]&lt;0,"FUTURO",IF(tblOrdenes[[#This Row],[backlog_habiles]]&gt;p_dias_backlog_max,"BACKLOG","MES CORRIENTE")))</f>
        <v/>
      </c>
      <c r="AG981" s="5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18">
        <f>IF(tblOrdenes[[#This Row],[orden]]="","",_xlfn.XLOOKUP(tblOrdenes[[#This Row],[id_operacion]],tblEjecucion[id_operacion],tblEjecucion[precio],0))</f>
        <v/>
      </c>
      <c r="AM981" s="18">
        <f>IF(tblOrdenes[[#This Row],[orden]]="","",MAX(0,_xlfn.XLOOKUP(tblOrdenes[[#This Row],[id_operacion]],tblEjecucion[id_operacion],tblEjecucion[costo_plan_total],0)-tblOrdenes[[#This Row],[costo_servicio]]))</f>
        <v/>
      </c>
      <c r="AN981" s="18">
        <f>IF(tblOrdenes[[#This Row],[orden]]="","",tblOrdenes[[#This Row],[costo_servicio]]+tblOrdenes[[#This Row],[costo_materiales]])</f>
        <v/>
      </c>
      <c r="AO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5">
        <f>IF(tblOrdenes[[#This Row],[link_checklist]]="","",HYPERLINK(p_ruta_base_checklists&amp;tblOrdenes[[#This Row],[link_checklist]],"abrir"))</f>
        <v/>
      </c>
      <c r="AT981" s="4" t="n"/>
      <c r="AU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5" t="n"/>
      <c r="K982" s="5" t="n"/>
      <c r="L982" s="18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Row],[fecha_inicio]]="","",tblOrdenes[[#This Row],[anio]]&amp;"-"&amp;TEXT(tblOrdenes[[#This Row],[mes]],"00"))</f>
        <v/>
      </c>
      <c r="S982" s="5">
        <f>IF(tblOrdenes[[#This Row],[fecha_inicio]]="","",INDEX(lista_dias,WEEKDAY(tblOrdenes[[#This Row],[fecha_inicio]],2)))</f>
        <v/>
      </c>
      <c r="T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5">
        <f>IF(tblOrdenes[[#This Row],[tipo_ot]]="","",_xlfn.XLOOKUP(tblOrdenes[[#This Row],[tipo_ot]],tblTiposOT[codigo],tblTiposOT[clasificacion],"sin_clasificar"))</f>
        <v/>
      </c>
      <c r="V9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5">
        <f>IF(tblOrdenes[[#This Row],[centro_costo]]="","",_xlfn.XLOOKUP(tblOrdenes[[#This Row],[centro_costo]],tblCECO[codigo],tblCECO[linea],"(sin catálogo)"))</f>
        <v/>
      </c>
      <c r="Y982" s="5">
        <f>IF(tblOrdenes[[#This Row],[centro_costo]]="","",_xlfn.XLOOKUP(tblOrdenes[[#This Row],[centro_costo]],tblCECO[codigo],tblCECO[area],"(sin catálogo)"))</f>
        <v/>
      </c>
      <c r="Z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5">
        <f>IF(tblOrdenes[[#This Row],[centro_costo]]="","",_xlfn.XLOOKUP(tblOrdenes[[#This Row],[centro_costo]],tblCECO[codigo],tblCECO[coordinador],"(sin catálogo)"))</f>
        <v/>
      </c>
      <c r="AB982" s="5">
        <f>IF(tblOrdenes[[#This Row],[puesto_trabajo]]="","",_xlfn.XLOOKUP(tblOrdenes[[#This Row],[puesto_trabajo]],tblPuestos[codigo],tblPuestos[especialidad],"(sin catálogo)"))</f>
        <v/>
      </c>
      <c r="AC982" s="5">
        <f>IF(tblOrdenes[[#This Row],[cod_actividad]]="","",_xlfn.XLOOKUP(tblOrdenes[[#This Row],[cod_actividad]],tblActividades[codigo],tblActividades[descripcion],"(sin catálogo)"))</f>
        <v/>
      </c>
      <c r="AD982" s="23">
        <f>IF(tblOrdenes[[#This Row],[fecha_inicio]]="","",TODAY()-tblOrdenes[[#This Row],[fecha_inicio]])</f>
        <v/>
      </c>
      <c r="AE9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5">
        <f>IF(tblOrdenes[[#This Row],[backlog_habiles]]="","",IF(tblOrdenes[[#This Row],[backlog_habiles]]&lt;0,"FUTURO",IF(tblOrdenes[[#This Row],[backlog_habiles]]&gt;p_dias_backlog_max,"BACKLOG","MES CORRIENTE")))</f>
        <v/>
      </c>
      <c r="AG982" s="5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18">
        <f>IF(tblOrdenes[[#This Row],[orden]]="","",_xlfn.XLOOKUP(tblOrdenes[[#This Row],[id_operacion]],tblEjecucion[id_operacion],tblEjecucion[precio],0))</f>
        <v/>
      </c>
      <c r="AM982" s="18">
        <f>IF(tblOrdenes[[#This Row],[orden]]="","",MAX(0,_xlfn.XLOOKUP(tblOrdenes[[#This Row],[id_operacion]],tblEjecucion[id_operacion],tblEjecucion[costo_plan_total],0)-tblOrdenes[[#This Row],[costo_servicio]]))</f>
        <v/>
      </c>
      <c r="AN982" s="18">
        <f>IF(tblOrdenes[[#This Row],[orden]]="","",tblOrdenes[[#This Row],[costo_servicio]]+tblOrdenes[[#This Row],[costo_materiales]])</f>
        <v/>
      </c>
      <c r="AO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5">
        <f>IF(tblOrdenes[[#This Row],[link_checklist]]="","",HYPERLINK(p_ruta_base_checklists&amp;tblOrdenes[[#This Row],[link_checklist]],"abrir"))</f>
        <v/>
      </c>
      <c r="AT982" s="4" t="n"/>
      <c r="AU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5" t="n"/>
      <c r="K983" s="5" t="n"/>
      <c r="L983" s="18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Row],[fecha_inicio]]="","",tblOrdenes[[#This Row],[anio]]&amp;"-"&amp;TEXT(tblOrdenes[[#This Row],[mes]],"00"))</f>
        <v/>
      </c>
      <c r="S983" s="5">
        <f>IF(tblOrdenes[[#This Row],[fecha_inicio]]="","",INDEX(lista_dias,WEEKDAY(tblOrdenes[[#This Row],[fecha_inicio]],2)))</f>
        <v/>
      </c>
      <c r="T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5">
        <f>IF(tblOrdenes[[#This Row],[tipo_ot]]="","",_xlfn.XLOOKUP(tblOrdenes[[#This Row],[tipo_ot]],tblTiposOT[codigo],tblTiposOT[clasificacion],"sin_clasificar"))</f>
        <v/>
      </c>
      <c r="V9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5">
        <f>IF(tblOrdenes[[#This Row],[centro_costo]]="","",_xlfn.XLOOKUP(tblOrdenes[[#This Row],[centro_costo]],tblCECO[codigo],tblCECO[linea],"(sin catálogo)"))</f>
        <v/>
      </c>
      <c r="Y983" s="5">
        <f>IF(tblOrdenes[[#This Row],[centro_costo]]="","",_xlfn.XLOOKUP(tblOrdenes[[#This Row],[centro_costo]],tblCECO[codigo],tblCECO[area],"(sin catálogo)"))</f>
        <v/>
      </c>
      <c r="Z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5">
        <f>IF(tblOrdenes[[#This Row],[centro_costo]]="","",_xlfn.XLOOKUP(tblOrdenes[[#This Row],[centro_costo]],tblCECO[codigo],tblCECO[coordinador],"(sin catálogo)"))</f>
        <v/>
      </c>
      <c r="AB983" s="5">
        <f>IF(tblOrdenes[[#This Row],[puesto_trabajo]]="","",_xlfn.XLOOKUP(tblOrdenes[[#This Row],[puesto_trabajo]],tblPuestos[codigo],tblPuestos[especialidad],"(sin catálogo)"))</f>
        <v/>
      </c>
      <c r="AC983" s="5">
        <f>IF(tblOrdenes[[#This Row],[cod_actividad]]="","",_xlfn.XLOOKUP(tblOrdenes[[#This Row],[cod_actividad]],tblActividades[codigo],tblActividades[descripcion],"(sin catálogo)"))</f>
        <v/>
      </c>
      <c r="AD983" s="23">
        <f>IF(tblOrdenes[[#This Row],[fecha_inicio]]="","",TODAY()-tblOrdenes[[#This Row],[fecha_inicio]])</f>
        <v/>
      </c>
      <c r="AE9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5">
        <f>IF(tblOrdenes[[#This Row],[backlog_habiles]]="","",IF(tblOrdenes[[#This Row],[backlog_habiles]]&lt;0,"FUTURO",IF(tblOrdenes[[#This Row],[backlog_habiles]]&gt;p_dias_backlog_max,"BACKLOG","MES CORRIENTE")))</f>
        <v/>
      </c>
      <c r="AG983" s="5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18">
        <f>IF(tblOrdenes[[#This Row],[orden]]="","",_xlfn.XLOOKUP(tblOrdenes[[#This Row],[id_operacion]],tblEjecucion[id_operacion],tblEjecucion[precio],0))</f>
        <v/>
      </c>
      <c r="AM983" s="18">
        <f>IF(tblOrdenes[[#This Row],[orden]]="","",MAX(0,_xlfn.XLOOKUP(tblOrdenes[[#This Row],[id_operacion]],tblEjecucion[id_operacion],tblEjecucion[costo_plan_total],0)-tblOrdenes[[#This Row],[costo_servicio]]))</f>
        <v/>
      </c>
      <c r="AN983" s="18">
        <f>IF(tblOrdenes[[#This Row],[orden]]="","",tblOrdenes[[#This Row],[costo_servicio]]+tblOrdenes[[#This Row],[costo_materiales]])</f>
        <v/>
      </c>
      <c r="AO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5">
        <f>IF(tblOrdenes[[#This Row],[link_checklist]]="","",HYPERLINK(p_ruta_base_checklists&amp;tblOrdenes[[#This Row],[link_checklist]],"abrir"))</f>
        <v/>
      </c>
      <c r="AT983" s="4" t="n"/>
      <c r="AU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5" t="n"/>
      <c r="K984" s="5" t="n"/>
      <c r="L984" s="18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Row],[fecha_inicio]]="","",tblOrdenes[[#This Row],[anio]]&amp;"-"&amp;TEXT(tblOrdenes[[#This Row],[mes]],"00"))</f>
        <v/>
      </c>
      <c r="S984" s="5">
        <f>IF(tblOrdenes[[#This Row],[fecha_inicio]]="","",INDEX(lista_dias,WEEKDAY(tblOrdenes[[#This Row],[fecha_inicio]],2)))</f>
        <v/>
      </c>
      <c r="T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5">
        <f>IF(tblOrdenes[[#This Row],[tipo_ot]]="","",_xlfn.XLOOKUP(tblOrdenes[[#This Row],[tipo_ot]],tblTiposOT[codigo],tblTiposOT[clasificacion],"sin_clasificar"))</f>
        <v/>
      </c>
      <c r="V9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5">
        <f>IF(tblOrdenes[[#This Row],[centro_costo]]="","",_xlfn.XLOOKUP(tblOrdenes[[#This Row],[centro_costo]],tblCECO[codigo],tblCECO[linea],"(sin catálogo)"))</f>
        <v/>
      </c>
      <c r="Y984" s="5">
        <f>IF(tblOrdenes[[#This Row],[centro_costo]]="","",_xlfn.XLOOKUP(tblOrdenes[[#This Row],[centro_costo]],tblCECO[codigo],tblCECO[area],"(sin catálogo)"))</f>
        <v/>
      </c>
      <c r="Z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5">
        <f>IF(tblOrdenes[[#This Row],[centro_costo]]="","",_xlfn.XLOOKUP(tblOrdenes[[#This Row],[centro_costo]],tblCECO[codigo],tblCECO[coordinador],"(sin catálogo)"))</f>
        <v/>
      </c>
      <c r="AB984" s="5">
        <f>IF(tblOrdenes[[#This Row],[puesto_trabajo]]="","",_xlfn.XLOOKUP(tblOrdenes[[#This Row],[puesto_trabajo]],tblPuestos[codigo],tblPuestos[especialidad],"(sin catálogo)"))</f>
        <v/>
      </c>
      <c r="AC984" s="5">
        <f>IF(tblOrdenes[[#This Row],[cod_actividad]]="","",_xlfn.XLOOKUP(tblOrdenes[[#This Row],[cod_actividad]],tblActividades[codigo],tblActividades[descripcion],"(sin catálogo)"))</f>
        <v/>
      </c>
      <c r="AD984" s="23">
        <f>IF(tblOrdenes[[#This Row],[fecha_inicio]]="","",TODAY()-tblOrdenes[[#This Row],[fecha_inicio]])</f>
        <v/>
      </c>
      <c r="AE9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5">
        <f>IF(tblOrdenes[[#This Row],[backlog_habiles]]="","",IF(tblOrdenes[[#This Row],[backlog_habiles]]&lt;0,"FUTURO",IF(tblOrdenes[[#This Row],[backlog_habiles]]&gt;p_dias_backlog_max,"BACKLOG","MES CORRIENTE")))</f>
        <v/>
      </c>
      <c r="AG984" s="5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18">
        <f>IF(tblOrdenes[[#This Row],[orden]]="","",_xlfn.XLOOKUP(tblOrdenes[[#This Row],[id_operacion]],tblEjecucion[id_operacion],tblEjecucion[precio],0))</f>
        <v/>
      </c>
      <c r="AM984" s="18">
        <f>IF(tblOrdenes[[#This Row],[orden]]="","",MAX(0,_xlfn.XLOOKUP(tblOrdenes[[#This Row],[id_operacion]],tblEjecucion[id_operacion],tblEjecucion[costo_plan_total],0)-tblOrdenes[[#This Row],[costo_servicio]]))</f>
        <v/>
      </c>
      <c r="AN984" s="18">
        <f>IF(tblOrdenes[[#This Row],[orden]]="","",tblOrdenes[[#This Row],[costo_servicio]]+tblOrdenes[[#This Row],[costo_materiales]])</f>
        <v/>
      </c>
      <c r="AO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5">
        <f>IF(tblOrdenes[[#This Row],[link_checklist]]="","",HYPERLINK(p_ruta_base_checklists&amp;tblOrdenes[[#This Row],[link_checklist]],"abrir"))</f>
        <v/>
      </c>
      <c r="AT984" s="4" t="n"/>
      <c r="AU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5" t="n"/>
      <c r="K985" s="5" t="n"/>
      <c r="L985" s="18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Row],[fecha_inicio]]="","",tblOrdenes[[#This Row],[anio]]&amp;"-"&amp;TEXT(tblOrdenes[[#This Row],[mes]],"00"))</f>
        <v/>
      </c>
      <c r="S985" s="5">
        <f>IF(tblOrdenes[[#This Row],[fecha_inicio]]="","",INDEX(lista_dias,WEEKDAY(tblOrdenes[[#This Row],[fecha_inicio]],2)))</f>
        <v/>
      </c>
      <c r="T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5">
        <f>IF(tblOrdenes[[#This Row],[tipo_ot]]="","",_xlfn.XLOOKUP(tblOrdenes[[#This Row],[tipo_ot]],tblTiposOT[codigo],tblTiposOT[clasificacion],"sin_clasificar"))</f>
        <v/>
      </c>
      <c r="V9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5">
        <f>IF(tblOrdenes[[#This Row],[centro_costo]]="","",_xlfn.XLOOKUP(tblOrdenes[[#This Row],[centro_costo]],tblCECO[codigo],tblCECO[linea],"(sin catálogo)"))</f>
        <v/>
      </c>
      <c r="Y985" s="5">
        <f>IF(tblOrdenes[[#This Row],[centro_costo]]="","",_xlfn.XLOOKUP(tblOrdenes[[#This Row],[centro_costo]],tblCECO[codigo],tblCECO[area],"(sin catálogo)"))</f>
        <v/>
      </c>
      <c r="Z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5">
        <f>IF(tblOrdenes[[#This Row],[centro_costo]]="","",_xlfn.XLOOKUP(tblOrdenes[[#This Row],[centro_costo]],tblCECO[codigo],tblCECO[coordinador],"(sin catálogo)"))</f>
        <v/>
      </c>
      <c r="AB985" s="5">
        <f>IF(tblOrdenes[[#This Row],[puesto_trabajo]]="","",_xlfn.XLOOKUP(tblOrdenes[[#This Row],[puesto_trabajo]],tblPuestos[codigo],tblPuestos[especialidad],"(sin catálogo)"))</f>
        <v/>
      </c>
      <c r="AC985" s="5">
        <f>IF(tblOrdenes[[#This Row],[cod_actividad]]="","",_xlfn.XLOOKUP(tblOrdenes[[#This Row],[cod_actividad]],tblActividades[codigo],tblActividades[descripcion],"(sin catálogo)"))</f>
        <v/>
      </c>
      <c r="AD985" s="23">
        <f>IF(tblOrdenes[[#This Row],[fecha_inicio]]="","",TODAY()-tblOrdenes[[#This Row],[fecha_inicio]])</f>
        <v/>
      </c>
      <c r="AE9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5">
        <f>IF(tblOrdenes[[#This Row],[backlog_habiles]]="","",IF(tblOrdenes[[#This Row],[backlog_habiles]]&lt;0,"FUTURO",IF(tblOrdenes[[#This Row],[backlog_habiles]]&gt;p_dias_backlog_max,"BACKLOG","MES CORRIENTE")))</f>
        <v/>
      </c>
      <c r="AG985" s="5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18">
        <f>IF(tblOrdenes[[#This Row],[orden]]="","",_xlfn.XLOOKUP(tblOrdenes[[#This Row],[id_operacion]],tblEjecucion[id_operacion],tblEjecucion[precio],0))</f>
        <v/>
      </c>
      <c r="AM985" s="18">
        <f>IF(tblOrdenes[[#This Row],[orden]]="","",MAX(0,_xlfn.XLOOKUP(tblOrdenes[[#This Row],[id_operacion]],tblEjecucion[id_operacion],tblEjecucion[costo_plan_total],0)-tblOrdenes[[#This Row],[costo_servicio]]))</f>
        <v/>
      </c>
      <c r="AN985" s="18">
        <f>IF(tblOrdenes[[#This Row],[orden]]="","",tblOrdenes[[#This Row],[costo_servicio]]+tblOrdenes[[#This Row],[costo_materiales]])</f>
        <v/>
      </c>
      <c r="AO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5">
        <f>IF(tblOrdenes[[#This Row],[link_checklist]]="","",HYPERLINK(p_ruta_base_checklists&amp;tblOrdenes[[#This Row],[link_checklist]],"abrir"))</f>
        <v/>
      </c>
      <c r="AT985" s="4" t="n"/>
      <c r="AU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5" t="n"/>
      <c r="K986" s="5" t="n"/>
      <c r="L986" s="18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Row],[fecha_inicio]]="","",tblOrdenes[[#This Row],[anio]]&amp;"-"&amp;TEXT(tblOrdenes[[#This Row],[mes]],"00"))</f>
        <v/>
      </c>
      <c r="S986" s="5">
        <f>IF(tblOrdenes[[#This Row],[fecha_inicio]]="","",INDEX(lista_dias,WEEKDAY(tblOrdenes[[#This Row],[fecha_inicio]],2)))</f>
        <v/>
      </c>
      <c r="T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5">
        <f>IF(tblOrdenes[[#This Row],[tipo_ot]]="","",_xlfn.XLOOKUP(tblOrdenes[[#This Row],[tipo_ot]],tblTiposOT[codigo],tblTiposOT[clasificacion],"sin_clasificar"))</f>
        <v/>
      </c>
      <c r="V9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5">
        <f>IF(tblOrdenes[[#This Row],[centro_costo]]="","",_xlfn.XLOOKUP(tblOrdenes[[#This Row],[centro_costo]],tblCECO[codigo],tblCECO[linea],"(sin catálogo)"))</f>
        <v/>
      </c>
      <c r="Y986" s="5">
        <f>IF(tblOrdenes[[#This Row],[centro_costo]]="","",_xlfn.XLOOKUP(tblOrdenes[[#This Row],[centro_costo]],tblCECO[codigo],tblCECO[area],"(sin catálogo)"))</f>
        <v/>
      </c>
      <c r="Z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5">
        <f>IF(tblOrdenes[[#This Row],[centro_costo]]="","",_xlfn.XLOOKUP(tblOrdenes[[#This Row],[centro_costo]],tblCECO[codigo],tblCECO[coordinador],"(sin catálogo)"))</f>
        <v/>
      </c>
      <c r="AB986" s="5">
        <f>IF(tblOrdenes[[#This Row],[puesto_trabajo]]="","",_xlfn.XLOOKUP(tblOrdenes[[#This Row],[puesto_trabajo]],tblPuestos[codigo],tblPuestos[especialidad],"(sin catálogo)"))</f>
        <v/>
      </c>
      <c r="AC986" s="5">
        <f>IF(tblOrdenes[[#This Row],[cod_actividad]]="","",_xlfn.XLOOKUP(tblOrdenes[[#This Row],[cod_actividad]],tblActividades[codigo],tblActividades[descripcion],"(sin catálogo)"))</f>
        <v/>
      </c>
      <c r="AD986" s="23">
        <f>IF(tblOrdenes[[#This Row],[fecha_inicio]]="","",TODAY()-tblOrdenes[[#This Row],[fecha_inicio]])</f>
        <v/>
      </c>
      <c r="AE9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5">
        <f>IF(tblOrdenes[[#This Row],[backlog_habiles]]="","",IF(tblOrdenes[[#This Row],[backlog_habiles]]&lt;0,"FUTURO",IF(tblOrdenes[[#This Row],[backlog_habiles]]&gt;p_dias_backlog_max,"BACKLOG","MES CORRIENTE")))</f>
        <v/>
      </c>
      <c r="AG986" s="5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18">
        <f>IF(tblOrdenes[[#This Row],[orden]]="","",_xlfn.XLOOKUP(tblOrdenes[[#This Row],[id_operacion]],tblEjecucion[id_operacion],tblEjecucion[precio],0))</f>
        <v/>
      </c>
      <c r="AM986" s="18">
        <f>IF(tblOrdenes[[#This Row],[orden]]="","",MAX(0,_xlfn.XLOOKUP(tblOrdenes[[#This Row],[id_operacion]],tblEjecucion[id_operacion],tblEjecucion[costo_plan_total],0)-tblOrdenes[[#This Row],[costo_servicio]]))</f>
        <v/>
      </c>
      <c r="AN986" s="18">
        <f>IF(tblOrdenes[[#This Row],[orden]]="","",tblOrdenes[[#This Row],[costo_servicio]]+tblOrdenes[[#This Row],[costo_materiales]])</f>
        <v/>
      </c>
      <c r="AO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5">
        <f>IF(tblOrdenes[[#This Row],[link_checklist]]="","",HYPERLINK(p_ruta_base_checklists&amp;tblOrdenes[[#This Row],[link_checklist]],"abrir"))</f>
        <v/>
      </c>
      <c r="AT986" s="4" t="n"/>
      <c r="AU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5" t="n"/>
      <c r="K987" s="5" t="n"/>
      <c r="L987" s="18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Row],[fecha_inicio]]="","",tblOrdenes[[#This Row],[anio]]&amp;"-"&amp;TEXT(tblOrdenes[[#This Row],[mes]],"00"))</f>
        <v/>
      </c>
      <c r="S987" s="5">
        <f>IF(tblOrdenes[[#This Row],[fecha_inicio]]="","",INDEX(lista_dias,WEEKDAY(tblOrdenes[[#This Row],[fecha_inicio]],2)))</f>
        <v/>
      </c>
      <c r="T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5">
        <f>IF(tblOrdenes[[#This Row],[tipo_ot]]="","",_xlfn.XLOOKUP(tblOrdenes[[#This Row],[tipo_ot]],tblTiposOT[codigo],tblTiposOT[clasificacion],"sin_clasificar"))</f>
        <v/>
      </c>
      <c r="V9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5">
        <f>IF(tblOrdenes[[#This Row],[centro_costo]]="","",_xlfn.XLOOKUP(tblOrdenes[[#This Row],[centro_costo]],tblCECO[codigo],tblCECO[linea],"(sin catálogo)"))</f>
        <v/>
      </c>
      <c r="Y987" s="5">
        <f>IF(tblOrdenes[[#This Row],[centro_costo]]="","",_xlfn.XLOOKUP(tblOrdenes[[#This Row],[centro_costo]],tblCECO[codigo],tblCECO[area],"(sin catálogo)"))</f>
        <v/>
      </c>
      <c r="Z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5">
        <f>IF(tblOrdenes[[#This Row],[centro_costo]]="","",_xlfn.XLOOKUP(tblOrdenes[[#This Row],[centro_costo]],tblCECO[codigo],tblCECO[coordinador],"(sin catálogo)"))</f>
        <v/>
      </c>
      <c r="AB987" s="5">
        <f>IF(tblOrdenes[[#This Row],[puesto_trabajo]]="","",_xlfn.XLOOKUP(tblOrdenes[[#This Row],[puesto_trabajo]],tblPuestos[codigo],tblPuestos[especialidad],"(sin catálogo)"))</f>
        <v/>
      </c>
      <c r="AC987" s="5">
        <f>IF(tblOrdenes[[#This Row],[cod_actividad]]="","",_xlfn.XLOOKUP(tblOrdenes[[#This Row],[cod_actividad]],tblActividades[codigo],tblActividades[descripcion],"(sin catálogo)"))</f>
        <v/>
      </c>
      <c r="AD987" s="23">
        <f>IF(tblOrdenes[[#This Row],[fecha_inicio]]="","",TODAY()-tblOrdenes[[#This Row],[fecha_inicio]])</f>
        <v/>
      </c>
      <c r="AE9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5">
        <f>IF(tblOrdenes[[#This Row],[backlog_habiles]]="","",IF(tblOrdenes[[#This Row],[backlog_habiles]]&lt;0,"FUTURO",IF(tblOrdenes[[#This Row],[backlog_habiles]]&gt;p_dias_backlog_max,"BACKLOG","MES CORRIENTE")))</f>
        <v/>
      </c>
      <c r="AG987" s="5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18">
        <f>IF(tblOrdenes[[#This Row],[orden]]="","",_xlfn.XLOOKUP(tblOrdenes[[#This Row],[id_operacion]],tblEjecucion[id_operacion],tblEjecucion[precio],0))</f>
        <v/>
      </c>
      <c r="AM987" s="18">
        <f>IF(tblOrdenes[[#This Row],[orden]]="","",MAX(0,_xlfn.XLOOKUP(tblOrdenes[[#This Row],[id_operacion]],tblEjecucion[id_operacion],tblEjecucion[costo_plan_total],0)-tblOrdenes[[#This Row],[costo_servicio]]))</f>
        <v/>
      </c>
      <c r="AN987" s="18">
        <f>IF(tblOrdenes[[#This Row],[orden]]="","",tblOrdenes[[#This Row],[costo_servicio]]+tblOrdenes[[#This Row],[costo_materiales]])</f>
        <v/>
      </c>
      <c r="AO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5">
        <f>IF(tblOrdenes[[#This Row],[link_checklist]]="","",HYPERLINK(p_ruta_base_checklists&amp;tblOrdenes[[#This Row],[link_checklist]],"abrir"))</f>
        <v/>
      </c>
      <c r="AT987" s="4" t="n"/>
      <c r="AU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5" t="n"/>
      <c r="K988" s="5" t="n"/>
      <c r="L988" s="18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Row],[fecha_inicio]]="","",tblOrdenes[[#This Row],[anio]]&amp;"-"&amp;TEXT(tblOrdenes[[#This Row],[mes]],"00"))</f>
        <v/>
      </c>
      <c r="S988" s="5">
        <f>IF(tblOrdenes[[#This Row],[fecha_inicio]]="","",INDEX(lista_dias,WEEKDAY(tblOrdenes[[#This Row],[fecha_inicio]],2)))</f>
        <v/>
      </c>
      <c r="T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5">
        <f>IF(tblOrdenes[[#This Row],[tipo_ot]]="","",_xlfn.XLOOKUP(tblOrdenes[[#This Row],[tipo_ot]],tblTiposOT[codigo],tblTiposOT[clasificacion],"sin_clasificar"))</f>
        <v/>
      </c>
      <c r="V9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5">
        <f>IF(tblOrdenes[[#This Row],[centro_costo]]="","",_xlfn.XLOOKUP(tblOrdenes[[#This Row],[centro_costo]],tblCECO[codigo],tblCECO[linea],"(sin catálogo)"))</f>
        <v/>
      </c>
      <c r="Y988" s="5">
        <f>IF(tblOrdenes[[#This Row],[centro_costo]]="","",_xlfn.XLOOKUP(tblOrdenes[[#This Row],[centro_costo]],tblCECO[codigo],tblCECO[area],"(sin catálogo)"))</f>
        <v/>
      </c>
      <c r="Z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5">
        <f>IF(tblOrdenes[[#This Row],[centro_costo]]="","",_xlfn.XLOOKUP(tblOrdenes[[#This Row],[centro_costo]],tblCECO[codigo],tblCECO[coordinador],"(sin catálogo)"))</f>
        <v/>
      </c>
      <c r="AB988" s="5">
        <f>IF(tblOrdenes[[#This Row],[puesto_trabajo]]="","",_xlfn.XLOOKUP(tblOrdenes[[#This Row],[puesto_trabajo]],tblPuestos[codigo],tblPuestos[especialidad],"(sin catálogo)"))</f>
        <v/>
      </c>
      <c r="AC988" s="5">
        <f>IF(tblOrdenes[[#This Row],[cod_actividad]]="","",_xlfn.XLOOKUP(tblOrdenes[[#This Row],[cod_actividad]],tblActividades[codigo],tblActividades[descripcion],"(sin catálogo)"))</f>
        <v/>
      </c>
      <c r="AD988" s="23">
        <f>IF(tblOrdenes[[#This Row],[fecha_inicio]]="","",TODAY()-tblOrdenes[[#This Row],[fecha_inicio]])</f>
        <v/>
      </c>
      <c r="AE9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5">
        <f>IF(tblOrdenes[[#This Row],[backlog_habiles]]="","",IF(tblOrdenes[[#This Row],[backlog_habiles]]&lt;0,"FUTURO",IF(tblOrdenes[[#This Row],[backlog_habiles]]&gt;p_dias_backlog_max,"BACKLOG","MES CORRIENTE")))</f>
        <v/>
      </c>
      <c r="AG988" s="5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18">
        <f>IF(tblOrdenes[[#This Row],[orden]]="","",_xlfn.XLOOKUP(tblOrdenes[[#This Row],[id_operacion]],tblEjecucion[id_operacion],tblEjecucion[precio],0))</f>
        <v/>
      </c>
      <c r="AM988" s="18">
        <f>IF(tblOrdenes[[#This Row],[orden]]="","",MAX(0,_xlfn.XLOOKUP(tblOrdenes[[#This Row],[id_operacion]],tblEjecucion[id_operacion],tblEjecucion[costo_plan_total],0)-tblOrdenes[[#This Row],[costo_servicio]]))</f>
        <v/>
      </c>
      <c r="AN988" s="18">
        <f>IF(tblOrdenes[[#This Row],[orden]]="","",tblOrdenes[[#This Row],[costo_servicio]]+tblOrdenes[[#This Row],[costo_materiales]])</f>
        <v/>
      </c>
      <c r="AO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5">
        <f>IF(tblOrdenes[[#This Row],[link_checklist]]="","",HYPERLINK(p_ruta_base_checklists&amp;tblOrdenes[[#This Row],[link_checklist]],"abrir"))</f>
        <v/>
      </c>
      <c r="AT988" s="4" t="n"/>
      <c r="AU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5" t="n"/>
      <c r="K989" s="5" t="n"/>
      <c r="L989" s="18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Row],[fecha_inicio]]="","",tblOrdenes[[#This Row],[anio]]&amp;"-"&amp;TEXT(tblOrdenes[[#This Row],[mes]],"00"))</f>
        <v/>
      </c>
      <c r="S989" s="5">
        <f>IF(tblOrdenes[[#This Row],[fecha_inicio]]="","",INDEX(lista_dias,WEEKDAY(tblOrdenes[[#This Row],[fecha_inicio]],2)))</f>
        <v/>
      </c>
      <c r="T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5">
        <f>IF(tblOrdenes[[#This Row],[tipo_ot]]="","",_xlfn.XLOOKUP(tblOrdenes[[#This Row],[tipo_ot]],tblTiposOT[codigo],tblTiposOT[clasificacion],"sin_clasificar"))</f>
        <v/>
      </c>
      <c r="V9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5">
        <f>IF(tblOrdenes[[#This Row],[centro_costo]]="","",_xlfn.XLOOKUP(tblOrdenes[[#This Row],[centro_costo]],tblCECO[codigo],tblCECO[linea],"(sin catálogo)"))</f>
        <v/>
      </c>
      <c r="Y989" s="5">
        <f>IF(tblOrdenes[[#This Row],[centro_costo]]="","",_xlfn.XLOOKUP(tblOrdenes[[#This Row],[centro_costo]],tblCECO[codigo],tblCECO[area],"(sin catálogo)"))</f>
        <v/>
      </c>
      <c r="Z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5">
        <f>IF(tblOrdenes[[#This Row],[centro_costo]]="","",_xlfn.XLOOKUP(tblOrdenes[[#This Row],[centro_costo]],tblCECO[codigo],tblCECO[coordinador],"(sin catálogo)"))</f>
        <v/>
      </c>
      <c r="AB989" s="5">
        <f>IF(tblOrdenes[[#This Row],[puesto_trabajo]]="","",_xlfn.XLOOKUP(tblOrdenes[[#This Row],[puesto_trabajo]],tblPuestos[codigo],tblPuestos[especialidad],"(sin catálogo)"))</f>
        <v/>
      </c>
      <c r="AC989" s="5">
        <f>IF(tblOrdenes[[#This Row],[cod_actividad]]="","",_xlfn.XLOOKUP(tblOrdenes[[#This Row],[cod_actividad]],tblActividades[codigo],tblActividades[descripcion],"(sin catálogo)"))</f>
        <v/>
      </c>
      <c r="AD989" s="23">
        <f>IF(tblOrdenes[[#This Row],[fecha_inicio]]="","",TODAY()-tblOrdenes[[#This Row],[fecha_inicio]])</f>
        <v/>
      </c>
      <c r="AE9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5">
        <f>IF(tblOrdenes[[#This Row],[backlog_habiles]]="","",IF(tblOrdenes[[#This Row],[backlog_habiles]]&lt;0,"FUTURO",IF(tblOrdenes[[#This Row],[backlog_habiles]]&gt;p_dias_backlog_max,"BACKLOG","MES CORRIENTE")))</f>
        <v/>
      </c>
      <c r="AG989" s="5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18">
        <f>IF(tblOrdenes[[#This Row],[orden]]="","",_xlfn.XLOOKUP(tblOrdenes[[#This Row],[id_operacion]],tblEjecucion[id_operacion],tblEjecucion[precio],0))</f>
        <v/>
      </c>
      <c r="AM989" s="18">
        <f>IF(tblOrdenes[[#This Row],[orden]]="","",MAX(0,_xlfn.XLOOKUP(tblOrdenes[[#This Row],[id_operacion]],tblEjecucion[id_operacion],tblEjecucion[costo_plan_total],0)-tblOrdenes[[#This Row],[costo_servicio]]))</f>
        <v/>
      </c>
      <c r="AN989" s="18">
        <f>IF(tblOrdenes[[#This Row],[orden]]="","",tblOrdenes[[#This Row],[costo_servicio]]+tblOrdenes[[#This Row],[costo_materiales]])</f>
        <v/>
      </c>
      <c r="AO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5">
        <f>IF(tblOrdenes[[#This Row],[link_checklist]]="","",HYPERLINK(p_ruta_base_checklists&amp;tblOrdenes[[#This Row],[link_checklist]],"abrir"))</f>
        <v/>
      </c>
      <c r="AT989" s="4" t="n"/>
      <c r="AU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5" t="n"/>
      <c r="K990" s="5" t="n"/>
      <c r="L990" s="18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Row],[fecha_inicio]]="","",tblOrdenes[[#This Row],[anio]]&amp;"-"&amp;TEXT(tblOrdenes[[#This Row],[mes]],"00"))</f>
        <v/>
      </c>
      <c r="S990" s="5">
        <f>IF(tblOrdenes[[#This Row],[fecha_inicio]]="","",INDEX(lista_dias,WEEKDAY(tblOrdenes[[#This Row],[fecha_inicio]],2)))</f>
        <v/>
      </c>
      <c r="T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5">
        <f>IF(tblOrdenes[[#This Row],[tipo_ot]]="","",_xlfn.XLOOKUP(tblOrdenes[[#This Row],[tipo_ot]],tblTiposOT[codigo],tblTiposOT[clasificacion],"sin_clasificar"))</f>
        <v/>
      </c>
      <c r="V9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5">
        <f>IF(tblOrdenes[[#This Row],[centro_costo]]="","",_xlfn.XLOOKUP(tblOrdenes[[#This Row],[centro_costo]],tblCECO[codigo],tblCECO[linea],"(sin catálogo)"))</f>
        <v/>
      </c>
      <c r="Y990" s="5">
        <f>IF(tblOrdenes[[#This Row],[centro_costo]]="","",_xlfn.XLOOKUP(tblOrdenes[[#This Row],[centro_costo]],tblCECO[codigo],tblCECO[area],"(sin catálogo)"))</f>
        <v/>
      </c>
      <c r="Z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5">
        <f>IF(tblOrdenes[[#This Row],[centro_costo]]="","",_xlfn.XLOOKUP(tblOrdenes[[#This Row],[centro_costo]],tblCECO[codigo],tblCECO[coordinador],"(sin catálogo)"))</f>
        <v/>
      </c>
      <c r="AB990" s="5">
        <f>IF(tblOrdenes[[#This Row],[puesto_trabajo]]="","",_xlfn.XLOOKUP(tblOrdenes[[#This Row],[puesto_trabajo]],tblPuestos[codigo],tblPuestos[especialidad],"(sin catálogo)"))</f>
        <v/>
      </c>
      <c r="AC990" s="5">
        <f>IF(tblOrdenes[[#This Row],[cod_actividad]]="","",_xlfn.XLOOKUP(tblOrdenes[[#This Row],[cod_actividad]],tblActividades[codigo],tblActividades[descripcion],"(sin catálogo)"))</f>
        <v/>
      </c>
      <c r="AD990" s="23">
        <f>IF(tblOrdenes[[#This Row],[fecha_inicio]]="","",TODAY()-tblOrdenes[[#This Row],[fecha_inicio]])</f>
        <v/>
      </c>
      <c r="AE9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5">
        <f>IF(tblOrdenes[[#This Row],[backlog_habiles]]="","",IF(tblOrdenes[[#This Row],[backlog_habiles]]&lt;0,"FUTURO",IF(tblOrdenes[[#This Row],[backlog_habiles]]&gt;p_dias_backlog_max,"BACKLOG","MES CORRIENTE")))</f>
        <v/>
      </c>
      <c r="AG990" s="5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18">
        <f>IF(tblOrdenes[[#This Row],[orden]]="","",_xlfn.XLOOKUP(tblOrdenes[[#This Row],[id_operacion]],tblEjecucion[id_operacion],tblEjecucion[precio],0))</f>
        <v/>
      </c>
      <c r="AM990" s="18">
        <f>IF(tblOrdenes[[#This Row],[orden]]="","",MAX(0,_xlfn.XLOOKUP(tblOrdenes[[#This Row],[id_operacion]],tblEjecucion[id_operacion],tblEjecucion[costo_plan_total],0)-tblOrdenes[[#This Row],[costo_servicio]]))</f>
        <v/>
      </c>
      <c r="AN990" s="18">
        <f>IF(tblOrdenes[[#This Row],[orden]]="","",tblOrdenes[[#This Row],[costo_servicio]]+tblOrdenes[[#This Row],[costo_materiales]])</f>
        <v/>
      </c>
      <c r="AO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5">
        <f>IF(tblOrdenes[[#This Row],[link_checklist]]="","",HYPERLINK(p_ruta_base_checklists&amp;tblOrdenes[[#This Row],[link_checklist]],"abrir"))</f>
        <v/>
      </c>
      <c r="AT990" s="4" t="n"/>
      <c r="AU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5" t="n"/>
      <c r="K991" s="5" t="n"/>
      <c r="L991" s="18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Row],[fecha_inicio]]="","",tblOrdenes[[#This Row],[anio]]&amp;"-"&amp;TEXT(tblOrdenes[[#This Row],[mes]],"00"))</f>
        <v/>
      </c>
      <c r="S991" s="5">
        <f>IF(tblOrdenes[[#This Row],[fecha_inicio]]="","",INDEX(lista_dias,WEEKDAY(tblOrdenes[[#This Row],[fecha_inicio]],2)))</f>
        <v/>
      </c>
      <c r="T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5">
        <f>IF(tblOrdenes[[#This Row],[tipo_ot]]="","",_xlfn.XLOOKUP(tblOrdenes[[#This Row],[tipo_ot]],tblTiposOT[codigo],tblTiposOT[clasificacion],"sin_clasificar"))</f>
        <v/>
      </c>
      <c r="V9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5">
        <f>IF(tblOrdenes[[#This Row],[centro_costo]]="","",_xlfn.XLOOKUP(tblOrdenes[[#This Row],[centro_costo]],tblCECO[codigo],tblCECO[linea],"(sin catálogo)"))</f>
        <v/>
      </c>
      <c r="Y991" s="5">
        <f>IF(tblOrdenes[[#This Row],[centro_costo]]="","",_xlfn.XLOOKUP(tblOrdenes[[#This Row],[centro_costo]],tblCECO[codigo],tblCECO[area],"(sin catálogo)"))</f>
        <v/>
      </c>
      <c r="Z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5">
        <f>IF(tblOrdenes[[#This Row],[centro_costo]]="","",_xlfn.XLOOKUP(tblOrdenes[[#This Row],[centro_costo]],tblCECO[codigo],tblCECO[coordinador],"(sin catálogo)"))</f>
        <v/>
      </c>
      <c r="AB991" s="5">
        <f>IF(tblOrdenes[[#This Row],[puesto_trabajo]]="","",_xlfn.XLOOKUP(tblOrdenes[[#This Row],[puesto_trabajo]],tblPuestos[codigo],tblPuestos[especialidad],"(sin catálogo)"))</f>
        <v/>
      </c>
      <c r="AC991" s="5">
        <f>IF(tblOrdenes[[#This Row],[cod_actividad]]="","",_xlfn.XLOOKUP(tblOrdenes[[#This Row],[cod_actividad]],tblActividades[codigo],tblActividades[descripcion],"(sin catálogo)"))</f>
        <v/>
      </c>
      <c r="AD991" s="23">
        <f>IF(tblOrdenes[[#This Row],[fecha_inicio]]="","",TODAY()-tblOrdenes[[#This Row],[fecha_inicio]])</f>
        <v/>
      </c>
      <c r="AE9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5">
        <f>IF(tblOrdenes[[#This Row],[backlog_habiles]]="","",IF(tblOrdenes[[#This Row],[backlog_habiles]]&lt;0,"FUTURO",IF(tblOrdenes[[#This Row],[backlog_habiles]]&gt;p_dias_backlog_max,"BACKLOG","MES CORRIENTE")))</f>
        <v/>
      </c>
      <c r="AG991" s="5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18">
        <f>IF(tblOrdenes[[#This Row],[orden]]="","",_xlfn.XLOOKUP(tblOrdenes[[#This Row],[id_operacion]],tblEjecucion[id_operacion],tblEjecucion[precio],0))</f>
        <v/>
      </c>
      <c r="AM991" s="18">
        <f>IF(tblOrdenes[[#This Row],[orden]]="","",MAX(0,_xlfn.XLOOKUP(tblOrdenes[[#This Row],[id_operacion]],tblEjecucion[id_operacion],tblEjecucion[costo_plan_total],0)-tblOrdenes[[#This Row],[costo_servicio]]))</f>
        <v/>
      </c>
      <c r="AN991" s="18">
        <f>IF(tblOrdenes[[#This Row],[orden]]="","",tblOrdenes[[#This Row],[costo_servicio]]+tblOrdenes[[#This Row],[costo_materiales]])</f>
        <v/>
      </c>
      <c r="AO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5">
        <f>IF(tblOrdenes[[#This Row],[link_checklist]]="","",HYPERLINK(p_ruta_base_checklists&amp;tblOrdenes[[#This Row],[link_checklist]],"abrir"))</f>
        <v/>
      </c>
      <c r="AT991" s="4" t="n"/>
      <c r="AU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5" t="n"/>
      <c r="K992" s="5" t="n"/>
      <c r="L992" s="18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Row],[fecha_inicio]]="","",tblOrdenes[[#This Row],[anio]]&amp;"-"&amp;TEXT(tblOrdenes[[#This Row],[mes]],"00"))</f>
        <v/>
      </c>
      <c r="S992" s="5">
        <f>IF(tblOrdenes[[#This Row],[fecha_inicio]]="","",INDEX(lista_dias,WEEKDAY(tblOrdenes[[#This Row],[fecha_inicio]],2)))</f>
        <v/>
      </c>
      <c r="T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5">
        <f>IF(tblOrdenes[[#This Row],[tipo_ot]]="","",_xlfn.XLOOKUP(tblOrdenes[[#This Row],[tipo_ot]],tblTiposOT[codigo],tblTiposOT[clasificacion],"sin_clasificar"))</f>
        <v/>
      </c>
      <c r="V9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5">
        <f>IF(tblOrdenes[[#This Row],[centro_costo]]="","",_xlfn.XLOOKUP(tblOrdenes[[#This Row],[centro_costo]],tblCECO[codigo],tblCECO[linea],"(sin catálogo)"))</f>
        <v/>
      </c>
      <c r="Y992" s="5">
        <f>IF(tblOrdenes[[#This Row],[centro_costo]]="","",_xlfn.XLOOKUP(tblOrdenes[[#This Row],[centro_costo]],tblCECO[codigo],tblCECO[area],"(sin catálogo)"))</f>
        <v/>
      </c>
      <c r="Z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5">
        <f>IF(tblOrdenes[[#This Row],[centro_costo]]="","",_xlfn.XLOOKUP(tblOrdenes[[#This Row],[centro_costo]],tblCECO[codigo],tblCECO[coordinador],"(sin catálogo)"))</f>
        <v/>
      </c>
      <c r="AB992" s="5">
        <f>IF(tblOrdenes[[#This Row],[puesto_trabajo]]="","",_xlfn.XLOOKUP(tblOrdenes[[#This Row],[puesto_trabajo]],tblPuestos[codigo],tblPuestos[especialidad],"(sin catálogo)"))</f>
        <v/>
      </c>
      <c r="AC992" s="5">
        <f>IF(tblOrdenes[[#This Row],[cod_actividad]]="","",_xlfn.XLOOKUP(tblOrdenes[[#This Row],[cod_actividad]],tblActividades[codigo],tblActividades[descripcion],"(sin catálogo)"))</f>
        <v/>
      </c>
      <c r="AD992" s="23">
        <f>IF(tblOrdenes[[#This Row],[fecha_inicio]]="","",TODAY()-tblOrdenes[[#This Row],[fecha_inicio]])</f>
        <v/>
      </c>
      <c r="AE9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5">
        <f>IF(tblOrdenes[[#This Row],[backlog_habiles]]="","",IF(tblOrdenes[[#This Row],[backlog_habiles]]&lt;0,"FUTURO",IF(tblOrdenes[[#This Row],[backlog_habiles]]&gt;p_dias_backlog_max,"BACKLOG","MES CORRIENTE")))</f>
        <v/>
      </c>
      <c r="AG992" s="5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18">
        <f>IF(tblOrdenes[[#This Row],[orden]]="","",_xlfn.XLOOKUP(tblOrdenes[[#This Row],[id_operacion]],tblEjecucion[id_operacion],tblEjecucion[precio],0))</f>
        <v/>
      </c>
      <c r="AM992" s="18">
        <f>IF(tblOrdenes[[#This Row],[orden]]="","",MAX(0,_xlfn.XLOOKUP(tblOrdenes[[#This Row],[id_operacion]],tblEjecucion[id_operacion],tblEjecucion[costo_plan_total],0)-tblOrdenes[[#This Row],[costo_servicio]]))</f>
        <v/>
      </c>
      <c r="AN992" s="18">
        <f>IF(tblOrdenes[[#This Row],[orden]]="","",tblOrdenes[[#This Row],[costo_servicio]]+tblOrdenes[[#This Row],[costo_materiales]])</f>
        <v/>
      </c>
      <c r="AO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5">
        <f>IF(tblOrdenes[[#This Row],[link_checklist]]="","",HYPERLINK(p_ruta_base_checklists&amp;tblOrdenes[[#This Row],[link_checklist]],"abrir"))</f>
        <v/>
      </c>
      <c r="AT992" s="4" t="n"/>
      <c r="AU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5" t="n"/>
      <c r="K993" s="5" t="n"/>
      <c r="L993" s="18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Row],[fecha_inicio]]="","",tblOrdenes[[#This Row],[anio]]&amp;"-"&amp;TEXT(tblOrdenes[[#This Row],[mes]],"00"))</f>
        <v/>
      </c>
      <c r="S993" s="5">
        <f>IF(tblOrdenes[[#This Row],[fecha_inicio]]="","",INDEX(lista_dias,WEEKDAY(tblOrdenes[[#This Row],[fecha_inicio]],2)))</f>
        <v/>
      </c>
      <c r="T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5">
        <f>IF(tblOrdenes[[#This Row],[tipo_ot]]="","",_xlfn.XLOOKUP(tblOrdenes[[#This Row],[tipo_ot]],tblTiposOT[codigo],tblTiposOT[clasificacion],"sin_clasificar"))</f>
        <v/>
      </c>
      <c r="V9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5">
        <f>IF(tblOrdenes[[#This Row],[centro_costo]]="","",_xlfn.XLOOKUP(tblOrdenes[[#This Row],[centro_costo]],tblCECO[codigo],tblCECO[linea],"(sin catálogo)"))</f>
        <v/>
      </c>
      <c r="Y993" s="5">
        <f>IF(tblOrdenes[[#This Row],[centro_costo]]="","",_xlfn.XLOOKUP(tblOrdenes[[#This Row],[centro_costo]],tblCECO[codigo],tblCECO[area],"(sin catálogo)"))</f>
        <v/>
      </c>
      <c r="Z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5">
        <f>IF(tblOrdenes[[#This Row],[centro_costo]]="","",_xlfn.XLOOKUP(tblOrdenes[[#This Row],[centro_costo]],tblCECO[codigo],tblCECO[coordinador],"(sin catálogo)"))</f>
        <v/>
      </c>
      <c r="AB993" s="5">
        <f>IF(tblOrdenes[[#This Row],[puesto_trabajo]]="","",_xlfn.XLOOKUP(tblOrdenes[[#This Row],[puesto_trabajo]],tblPuestos[codigo],tblPuestos[especialidad],"(sin catálogo)"))</f>
        <v/>
      </c>
      <c r="AC993" s="5">
        <f>IF(tblOrdenes[[#This Row],[cod_actividad]]="","",_xlfn.XLOOKUP(tblOrdenes[[#This Row],[cod_actividad]],tblActividades[codigo],tblActividades[descripcion],"(sin catálogo)"))</f>
        <v/>
      </c>
      <c r="AD993" s="23">
        <f>IF(tblOrdenes[[#This Row],[fecha_inicio]]="","",TODAY()-tblOrdenes[[#This Row],[fecha_inicio]])</f>
        <v/>
      </c>
      <c r="AE9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5">
        <f>IF(tblOrdenes[[#This Row],[backlog_habiles]]="","",IF(tblOrdenes[[#This Row],[backlog_habiles]]&lt;0,"FUTURO",IF(tblOrdenes[[#This Row],[backlog_habiles]]&gt;p_dias_backlog_max,"BACKLOG","MES CORRIENTE")))</f>
        <v/>
      </c>
      <c r="AG993" s="5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18">
        <f>IF(tblOrdenes[[#This Row],[orden]]="","",_xlfn.XLOOKUP(tblOrdenes[[#This Row],[id_operacion]],tblEjecucion[id_operacion],tblEjecucion[precio],0))</f>
        <v/>
      </c>
      <c r="AM993" s="18">
        <f>IF(tblOrdenes[[#This Row],[orden]]="","",MAX(0,_xlfn.XLOOKUP(tblOrdenes[[#This Row],[id_operacion]],tblEjecucion[id_operacion],tblEjecucion[costo_plan_total],0)-tblOrdenes[[#This Row],[costo_servicio]]))</f>
        <v/>
      </c>
      <c r="AN993" s="18">
        <f>IF(tblOrdenes[[#This Row],[orden]]="","",tblOrdenes[[#This Row],[costo_servicio]]+tblOrdenes[[#This Row],[costo_materiales]])</f>
        <v/>
      </c>
      <c r="AO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5">
        <f>IF(tblOrdenes[[#This Row],[link_checklist]]="","",HYPERLINK(p_ruta_base_checklists&amp;tblOrdenes[[#This Row],[link_checklist]],"abrir"))</f>
        <v/>
      </c>
      <c r="AT993" s="4" t="n"/>
      <c r="AU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5" t="n"/>
      <c r="K994" s="5" t="n"/>
      <c r="L994" s="18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Row],[fecha_inicio]]="","",tblOrdenes[[#This Row],[anio]]&amp;"-"&amp;TEXT(tblOrdenes[[#This Row],[mes]],"00"))</f>
        <v/>
      </c>
      <c r="S994" s="5">
        <f>IF(tblOrdenes[[#This Row],[fecha_inicio]]="","",INDEX(lista_dias,WEEKDAY(tblOrdenes[[#This Row],[fecha_inicio]],2)))</f>
        <v/>
      </c>
      <c r="T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5">
        <f>IF(tblOrdenes[[#This Row],[tipo_ot]]="","",_xlfn.XLOOKUP(tblOrdenes[[#This Row],[tipo_ot]],tblTiposOT[codigo],tblTiposOT[clasificacion],"sin_clasificar"))</f>
        <v/>
      </c>
      <c r="V9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5">
        <f>IF(tblOrdenes[[#This Row],[centro_costo]]="","",_xlfn.XLOOKUP(tblOrdenes[[#This Row],[centro_costo]],tblCECO[codigo],tblCECO[linea],"(sin catálogo)"))</f>
        <v/>
      </c>
      <c r="Y994" s="5">
        <f>IF(tblOrdenes[[#This Row],[centro_costo]]="","",_xlfn.XLOOKUP(tblOrdenes[[#This Row],[centro_costo]],tblCECO[codigo],tblCECO[area],"(sin catálogo)"))</f>
        <v/>
      </c>
      <c r="Z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5">
        <f>IF(tblOrdenes[[#This Row],[centro_costo]]="","",_xlfn.XLOOKUP(tblOrdenes[[#This Row],[centro_costo]],tblCECO[codigo],tblCECO[coordinador],"(sin catálogo)"))</f>
        <v/>
      </c>
      <c r="AB994" s="5">
        <f>IF(tblOrdenes[[#This Row],[puesto_trabajo]]="","",_xlfn.XLOOKUP(tblOrdenes[[#This Row],[puesto_trabajo]],tblPuestos[codigo],tblPuestos[especialidad],"(sin catálogo)"))</f>
        <v/>
      </c>
      <c r="AC994" s="5">
        <f>IF(tblOrdenes[[#This Row],[cod_actividad]]="","",_xlfn.XLOOKUP(tblOrdenes[[#This Row],[cod_actividad]],tblActividades[codigo],tblActividades[descripcion],"(sin catálogo)"))</f>
        <v/>
      </c>
      <c r="AD994" s="23">
        <f>IF(tblOrdenes[[#This Row],[fecha_inicio]]="","",TODAY()-tblOrdenes[[#This Row],[fecha_inicio]])</f>
        <v/>
      </c>
      <c r="AE9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5">
        <f>IF(tblOrdenes[[#This Row],[backlog_habiles]]="","",IF(tblOrdenes[[#This Row],[backlog_habiles]]&lt;0,"FUTURO",IF(tblOrdenes[[#This Row],[backlog_habiles]]&gt;p_dias_backlog_max,"BACKLOG","MES CORRIENTE")))</f>
        <v/>
      </c>
      <c r="AG994" s="5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18">
        <f>IF(tblOrdenes[[#This Row],[orden]]="","",_xlfn.XLOOKUP(tblOrdenes[[#This Row],[id_operacion]],tblEjecucion[id_operacion],tblEjecucion[precio],0))</f>
        <v/>
      </c>
      <c r="AM994" s="18">
        <f>IF(tblOrdenes[[#This Row],[orden]]="","",MAX(0,_xlfn.XLOOKUP(tblOrdenes[[#This Row],[id_operacion]],tblEjecucion[id_operacion],tblEjecucion[costo_plan_total],0)-tblOrdenes[[#This Row],[costo_servicio]]))</f>
        <v/>
      </c>
      <c r="AN994" s="18">
        <f>IF(tblOrdenes[[#This Row],[orden]]="","",tblOrdenes[[#This Row],[costo_servicio]]+tblOrdenes[[#This Row],[costo_materiales]])</f>
        <v/>
      </c>
      <c r="AO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5">
        <f>IF(tblOrdenes[[#This Row],[link_checklist]]="","",HYPERLINK(p_ruta_base_checklists&amp;tblOrdenes[[#This Row],[link_checklist]],"abrir"))</f>
        <v/>
      </c>
      <c r="AT994" s="4" t="n"/>
      <c r="AU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5" t="n"/>
      <c r="K995" s="5" t="n"/>
      <c r="L995" s="18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Row],[fecha_inicio]]="","",tblOrdenes[[#This Row],[anio]]&amp;"-"&amp;TEXT(tblOrdenes[[#This Row],[mes]],"00"))</f>
        <v/>
      </c>
      <c r="S995" s="5">
        <f>IF(tblOrdenes[[#This Row],[fecha_inicio]]="","",INDEX(lista_dias,WEEKDAY(tblOrdenes[[#This Row],[fecha_inicio]],2)))</f>
        <v/>
      </c>
      <c r="T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5">
        <f>IF(tblOrdenes[[#This Row],[tipo_ot]]="","",_xlfn.XLOOKUP(tblOrdenes[[#This Row],[tipo_ot]],tblTiposOT[codigo],tblTiposOT[clasificacion],"sin_clasificar"))</f>
        <v/>
      </c>
      <c r="V9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5">
        <f>IF(tblOrdenes[[#This Row],[centro_costo]]="","",_xlfn.XLOOKUP(tblOrdenes[[#This Row],[centro_costo]],tblCECO[codigo],tblCECO[linea],"(sin catálogo)"))</f>
        <v/>
      </c>
      <c r="Y995" s="5">
        <f>IF(tblOrdenes[[#This Row],[centro_costo]]="","",_xlfn.XLOOKUP(tblOrdenes[[#This Row],[centro_costo]],tblCECO[codigo],tblCECO[area],"(sin catálogo)"))</f>
        <v/>
      </c>
      <c r="Z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5">
        <f>IF(tblOrdenes[[#This Row],[centro_costo]]="","",_xlfn.XLOOKUP(tblOrdenes[[#This Row],[centro_costo]],tblCECO[codigo],tblCECO[coordinador],"(sin catálogo)"))</f>
        <v/>
      </c>
      <c r="AB995" s="5">
        <f>IF(tblOrdenes[[#This Row],[puesto_trabajo]]="","",_xlfn.XLOOKUP(tblOrdenes[[#This Row],[puesto_trabajo]],tblPuestos[codigo],tblPuestos[especialidad],"(sin catálogo)"))</f>
        <v/>
      </c>
      <c r="AC995" s="5">
        <f>IF(tblOrdenes[[#This Row],[cod_actividad]]="","",_xlfn.XLOOKUP(tblOrdenes[[#This Row],[cod_actividad]],tblActividades[codigo],tblActividades[descripcion],"(sin catálogo)"))</f>
        <v/>
      </c>
      <c r="AD995" s="23">
        <f>IF(tblOrdenes[[#This Row],[fecha_inicio]]="","",TODAY()-tblOrdenes[[#This Row],[fecha_inicio]])</f>
        <v/>
      </c>
      <c r="AE9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5">
        <f>IF(tblOrdenes[[#This Row],[backlog_habiles]]="","",IF(tblOrdenes[[#This Row],[backlog_habiles]]&lt;0,"FUTURO",IF(tblOrdenes[[#This Row],[backlog_habiles]]&gt;p_dias_backlog_max,"BACKLOG","MES CORRIENTE")))</f>
        <v/>
      </c>
      <c r="AG995" s="5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18">
        <f>IF(tblOrdenes[[#This Row],[orden]]="","",_xlfn.XLOOKUP(tblOrdenes[[#This Row],[id_operacion]],tblEjecucion[id_operacion],tblEjecucion[precio],0))</f>
        <v/>
      </c>
      <c r="AM995" s="18">
        <f>IF(tblOrdenes[[#This Row],[orden]]="","",MAX(0,_xlfn.XLOOKUP(tblOrdenes[[#This Row],[id_operacion]],tblEjecucion[id_operacion],tblEjecucion[costo_plan_total],0)-tblOrdenes[[#This Row],[costo_servicio]]))</f>
        <v/>
      </c>
      <c r="AN995" s="18">
        <f>IF(tblOrdenes[[#This Row],[orden]]="","",tblOrdenes[[#This Row],[costo_servicio]]+tblOrdenes[[#This Row],[costo_materiales]])</f>
        <v/>
      </c>
      <c r="AO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5">
        <f>IF(tblOrdenes[[#This Row],[link_checklist]]="","",HYPERLINK(p_ruta_base_checklists&amp;tblOrdenes[[#This Row],[link_checklist]],"abrir"))</f>
        <v/>
      </c>
      <c r="AT995" s="4" t="n"/>
      <c r="AU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5" t="n"/>
      <c r="K996" s="5" t="n"/>
      <c r="L996" s="18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Row],[fecha_inicio]]="","",tblOrdenes[[#This Row],[anio]]&amp;"-"&amp;TEXT(tblOrdenes[[#This Row],[mes]],"00"))</f>
        <v/>
      </c>
      <c r="S996" s="5">
        <f>IF(tblOrdenes[[#This Row],[fecha_inicio]]="","",INDEX(lista_dias,WEEKDAY(tblOrdenes[[#This Row],[fecha_inicio]],2)))</f>
        <v/>
      </c>
      <c r="T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5">
        <f>IF(tblOrdenes[[#This Row],[tipo_ot]]="","",_xlfn.XLOOKUP(tblOrdenes[[#This Row],[tipo_ot]],tblTiposOT[codigo],tblTiposOT[clasificacion],"sin_clasificar"))</f>
        <v/>
      </c>
      <c r="V9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5">
        <f>IF(tblOrdenes[[#This Row],[centro_costo]]="","",_xlfn.XLOOKUP(tblOrdenes[[#This Row],[centro_costo]],tblCECO[codigo],tblCECO[linea],"(sin catálogo)"))</f>
        <v/>
      </c>
      <c r="Y996" s="5">
        <f>IF(tblOrdenes[[#This Row],[centro_costo]]="","",_xlfn.XLOOKUP(tblOrdenes[[#This Row],[centro_costo]],tblCECO[codigo],tblCECO[area],"(sin catálogo)"))</f>
        <v/>
      </c>
      <c r="Z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5">
        <f>IF(tblOrdenes[[#This Row],[centro_costo]]="","",_xlfn.XLOOKUP(tblOrdenes[[#This Row],[centro_costo]],tblCECO[codigo],tblCECO[coordinador],"(sin catálogo)"))</f>
        <v/>
      </c>
      <c r="AB996" s="5">
        <f>IF(tblOrdenes[[#This Row],[puesto_trabajo]]="","",_xlfn.XLOOKUP(tblOrdenes[[#This Row],[puesto_trabajo]],tblPuestos[codigo],tblPuestos[especialidad],"(sin catálogo)"))</f>
        <v/>
      </c>
      <c r="AC996" s="5">
        <f>IF(tblOrdenes[[#This Row],[cod_actividad]]="","",_xlfn.XLOOKUP(tblOrdenes[[#This Row],[cod_actividad]],tblActividades[codigo],tblActividades[descripcion],"(sin catálogo)"))</f>
        <v/>
      </c>
      <c r="AD996" s="23">
        <f>IF(tblOrdenes[[#This Row],[fecha_inicio]]="","",TODAY()-tblOrdenes[[#This Row],[fecha_inicio]])</f>
        <v/>
      </c>
      <c r="AE9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5">
        <f>IF(tblOrdenes[[#This Row],[backlog_habiles]]="","",IF(tblOrdenes[[#This Row],[backlog_habiles]]&lt;0,"FUTURO",IF(tblOrdenes[[#This Row],[backlog_habiles]]&gt;p_dias_backlog_max,"BACKLOG","MES CORRIENTE")))</f>
        <v/>
      </c>
      <c r="AG996" s="5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18">
        <f>IF(tblOrdenes[[#This Row],[orden]]="","",_xlfn.XLOOKUP(tblOrdenes[[#This Row],[id_operacion]],tblEjecucion[id_operacion],tblEjecucion[precio],0))</f>
        <v/>
      </c>
      <c r="AM996" s="18">
        <f>IF(tblOrdenes[[#This Row],[orden]]="","",MAX(0,_xlfn.XLOOKUP(tblOrdenes[[#This Row],[id_operacion]],tblEjecucion[id_operacion],tblEjecucion[costo_plan_total],0)-tblOrdenes[[#This Row],[costo_servicio]]))</f>
        <v/>
      </c>
      <c r="AN996" s="18">
        <f>IF(tblOrdenes[[#This Row],[orden]]="","",tblOrdenes[[#This Row],[costo_servicio]]+tblOrdenes[[#This Row],[costo_materiales]])</f>
        <v/>
      </c>
      <c r="AO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5">
        <f>IF(tblOrdenes[[#This Row],[link_checklist]]="","",HYPERLINK(p_ruta_base_checklists&amp;tblOrdenes[[#This Row],[link_checklist]],"abrir"))</f>
        <v/>
      </c>
      <c r="AT996" s="4" t="n"/>
      <c r="AU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5" t="n"/>
      <c r="K997" s="5" t="n"/>
      <c r="L997" s="18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Row],[fecha_inicio]]="","",tblOrdenes[[#This Row],[anio]]&amp;"-"&amp;TEXT(tblOrdenes[[#This Row],[mes]],"00"))</f>
        <v/>
      </c>
      <c r="S997" s="5">
        <f>IF(tblOrdenes[[#This Row],[fecha_inicio]]="","",INDEX(lista_dias,WEEKDAY(tblOrdenes[[#This Row],[fecha_inicio]],2)))</f>
        <v/>
      </c>
      <c r="T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5">
        <f>IF(tblOrdenes[[#This Row],[tipo_ot]]="","",_xlfn.XLOOKUP(tblOrdenes[[#This Row],[tipo_ot]],tblTiposOT[codigo],tblTiposOT[clasificacion],"sin_clasificar"))</f>
        <v/>
      </c>
      <c r="V9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5">
        <f>IF(tblOrdenes[[#This Row],[centro_costo]]="","",_xlfn.XLOOKUP(tblOrdenes[[#This Row],[centro_costo]],tblCECO[codigo],tblCECO[linea],"(sin catálogo)"))</f>
        <v/>
      </c>
      <c r="Y997" s="5">
        <f>IF(tblOrdenes[[#This Row],[centro_costo]]="","",_xlfn.XLOOKUP(tblOrdenes[[#This Row],[centro_costo]],tblCECO[codigo],tblCECO[area],"(sin catálogo)"))</f>
        <v/>
      </c>
      <c r="Z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5">
        <f>IF(tblOrdenes[[#This Row],[centro_costo]]="","",_xlfn.XLOOKUP(tblOrdenes[[#This Row],[centro_costo]],tblCECO[codigo],tblCECO[coordinador],"(sin catálogo)"))</f>
        <v/>
      </c>
      <c r="AB997" s="5">
        <f>IF(tblOrdenes[[#This Row],[puesto_trabajo]]="","",_xlfn.XLOOKUP(tblOrdenes[[#This Row],[puesto_trabajo]],tblPuestos[codigo],tblPuestos[especialidad],"(sin catálogo)"))</f>
        <v/>
      </c>
      <c r="AC997" s="5">
        <f>IF(tblOrdenes[[#This Row],[cod_actividad]]="","",_xlfn.XLOOKUP(tblOrdenes[[#This Row],[cod_actividad]],tblActividades[codigo],tblActividades[descripcion],"(sin catálogo)"))</f>
        <v/>
      </c>
      <c r="AD997" s="23">
        <f>IF(tblOrdenes[[#This Row],[fecha_inicio]]="","",TODAY()-tblOrdenes[[#This Row],[fecha_inicio]])</f>
        <v/>
      </c>
      <c r="AE9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5">
        <f>IF(tblOrdenes[[#This Row],[backlog_habiles]]="","",IF(tblOrdenes[[#This Row],[backlog_habiles]]&lt;0,"FUTURO",IF(tblOrdenes[[#This Row],[backlog_habiles]]&gt;p_dias_backlog_max,"BACKLOG","MES CORRIENTE")))</f>
        <v/>
      </c>
      <c r="AG997" s="5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18">
        <f>IF(tblOrdenes[[#This Row],[orden]]="","",_xlfn.XLOOKUP(tblOrdenes[[#This Row],[id_operacion]],tblEjecucion[id_operacion],tblEjecucion[precio],0))</f>
        <v/>
      </c>
      <c r="AM997" s="18">
        <f>IF(tblOrdenes[[#This Row],[orden]]="","",MAX(0,_xlfn.XLOOKUP(tblOrdenes[[#This Row],[id_operacion]],tblEjecucion[id_operacion],tblEjecucion[costo_plan_total],0)-tblOrdenes[[#This Row],[costo_servicio]]))</f>
        <v/>
      </c>
      <c r="AN997" s="18">
        <f>IF(tblOrdenes[[#This Row],[orden]]="","",tblOrdenes[[#This Row],[costo_servicio]]+tblOrdenes[[#This Row],[costo_materiales]])</f>
        <v/>
      </c>
      <c r="AO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5">
        <f>IF(tblOrdenes[[#This Row],[link_checklist]]="","",HYPERLINK(p_ruta_base_checklists&amp;tblOrdenes[[#This Row],[link_checklist]],"abrir"))</f>
        <v/>
      </c>
      <c r="AT997" s="4" t="n"/>
      <c r="AU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5" t="n"/>
      <c r="K998" s="5" t="n"/>
      <c r="L998" s="18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Row],[fecha_inicio]]="","",tblOrdenes[[#This Row],[anio]]&amp;"-"&amp;TEXT(tblOrdenes[[#This Row],[mes]],"00"))</f>
        <v/>
      </c>
      <c r="S998" s="5">
        <f>IF(tblOrdenes[[#This Row],[fecha_inicio]]="","",INDEX(lista_dias,WEEKDAY(tblOrdenes[[#This Row],[fecha_inicio]],2)))</f>
        <v/>
      </c>
      <c r="T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5">
        <f>IF(tblOrdenes[[#This Row],[tipo_ot]]="","",_xlfn.XLOOKUP(tblOrdenes[[#This Row],[tipo_ot]],tblTiposOT[codigo],tblTiposOT[clasificacion],"sin_clasificar"))</f>
        <v/>
      </c>
      <c r="V9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5">
        <f>IF(tblOrdenes[[#This Row],[centro_costo]]="","",_xlfn.XLOOKUP(tblOrdenes[[#This Row],[centro_costo]],tblCECO[codigo],tblCECO[linea],"(sin catálogo)"))</f>
        <v/>
      </c>
      <c r="Y998" s="5">
        <f>IF(tblOrdenes[[#This Row],[centro_costo]]="","",_xlfn.XLOOKUP(tblOrdenes[[#This Row],[centro_costo]],tblCECO[codigo],tblCECO[area],"(sin catálogo)"))</f>
        <v/>
      </c>
      <c r="Z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5">
        <f>IF(tblOrdenes[[#This Row],[centro_costo]]="","",_xlfn.XLOOKUP(tblOrdenes[[#This Row],[centro_costo]],tblCECO[codigo],tblCECO[coordinador],"(sin catálogo)"))</f>
        <v/>
      </c>
      <c r="AB998" s="5">
        <f>IF(tblOrdenes[[#This Row],[puesto_trabajo]]="","",_xlfn.XLOOKUP(tblOrdenes[[#This Row],[puesto_trabajo]],tblPuestos[codigo],tblPuestos[especialidad],"(sin catálogo)"))</f>
        <v/>
      </c>
      <c r="AC998" s="5">
        <f>IF(tblOrdenes[[#This Row],[cod_actividad]]="","",_xlfn.XLOOKUP(tblOrdenes[[#This Row],[cod_actividad]],tblActividades[codigo],tblActividades[descripcion],"(sin catálogo)"))</f>
        <v/>
      </c>
      <c r="AD998" s="23">
        <f>IF(tblOrdenes[[#This Row],[fecha_inicio]]="","",TODAY()-tblOrdenes[[#This Row],[fecha_inicio]])</f>
        <v/>
      </c>
      <c r="AE9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5">
        <f>IF(tblOrdenes[[#This Row],[backlog_habiles]]="","",IF(tblOrdenes[[#This Row],[backlog_habiles]]&lt;0,"FUTURO",IF(tblOrdenes[[#This Row],[backlog_habiles]]&gt;p_dias_backlog_max,"BACKLOG","MES CORRIENTE")))</f>
        <v/>
      </c>
      <c r="AG998" s="5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18">
        <f>IF(tblOrdenes[[#This Row],[orden]]="","",_xlfn.XLOOKUP(tblOrdenes[[#This Row],[id_operacion]],tblEjecucion[id_operacion],tblEjecucion[precio],0))</f>
        <v/>
      </c>
      <c r="AM998" s="18">
        <f>IF(tblOrdenes[[#This Row],[orden]]="","",MAX(0,_xlfn.XLOOKUP(tblOrdenes[[#This Row],[id_operacion]],tblEjecucion[id_operacion],tblEjecucion[costo_plan_total],0)-tblOrdenes[[#This Row],[costo_servicio]]))</f>
        <v/>
      </c>
      <c r="AN998" s="18">
        <f>IF(tblOrdenes[[#This Row],[orden]]="","",tblOrdenes[[#This Row],[costo_servicio]]+tblOrdenes[[#This Row],[costo_materiales]])</f>
        <v/>
      </c>
      <c r="AO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5">
        <f>IF(tblOrdenes[[#This Row],[link_checklist]]="","",HYPERLINK(p_ruta_base_checklists&amp;tblOrdenes[[#This Row],[link_checklist]],"abrir"))</f>
        <v/>
      </c>
      <c r="AT998" s="4" t="n"/>
      <c r="AU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5" t="n"/>
      <c r="K999" s="5" t="n"/>
      <c r="L999" s="18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Row],[fecha_inicio]]="","",tblOrdenes[[#This Row],[anio]]&amp;"-"&amp;TEXT(tblOrdenes[[#This Row],[mes]],"00"))</f>
        <v/>
      </c>
      <c r="S999" s="5">
        <f>IF(tblOrdenes[[#This Row],[fecha_inicio]]="","",INDEX(lista_dias,WEEKDAY(tblOrdenes[[#This Row],[fecha_inicio]],2)))</f>
        <v/>
      </c>
      <c r="T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5">
        <f>IF(tblOrdenes[[#This Row],[tipo_ot]]="","",_xlfn.XLOOKUP(tblOrdenes[[#This Row],[tipo_ot]],tblTiposOT[codigo],tblTiposOT[clasificacion],"sin_clasificar"))</f>
        <v/>
      </c>
      <c r="V9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5">
        <f>IF(tblOrdenes[[#This Row],[centro_costo]]="","",_xlfn.XLOOKUP(tblOrdenes[[#This Row],[centro_costo]],tblCECO[codigo],tblCECO[linea],"(sin catálogo)"))</f>
        <v/>
      </c>
      <c r="Y999" s="5">
        <f>IF(tblOrdenes[[#This Row],[centro_costo]]="","",_xlfn.XLOOKUP(tblOrdenes[[#This Row],[centro_costo]],tblCECO[codigo],tblCECO[area],"(sin catálogo)"))</f>
        <v/>
      </c>
      <c r="Z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5">
        <f>IF(tblOrdenes[[#This Row],[centro_costo]]="","",_xlfn.XLOOKUP(tblOrdenes[[#This Row],[centro_costo]],tblCECO[codigo],tblCECO[coordinador],"(sin catálogo)"))</f>
        <v/>
      </c>
      <c r="AB999" s="5">
        <f>IF(tblOrdenes[[#This Row],[puesto_trabajo]]="","",_xlfn.XLOOKUP(tblOrdenes[[#This Row],[puesto_trabajo]],tblPuestos[codigo],tblPuestos[especialidad],"(sin catálogo)"))</f>
        <v/>
      </c>
      <c r="AC999" s="5">
        <f>IF(tblOrdenes[[#This Row],[cod_actividad]]="","",_xlfn.XLOOKUP(tblOrdenes[[#This Row],[cod_actividad]],tblActividades[codigo],tblActividades[descripcion],"(sin catálogo)"))</f>
        <v/>
      </c>
      <c r="AD999" s="23">
        <f>IF(tblOrdenes[[#This Row],[fecha_inicio]]="","",TODAY()-tblOrdenes[[#This Row],[fecha_inicio]])</f>
        <v/>
      </c>
      <c r="AE9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5">
        <f>IF(tblOrdenes[[#This Row],[backlog_habiles]]="","",IF(tblOrdenes[[#This Row],[backlog_habiles]]&lt;0,"FUTURO",IF(tblOrdenes[[#This Row],[backlog_habiles]]&gt;p_dias_backlog_max,"BACKLOG","MES CORRIENTE")))</f>
        <v/>
      </c>
      <c r="AG999" s="5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18">
        <f>IF(tblOrdenes[[#This Row],[orden]]="","",_xlfn.XLOOKUP(tblOrdenes[[#This Row],[id_operacion]],tblEjecucion[id_operacion],tblEjecucion[precio],0))</f>
        <v/>
      </c>
      <c r="AM999" s="18">
        <f>IF(tblOrdenes[[#This Row],[orden]]="","",MAX(0,_xlfn.XLOOKUP(tblOrdenes[[#This Row],[id_operacion]],tblEjecucion[id_operacion],tblEjecucion[costo_plan_total],0)-tblOrdenes[[#This Row],[costo_servicio]]))</f>
        <v/>
      </c>
      <c r="AN999" s="18">
        <f>IF(tblOrdenes[[#This Row],[orden]]="","",tblOrdenes[[#This Row],[costo_servicio]]+tblOrdenes[[#This Row],[costo_materiales]])</f>
        <v/>
      </c>
      <c r="AO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5">
        <f>IF(tblOrdenes[[#This Row],[link_checklist]]="","",HYPERLINK(p_ruta_base_checklists&amp;tblOrdenes[[#This Row],[link_checklist]],"abrir"))</f>
        <v/>
      </c>
      <c r="AT999" s="4" t="n"/>
      <c r="AU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5" t="n"/>
      <c r="K1000" s="5" t="n"/>
      <c r="L1000" s="18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Row],[fecha_inicio]]="","",tblOrdenes[[#This Row],[anio]]&amp;"-"&amp;TEXT(tblOrdenes[[#This Row],[mes]],"00"))</f>
        <v/>
      </c>
      <c r="S1000" s="5">
        <f>IF(tblOrdenes[[#This Row],[fecha_inicio]]="","",INDEX(lista_dias,WEEKDAY(tblOrdenes[[#This Row],[fecha_inicio]],2)))</f>
        <v/>
      </c>
      <c r="T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5">
        <f>IF(tblOrdenes[[#This Row],[tipo_ot]]="","",_xlfn.XLOOKUP(tblOrdenes[[#This Row],[tipo_ot]],tblTiposOT[codigo],tblTiposOT[clasificacion],"sin_clasificar"))</f>
        <v/>
      </c>
      <c r="V10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5">
        <f>IF(tblOrdenes[[#This Row],[centro_costo]]="","",_xlfn.XLOOKUP(tblOrdenes[[#This Row],[centro_costo]],tblCECO[codigo],tblCECO[linea],"(sin catálogo)"))</f>
        <v/>
      </c>
      <c r="Y1000" s="5">
        <f>IF(tblOrdenes[[#This Row],[centro_costo]]="","",_xlfn.XLOOKUP(tblOrdenes[[#This Row],[centro_costo]],tblCECO[codigo],tblCECO[area],"(sin catálogo)"))</f>
        <v/>
      </c>
      <c r="Z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5">
        <f>IF(tblOrdenes[[#This Row],[centro_costo]]="","",_xlfn.XLOOKUP(tblOrdenes[[#This Row],[centro_costo]],tblCECO[codigo],tblCECO[coordinador],"(sin catálogo)"))</f>
        <v/>
      </c>
      <c r="AB1000" s="5">
        <f>IF(tblOrdenes[[#This Row],[puesto_trabajo]]="","",_xlfn.XLOOKUP(tblOrdenes[[#This Row],[puesto_trabajo]],tblPuestos[codigo],tblPuestos[especialidad],"(sin catálogo)"))</f>
        <v/>
      </c>
      <c r="AC1000" s="5">
        <f>IF(tblOrdenes[[#This Row],[cod_actividad]]="","",_xlfn.XLOOKUP(tblOrdenes[[#This Row],[cod_actividad]],tblActividades[codigo],tblActividades[descripcion],"(sin catálogo)"))</f>
        <v/>
      </c>
      <c r="AD1000" s="23">
        <f>IF(tblOrdenes[[#This Row],[fecha_inicio]]="","",TODAY()-tblOrdenes[[#This Row],[fecha_inicio]])</f>
        <v/>
      </c>
      <c r="AE10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5">
        <f>IF(tblOrdenes[[#This Row],[backlog_habiles]]="","",IF(tblOrdenes[[#This Row],[backlog_habiles]]&lt;0,"FUTURO",IF(tblOrdenes[[#This Row],[backlog_habiles]]&gt;p_dias_backlog_max,"BACKLOG","MES CORRIENTE")))</f>
        <v/>
      </c>
      <c r="AG1000" s="5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18">
        <f>IF(tblOrdenes[[#This Row],[orden]]="","",_xlfn.XLOOKUP(tblOrdenes[[#This Row],[id_operacion]],tblEjecucion[id_operacion],tblEjecucion[precio],0))</f>
        <v/>
      </c>
      <c r="AM1000" s="18">
        <f>IF(tblOrdenes[[#This Row],[orden]]="","",MAX(0,_xlfn.XLOOKUP(tblOrdenes[[#This Row],[id_operacion]],tblEjecucion[id_operacion],tblEjecucion[costo_plan_total],0)-tblOrdenes[[#This Row],[costo_servicio]]))</f>
        <v/>
      </c>
      <c r="AN1000" s="18">
        <f>IF(tblOrdenes[[#This Row],[orden]]="","",tblOrdenes[[#This Row],[costo_servicio]]+tblOrdenes[[#This Row],[costo_materiales]])</f>
        <v/>
      </c>
      <c r="AO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5">
        <f>IF(tblOrdenes[[#This Row],[link_checklist]]="","",HYPERLINK(p_ruta_base_checklists&amp;tblOrdenes[[#This Row],[link_checklist]],"abrir"))</f>
        <v/>
      </c>
      <c r="AT1000" s="4" t="n"/>
      <c r="AU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5" t="n"/>
      <c r="K1001" s="5" t="n"/>
      <c r="L1001" s="18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Row],[fecha_inicio]]="","",tblOrdenes[[#This Row],[anio]]&amp;"-"&amp;TEXT(tblOrdenes[[#This Row],[mes]],"00"))</f>
        <v/>
      </c>
      <c r="S1001" s="5">
        <f>IF(tblOrdenes[[#This Row],[fecha_inicio]]="","",INDEX(lista_dias,WEEKDAY(tblOrdenes[[#This Row],[fecha_inicio]],2)))</f>
        <v/>
      </c>
      <c r="T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5">
        <f>IF(tblOrdenes[[#This Row],[tipo_ot]]="","",_xlfn.XLOOKUP(tblOrdenes[[#This Row],[tipo_ot]],tblTiposOT[codigo],tblTiposOT[clasificacion],"sin_clasificar"))</f>
        <v/>
      </c>
      <c r="V10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5">
        <f>IF(tblOrdenes[[#This Row],[centro_costo]]="","",_xlfn.XLOOKUP(tblOrdenes[[#This Row],[centro_costo]],tblCECO[codigo],tblCECO[linea],"(sin catálogo)"))</f>
        <v/>
      </c>
      <c r="Y1001" s="5">
        <f>IF(tblOrdenes[[#This Row],[centro_costo]]="","",_xlfn.XLOOKUP(tblOrdenes[[#This Row],[centro_costo]],tblCECO[codigo],tblCECO[area],"(sin catálogo)"))</f>
        <v/>
      </c>
      <c r="Z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5">
        <f>IF(tblOrdenes[[#This Row],[centro_costo]]="","",_xlfn.XLOOKUP(tblOrdenes[[#This Row],[centro_costo]],tblCECO[codigo],tblCECO[coordinador],"(sin catálogo)"))</f>
        <v/>
      </c>
      <c r="AB1001" s="5">
        <f>IF(tblOrdenes[[#This Row],[puesto_trabajo]]="","",_xlfn.XLOOKUP(tblOrdenes[[#This Row],[puesto_trabajo]],tblPuestos[codigo],tblPuestos[especialidad],"(sin catálogo)"))</f>
        <v/>
      </c>
      <c r="AC1001" s="5">
        <f>IF(tblOrdenes[[#This Row],[cod_actividad]]="","",_xlfn.XLOOKUP(tblOrdenes[[#This Row],[cod_actividad]],tblActividades[codigo],tblActividades[descripcion],"(sin catálogo)"))</f>
        <v/>
      </c>
      <c r="AD1001" s="23">
        <f>IF(tblOrdenes[[#This Row],[fecha_inicio]]="","",TODAY()-tblOrdenes[[#This Row],[fecha_inicio]])</f>
        <v/>
      </c>
      <c r="AE10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5">
        <f>IF(tblOrdenes[[#This Row],[backlog_habiles]]="","",IF(tblOrdenes[[#This Row],[backlog_habiles]]&lt;0,"FUTURO",IF(tblOrdenes[[#This Row],[backlog_habiles]]&gt;p_dias_backlog_max,"BACKLOG","MES CORRIENTE")))</f>
        <v/>
      </c>
      <c r="AG1001" s="5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18">
        <f>IF(tblOrdenes[[#This Row],[orden]]="","",_xlfn.XLOOKUP(tblOrdenes[[#This Row],[id_operacion]],tblEjecucion[id_operacion],tblEjecucion[precio],0))</f>
        <v/>
      </c>
      <c r="AM1001" s="18">
        <f>IF(tblOrdenes[[#This Row],[orden]]="","",MAX(0,_xlfn.XLOOKUP(tblOrdenes[[#This Row],[id_operacion]],tblEjecucion[id_operacion],tblEjecucion[costo_plan_total],0)-tblOrdenes[[#This Row],[costo_servicio]]))</f>
        <v/>
      </c>
      <c r="AN1001" s="18">
        <f>IF(tblOrdenes[[#This Row],[orden]]="","",tblOrdenes[[#This Row],[costo_servicio]]+tblOrdenes[[#This Row],[costo_materiales]])</f>
        <v/>
      </c>
      <c r="AO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5">
        <f>IF(tblOrdenes[[#This Row],[link_checklist]]="","",HYPERLINK(p_ruta_base_checklists&amp;tblOrdenes[[#This Row],[link_checklist]],"abrir"))</f>
        <v/>
      </c>
      <c r="AT1001" s="4" t="n"/>
      <c r="AU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5" t="n"/>
      <c r="K1002" s="5" t="n"/>
      <c r="L1002" s="18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Row],[fecha_inicio]]="","",tblOrdenes[[#This Row],[anio]]&amp;"-"&amp;TEXT(tblOrdenes[[#This Row],[mes]],"00"))</f>
        <v/>
      </c>
      <c r="S1002" s="5">
        <f>IF(tblOrdenes[[#This Row],[fecha_inicio]]="","",INDEX(lista_dias,WEEKDAY(tblOrdenes[[#This Row],[fecha_inicio]],2)))</f>
        <v/>
      </c>
      <c r="T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5">
        <f>IF(tblOrdenes[[#This Row],[tipo_ot]]="","",_xlfn.XLOOKUP(tblOrdenes[[#This Row],[tipo_ot]],tblTiposOT[codigo],tblTiposOT[clasificacion],"sin_clasificar"))</f>
        <v/>
      </c>
      <c r="V10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5">
        <f>IF(tblOrdenes[[#This Row],[centro_costo]]="","",_xlfn.XLOOKUP(tblOrdenes[[#This Row],[centro_costo]],tblCECO[codigo],tblCECO[linea],"(sin catálogo)"))</f>
        <v/>
      </c>
      <c r="Y1002" s="5">
        <f>IF(tblOrdenes[[#This Row],[centro_costo]]="","",_xlfn.XLOOKUP(tblOrdenes[[#This Row],[centro_costo]],tblCECO[codigo],tblCECO[area],"(sin catálogo)"))</f>
        <v/>
      </c>
      <c r="Z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5">
        <f>IF(tblOrdenes[[#This Row],[centro_costo]]="","",_xlfn.XLOOKUP(tblOrdenes[[#This Row],[centro_costo]],tblCECO[codigo],tblCECO[coordinador],"(sin catálogo)"))</f>
        <v/>
      </c>
      <c r="AB1002" s="5">
        <f>IF(tblOrdenes[[#This Row],[puesto_trabajo]]="","",_xlfn.XLOOKUP(tblOrdenes[[#This Row],[puesto_trabajo]],tblPuestos[codigo],tblPuestos[especialidad],"(sin catálogo)"))</f>
        <v/>
      </c>
      <c r="AC1002" s="5">
        <f>IF(tblOrdenes[[#This Row],[cod_actividad]]="","",_xlfn.XLOOKUP(tblOrdenes[[#This Row],[cod_actividad]],tblActividades[codigo],tblActividades[descripcion],"(sin catálogo)"))</f>
        <v/>
      </c>
      <c r="AD1002" s="23">
        <f>IF(tblOrdenes[[#This Row],[fecha_inicio]]="","",TODAY()-tblOrdenes[[#This Row],[fecha_inicio]])</f>
        <v/>
      </c>
      <c r="AE10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5">
        <f>IF(tblOrdenes[[#This Row],[backlog_habiles]]="","",IF(tblOrdenes[[#This Row],[backlog_habiles]]&lt;0,"FUTURO",IF(tblOrdenes[[#This Row],[backlog_habiles]]&gt;p_dias_backlog_max,"BACKLOG","MES CORRIENTE")))</f>
        <v/>
      </c>
      <c r="AG1002" s="5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18">
        <f>IF(tblOrdenes[[#This Row],[orden]]="","",_xlfn.XLOOKUP(tblOrdenes[[#This Row],[id_operacion]],tblEjecucion[id_operacion],tblEjecucion[precio],0))</f>
        <v/>
      </c>
      <c r="AM1002" s="18">
        <f>IF(tblOrdenes[[#This Row],[orden]]="","",MAX(0,_xlfn.XLOOKUP(tblOrdenes[[#This Row],[id_operacion]],tblEjecucion[id_operacion],tblEjecucion[costo_plan_total],0)-tblOrdenes[[#This Row],[costo_servicio]]))</f>
        <v/>
      </c>
      <c r="AN1002" s="18">
        <f>IF(tblOrdenes[[#This Row],[orden]]="","",tblOrdenes[[#This Row],[costo_servicio]]+tblOrdenes[[#This Row],[costo_materiales]])</f>
        <v/>
      </c>
      <c r="AO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5">
        <f>IF(tblOrdenes[[#This Row],[link_checklist]]="","",HYPERLINK(p_ruta_base_checklists&amp;tblOrdenes[[#This Row],[link_checklist]],"abrir"))</f>
        <v/>
      </c>
      <c r="AT1002" s="4" t="n"/>
      <c r="AU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5" t="n"/>
      <c r="K1003" s="5" t="n"/>
      <c r="L1003" s="18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Row],[fecha_inicio]]="","",tblOrdenes[[#This Row],[anio]]&amp;"-"&amp;TEXT(tblOrdenes[[#This Row],[mes]],"00"))</f>
        <v/>
      </c>
      <c r="S1003" s="5">
        <f>IF(tblOrdenes[[#This Row],[fecha_inicio]]="","",INDEX(lista_dias,WEEKDAY(tblOrdenes[[#This Row],[fecha_inicio]],2)))</f>
        <v/>
      </c>
      <c r="T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5">
        <f>IF(tblOrdenes[[#This Row],[tipo_ot]]="","",_xlfn.XLOOKUP(tblOrdenes[[#This Row],[tipo_ot]],tblTiposOT[codigo],tblTiposOT[clasificacion],"sin_clasificar"))</f>
        <v/>
      </c>
      <c r="V10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5">
        <f>IF(tblOrdenes[[#This Row],[centro_costo]]="","",_xlfn.XLOOKUP(tblOrdenes[[#This Row],[centro_costo]],tblCECO[codigo],tblCECO[linea],"(sin catálogo)"))</f>
        <v/>
      </c>
      <c r="Y1003" s="5">
        <f>IF(tblOrdenes[[#This Row],[centro_costo]]="","",_xlfn.XLOOKUP(tblOrdenes[[#This Row],[centro_costo]],tblCECO[codigo],tblCECO[area],"(sin catálogo)"))</f>
        <v/>
      </c>
      <c r="Z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5">
        <f>IF(tblOrdenes[[#This Row],[centro_costo]]="","",_xlfn.XLOOKUP(tblOrdenes[[#This Row],[centro_costo]],tblCECO[codigo],tblCECO[coordinador],"(sin catálogo)"))</f>
        <v/>
      </c>
      <c r="AB1003" s="5">
        <f>IF(tblOrdenes[[#This Row],[puesto_trabajo]]="","",_xlfn.XLOOKUP(tblOrdenes[[#This Row],[puesto_trabajo]],tblPuestos[codigo],tblPuestos[especialidad],"(sin catálogo)"))</f>
        <v/>
      </c>
      <c r="AC1003" s="5">
        <f>IF(tblOrdenes[[#This Row],[cod_actividad]]="","",_xlfn.XLOOKUP(tblOrdenes[[#This Row],[cod_actividad]],tblActividades[codigo],tblActividades[descripcion],"(sin catálogo)"))</f>
        <v/>
      </c>
      <c r="AD1003" s="23">
        <f>IF(tblOrdenes[[#This Row],[fecha_inicio]]="","",TODAY()-tblOrdenes[[#This Row],[fecha_inicio]])</f>
        <v/>
      </c>
      <c r="AE10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5">
        <f>IF(tblOrdenes[[#This Row],[backlog_habiles]]="","",IF(tblOrdenes[[#This Row],[backlog_habiles]]&lt;0,"FUTURO",IF(tblOrdenes[[#This Row],[backlog_habiles]]&gt;p_dias_backlog_max,"BACKLOG","MES CORRIENTE")))</f>
        <v/>
      </c>
      <c r="AG1003" s="5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18">
        <f>IF(tblOrdenes[[#This Row],[orden]]="","",_xlfn.XLOOKUP(tblOrdenes[[#This Row],[id_operacion]],tblEjecucion[id_operacion],tblEjecucion[precio],0))</f>
        <v/>
      </c>
      <c r="AM1003" s="18">
        <f>IF(tblOrdenes[[#This Row],[orden]]="","",MAX(0,_xlfn.XLOOKUP(tblOrdenes[[#This Row],[id_operacion]],tblEjecucion[id_operacion],tblEjecucion[costo_plan_total],0)-tblOrdenes[[#This Row],[costo_servicio]]))</f>
        <v/>
      </c>
      <c r="AN1003" s="18">
        <f>IF(tblOrdenes[[#This Row],[orden]]="","",tblOrdenes[[#This Row],[costo_servicio]]+tblOrdenes[[#This Row],[costo_materiales]])</f>
        <v/>
      </c>
      <c r="AO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5">
        <f>IF(tblOrdenes[[#This Row],[link_checklist]]="","",HYPERLINK(p_ruta_base_checklists&amp;tblOrdenes[[#This Row],[link_checklist]],"abrir"))</f>
        <v/>
      </c>
      <c r="AT1003" s="4" t="n"/>
      <c r="AU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5" t="n"/>
      <c r="K1004" s="5" t="n"/>
      <c r="L1004" s="18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Row],[fecha_inicio]]="","",tblOrdenes[[#This Row],[anio]]&amp;"-"&amp;TEXT(tblOrdenes[[#This Row],[mes]],"00"))</f>
        <v/>
      </c>
      <c r="S1004" s="5">
        <f>IF(tblOrdenes[[#This Row],[fecha_inicio]]="","",INDEX(lista_dias,WEEKDAY(tblOrdenes[[#This Row],[fecha_inicio]],2)))</f>
        <v/>
      </c>
      <c r="T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5">
        <f>IF(tblOrdenes[[#This Row],[tipo_ot]]="","",_xlfn.XLOOKUP(tblOrdenes[[#This Row],[tipo_ot]],tblTiposOT[codigo],tblTiposOT[clasificacion],"sin_clasificar"))</f>
        <v/>
      </c>
      <c r="V10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5">
        <f>IF(tblOrdenes[[#This Row],[centro_costo]]="","",_xlfn.XLOOKUP(tblOrdenes[[#This Row],[centro_costo]],tblCECO[codigo],tblCECO[linea],"(sin catálogo)"))</f>
        <v/>
      </c>
      <c r="Y1004" s="5">
        <f>IF(tblOrdenes[[#This Row],[centro_costo]]="","",_xlfn.XLOOKUP(tblOrdenes[[#This Row],[centro_costo]],tblCECO[codigo],tblCECO[area],"(sin catálogo)"))</f>
        <v/>
      </c>
      <c r="Z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5">
        <f>IF(tblOrdenes[[#This Row],[centro_costo]]="","",_xlfn.XLOOKUP(tblOrdenes[[#This Row],[centro_costo]],tblCECO[codigo],tblCECO[coordinador],"(sin catálogo)"))</f>
        <v/>
      </c>
      <c r="AB1004" s="5">
        <f>IF(tblOrdenes[[#This Row],[puesto_trabajo]]="","",_xlfn.XLOOKUP(tblOrdenes[[#This Row],[puesto_trabajo]],tblPuestos[codigo],tblPuestos[especialidad],"(sin catálogo)"))</f>
        <v/>
      </c>
      <c r="AC1004" s="5">
        <f>IF(tblOrdenes[[#This Row],[cod_actividad]]="","",_xlfn.XLOOKUP(tblOrdenes[[#This Row],[cod_actividad]],tblActividades[codigo],tblActividades[descripcion],"(sin catálogo)"))</f>
        <v/>
      </c>
      <c r="AD1004" s="23">
        <f>IF(tblOrdenes[[#This Row],[fecha_inicio]]="","",TODAY()-tblOrdenes[[#This Row],[fecha_inicio]])</f>
        <v/>
      </c>
      <c r="AE10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5">
        <f>IF(tblOrdenes[[#This Row],[backlog_habiles]]="","",IF(tblOrdenes[[#This Row],[backlog_habiles]]&lt;0,"FUTURO",IF(tblOrdenes[[#This Row],[backlog_habiles]]&gt;p_dias_backlog_max,"BACKLOG","MES CORRIENTE")))</f>
        <v/>
      </c>
      <c r="AG1004" s="5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18">
        <f>IF(tblOrdenes[[#This Row],[orden]]="","",_xlfn.XLOOKUP(tblOrdenes[[#This Row],[id_operacion]],tblEjecucion[id_operacion],tblEjecucion[precio],0))</f>
        <v/>
      </c>
      <c r="AM1004" s="18">
        <f>IF(tblOrdenes[[#This Row],[orden]]="","",MAX(0,_xlfn.XLOOKUP(tblOrdenes[[#This Row],[id_operacion]],tblEjecucion[id_operacion],tblEjecucion[costo_plan_total],0)-tblOrdenes[[#This Row],[costo_servicio]]))</f>
        <v/>
      </c>
      <c r="AN1004" s="18">
        <f>IF(tblOrdenes[[#This Row],[orden]]="","",tblOrdenes[[#This Row],[costo_servicio]]+tblOrdenes[[#This Row],[costo_materiales]])</f>
        <v/>
      </c>
      <c r="AO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5">
        <f>IF(tblOrdenes[[#This Row],[link_checklist]]="","",HYPERLINK(p_ruta_base_checklists&amp;tblOrdenes[[#This Row],[link_checklist]],"abrir"))</f>
        <v/>
      </c>
      <c r="AT1004" s="4" t="n"/>
      <c r="AU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5" t="n"/>
      <c r="K1005" s="5" t="n"/>
      <c r="L1005" s="18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Row],[fecha_inicio]]="","",tblOrdenes[[#This Row],[anio]]&amp;"-"&amp;TEXT(tblOrdenes[[#This Row],[mes]],"00"))</f>
        <v/>
      </c>
      <c r="S1005" s="5">
        <f>IF(tblOrdenes[[#This Row],[fecha_inicio]]="","",INDEX(lista_dias,WEEKDAY(tblOrdenes[[#This Row],[fecha_inicio]],2)))</f>
        <v/>
      </c>
      <c r="T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5">
        <f>IF(tblOrdenes[[#This Row],[tipo_ot]]="","",_xlfn.XLOOKUP(tblOrdenes[[#This Row],[tipo_ot]],tblTiposOT[codigo],tblTiposOT[clasificacion],"sin_clasificar"))</f>
        <v/>
      </c>
      <c r="V10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5">
        <f>IF(tblOrdenes[[#This Row],[centro_costo]]="","",_xlfn.XLOOKUP(tblOrdenes[[#This Row],[centro_costo]],tblCECO[codigo],tblCECO[linea],"(sin catálogo)"))</f>
        <v/>
      </c>
      <c r="Y1005" s="5">
        <f>IF(tblOrdenes[[#This Row],[centro_costo]]="","",_xlfn.XLOOKUP(tblOrdenes[[#This Row],[centro_costo]],tblCECO[codigo],tblCECO[area],"(sin catálogo)"))</f>
        <v/>
      </c>
      <c r="Z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5">
        <f>IF(tblOrdenes[[#This Row],[centro_costo]]="","",_xlfn.XLOOKUP(tblOrdenes[[#This Row],[centro_costo]],tblCECO[codigo],tblCECO[coordinador],"(sin catálogo)"))</f>
        <v/>
      </c>
      <c r="AB1005" s="5">
        <f>IF(tblOrdenes[[#This Row],[puesto_trabajo]]="","",_xlfn.XLOOKUP(tblOrdenes[[#This Row],[puesto_trabajo]],tblPuestos[codigo],tblPuestos[especialidad],"(sin catálogo)"))</f>
        <v/>
      </c>
      <c r="AC1005" s="5">
        <f>IF(tblOrdenes[[#This Row],[cod_actividad]]="","",_xlfn.XLOOKUP(tblOrdenes[[#This Row],[cod_actividad]],tblActividades[codigo],tblActividades[descripcion],"(sin catálogo)"))</f>
        <v/>
      </c>
      <c r="AD1005" s="23">
        <f>IF(tblOrdenes[[#This Row],[fecha_inicio]]="","",TODAY()-tblOrdenes[[#This Row],[fecha_inicio]])</f>
        <v/>
      </c>
      <c r="AE10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5">
        <f>IF(tblOrdenes[[#This Row],[backlog_habiles]]="","",IF(tblOrdenes[[#This Row],[backlog_habiles]]&lt;0,"FUTURO",IF(tblOrdenes[[#This Row],[backlog_habiles]]&gt;p_dias_backlog_max,"BACKLOG","MES CORRIENTE")))</f>
        <v/>
      </c>
      <c r="AG1005" s="5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18">
        <f>IF(tblOrdenes[[#This Row],[orden]]="","",_xlfn.XLOOKUP(tblOrdenes[[#This Row],[id_operacion]],tblEjecucion[id_operacion],tblEjecucion[precio],0))</f>
        <v/>
      </c>
      <c r="AM1005" s="18">
        <f>IF(tblOrdenes[[#This Row],[orden]]="","",MAX(0,_xlfn.XLOOKUP(tblOrdenes[[#This Row],[id_operacion]],tblEjecucion[id_operacion],tblEjecucion[costo_plan_total],0)-tblOrdenes[[#This Row],[costo_servicio]]))</f>
        <v/>
      </c>
      <c r="AN1005" s="18">
        <f>IF(tblOrdenes[[#This Row],[orden]]="","",tblOrdenes[[#This Row],[costo_servicio]]+tblOrdenes[[#This Row],[costo_materiales]])</f>
        <v/>
      </c>
      <c r="AO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5">
        <f>IF(tblOrdenes[[#This Row],[link_checklist]]="","",HYPERLINK(p_ruta_base_checklists&amp;tblOrdenes[[#This Row],[link_checklist]],"abrir"))</f>
        <v/>
      </c>
      <c r="AT1005" s="4" t="n"/>
      <c r="AU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5" t="n"/>
      <c r="K1006" s="5" t="n"/>
      <c r="L1006" s="18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Row],[fecha_inicio]]="","",tblOrdenes[[#This Row],[anio]]&amp;"-"&amp;TEXT(tblOrdenes[[#This Row],[mes]],"00"))</f>
        <v/>
      </c>
      <c r="S1006" s="5">
        <f>IF(tblOrdenes[[#This Row],[fecha_inicio]]="","",INDEX(lista_dias,WEEKDAY(tblOrdenes[[#This Row],[fecha_inicio]],2)))</f>
        <v/>
      </c>
      <c r="T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5">
        <f>IF(tblOrdenes[[#This Row],[tipo_ot]]="","",_xlfn.XLOOKUP(tblOrdenes[[#This Row],[tipo_ot]],tblTiposOT[codigo],tblTiposOT[clasificacion],"sin_clasificar"))</f>
        <v/>
      </c>
      <c r="V10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5">
        <f>IF(tblOrdenes[[#This Row],[centro_costo]]="","",_xlfn.XLOOKUP(tblOrdenes[[#This Row],[centro_costo]],tblCECO[codigo],tblCECO[linea],"(sin catálogo)"))</f>
        <v/>
      </c>
      <c r="Y1006" s="5">
        <f>IF(tblOrdenes[[#This Row],[centro_costo]]="","",_xlfn.XLOOKUP(tblOrdenes[[#This Row],[centro_costo]],tblCECO[codigo],tblCECO[area],"(sin catálogo)"))</f>
        <v/>
      </c>
      <c r="Z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5">
        <f>IF(tblOrdenes[[#This Row],[centro_costo]]="","",_xlfn.XLOOKUP(tblOrdenes[[#This Row],[centro_costo]],tblCECO[codigo],tblCECO[coordinador],"(sin catálogo)"))</f>
        <v/>
      </c>
      <c r="AB1006" s="5">
        <f>IF(tblOrdenes[[#This Row],[puesto_trabajo]]="","",_xlfn.XLOOKUP(tblOrdenes[[#This Row],[puesto_trabajo]],tblPuestos[codigo],tblPuestos[especialidad],"(sin catálogo)"))</f>
        <v/>
      </c>
      <c r="AC1006" s="5">
        <f>IF(tblOrdenes[[#This Row],[cod_actividad]]="","",_xlfn.XLOOKUP(tblOrdenes[[#This Row],[cod_actividad]],tblActividades[codigo],tblActividades[descripcion],"(sin catálogo)"))</f>
        <v/>
      </c>
      <c r="AD1006" s="23">
        <f>IF(tblOrdenes[[#This Row],[fecha_inicio]]="","",TODAY()-tblOrdenes[[#This Row],[fecha_inicio]])</f>
        <v/>
      </c>
      <c r="AE10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5">
        <f>IF(tblOrdenes[[#This Row],[backlog_habiles]]="","",IF(tblOrdenes[[#This Row],[backlog_habiles]]&lt;0,"FUTURO",IF(tblOrdenes[[#This Row],[backlog_habiles]]&gt;p_dias_backlog_max,"BACKLOG","MES CORRIENTE")))</f>
        <v/>
      </c>
      <c r="AG1006" s="5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18">
        <f>IF(tblOrdenes[[#This Row],[orden]]="","",_xlfn.XLOOKUP(tblOrdenes[[#This Row],[id_operacion]],tblEjecucion[id_operacion],tblEjecucion[precio],0))</f>
        <v/>
      </c>
      <c r="AM1006" s="18">
        <f>IF(tblOrdenes[[#This Row],[orden]]="","",MAX(0,_xlfn.XLOOKUP(tblOrdenes[[#This Row],[id_operacion]],tblEjecucion[id_operacion],tblEjecucion[costo_plan_total],0)-tblOrdenes[[#This Row],[costo_servicio]]))</f>
        <v/>
      </c>
      <c r="AN1006" s="18">
        <f>IF(tblOrdenes[[#This Row],[orden]]="","",tblOrdenes[[#This Row],[costo_servicio]]+tblOrdenes[[#This Row],[costo_materiales]])</f>
        <v/>
      </c>
      <c r="AO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5">
        <f>IF(tblOrdenes[[#This Row],[link_checklist]]="","",HYPERLINK(p_ruta_base_checklists&amp;tblOrdenes[[#This Row],[link_checklist]],"abrir"))</f>
        <v/>
      </c>
      <c r="AT1006" s="4" t="n"/>
      <c r="AU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5" t="n"/>
      <c r="K1007" s="5" t="n"/>
      <c r="L1007" s="18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Row],[fecha_inicio]]="","",tblOrdenes[[#This Row],[anio]]&amp;"-"&amp;TEXT(tblOrdenes[[#This Row],[mes]],"00"))</f>
        <v/>
      </c>
      <c r="S1007" s="5">
        <f>IF(tblOrdenes[[#This Row],[fecha_inicio]]="","",INDEX(lista_dias,WEEKDAY(tblOrdenes[[#This Row],[fecha_inicio]],2)))</f>
        <v/>
      </c>
      <c r="T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5">
        <f>IF(tblOrdenes[[#This Row],[tipo_ot]]="","",_xlfn.XLOOKUP(tblOrdenes[[#This Row],[tipo_ot]],tblTiposOT[codigo],tblTiposOT[clasificacion],"sin_clasificar"))</f>
        <v/>
      </c>
      <c r="V10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5">
        <f>IF(tblOrdenes[[#This Row],[centro_costo]]="","",_xlfn.XLOOKUP(tblOrdenes[[#This Row],[centro_costo]],tblCECO[codigo],tblCECO[linea],"(sin catálogo)"))</f>
        <v/>
      </c>
      <c r="Y1007" s="5">
        <f>IF(tblOrdenes[[#This Row],[centro_costo]]="","",_xlfn.XLOOKUP(tblOrdenes[[#This Row],[centro_costo]],tblCECO[codigo],tblCECO[area],"(sin catálogo)"))</f>
        <v/>
      </c>
      <c r="Z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5">
        <f>IF(tblOrdenes[[#This Row],[centro_costo]]="","",_xlfn.XLOOKUP(tblOrdenes[[#This Row],[centro_costo]],tblCECO[codigo],tblCECO[coordinador],"(sin catálogo)"))</f>
        <v/>
      </c>
      <c r="AB1007" s="5">
        <f>IF(tblOrdenes[[#This Row],[puesto_trabajo]]="","",_xlfn.XLOOKUP(tblOrdenes[[#This Row],[puesto_trabajo]],tblPuestos[codigo],tblPuestos[especialidad],"(sin catálogo)"))</f>
        <v/>
      </c>
      <c r="AC1007" s="5">
        <f>IF(tblOrdenes[[#This Row],[cod_actividad]]="","",_xlfn.XLOOKUP(tblOrdenes[[#This Row],[cod_actividad]],tblActividades[codigo],tblActividades[descripcion],"(sin catálogo)"))</f>
        <v/>
      </c>
      <c r="AD1007" s="23">
        <f>IF(tblOrdenes[[#This Row],[fecha_inicio]]="","",TODAY()-tblOrdenes[[#This Row],[fecha_inicio]])</f>
        <v/>
      </c>
      <c r="AE10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5">
        <f>IF(tblOrdenes[[#This Row],[backlog_habiles]]="","",IF(tblOrdenes[[#This Row],[backlog_habiles]]&lt;0,"FUTURO",IF(tblOrdenes[[#This Row],[backlog_habiles]]&gt;p_dias_backlog_max,"BACKLOG","MES CORRIENTE")))</f>
        <v/>
      </c>
      <c r="AG1007" s="5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18">
        <f>IF(tblOrdenes[[#This Row],[orden]]="","",_xlfn.XLOOKUP(tblOrdenes[[#This Row],[id_operacion]],tblEjecucion[id_operacion],tblEjecucion[precio],0))</f>
        <v/>
      </c>
      <c r="AM1007" s="18">
        <f>IF(tblOrdenes[[#This Row],[orden]]="","",MAX(0,_xlfn.XLOOKUP(tblOrdenes[[#This Row],[id_operacion]],tblEjecucion[id_operacion],tblEjecucion[costo_plan_total],0)-tblOrdenes[[#This Row],[costo_servicio]]))</f>
        <v/>
      </c>
      <c r="AN1007" s="18">
        <f>IF(tblOrdenes[[#This Row],[orden]]="","",tblOrdenes[[#This Row],[costo_servicio]]+tblOrdenes[[#This Row],[costo_materiales]])</f>
        <v/>
      </c>
      <c r="AO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5">
        <f>IF(tblOrdenes[[#This Row],[link_checklist]]="","",HYPERLINK(p_ruta_base_checklists&amp;tblOrdenes[[#This Row],[link_checklist]],"abrir"))</f>
        <v/>
      </c>
      <c r="AT1007" s="4" t="n"/>
      <c r="AU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5" t="n"/>
      <c r="K1008" s="5" t="n"/>
      <c r="L1008" s="18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Row],[fecha_inicio]]="","",tblOrdenes[[#This Row],[anio]]&amp;"-"&amp;TEXT(tblOrdenes[[#This Row],[mes]],"00"))</f>
        <v/>
      </c>
      <c r="S1008" s="5">
        <f>IF(tblOrdenes[[#This Row],[fecha_inicio]]="","",INDEX(lista_dias,WEEKDAY(tblOrdenes[[#This Row],[fecha_inicio]],2)))</f>
        <v/>
      </c>
      <c r="T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5">
        <f>IF(tblOrdenes[[#This Row],[tipo_ot]]="","",_xlfn.XLOOKUP(tblOrdenes[[#This Row],[tipo_ot]],tblTiposOT[codigo],tblTiposOT[clasificacion],"sin_clasificar"))</f>
        <v/>
      </c>
      <c r="V10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5">
        <f>IF(tblOrdenes[[#This Row],[centro_costo]]="","",_xlfn.XLOOKUP(tblOrdenes[[#This Row],[centro_costo]],tblCECO[codigo],tblCECO[linea],"(sin catálogo)"))</f>
        <v/>
      </c>
      <c r="Y1008" s="5">
        <f>IF(tblOrdenes[[#This Row],[centro_costo]]="","",_xlfn.XLOOKUP(tblOrdenes[[#This Row],[centro_costo]],tblCECO[codigo],tblCECO[area],"(sin catálogo)"))</f>
        <v/>
      </c>
      <c r="Z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5">
        <f>IF(tblOrdenes[[#This Row],[centro_costo]]="","",_xlfn.XLOOKUP(tblOrdenes[[#This Row],[centro_costo]],tblCECO[codigo],tblCECO[coordinador],"(sin catálogo)"))</f>
        <v/>
      </c>
      <c r="AB1008" s="5">
        <f>IF(tblOrdenes[[#This Row],[puesto_trabajo]]="","",_xlfn.XLOOKUP(tblOrdenes[[#This Row],[puesto_trabajo]],tblPuestos[codigo],tblPuestos[especialidad],"(sin catálogo)"))</f>
        <v/>
      </c>
      <c r="AC1008" s="5">
        <f>IF(tblOrdenes[[#This Row],[cod_actividad]]="","",_xlfn.XLOOKUP(tblOrdenes[[#This Row],[cod_actividad]],tblActividades[codigo],tblActividades[descripcion],"(sin catálogo)"))</f>
        <v/>
      </c>
      <c r="AD1008" s="23">
        <f>IF(tblOrdenes[[#This Row],[fecha_inicio]]="","",TODAY()-tblOrdenes[[#This Row],[fecha_inicio]])</f>
        <v/>
      </c>
      <c r="AE10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5">
        <f>IF(tblOrdenes[[#This Row],[backlog_habiles]]="","",IF(tblOrdenes[[#This Row],[backlog_habiles]]&lt;0,"FUTURO",IF(tblOrdenes[[#This Row],[backlog_habiles]]&gt;p_dias_backlog_max,"BACKLOG","MES CORRIENTE")))</f>
        <v/>
      </c>
      <c r="AG1008" s="5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18">
        <f>IF(tblOrdenes[[#This Row],[orden]]="","",_xlfn.XLOOKUP(tblOrdenes[[#This Row],[id_operacion]],tblEjecucion[id_operacion],tblEjecucion[precio],0))</f>
        <v/>
      </c>
      <c r="AM1008" s="18">
        <f>IF(tblOrdenes[[#This Row],[orden]]="","",MAX(0,_xlfn.XLOOKUP(tblOrdenes[[#This Row],[id_operacion]],tblEjecucion[id_operacion],tblEjecucion[costo_plan_total],0)-tblOrdenes[[#This Row],[costo_servicio]]))</f>
        <v/>
      </c>
      <c r="AN1008" s="18">
        <f>IF(tblOrdenes[[#This Row],[orden]]="","",tblOrdenes[[#This Row],[costo_servicio]]+tblOrdenes[[#This Row],[costo_materiales]])</f>
        <v/>
      </c>
      <c r="AO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5">
        <f>IF(tblOrdenes[[#This Row],[link_checklist]]="","",HYPERLINK(p_ruta_base_checklists&amp;tblOrdenes[[#This Row],[link_checklist]],"abrir"))</f>
        <v/>
      </c>
      <c r="AT1008" s="4" t="n"/>
      <c r="AU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5" t="n"/>
      <c r="K1009" s="5" t="n"/>
      <c r="L1009" s="18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Row],[fecha_inicio]]="","",tblOrdenes[[#This Row],[anio]]&amp;"-"&amp;TEXT(tblOrdenes[[#This Row],[mes]],"00"))</f>
        <v/>
      </c>
      <c r="S1009" s="5">
        <f>IF(tblOrdenes[[#This Row],[fecha_inicio]]="","",INDEX(lista_dias,WEEKDAY(tblOrdenes[[#This Row],[fecha_inicio]],2)))</f>
        <v/>
      </c>
      <c r="T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5">
        <f>IF(tblOrdenes[[#This Row],[tipo_ot]]="","",_xlfn.XLOOKUP(tblOrdenes[[#This Row],[tipo_ot]],tblTiposOT[codigo],tblTiposOT[clasificacion],"sin_clasificar"))</f>
        <v/>
      </c>
      <c r="V10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5">
        <f>IF(tblOrdenes[[#This Row],[centro_costo]]="","",_xlfn.XLOOKUP(tblOrdenes[[#This Row],[centro_costo]],tblCECO[codigo],tblCECO[linea],"(sin catálogo)"))</f>
        <v/>
      </c>
      <c r="Y1009" s="5">
        <f>IF(tblOrdenes[[#This Row],[centro_costo]]="","",_xlfn.XLOOKUP(tblOrdenes[[#This Row],[centro_costo]],tblCECO[codigo],tblCECO[area],"(sin catálogo)"))</f>
        <v/>
      </c>
      <c r="Z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5">
        <f>IF(tblOrdenes[[#This Row],[centro_costo]]="","",_xlfn.XLOOKUP(tblOrdenes[[#This Row],[centro_costo]],tblCECO[codigo],tblCECO[coordinador],"(sin catálogo)"))</f>
        <v/>
      </c>
      <c r="AB1009" s="5">
        <f>IF(tblOrdenes[[#This Row],[puesto_trabajo]]="","",_xlfn.XLOOKUP(tblOrdenes[[#This Row],[puesto_trabajo]],tblPuestos[codigo],tblPuestos[especialidad],"(sin catálogo)"))</f>
        <v/>
      </c>
      <c r="AC1009" s="5">
        <f>IF(tblOrdenes[[#This Row],[cod_actividad]]="","",_xlfn.XLOOKUP(tblOrdenes[[#This Row],[cod_actividad]],tblActividades[codigo],tblActividades[descripcion],"(sin catálogo)"))</f>
        <v/>
      </c>
      <c r="AD1009" s="23">
        <f>IF(tblOrdenes[[#This Row],[fecha_inicio]]="","",TODAY()-tblOrdenes[[#This Row],[fecha_inicio]])</f>
        <v/>
      </c>
      <c r="AE10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5">
        <f>IF(tblOrdenes[[#This Row],[backlog_habiles]]="","",IF(tblOrdenes[[#This Row],[backlog_habiles]]&lt;0,"FUTURO",IF(tblOrdenes[[#This Row],[backlog_habiles]]&gt;p_dias_backlog_max,"BACKLOG","MES CORRIENTE")))</f>
        <v/>
      </c>
      <c r="AG1009" s="5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18">
        <f>IF(tblOrdenes[[#This Row],[orden]]="","",_xlfn.XLOOKUP(tblOrdenes[[#This Row],[id_operacion]],tblEjecucion[id_operacion],tblEjecucion[precio],0))</f>
        <v/>
      </c>
      <c r="AM1009" s="18">
        <f>IF(tblOrdenes[[#This Row],[orden]]="","",MAX(0,_xlfn.XLOOKUP(tblOrdenes[[#This Row],[id_operacion]],tblEjecucion[id_operacion],tblEjecucion[costo_plan_total],0)-tblOrdenes[[#This Row],[costo_servicio]]))</f>
        <v/>
      </c>
      <c r="AN1009" s="18">
        <f>IF(tblOrdenes[[#This Row],[orden]]="","",tblOrdenes[[#This Row],[costo_servicio]]+tblOrdenes[[#This Row],[costo_materiales]])</f>
        <v/>
      </c>
      <c r="AO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5">
        <f>IF(tblOrdenes[[#This Row],[link_checklist]]="","",HYPERLINK(p_ruta_base_checklists&amp;tblOrdenes[[#This Row],[link_checklist]],"abrir"))</f>
        <v/>
      </c>
      <c r="AT1009" s="4" t="n"/>
      <c r="AU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5" t="n"/>
      <c r="K1010" s="5" t="n"/>
      <c r="L1010" s="18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Row],[fecha_inicio]]="","",tblOrdenes[[#This Row],[anio]]&amp;"-"&amp;TEXT(tblOrdenes[[#This Row],[mes]],"00"))</f>
        <v/>
      </c>
      <c r="S1010" s="5">
        <f>IF(tblOrdenes[[#This Row],[fecha_inicio]]="","",INDEX(lista_dias,WEEKDAY(tblOrdenes[[#This Row],[fecha_inicio]],2)))</f>
        <v/>
      </c>
      <c r="T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5">
        <f>IF(tblOrdenes[[#This Row],[tipo_ot]]="","",_xlfn.XLOOKUP(tblOrdenes[[#This Row],[tipo_ot]],tblTiposOT[codigo],tblTiposOT[clasificacion],"sin_clasificar"))</f>
        <v/>
      </c>
      <c r="V10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5">
        <f>IF(tblOrdenes[[#This Row],[centro_costo]]="","",_xlfn.XLOOKUP(tblOrdenes[[#This Row],[centro_costo]],tblCECO[codigo],tblCECO[linea],"(sin catálogo)"))</f>
        <v/>
      </c>
      <c r="Y1010" s="5">
        <f>IF(tblOrdenes[[#This Row],[centro_costo]]="","",_xlfn.XLOOKUP(tblOrdenes[[#This Row],[centro_costo]],tblCECO[codigo],tblCECO[area],"(sin catálogo)"))</f>
        <v/>
      </c>
      <c r="Z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5">
        <f>IF(tblOrdenes[[#This Row],[centro_costo]]="","",_xlfn.XLOOKUP(tblOrdenes[[#This Row],[centro_costo]],tblCECO[codigo],tblCECO[coordinador],"(sin catálogo)"))</f>
        <v/>
      </c>
      <c r="AB1010" s="5">
        <f>IF(tblOrdenes[[#This Row],[puesto_trabajo]]="","",_xlfn.XLOOKUP(tblOrdenes[[#This Row],[puesto_trabajo]],tblPuestos[codigo],tblPuestos[especialidad],"(sin catálogo)"))</f>
        <v/>
      </c>
      <c r="AC1010" s="5">
        <f>IF(tblOrdenes[[#This Row],[cod_actividad]]="","",_xlfn.XLOOKUP(tblOrdenes[[#This Row],[cod_actividad]],tblActividades[codigo],tblActividades[descripcion],"(sin catálogo)"))</f>
        <v/>
      </c>
      <c r="AD1010" s="23">
        <f>IF(tblOrdenes[[#This Row],[fecha_inicio]]="","",TODAY()-tblOrdenes[[#This Row],[fecha_inicio]])</f>
        <v/>
      </c>
      <c r="AE10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5">
        <f>IF(tblOrdenes[[#This Row],[backlog_habiles]]="","",IF(tblOrdenes[[#This Row],[backlog_habiles]]&lt;0,"FUTURO",IF(tblOrdenes[[#This Row],[backlog_habiles]]&gt;p_dias_backlog_max,"BACKLOG","MES CORRIENTE")))</f>
        <v/>
      </c>
      <c r="AG1010" s="5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18">
        <f>IF(tblOrdenes[[#This Row],[orden]]="","",_xlfn.XLOOKUP(tblOrdenes[[#This Row],[id_operacion]],tblEjecucion[id_operacion],tblEjecucion[precio],0))</f>
        <v/>
      </c>
      <c r="AM1010" s="18">
        <f>IF(tblOrdenes[[#This Row],[orden]]="","",MAX(0,_xlfn.XLOOKUP(tblOrdenes[[#This Row],[id_operacion]],tblEjecucion[id_operacion],tblEjecucion[costo_plan_total],0)-tblOrdenes[[#This Row],[costo_servicio]]))</f>
        <v/>
      </c>
      <c r="AN1010" s="18">
        <f>IF(tblOrdenes[[#This Row],[orden]]="","",tblOrdenes[[#This Row],[costo_servicio]]+tblOrdenes[[#This Row],[costo_materiales]])</f>
        <v/>
      </c>
      <c r="AO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5">
        <f>IF(tblOrdenes[[#This Row],[link_checklist]]="","",HYPERLINK(p_ruta_base_checklists&amp;tblOrdenes[[#This Row],[link_checklist]],"abrir"))</f>
        <v/>
      </c>
      <c r="AT1010" s="4" t="n"/>
      <c r="AU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5" t="n"/>
      <c r="K1011" s="5" t="n"/>
      <c r="L1011" s="18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Row],[fecha_inicio]]="","",tblOrdenes[[#This Row],[anio]]&amp;"-"&amp;TEXT(tblOrdenes[[#This Row],[mes]],"00"))</f>
        <v/>
      </c>
      <c r="S1011" s="5">
        <f>IF(tblOrdenes[[#This Row],[fecha_inicio]]="","",INDEX(lista_dias,WEEKDAY(tblOrdenes[[#This Row],[fecha_inicio]],2)))</f>
        <v/>
      </c>
      <c r="T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5">
        <f>IF(tblOrdenes[[#This Row],[tipo_ot]]="","",_xlfn.XLOOKUP(tblOrdenes[[#This Row],[tipo_ot]],tblTiposOT[codigo],tblTiposOT[clasificacion],"sin_clasificar"))</f>
        <v/>
      </c>
      <c r="V10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5">
        <f>IF(tblOrdenes[[#This Row],[centro_costo]]="","",_xlfn.XLOOKUP(tblOrdenes[[#This Row],[centro_costo]],tblCECO[codigo],tblCECO[linea],"(sin catálogo)"))</f>
        <v/>
      </c>
      <c r="Y1011" s="5">
        <f>IF(tblOrdenes[[#This Row],[centro_costo]]="","",_xlfn.XLOOKUP(tblOrdenes[[#This Row],[centro_costo]],tblCECO[codigo],tblCECO[area],"(sin catálogo)"))</f>
        <v/>
      </c>
      <c r="Z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5">
        <f>IF(tblOrdenes[[#This Row],[centro_costo]]="","",_xlfn.XLOOKUP(tblOrdenes[[#This Row],[centro_costo]],tblCECO[codigo],tblCECO[coordinador],"(sin catálogo)"))</f>
        <v/>
      </c>
      <c r="AB1011" s="5">
        <f>IF(tblOrdenes[[#This Row],[puesto_trabajo]]="","",_xlfn.XLOOKUP(tblOrdenes[[#This Row],[puesto_trabajo]],tblPuestos[codigo],tblPuestos[especialidad],"(sin catálogo)"))</f>
        <v/>
      </c>
      <c r="AC1011" s="5">
        <f>IF(tblOrdenes[[#This Row],[cod_actividad]]="","",_xlfn.XLOOKUP(tblOrdenes[[#This Row],[cod_actividad]],tblActividades[codigo],tblActividades[descripcion],"(sin catálogo)"))</f>
        <v/>
      </c>
      <c r="AD1011" s="23">
        <f>IF(tblOrdenes[[#This Row],[fecha_inicio]]="","",TODAY()-tblOrdenes[[#This Row],[fecha_inicio]])</f>
        <v/>
      </c>
      <c r="AE10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5">
        <f>IF(tblOrdenes[[#This Row],[backlog_habiles]]="","",IF(tblOrdenes[[#This Row],[backlog_habiles]]&lt;0,"FUTURO",IF(tblOrdenes[[#This Row],[backlog_habiles]]&gt;p_dias_backlog_max,"BACKLOG","MES CORRIENTE")))</f>
        <v/>
      </c>
      <c r="AG1011" s="5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18">
        <f>IF(tblOrdenes[[#This Row],[orden]]="","",_xlfn.XLOOKUP(tblOrdenes[[#This Row],[id_operacion]],tblEjecucion[id_operacion],tblEjecucion[precio],0))</f>
        <v/>
      </c>
      <c r="AM1011" s="18">
        <f>IF(tblOrdenes[[#This Row],[orden]]="","",MAX(0,_xlfn.XLOOKUP(tblOrdenes[[#This Row],[id_operacion]],tblEjecucion[id_operacion],tblEjecucion[costo_plan_total],0)-tblOrdenes[[#This Row],[costo_servicio]]))</f>
        <v/>
      </c>
      <c r="AN1011" s="18">
        <f>IF(tblOrdenes[[#This Row],[orden]]="","",tblOrdenes[[#This Row],[costo_servicio]]+tblOrdenes[[#This Row],[costo_materiales]])</f>
        <v/>
      </c>
      <c r="AO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5">
        <f>IF(tblOrdenes[[#This Row],[link_checklist]]="","",HYPERLINK(p_ruta_base_checklists&amp;tblOrdenes[[#This Row],[link_checklist]],"abrir"))</f>
        <v/>
      </c>
      <c r="AT1011" s="4" t="n"/>
      <c r="AU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5" t="n"/>
      <c r="K1012" s="5" t="n"/>
      <c r="L1012" s="18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Row],[fecha_inicio]]="","",tblOrdenes[[#This Row],[anio]]&amp;"-"&amp;TEXT(tblOrdenes[[#This Row],[mes]],"00"))</f>
        <v/>
      </c>
      <c r="S1012" s="5">
        <f>IF(tblOrdenes[[#This Row],[fecha_inicio]]="","",INDEX(lista_dias,WEEKDAY(tblOrdenes[[#This Row],[fecha_inicio]],2)))</f>
        <v/>
      </c>
      <c r="T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5">
        <f>IF(tblOrdenes[[#This Row],[tipo_ot]]="","",_xlfn.XLOOKUP(tblOrdenes[[#This Row],[tipo_ot]],tblTiposOT[codigo],tblTiposOT[clasificacion],"sin_clasificar"))</f>
        <v/>
      </c>
      <c r="V10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5">
        <f>IF(tblOrdenes[[#This Row],[centro_costo]]="","",_xlfn.XLOOKUP(tblOrdenes[[#This Row],[centro_costo]],tblCECO[codigo],tblCECO[linea],"(sin catálogo)"))</f>
        <v/>
      </c>
      <c r="Y1012" s="5">
        <f>IF(tblOrdenes[[#This Row],[centro_costo]]="","",_xlfn.XLOOKUP(tblOrdenes[[#This Row],[centro_costo]],tblCECO[codigo],tblCECO[area],"(sin catálogo)"))</f>
        <v/>
      </c>
      <c r="Z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5">
        <f>IF(tblOrdenes[[#This Row],[centro_costo]]="","",_xlfn.XLOOKUP(tblOrdenes[[#This Row],[centro_costo]],tblCECO[codigo],tblCECO[coordinador],"(sin catálogo)"))</f>
        <v/>
      </c>
      <c r="AB1012" s="5">
        <f>IF(tblOrdenes[[#This Row],[puesto_trabajo]]="","",_xlfn.XLOOKUP(tblOrdenes[[#This Row],[puesto_trabajo]],tblPuestos[codigo],tblPuestos[especialidad],"(sin catálogo)"))</f>
        <v/>
      </c>
      <c r="AC1012" s="5">
        <f>IF(tblOrdenes[[#This Row],[cod_actividad]]="","",_xlfn.XLOOKUP(tblOrdenes[[#This Row],[cod_actividad]],tblActividades[codigo],tblActividades[descripcion],"(sin catálogo)"))</f>
        <v/>
      </c>
      <c r="AD1012" s="23">
        <f>IF(tblOrdenes[[#This Row],[fecha_inicio]]="","",TODAY()-tblOrdenes[[#This Row],[fecha_inicio]])</f>
        <v/>
      </c>
      <c r="AE10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5">
        <f>IF(tblOrdenes[[#This Row],[backlog_habiles]]="","",IF(tblOrdenes[[#This Row],[backlog_habiles]]&lt;0,"FUTURO",IF(tblOrdenes[[#This Row],[backlog_habiles]]&gt;p_dias_backlog_max,"BACKLOG","MES CORRIENTE")))</f>
        <v/>
      </c>
      <c r="AG1012" s="5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18">
        <f>IF(tblOrdenes[[#This Row],[orden]]="","",_xlfn.XLOOKUP(tblOrdenes[[#This Row],[id_operacion]],tblEjecucion[id_operacion],tblEjecucion[precio],0))</f>
        <v/>
      </c>
      <c r="AM1012" s="18">
        <f>IF(tblOrdenes[[#This Row],[orden]]="","",MAX(0,_xlfn.XLOOKUP(tblOrdenes[[#This Row],[id_operacion]],tblEjecucion[id_operacion],tblEjecucion[costo_plan_total],0)-tblOrdenes[[#This Row],[costo_servicio]]))</f>
        <v/>
      </c>
      <c r="AN1012" s="18">
        <f>IF(tblOrdenes[[#This Row],[orden]]="","",tblOrdenes[[#This Row],[costo_servicio]]+tblOrdenes[[#This Row],[costo_materiales]])</f>
        <v/>
      </c>
      <c r="AO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5">
        <f>IF(tblOrdenes[[#This Row],[link_checklist]]="","",HYPERLINK(p_ruta_base_checklists&amp;tblOrdenes[[#This Row],[link_checklist]],"abrir"))</f>
        <v/>
      </c>
      <c r="AT1012" s="4" t="n"/>
      <c r="AU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5" t="n"/>
      <c r="K1013" s="5" t="n"/>
      <c r="L1013" s="18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Row],[fecha_inicio]]="","",tblOrdenes[[#This Row],[anio]]&amp;"-"&amp;TEXT(tblOrdenes[[#This Row],[mes]],"00"))</f>
        <v/>
      </c>
      <c r="S1013" s="5">
        <f>IF(tblOrdenes[[#This Row],[fecha_inicio]]="","",INDEX(lista_dias,WEEKDAY(tblOrdenes[[#This Row],[fecha_inicio]],2)))</f>
        <v/>
      </c>
      <c r="T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5">
        <f>IF(tblOrdenes[[#This Row],[tipo_ot]]="","",_xlfn.XLOOKUP(tblOrdenes[[#This Row],[tipo_ot]],tblTiposOT[codigo],tblTiposOT[clasificacion],"sin_clasificar"))</f>
        <v/>
      </c>
      <c r="V10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5">
        <f>IF(tblOrdenes[[#This Row],[centro_costo]]="","",_xlfn.XLOOKUP(tblOrdenes[[#This Row],[centro_costo]],tblCECO[codigo],tblCECO[linea],"(sin catálogo)"))</f>
        <v/>
      </c>
      <c r="Y1013" s="5">
        <f>IF(tblOrdenes[[#This Row],[centro_costo]]="","",_xlfn.XLOOKUP(tblOrdenes[[#This Row],[centro_costo]],tblCECO[codigo],tblCECO[area],"(sin catálogo)"))</f>
        <v/>
      </c>
      <c r="Z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5">
        <f>IF(tblOrdenes[[#This Row],[centro_costo]]="","",_xlfn.XLOOKUP(tblOrdenes[[#This Row],[centro_costo]],tblCECO[codigo],tblCECO[coordinador],"(sin catálogo)"))</f>
        <v/>
      </c>
      <c r="AB1013" s="5">
        <f>IF(tblOrdenes[[#This Row],[puesto_trabajo]]="","",_xlfn.XLOOKUP(tblOrdenes[[#This Row],[puesto_trabajo]],tblPuestos[codigo],tblPuestos[especialidad],"(sin catálogo)"))</f>
        <v/>
      </c>
      <c r="AC1013" s="5">
        <f>IF(tblOrdenes[[#This Row],[cod_actividad]]="","",_xlfn.XLOOKUP(tblOrdenes[[#This Row],[cod_actividad]],tblActividades[codigo],tblActividades[descripcion],"(sin catálogo)"))</f>
        <v/>
      </c>
      <c r="AD1013" s="23">
        <f>IF(tblOrdenes[[#This Row],[fecha_inicio]]="","",TODAY()-tblOrdenes[[#This Row],[fecha_inicio]])</f>
        <v/>
      </c>
      <c r="AE10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5">
        <f>IF(tblOrdenes[[#This Row],[backlog_habiles]]="","",IF(tblOrdenes[[#This Row],[backlog_habiles]]&lt;0,"FUTURO",IF(tblOrdenes[[#This Row],[backlog_habiles]]&gt;p_dias_backlog_max,"BACKLOG","MES CORRIENTE")))</f>
        <v/>
      </c>
      <c r="AG1013" s="5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18">
        <f>IF(tblOrdenes[[#This Row],[orden]]="","",_xlfn.XLOOKUP(tblOrdenes[[#This Row],[id_operacion]],tblEjecucion[id_operacion],tblEjecucion[precio],0))</f>
        <v/>
      </c>
      <c r="AM1013" s="18">
        <f>IF(tblOrdenes[[#This Row],[orden]]="","",MAX(0,_xlfn.XLOOKUP(tblOrdenes[[#This Row],[id_operacion]],tblEjecucion[id_operacion],tblEjecucion[costo_plan_total],0)-tblOrdenes[[#This Row],[costo_servicio]]))</f>
        <v/>
      </c>
      <c r="AN1013" s="18">
        <f>IF(tblOrdenes[[#This Row],[orden]]="","",tblOrdenes[[#This Row],[costo_servicio]]+tblOrdenes[[#This Row],[costo_materiales]])</f>
        <v/>
      </c>
      <c r="AO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5">
        <f>IF(tblOrdenes[[#This Row],[link_checklist]]="","",HYPERLINK(p_ruta_base_checklists&amp;tblOrdenes[[#This Row],[link_checklist]],"abrir"))</f>
        <v/>
      </c>
      <c r="AT1013" s="4" t="n"/>
      <c r="AU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5" t="n"/>
      <c r="K1014" s="5" t="n"/>
      <c r="L1014" s="18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Row],[fecha_inicio]]="","",tblOrdenes[[#This Row],[anio]]&amp;"-"&amp;TEXT(tblOrdenes[[#This Row],[mes]],"00"))</f>
        <v/>
      </c>
      <c r="S1014" s="5">
        <f>IF(tblOrdenes[[#This Row],[fecha_inicio]]="","",INDEX(lista_dias,WEEKDAY(tblOrdenes[[#This Row],[fecha_inicio]],2)))</f>
        <v/>
      </c>
      <c r="T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5">
        <f>IF(tblOrdenes[[#This Row],[tipo_ot]]="","",_xlfn.XLOOKUP(tblOrdenes[[#This Row],[tipo_ot]],tblTiposOT[codigo],tblTiposOT[clasificacion],"sin_clasificar"))</f>
        <v/>
      </c>
      <c r="V10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5">
        <f>IF(tblOrdenes[[#This Row],[centro_costo]]="","",_xlfn.XLOOKUP(tblOrdenes[[#This Row],[centro_costo]],tblCECO[codigo],tblCECO[linea],"(sin catálogo)"))</f>
        <v/>
      </c>
      <c r="Y1014" s="5">
        <f>IF(tblOrdenes[[#This Row],[centro_costo]]="","",_xlfn.XLOOKUP(tblOrdenes[[#This Row],[centro_costo]],tblCECO[codigo],tblCECO[area],"(sin catálogo)"))</f>
        <v/>
      </c>
      <c r="Z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5">
        <f>IF(tblOrdenes[[#This Row],[centro_costo]]="","",_xlfn.XLOOKUP(tblOrdenes[[#This Row],[centro_costo]],tblCECO[codigo],tblCECO[coordinador],"(sin catálogo)"))</f>
        <v/>
      </c>
      <c r="AB1014" s="5">
        <f>IF(tblOrdenes[[#This Row],[puesto_trabajo]]="","",_xlfn.XLOOKUP(tblOrdenes[[#This Row],[puesto_trabajo]],tblPuestos[codigo],tblPuestos[especialidad],"(sin catálogo)"))</f>
        <v/>
      </c>
      <c r="AC1014" s="5">
        <f>IF(tblOrdenes[[#This Row],[cod_actividad]]="","",_xlfn.XLOOKUP(tblOrdenes[[#This Row],[cod_actividad]],tblActividades[codigo],tblActividades[descripcion],"(sin catálogo)"))</f>
        <v/>
      </c>
      <c r="AD1014" s="23">
        <f>IF(tblOrdenes[[#This Row],[fecha_inicio]]="","",TODAY()-tblOrdenes[[#This Row],[fecha_inicio]])</f>
        <v/>
      </c>
      <c r="AE10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5">
        <f>IF(tblOrdenes[[#This Row],[backlog_habiles]]="","",IF(tblOrdenes[[#This Row],[backlog_habiles]]&lt;0,"FUTURO",IF(tblOrdenes[[#This Row],[backlog_habiles]]&gt;p_dias_backlog_max,"BACKLOG","MES CORRIENTE")))</f>
        <v/>
      </c>
      <c r="AG1014" s="5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18">
        <f>IF(tblOrdenes[[#This Row],[orden]]="","",_xlfn.XLOOKUP(tblOrdenes[[#This Row],[id_operacion]],tblEjecucion[id_operacion],tblEjecucion[precio],0))</f>
        <v/>
      </c>
      <c r="AM1014" s="18">
        <f>IF(tblOrdenes[[#This Row],[orden]]="","",MAX(0,_xlfn.XLOOKUP(tblOrdenes[[#This Row],[id_operacion]],tblEjecucion[id_operacion],tblEjecucion[costo_plan_total],0)-tblOrdenes[[#This Row],[costo_servicio]]))</f>
        <v/>
      </c>
      <c r="AN1014" s="18">
        <f>IF(tblOrdenes[[#This Row],[orden]]="","",tblOrdenes[[#This Row],[costo_servicio]]+tblOrdenes[[#This Row],[costo_materiales]])</f>
        <v/>
      </c>
      <c r="AO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5">
        <f>IF(tblOrdenes[[#This Row],[link_checklist]]="","",HYPERLINK(p_ruta_base_checklists&amp;tblOrdenes[[#This Row],[link_checklist]],"abrir"))</f>
        <v/>
      </c>
      <c r="AT1014" s="4" t="n"/>
      <c r="AU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5" t="n"/>
      <c r="K1015" s="5" t="n"/>
      <c r="L1015" s="18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Row],[fecha_inicio]]="","",tblOrdenes[[#This Row],[anio]]&amp;"-"&amp;TEXT(tblOrdenes[[#This Row],[mes]],"00"))</f>
        <v/>
      </c>
      <c r="S1015" s="5">
        <f>IF(tblOrdenes[[#This Row],[fecha_inicio]]="","",INDEX(lista_dias,WEEKDAY(tblOrdenes[[#This Row],[fecha_inicio]],2)))</f>
        <v/>
      </c>
      <c r="T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5">
        <f>IF(tblOrdenes[[#This Row],[tipo_ot]]="","",_xlfn.XLOOKUP(tblOrdenes[[#This Row],[tipo_ot]],tblTiposOT[codigo],tblTiposOT[clasificacion],"sin_clasificar"))</f>
        <v/>
      </c>
      <c r="V10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5">
        <f>IF(tblOrdenes[[#This Row],[centro_costo]]="","",_xlfn.XLOOKUP(tblOrdenes[[#This Row],[centro_costo]],tblCECO[codigo],tblCECO[linea],"(sin catálogo)"))</f>
        <v/>
      </c>
      <c r="Y1015" s="5">
        <f>IF(tblOrdenes[[#This Row],[centro_costo]]="","",_xlfn.XLOOKUP(tblOrdenes[[#This Row],[centro_costo]],tblCECO[codigo],tblCECO[area],"(sin catálogo)"))</f>
        <v/>
      </c>
      <c r="Z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5">
        <f>IF(tblOrdenes[[#This Row],[centro_costo]]="","",_xlfn.XLOOKUP(tblOrdenes[[#This Row],[centro_costo]],tblCECO[codigo],tblCECO[coordinador],"(sin catálogo)"))</f>
        <v/>
      </c>
      <c r="AB1015" s="5">
        <f>IF(tblOrdenes[[#This Row],[puesto_trabajo]]="","",_xlfn.XLOOKUP(tblOrdenes[[#This Row],[puesto_trabajo]],tblPuestos[codigo],tblPuestos[especialidad],"(sin catálogo)"))</f>
        <v/>
      </c>
      <c r="AC1015" s="5">
        <f>IF(tblOrdenes[[#This Row],[cod_actividad]]="","",_xlfn.XLOOKUP(tblOrdenes[[#This Row],[cod_actividad]],tblActividades[codigo],tblActividades[descripcion],"(sin catálogo)"))</f>
        <v/>
      </c>
      <c r="AD1015" s="23">
        <f>IF(tblOrdenes[[#This Row],[fecha_inicio]]="","",TODAY()-tblOrdenes[[#This Row],[fecha_inicio]])</f>
        <v/>
      </c>
      <c r="AE10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5">
        <f>IF(tblOrdenes[[#This Row],[backlog_habiles]]="","",IF(tblOrdenes[[#This Row],[backlog_habiles]]&lt;0,"FUTURO",IF(tblOrdenes[[#This Row],[backlog_habiles]]&gt;p_dias_backlog_max,"BACKLOG","MES CORRIENTE")))</f>
        <v/>
      </c>
      <c r="AG1015" s="5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18">
        <f>IF(tblOrdenes[[#This Row],[orden]]="","",_xlfn.XLOOKUP(tblOrdenes[[#This Row],[id_operacion]],tblEjecucion[id_operacion],tblEjecucion[precio],0))</f>
        <v/>
      </c>
      <c r="AM1015" s="18">
        <f>IF(tblOrdenes[[#This Row],[orden]]="","",MAX(0,_xlfn.XLOOKUP(tblOrdenes[[#This Row],[id_operacion]],tblEjecucion[id_operacion],tblEjecucion[costo_plan_total],0)-tblOrdenes[[#This Row],[costo_servicio]]))</f>
        <v/>
      </c>
      <c r="AN1015" s="18">
        <f>IF(tblOrdenes[[#This Row],[orden]]="","",tblOrdenes[[#This Row],[costo_servicio]]+tblOrdenes[[#This Row],[costo_materiales]])</f>
        <v/>
      </c>
      <c r="AO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5">
        <f>IF(tblOrdenes[[#This Row],[link_checklist]]="","",HYPERLINK(p_ruta_base_checklists&amp;tblOrdenes[[#This Row],[link_checklist]],"abrir"))</f>
        <v/>
      </c>
      <c r="AT1015" s="4" t="n"/>
      <c r="AU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5" t="n"/>
      <c r="K1016" s="5" t="n"/>
      <c r="L1016" s="18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Row],[fecha_inicio]]="","",tblOrdenes[[#This Row],[anio]]&amp;"-"&amp;TEXT(tblOrdenes[[#This Row],[mes]],"00"))</f>
        <v/>
      </c>
      <c r="S1016" s="5">
        <f>IF(tblOrdenes[[#This Row],[fecha_inicio]]="","",INDEX(lista_dias,WEEKDAY(tblOrdenes[[#This Row],[fecha_inicio]],2)))</f>
        <v/>
      </c>
      <c r="T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5">
        <f>IF(tblOrdenes[[#This Row],[tipo_ot]]="","",_xlfn.XLOOKUP(tblOrdenes[[#This Row],[tipo_ot]],tblTiposOT[codigo],tblTiposOT[clasificacion],"sin_clasificar"))</f>
        <v/>
      </c>
      <c r="V10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5">
        <f>IF(tblOrdenes[[#This Row],[centro_costo]]="","",_xlfn.XLOOKUP(tblOrdenes[[#This Row],[centro_costo]],tblCECO[codigo],tblCECO[linea],"(sin catálogo)"))</f>
        <v/>
      </c>
      <c r="Y1016" s="5">
        <f>IF(tblOrdenes[[#This Row],[centro_costo]]="","",_xlfn.XLOOKUP(tblOrdenes[[#This Row],[centro_costo]],tblCECO[codigo],tblCECO[area],"(sin catálogo)"))</f>
        <v/>
      </c>
      <c r="Z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5">
        <f>IF(tblOrdenes[[#This Row],[centro_costo]]="","",_xlfn.XLOOKUP(tblOrdenes[[#This Row],[centro_costo]],tblCECO[codigo],tblCECO[coordinador],"(sin catálogo)"))</f>
        <v/>
      </c>
      <c r="AB1016" s="5">
        <f>IF(tblOrdenes[[#This Row],[puesto_trabajo]]="","",_xlfn.XLOOKUP(tblOrdenes[[#This Row],[puesto_trabajo]],tblPuestos[codigo],tblPuestos[especialidad],"(sin catálogo)"))</f>
        <v/>
      </c>
      <c r="AC1016" s="5">
        <f>IF(tblOrdenes[[#This Row],[cod_actividad]]="","",_xlfn.XLOOKUP(tblOrdenes[[#This Row],[cod_actividad]],tblActividades[codigo],tblActividades[descripcion],"(sin catálogo)"))</f>
        <v/>
      </c>
      <c r="AD1016" s="23">
        <f>IF(tblOrdenes[[#This Row],[fecha_inicio]]="","",TODAY()-tblOrdenes[[#This Row],[fecha_inicio]])</f>
        <v/>
      </c>
      <c r="AE10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5">
        <f>IF(tblOrdenes[[#This Row],[backlog_habiles]]="","",IF(tblOrdenes[[#This Row],[backlog_habiles]]&lt;0,"FUTURO",IF(tblOrdenes[[#This Row],[backlog_habiles]]&gt;p_dias_backlog_max,"BACKLOG","MES CORRIENTE")))</f>
        <v/>
      </c>
      <c r="AG1016" s="5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18">
        <f>IF(tblOrdenes[[#This Row],[orden]]="","",_xlfn.XLOOKUP(tblOrdenes[[#This Row],[id_operacion]],tblEjecucion[id_operacion],tblEjecucion[precio],0))</f>
        <v/>
      </c>
      <c r="AM1016" s="18">
        <f>IF(tblOrdenes[[#This Row],[orden]]="","",MAX(0,_xlfn.XLOOKUP(tblOrdenes[[#This Row],[id_operacion]],tblEjecucion[id_operacion],tblEjecucion[costo_plan_total],0)-tblOrdenes[[#This Row],[costo_servicio]]))</f>
        <v/>
      </c>
      <c r="AN1016" s="18">
        <f>IF(tblOrdenes[[#This Row],[orden]]="","",tblOrdenes[[#This Row],[costo_servicio]]+tblOrdenes[[#This Row],[costo_materiales]])</f>
        <v/>
      </c>
      <c r="AO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5">
        <f>IF(tblOrdenes[[#This Row],[link_checklist]]="","",HYPERLINK(p_ruta_base_checklists&amp;tblOrdenes[[#This Row],[link_checklist]],"abrir"))</f>
        <v/>
      </c>
      <c r="AT1016" s="4" t="n"/>
      <c r="AU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5" t="n"/>
      <c r="K1017" s="5" t="n"/>
      <c r="L1017" s="18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Row],[fecha_inicio]]="","",tblOrdenes[[#This Row],[anio]]&amp;"-"&amp;TEXT(tblOrdenes[[#This Row],[mes]],"00"))</f>
        <v/>
      </c>
      <c r="S1017" s="5">
        <f>IF(tblOrdenes[[#This Row],[fecha_inicio]]="","",INDEX(lista_dias,WEEKDAY(tblOrdenes[[#This Row],[fecha_inicio]],2)))</f>
        <v/>
      </c>
      <c r="T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5">
        <f>IF(tblOrdenes[[#This Row],[tipo_ot]]="","",_xlfn.XLOOKUP(tblOrdenes[[#This Row],[tipo_ot]],tblTiposOT[codigo],tblTiposOT[clasificacion],"sin_clasificar"))</f>
        <v/>
      </c>
      <c r="V10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5">
        <f>IF(tblOrdenes[[#This Row],[centro_costo]]="","",_xlfn.XLOOKUP(tblOrdenes[[#This Row],[centro_costo]],tblCECO[codigo],tblCECO[linea],"(sin catálogo)"))</f>
        <v/>
      </c>
      <c r="Y1017" s="5">
        <f>IF(tblOrdenes[[#This Row],[centro_costo]]="","",_xlfn.XLOOKUP(tblOrdenes[[#This Row],[centro_costo]],tblCECO[codigo],tblCECO[area],"(sin catálogo)"))</f>
        <v/>
      </c>
      <c r="Z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5">
        <f>IF(tblOrdenes[[#This Row],[centro_costo]]="","",_xlfn.XLOOKUP(tblOrdenes[[#This Row],[centro_costo]],tblCECO[codigo],tblCECO[coordinador],"(sin catálogo)"))</f>
        <v/>
      </c>
      <c r="AB1017" s="5">
        <f>IF(tblOrdenes[[#This Row],[puesto_trabajo]]="","",_xlfn.XLOOKUP(tblOrdenes[[#This Row],[puesto_trabajo]],tblPuestos[codigo],tblPuestos[especialidad],"(sin catálogo)"))</f>
        <v/>
      </c>
      <c r="AC1017" s="5">
        <f>IF(tblOrdenes[[#This Row],[cod_actividad]]="","",_xlfn.XLOOKUP(tblOrdenes[[#This Row],[cod_actividad]],tblActividades[codigo],tblActividades[descripcion],"(sin catálogo)"))</f>
        <v/>
      </c>
      <c r="AD1017" s="23">
        <f>IF(tblOrdenes[[#This Row],[fecha_inicio]]="","",TODAY()-tblOrdenes[[#This Row],[fecha_inicio]])</f>
        <v/>
      </c>
      <c r="AE10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5">
        <f>IF(tblOrdenes[[#This Row],[backlog_habiles]]="","",IF(tblOrdenes[[#This Row],[backlog_habiles]]&lt;0,"FUTURO",IF(tblOrdenes[[#This Row],[backlog_habiles]]&gt;p_dias_backlog_max,"BACKLOG","MES CORRIENTE")))</f>
        <v/>
      </c>
      <c r="AG1017" s="5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18">
        <f>IF(tblOrdenes[[#This Row],[orden]]="","",_xlfn.XLOOKUP(tblOrdenes[[#This Row],[id_operacion]],tblEjecucion[id_operacion],tblEjecucion[precio],0))</f>
        <v/>
      </c>
      <c r="AM1017" s="18">
        <f>IF(tblOrdenes[[#This Row],[orden]]="","",MAX(0,_xlfn.XLOOKUP(tblOrdenes[[#This Row],[id_operacion]],tblEjecucion[id_operacion],tblEjecucion[costo_plan_total],0)-tblOrdenes[[#This Row],[costo_servicio]]))</f>
        <v/>
      </c>
      <c r="AN1017" s="18">
        <f>IF(tblOrdenes[[#This Row],[orden]]="","",tblOrdenes[[#This Row],[costo_servicio]]+tblOrdenes[[#This Row],[costo_materiales]])</f>
        <v/>
      </c>
      <c r="AO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5">
        <f>IF(tblOrdenes[[#This Row],[link_checklist]]="","",HYPERLINK(p_ruta_base_checklists&amp;tblOrdenes[[#This Row],[link_checklist]],"abrir"))</f>
        <v/>
      </c>
      <c r="AT1017" s="4" t="n"/>
      <c r="AU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5" t="n"/>
      <c r="K1018" s="5" t="n"/>
      <c r="L1018" s="18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Row],[fecha_inicio]]="","",tblOrdenes[[#This Row],[anio]]&amp;"-"&amp;TEXT(tblOrdenes[[#This Row],[mes]],"00"))</f>
        <v/>
      </c>
      <c r="S1018" s="5">
        <f>IF(tblOrdenes[[#This Row],[fecha_inicio]]="","",INDEX(lista_dias,WEEKDAY(tblOrdenes[[#This Row],[fecha_inicio]],2)))</f>
        <v/>
      </c>
      <c r="T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5">
        <f>IF(tblOrdenes[[#This Row],[tipo_ot]]="","",_xlfn.XLOOKUP(tblOrdenes[[#This Row],[tipo_ot]],tblTiposOT[codigo],tblTiposOT[clasificacion],"sin_clasificar"))</f>
        <v/>
      </c>
      <c r="V10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5">
        <f>IF(tblOrdenes[[#This Row],[centro_costo]]="","",_xlfn.XLOOKUP(tblOrdenes[[#This Row],[centro_costo]],tblCECO[codigo],tblCECO[linea],"(sin catálogo)"))</f>
        <v/>
      </c>
      <c r="Y1018" s="5">
        <f>IF(tblOrdenes[[#This Row],[centro_costo]]="","",_xlfn.XLOOKUP(tblOrdenes[[#This Row],[centro_costo]],tblCECO[codigo],tblCECO[area],"(sin catálogo)"))</f>
        <v/>
      </c>
      <c r="Z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5">
        <f>IF(tblOrdenes[[#This Row],[centro_costo]]="","",_xlfn.XLOOKUP(tblOrdenes[[#This Row],[centro_costo]],tblCECO[codigo],tblCECO[coordinador],"(sin catálogo)"))</f>
        <v/>
      </c>
      <c r="AB1018" s="5">
        <f>IF(tblOrdenes[[#This Row],[puesto_trabajo]]="","",_xlfn.XLOOKUP(tblOrdenes[[#This Row],[puesto_trabajo]],tblPuestos[codigo],tblPuestos[especialidad],"(sin catálogo)"))</f>
        <v/>
      </c>
      <c r="AC1018" s="5">
        <f>IF(tblOrdenes[[#This Row],[cod_actividad]]="","",_xlfn.XLOOKUP(tblOrdenes[[#This Row],[cod_actividad]],tblActividades[codigo],tblActividades[descripcion],"(sin catálogo)"))</f>
        <v/>
      </c>
      <c r="AD1018" s="23">
        <f>IF(tblOrdenes[[#This Row],[fecha_inicio]]="","",TODAY()-tblOrdenes[[#This Row],[fecha_inicio]])</f>
        <v/>
      </c>
      <c r="AE10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5">
        <f>IF(tblOrdenes[[#This Row],[backlog_habiles]]="","",IF(tblOrdenes[[#This Row],[backlog_habiles]]&lt;0,"FUTURO",IF(tblOrdenes[[#This Row],[backlog_habiles]]&gt;p_dias_backlog_max,"BACKLOG","MES CORRIENTE")))</f>
        <v/>
      </c>
      <c r="AG1018" s="5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18">
        <f>IF(tblOrdenes[[#This Row],[orden]]="","",_xlfn.XLOOKUP(tblOrdenes[[#This Row],[id_operacion]],tblEjecucion[id_operacion],tblEjecucion[precio],0))</f>
        <v/>
      </c>
      <c r="AM1018" s="18">
        <f>IF(tblOrdenes[[#This Row],[orden]]="","",MAX(0,_xlfn.XLOOKUP(tblOrdenes[[#This Row],[id_operacion]],tblEjecucion[id_operacion],tblEjecucion[costo_plan_total],0)-tblOrdenes[[#This Row],[costo_servicio]]))</f>
        <v/>
      </c>
      <c r="AN1018" s="18">
        <f>IF(tblOrdenes[[#This Row],[orden]]="","",tblOrdenes[[#This Row],[costo_servicio]]+tblOrdenes[[#This Row],[costo_materiales]])</f>
        <v/>
      </c>
      <c r="AO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5">
        <f>IF(tblOrdenes[[#This Row],[link_checklist]]="","",HYPERLINK(p_ruta_base_checklists&amp;tblOrdenes[[#This Row],[link_checklist]],"abrir"))</f>
        <v/>
      </c>
      <c r="AT1018" s="4" t="n"/>
      <c r="AU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5" t="n"/>
      <c r="K1019" s="5" t="n"/>
      <c r="L1019" s="18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Row],[fecha_inicio]]="","",tblOrdenes[[#This Row],[anio]]&amp;"-"&amp;TEXT(tblOrdenes[[#This Row],[mes]],"00"))</f>
        <v/>
      </c>
      <c r="S1019" s="5">
        <f>IF(tblOrdenes[[#This Row],[fecha_inicio]]="","",INDEX(lista_dias,WEEKDAY(tblOrdenes[[#This Row],[fecha_inicio]],2)))</f>
        <v/>
      </c>
      <c r="T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5">
        <f>IF(tblOrdenes[[#This Row],[tipo_ot]]="","",_xlfn.XLOOKUP(tblOrdenes[[#This Row],[tipo_ot]],tblTiposOT[codigo],tblTiposOT[clasificacion],"sin_clasificar"))</f>
        <v/>
      </c>
      <c r="V10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5">
        <f>IF(tblOrdenes[[#This Row],[centro_costo]]="","",_xlfn.XLOOKUP(tblOrdenes[[#This Row],[centro_costo]],tblCECO[codigo],tblCECO[linea],"(sin catálogo)"))</f>
        <v/>
      </c>
      <c r="Y1019" s="5">
        <f>IF(tblOrdenes[[#This Row],[centro_costo]]="","",_xlfn.XLOOKUP(tblOrdenes[[#This Row],[centro_costo]],tblCECO[codigo],tblCECO[area],"(sin catálogo)"))</f>
        <v/>
      </c>
      <c r="Z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5">
        <f>IF(tblOrdenes[[#This Row],[centro_costo]]="","",_xlfn.XLOOKUP(tblOrdenes[[#This Row],[centro_costo]],tblCECO[codigo],tblCECO[coordinador],"(sin catálogo)"))</f>
        <v/>
      </c>
      <c r="AB1019" s="5">
        <f>IF(tblOrdenes[[#This Row],[puesto_trabajo]]="","",_xlfn.XLOOKUP(tblOrdenes[[#This Row],[puesto_trabajo]],tblPuestos[codigo],tblPuestos[especialidad],"(sin catálogo)"))</f>
        <v/>
      </c>
      <c r="AC1019" s="5">
        <f>IF(tblOrdenes[[#This Row],[cod_actividad]]="","",_xlfn.XLOOKUP(tblOrdenes[[#This Row],[cod_actividad]],tblActividades[codigo],tblActividades[descripcion],"(sin catálogo)"))</f>
        <v/>
      </c>
      <c r="AD1019" s="23">
        <f>IF(tblOrdenes[[#This Row],[fecha_inicio]]="","",TODAY()-tblOrdenes[[#This Row],[fecha_inicio]])</f>
        <v/>
      </c>
      <c r="AE10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5">
        <f>IF(tblOrdenes[[#This Row],[backlog_habiles]]="","",IF(tblOrdenes[[#This Row],[backlog_habiles]]&lt;0,"FUTURO",IF(tblOrdenes[[#This Row],[backlog_habiles]]&gt;p_dias_backlog_max,"BACKLOG","MES CORRIENTE")))</f>
        <v/>
      </c>
      <c r="AG1019" s="5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18">
        <f>IF(tblOrdenes[[#This Row],[orden]]="","",_xlfn.XLOOKUP(tblOrdenes[[#This Row],[id_operacion]],tblEjecucion[id_operacion],tblEjecucion[precio],0))</f>
        <v/>
      </c>
      <c r="AM1019" s="18">
        <f>IF(tblOrdenes[[#This Row],[orden]]="","",MAX(0,_xlfn.XLOOKUP(tblOrdenes[[#This Row],[id_operacion]],tblEjecucion[id_operacion],tblEjecucion[costo_plan_total],0)-tblOrdenes[[#This Row],[costo_servicio]]))</f>
        <v/>
      </c>
      <c r="AN1019" s="18">
        <f>IF(tblOrdenes[[#This Row],[orden]]="","",tblOrdenes[[#This Row],[costo_servicio]]+tblOrdenes[[#This Row],[costo_materiales]])</f>
        <v/>
      </c>
      <c r="AO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5">
        <f>IF(tblOrdenes[[#This Row],[link_checklist]]="","",HYPERLINK(p_ruta_base_checklists&amp;tblOrdenes[[#This Row],[link_checklist]],"abrir"))</f>
        <v/>
      </c>
      <c r="AT1019" s="4" t="n"/>
      <c r="AU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5" t="n"/>
      <c r="K1020" s="5" t="n"/>
      <c r="L1020" s="18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Row],[fecha_inicio]]="","",tblOrdenes[[#This Row],[anio]]&amp;"-"&amp;TEXT(tblOrdenes[[#This Row],[mes]],"00"))</f>
        <v/>
      </c>
      <c r="S1020" s="5">
        <f>IF(tblOrdenes[[#This Row],[fecha_inicio]]="","",INDEX(lista_dias,WEEKDAY(tblOrdenes[[#This Row],[fecha_inicio]],2)))</f>
        <v/>
      </c>
      <c r="T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5">
        <f>IF(tblOrdenes[[#This Row],[tipo_ot]]="","",_xlfn.XLOOKUP(tblOrdenes[[#This Row],[tipo_ot]],tblTiposOT[codigo],tblTiposOT[clasificacion],"sin_clasificar"))</f>
        <v/>
      </c>
      <c r="V10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5">
        <f>IF(tblOrdenes[[#This Row],[centro_costo]]="","",_xlfn.XLOOKUP(tblOrdenes[[#This Row],[centro_costo]],tblCECO[codigo],tblCECO[linea],"(sin catálogo)"))</f>
        <v/>
      </c>
      <c r="Y1020" s="5">
        <f>IF(tblOrdenes[[#This Row],[centro_costo]]="","",_xlfn.XLOOKUP(tblOrdenes[[#This Row],[centro_costo]],tblCECO[codigo],tblCECO[area],"(sin catálogo)"))</f>
        <v/>
      </c>
      <c r="Z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5">
        <f>IF(tblOrdenes[[#This Row],[centro_costo]]="","",_xlfn.XLOOKUP(tblOrdenes[[#This Row],[centro_costo]],tblCECO[codigo],tblCECO[coordinador],"(sin catálogo)"))</f>
        <v/>
      </c>
      <c r="AB1020" s="5">
        <f>IF(tblOrdenes[[#This Row],[puesto_trabajo]]="","",_xlfn.XLOOKUP(tblOrdenes[[#This Row],[puesto_trabajo]],tblPuestos[codigo],tblPuestos[especialidad],"(sin catálogo)"))</f>
        <v/>
      </c>
      <c r="AC1020" s="5">
        <f>IF(tblOrdenes[[#This Row],[cod_actividad]]="","",_xlfn.XLOOKUP(tblOrdenes[[#This Row],[cod_actividad]],tblActividades[codigo],tblActividades[descripcion],"(sin catálogo)"))</f>
        <v/>
      </c>
      <c r="AD1020" s="23">
        <f>IF(tblOrdenes[[#This Row],[fecha_inicio]]="","",TODAY()-tblOrdenes[[#This Row],[fecha_inicio]])</f>
        <v/>
      </c>
      <c r="AE10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5">
        <f>IF(tblOrdenes[[#This Row],[backlog_habiles]]="","",IF(tblOrdenes[[#This Row],[backlog_habiles]]&lt;0,"FUTURO",IF(tblOrdenes[[#This Row],[backlog_habiles]]&gt;p_dias_backlog_max,"BACKLOG","MES CORRIENTE")))</f>
        <v/>
      </c>
      <c r="AG1020" s="5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18">
        <f>IF(tblOrdenes[[#This Row],[orden]]="","",_xlfn.XLOOKUP(tblOrdenes[[#This Row],[id_operacion]],tblEjecucion[id_operacion],tblEjecucion[precio],0))</f>
        <v/>
      </c>
      <c r="AM1020" s="18">
        <f>IF(tblOrdenes[[#This Row],[orden]]="","",MAX(0,_xlfn.XLOOKUP(tblOrdenes[[#This Row],[id_operacion]],tblEjecucion[id_operacion],tblEjecucion[costo_plan_total],0)-tblOrdenes[[#This Row],[costo_servicio]]))</f>
        <v/>
      </c>
      <c r="AN1020" s="18">
        <f>IF(tblOrdenes[[#This Row],[orden]]="","",tblOrdenes[[#This Row],[costo_servicio]]+tblOrdenes[[#This Row],[costo_materiales]])</f>
        <v/>
      </c>
      <c r="AO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5">
        <f>IF(tblOrdenes[[#This Row],[link_checklist]]="","",HYPERLINK(p_ruta_base_checklists&amp;tblOrdenes[[#This Row],[link_checklist]],"abrir"))</f>
        <v/>
      </c>
      <c r="AT1020" s="4" t="n"/>
      <c r="AU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5" t="n"/>
      <c r="K1021" s="5" t="n"/>
      <c r="L1021" s="18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Row],[fecha_inicio]]="","",tblOrdenes[[#This Row],[anio]]&amp;"-"&amp;TEXT(tblOrdenes[[#This Row],[mes]],"00"))</f>
        <v/>
      </c>
      <c r="S1021" s="5">
        <f>IF(tblOrdenes[[#This Row],[fecha_inicio]]="","",INDEX(lista_dias,WEEKDAY(tblOrdenes[[#This Row],[fecha_inicio]],2)))</f>
        <v/>
      </c>
      <c r="T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5">
        <f>IF(tblOrdenes[[#This Row],[tipo_ot]]="","",_xlfn.XLOOKUP(tblOrdenes[[#This Row],[tipo_ot]],tblTiposOT[codigo],tblTiposOT[clasificacion],"sin_clasificar"))</f>
        <v/>
      </c>
      <c r="V10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5">
        <f>IF(tblOrdenes[[#This Row],[centro_costo]]="","",_xlfn.XLOOKUP(tblOrdenes[[#This Row],[centro_costo]],tblCECO[codigo],tblCECO[linea],"(sin catálogo)"))</f>
        <v/>
      </c>
      <c r="Y1021" s="5">
        <f>IF(tblOrdenes[[#This Row],[centro_costo]]="","",_xlfn.XLOOKUP(tblOrdenes[[#This Row],[centro_costo]],tblCECO[codigo],tblCECO[area],"(sin catálogo)"))</f>
        <v/>
      </c>
      <c r="Z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5">
        <f>IF(tblOrdenes[[#This Row],[centro_costo]]="","",_xlfn.XLOOKUP(tblOrdenes[[#This Row],[centro_costo]],tblCECO[codigo],tblCECO[coordinador],"(sin catálogo)"))</f>
        <v/>
      </c>
      <c r="AB1021" s="5">
        <f>IF(tblOrdenes[[#This Row],[puesto_trabajo]]="","",_xlfn.XLOOKUP(tblOrdenes[[#This Row],[puesto_trabajo]],tblPuestos[codigo],tblPuestos[especialidad],"(sin catálogo)"))</f>
        <v/>
      </c>
      <c r="AC1021" s="5">
        <f>IF(tblOrdenes[[#This Row],[cod_actividad]]="","",_xlfn.XLOOKUP(tblOrdenes[[#This Row],[cod_actividad]],tblActividades[codigo],tblActividades[descripcion],"(sin catálogo)"))</f>
        <v/>
      </c>
      <c r="AD1021" s="23">
        <f>IF(tblOrdenes[[#This Row],[fecha_inicio]]="","",TODAY()-tblOrdenes[[#This Row],[fecha_inicio]])</f>
        <v/>
      </c>
      <c r="AE10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5">
        <f>IF(tblOrdenes[[#This Row],[backlog_habiles]]="","",IF(tblOrdenes[[#This Row],[backlog_habiles]]&lt;0,"FUTURO",IF(tblOrdenes[[#This Row],[backlog_habiles]]&gt;p_dias_backlog_max,"BACKLOG","MES CORRIENTE")))</f>
        <v/>
      </c>
      <c r="AG1021" s="5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18">
        <f>IF(tblOrdenes[[#This Row],[orden]]="","",_xlfn.XLOOKUP(tblOrdenes[[#This Row],[id_operacion]],tblEjecucion[id_operacion],tblEjecucion[precio],0))</f>
        <v/>
      </c>
      <c r="AM1021" s="18">
        <f>IF(tblOrdenes[[#This Row],[orden]]="","",MAX(0,_xlfn.XLOOKUP(tblOrdenes[[#This Row],[id_operacion]],tblEjecucion[id_operacion],tblEjecucion[costo_plan_total],0)-tblOrdenes[[#This Row],[costo_servicio]]))</f>
        <v/>
      </c>
      <c r="AN1021" s="18">
        <f>IF(tblOrdenes[[#This Row],[orden]]="","",tblOrdenes[[#This Row],[costo_servicio]]+tblOrdenes[[#This Row],[costo_materiales]])</f>
        <v/>
      </c>
      <c r="AO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5">
        <f>IF(tblOrdenes[[#This Row],[link_checklist]]="","",HYPERLINK(p_ruta_base_checklists&amp;tblOrdenes[[#This Row],[link_checklist]],"abrir"))</f>
        <v/>
      </c>
      <c r="AT1021" s="4" t="n"/>
      <c r="AU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5" t="n"/>
      <c r="K1022" s="5" t="n"/>
      <c r="L1022" s="18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Row],[fecha_inicio]]="","",tblOrdenes[[#This Row],[anio]]&amp;"-"&amp;TEXT(tblOrdenes[[#This Row],[mes]],"00"))</f>
        <v/>
      </c>
      <c r="S1022" s="5">
        <f>IF(tblOrdenes[[#This Row],[fecha_inicio]]="","",INDEX(lista_dias,WEEKDAY(tblOrdenes[[#This Row],[fecha_inicio]],2)))</f>
        <v/>
      </c>
      <c r="T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5">
        <f>IF(tblOrdenes[[#This Row],[tipo_ot]]="","",_xlfn.XLOOKUP(tblOrdenes[[#This Row],[tipo_ot]],tblTiposOT[codigo],tblTiposOT[clasificacion],"sin_clasificar"))</f>
        <v/>
      </c>
      <c r="V10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5">
        <f>IF(tblOrdenes[[#This Row],[centro_costo]]="","",_xlfn.XLOOKUP(tblOrdenes[[#This Row],[centro_costo]],tblCECO[codigo],tblCECO[linea],"(sin catálogo)"))</f>
        <v/>
      </c>
      <c r="Y1022" s="5">
        <f>IF(tblOrdenes[[#This Row],[centro_costo]]="","",_xlfn.XLOOKUP(tblOrdenes[[#This Row],[centro_costo]],tblCECO[codigo],tblCECO[area],"(sin catálogo)"))</f>
        <v/>
      </c>
      <c r="Z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5">
        <f>IF(tblOrdenes[[#This Row],[centro_costo]]="","",_xlfn.XLOOKUP(tblOrdenes[[#This Row],[centro_costo]],tblCECO[codigo],tblCECO[coordinador],"(sin catálogo)"))</f>
        <v/>
      </c>
      <c r="AB1022" s="5">
        <f>IF(tblOrdenes[[#This Row],[puesto_trabajo]]="","",_xlfn.XLOOKUP(tblOrdenes[[#This Row],[puesto_trabajo]],tblPuestos[codigo],tblPuestos[especialidad],"(sin catálogo)"))</f>
        <v/>
      </c>
      <c r="AC1022" s="5">
        <f>IF(tblOrdenes[[#This Row],[cod_actividad]]="","",_xlfn.XLOOKUP(tblOrdenes[[#This Row],[cod_actividad]],tblActividades[codigo],tblActividades[descripcion],"(sin catálogo)"))</f>
        <v/>
      </c>
      <c r="AD1022" s="23">
        <f>IF(tblOrdenes[[#This Row],[fecha_inicio]]="","",TODAY()-tblOrdenes[[#This Row],[fecha_inicio]])</f>
        <v/>
      </c>
      <c r="AE10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5">
        <f>IF(tblOrdenes[[#This Row],[backlog_habiles]]="","",IF(tblOrdenes[[#This Row],[backlog_habiles]]&lt;0,"FUTURO",IF(tblOrdenes[[#This Row],[backlog_habiles]]&gt;p_dias_backlog_max,"BACKLOG","MES CORRIENTE")))</f>
        <v/>
      </c>
      <c r="AG1022" s="5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18">
        <f>IF(tblOrdenes[[#This Row],[orden]]="","",_xlfn.XLOOKUP(tblOrdenes[[#This Row],[id_operacion]],tblEjecucion[id_operacion],tblEjecucion[precio],0))</f>
        <v/>
      </c>
      <c r="AM1022" s="18">
        <f>IF(tblOrdenes[[#This Row],[orden]]="","",MAX(0,_xlfn.XLOOKUP(tblOrdenes[[#This Row],[id_operacion]],tblEjecucion[id_operacion],tblEjecucion[costo_plan_total],0)-tblOrdenes[[#This Row],[costo_servicio]]))</f>
        <v/>
      </c>
      <c r="AN1022" s="18">
        <f>IF(tblOrdenes[[#This Row],[orden]]="","",tblOrdenes[[#This Row],[costo_servicio]]+tblOrdenes[[#This Row],[costo_materiales]])</f>
        <v/>
      </c>
      <c r="AO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5">
        <f>IF(tblOrdenes[[#This Row],[link_checklist]]="","",HYPERLINK(p_ruta_base_checklists&amp;tblOrdenes[[#This Row],[link_checklist]],"abrir"))</f>
        <v/>
      </c>
      <c r="AT1022" s="4" t="n"/>
      <c r="AU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5" t="n"/>
      <c r="K1023" s="5" t="n"/>
      <c r="L1023" s="18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Row],[fecha_inicio]]="","",tblOrdenes[[#This Row],[anio]]&amp;"-"&amp;TEXT(tblOrdenes[[#This Row],[mes]],"00"))</f>
        <v/>
      </c>
      <c r="S1023" s="5">
        <f>IF(tblOrdenes[[#This Row],[fecha_inicio]]="","",INDEX(lista_dias,WEEKDAY(tblOrdenes[[#This Row],[fecha_inicio]],2)))</f>
        <v/>
      </c>
      <c r="T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5">
        <f>IF(tblOrdenes[[#This Row],[tipo_ot]]="","",_xlfn.XLOOKUP(tblOrdenes[[#This Row],[tipo_ot]],tblTiposOT[codigo],tblTiposOT[clasificacion],"sin_clasificar"))</f>
        <v/>
      </c>
      <c r="V10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5">
        <f>IF(tblOrdenes[[#This Row],[centro_costo]]="","",_xlfn.XLOOKUP(tblOrdenes[[#This Row],[centro_costo]],tblCECO[codigo],tblCECO[linea],"(sin catálogo)"))</f>
        <v/>
      </c>
      <c r="Y1023" s="5">
        <f>IF(tblOrdenes[[#This Row],[centro_costo]]="","",_xlfn.XLOOKUP(tblOrdenes[[#This Row],[centro_costo]],tblCECO[codigo],tblCECO[area],"(sin catálogo)"))</f>
        <v/>
      </c>
      <c r="Z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5">
        <f>IF(tblOrdenes[[#This Row],[centro_costo]]="","",_xlfn.XLOOKUP(tblOrdenes[[#This Row],[centro_costo]],tblCECO[codigo],tblCECO[coordinador],"(sin catálogo)"))</f>
        <v/>
      </c>
      <c r="AB1023" s="5">
        <f>IF(tblOrdenes[[#This Row],[puesto_trabajo]]="","",_xlfn.XLOOKUP(tblOrdenes[[#This Row],[puesto_trabajo]],tblPuestos[codigo],tblPuestos[especialidad],"(sin catálogo)"))</f>
        <v/>
      </c>
      <c r="AC1023" s="5">
        <f>IF(tblOrdenes[[#This Row],[cod_actividad]]="","",_xlfn.XLOOKUP(tblOrdenes[[#This Row],[cod_actividad]],tblActividades[codigo],tblActividades[descripcion],"(sin catálogo)"))</f>
        <v/>
      </c>
      <c r="AD1023" s="23">
        <f>IF(tblOrdenes[[#This Row],[fecha_inicio]]="","",TODAY()-tblOrdenes[[#This Row],[fecha_inicio]])</f>
        <v/>
      </c>
      <c r="AE10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5">
        <f>IF(tblOrdenes[[#This Row],[backlog_habiles]]="","",IF(tblOrdenes[[#This Row],[backlog_habiles]]&lt;0,"FUTURO",IF(tblOrdenes[[#This Row],[backlog_habiles]]&gt;p_dias_backlog_max,"BACKLOG","MES CORRIENTE")))</f>
        <v/>
      </c>
      <c r="AG1023" s="5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18">
        <f>IF(tblOrdenes[[#This Row],[orden]]="","",_xlfn.XLOOKUP(tblOrdenes[[#This Row],[id_operacion]],tblEjecucion[id_operacion],tblEjecucion[precio],0))</f>
        <v/>
      </c>
      <c r="AM1023" s="18">
        <f>IF(tblOrdenes[[#This Row],[orden]]="","",MAX(0,_xlfn.XLOOKUP(tblOrdenes[[#This Row],[id_operacion]],tblEjecucion[id_operacion],tblEjecucion[costo_plan_total],0)-tblOrdenes[[#This Row],[costo_servicio]]))</f>
        <v/>
      </c>
      <c r="AN1023" s="18">
        <f>IF(tblOrdenes[[#This Row],[orden]]="","",tblOrdenes[[#This Row],[costo_servicio]]+tblOrdenes[[#This Row],[costo_materiales]])</f>
        <v/>
      </c>
      <c r="AO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5">
        <f>IF(tblOrdenes[[#This Row],[link_checklist]]="","",HYPERLINK(p_ruta_base_checklists&amp;tblOrdenes[[#This Row],[link_checklist]],"abrir"))</f>
        <v/>
      </c>
      <c r="AT1023" s="4" t="n"/>
      <c r="AU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5" t="n"/>
      <c r="K1024" s="5" t="n"/>
      <c r="L1024" s="18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Row],[fecha_inicio]]="","",tblOrdenes[[#This Row],[anio]]&amp;"-"&amp;TEXT(tblOrdenes[[#This Row],[mes]],"00"))</f>
        <v/>
      </c>
      <c r="S1024" s="5">
        <f>IF(tblOrdenes[[#This Row],[fecha_inicio]]="","",INDEX(lista_dias,WEEKDAY(tblOrdenes[[#This Row],[fecha_inicio]],2)))</f>
        <v/>
      </c>
      <c r="T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5">
        <f>IF(tblOrdenes[[#This Row],[tipo_ot]]="","",_xlfn.XLOOKUP(tblOrdenes[[#This Row],[tipo_ot]],tblTiposOT[codigo],tblTiposOT[clasificacion],"sin_clasificar"))</f>
        <v/>
      </c>
      <c r="V10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5">
        <f>IF(tblOrdenes[[#This Row],[centro_costo]]="","",_xlfn.XLOOKUP(tblOrdenes[[#This Row],[centro_costo]],tblCECO[codigo],tblCECO[linea],"(sin catálogo)"))</f>
        <v/>
      </c>
      <c r="Y1024" s="5">
        <f>IF(tblOrdenes[[#This Row],[centro_costo]]="","",_xlfn.XLOOKUP(tblOrdenes[[#This Row],[centro_costo]],tblCECO[codigo],tblCECO[area],"(sin catálogo)"))</f>
        <v/>
      </c>
      <c r="Z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5">
        <f>IF(tblOrdenes[[#This Row],[centro_costo]]="","",_xlfn.XLOOKUP(tblOrdenes[[#This Row],[centro_costo]],tblCECO[codigo],tblCECO[coordinador],"(sin catálogo)"))</f>
        <v/>
      </c>
      <c r="AB1024" s="5">
        <f>IF(tblOrdenes[[#This Row],[puesto_trabajo]]="","",_xlfn.XLOOKUP(tblOrdenes[[#This Row],[puesto_trabajo]],tblPuestos[codigo],tblPuestos[especialidad],"(sin catálogo)"))</f>
        <v/>
      </c>
      <c r="AC1024" s="5">
        <f>IF(tblOrdenes[[#This Row],[cod_actividad]]="","",_xlfn.XLOOKUP(tblOrdenes[[#This Row],[cod_actividad]],tblActividades[codigo],tblActividades[descripcion],"(sin catálogo)"))</f>
        <v/>
      </c>
      <c r="AD1024" s="23">
        <f>IF(tblOrdenes[[#This Row],[fecha_inicio]]="","",TODAY()-tblOrdenes[[#This Row],[fecha_inicio]])</f>
        <v/>
      </c>
      <c r="AE10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5">
        <f>IF(tblOrdenes[[#This Row],[backlog_habiles]]="","",IF(tblOrdenes[[#This Row],[backlog_habiles]]&lt;0,"FUTURO",IF(tblOrdenes[[#This Row],[backlog_habiles]]&gt;p_dias_backlog_max,"BACKLOG","MES CORRIENTE")))</f>
        <v/>
      </c>
      <c r="AG1024" s="5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18">
        <f>IF(tblOrdenes[[#This Row],[orden]]="","",_xlfn.XLOOKUP(tblOrdenes[[#This Row],[id_operacion]],tblEjecucion[id_operacion],tblEjecucion[precio],0))</f>
        <v/>
      </c>
      <c r="AM1024" s="18">
        <f>IF(tblOrdenes[[#This Row],[orden]]="","",MAX(0,_xlfn.XLOOKUP(tblOrdenes[[#This Row],[id_operacion]],tblEjecucion[id_operacion],tblEjecucion[costo_plan_total],0)-tblOrdenes[[#This Row],[costo_servicio]]))</f>
        <v/>
      </c>
      <c r="AN1024" s="18">
        <f>IF(tblOrdenes[[#This Row],[orden]]="","",tblOrdenes[[#This Row],[costo_servicio]]+tblOrdenes[[#This Row],[costo_materiales]])</f>
        <v/>
      </c>
      <c r="AO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5">
        <f>IF(tblOrdenes[[#This Row],[link_checklist]]="","",HYPERLINK(p_ruta_base_checklists&amp;tblOrdenes[[#This Row],[link_checklist]],"abrir"))</f>
        <v/>
      </c>
      <c r="AT1024" s="4" t="n"/>
      <c r="AU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5" t="n"/>
      <c r="K1025" s="5" t="n"/>
      <c r="L1025" s="18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Row],[fecha_inicio]]="","",tblOrdenes[[#This Row],[anio]]&amp;"-"&amp;TEXT(tblOrdenes[[#This Row],[mes]],"00"))</f>
        <v/>
      </c>
      <c r="S1025" s="5">
        <f>IF(tblOrdenes[[#This Row],[fecha_inicio]]="","",INDEX(lista_dias,WEEKDAY(tblOrdenes[[#This Row],[fecha_inicio]],2)))</f>
        <v/>
      </c>
      <c r="T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5">
        <f>IF(tblOrdenes[[#This Row],[tipo_ot]]="","",_xlfn.XLOOKUP(tblOrdenes[[#This Row],[tipo_ot]],tblTiposOT[codigo],tblTiposOT[clasificacion],"sin_clasificar"))</f>
        <v/>
      </c>
      <c r="V10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5">
        <f>IF(tblOrdenes[[#This Row],[centro_costo]]="","",_xlfn.XLOOKUP(tblOrdenes[[#This Row],[centro_costo]],tblCECO[codigo],tblCECO[linea],"(sin catálogo)"))</f>
        <v/>
      </c>
      <c r="Y1025" s="5">
        <f>IF(tblOrdenes[[#This Row],[centro_costo]]="","",_xlfn.XLOOKUP(tblOrdenes[[#This Row],[centro_costo]],tblCECO[codigo],tblCECO[area],"(sin catálogo)"))</f>
        <v/>
      </c>
      <c r="Z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5">
        <f>IF(tblOrdenes[[#This Row],[centro_costo]]="","",_xlfn.XLOOKUP(tblOrdenes[[#This Row],[centro_costo]],tblCECO[codigo],tblCECO[coordinador],"(sin catálogo)"))</f>
        <v/>
      </c>
      <c r="AB1025" s="5">
        <f>IF(tblOrdenes[[#This Row],[puesto_trabajo]]="","",_xlfn.XLOOKUP(tblOrdenes[[#This Row],[puesto_trabajo]],tblPuestos[codigo],tblPuestos[especialidad],"(sin catálogo)"))</f>
        <v/>
      </c>
      <c r="AC1025" s="5">
        <f>IF(tblOrdenes[[#This Row],[cod_actividad]]="","",_xlfn.XLOOKUP(tblOrdenes[[#This Row],[cod_actividad]],tblActividades[codigo],tblActividades[descripcion],"(sin catálogo)"))</f>
        <v/>
      </c>
      <c r="AD1025" s="23">
        <f>IF(tblOrdenes[[#This Row],[fecha_inicio]]="","",TODAY()-tblOrdenes[[#This Row],[fecha_inicio]])</f>
        <v/>
      </c>
      <c r="AE10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5">
        <f>IF(tblOrdenes[[#This Row],[backlog_habiles]]="","",IF(tblOrdenes[[#This Row],[backlog_habiles]]&lt;0,"FUTURO",IF(tblOrdenes[[#This Row],[backlog_habiles]]&gt;p_dias_backlog_max,"BACKLOG","MES CORRIENTE")))</f>
        <v/>
      </c>
      <c r="AG1025" s="5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18">
        <f>IF(tblOrdenes[[#This Row],[orden]]="","",_xlfn.XLOOKUP(tblOrdenes[[#This Row],[id_operacion]],tblEjecucion[id_operacion],tblEjecucion[precio],0))</f>
        <v/>
      </c>
      <c r="AM1025" s="18">
        <f>IF(tblOrdenes[[#This Row],[orden]]="","",MAX(0,_xlfn.XLOOKUP(tblOrdenes[[#This Row],[id_operacion]],tblEjecucion[id_operacion],tblEjecucion[costo_plan_total],0)-tblOrdenes[[#This Row],[costo_servicio]]))</f>
        <v/>
      </c>
      <c r="AN1025" s="18">
        <f>IF(tblOrdenes[[#This Row],[orden]]="","",tblOrdenes[[#This Row],[costo_servicio]]+tblOrdenes[[#This Row],[costo_materiales]])</f>
        <v/>
      </c>
      <c r="AO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5">
        <f>IF(tblOrdenes[[#This Row],[link_checklist]]="","",HYPERLINK(p_ruta_base_checklists&amp;tblOrdenes[[#This Row],[link_checklist]],"abrir"))</f>
        <v/>
      </c>
      <c r="AT1025" s="4" t="n"/>
      <c r="AU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5" t="n"/>
      <c r="K1026" s="5" t="n"/>
      <c r="L1026" s="18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Row],[fecha_inicio]]="","",tblOrdenes[[#This Row],[anio]]&amp;"-"&amp;TEXT(tblOrdenes[[#This Row],[mes]],"00"))</f>
        <v/>
      </c>
      <c r="S1026" s="5">
        <f>IF(tblOrdenes[[#This Row],[fecha_inicio]]="","",INDEX(lista_dias,WEEKDAY(tblOrdenes[[#This Row],[fecha_inicio]],2)))</f>
        <v/>
      </c>
      <c r="T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5">
        <f>IF(tblOrdenes[[#This Row],[tipo_ot]]="","",_xlfn.XLOOKUP(tblOrdenes[[#This Row],[tipo_ot]],tblTiposOT[codigo],tblTiposOT[clasificacion],"sin_clasificar"))</f>
        <v/>
      </c>
      <c r="V10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5">
        <f>IF(tblOrdenes[[#This Row],[centro_costo]]="","",_xlfn.XLOOKUP(tblOrdenes[[#This Row],[centro_costo]],tblCECO[codigo],tblCECO[linea],"(sin catálogo)"))</f>
        <v/>
      </c>
      <c r="Y1026" s="5">
        <f>IF(tblOrdenes[[#This Row],[centro_costo]]="","",_xlfn.XLOOKUP(tblOrdenes[[#This Row],[centro_costo]],tblCECO[codigo],tblCECO[area],"(sin catálogo)"))</f>
        <v/>
      </c>
      <c r="Z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5">
        <f>IF(tblOrdenes[[#This Row],[centro_costo]]="","",_xlfn.XLOOKUP(tblOrdenes[[#This Row],[centro_costo]],tblCECO[codigo],tblCECO[coordinador],"(sin catálogo)"))</f>
        <v/>
      </c>
      <c r="AB1026" s="5">
        <f>IF(tblOrdenes[[#This Row],[puesto_trabajo]]="","",_xlfn.XLOOKUP(tblOrdenes[[#This Row],[puesto_trabajo]],tblPuestos[codigo],tblPuestos[especialidad],"(sin catálogo)"))</f>
        <v/>
      </c>
      <c r="AC1026" s="5">
        <f>IF(tblOrdenes[[#This Row],[cod_actividad]]="","",_xlfn.XLOOKUP(tblOrdenes[[#This Row],[cod_actividad]],tblActividades[codigo],tblActividades[descripcion],"(sin catálogo)"))</f>
        <v/>
      </c>
      <c r="AD1026" s="23">
        <f>IF(tblOrdenes[[#This Row],[fecha_inicio]]="","",TODAY()-tblOrdenes[[#This Row],[fecha_inicio]])</f>
        <v/>
      </c>
      <c r="AE10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5">
        <f>IF(tblOrdenes[[#This Row],[backlog_habiles]]="","",IF(tblOrdenes[[#This Row],[backlog_habiles]]&lt;0,"FUTURO",IF(tblOrdenes[[#This Row],[backlog_habiles]]&gt;p_dias_backlog_max,"BACKLOG","MES CORRIENTE")))</f>
        <v/>
      </c>
      <c r="AG1026" s="5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18">
        <f>IF(tblOrdenes[[#This Row],[orden]]="","",_xlfn.XLOOKUP(tblOrdenes[[#This Row],[id_operacion]],tblEjecucion[id_operacion],tblEjecucion[precio],0))</f>
        <v/>
      </c>
      <c r="AM1026" s="18">
        <f>IF(tblOrdenes[[#This Row],[orden]]="","",MAX(0,_xlfn.XLOOKUP(tblOrdenes[[#This Row],[id_operacion]],tblEjecucion[id_operacion],tblEjecucion[costo_plan_total],0)-tblOrdenes[[#This Row],[costo_servicio]]))</f>
        <v/>
      </c>
      <c r="AN1026" s="18">
        <f>IF(tblOrdenes[[#This Row],[orden]]="","",tblOrdenes[[#This Row],[costo_servicio]]+tblOrdenes[[#This Row],[costo_materiales]])</f>
        <v/>
      </c>
      <c r="AO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5">
        <f>IF(tblOrdenes[[#This Row],[link_checklist]]="","",HYPERLINK(p_ruta_base_checklists&amp;tblOrdenes[[#This Row],[link_checklist]],"abrir"))</f>
        <v/>
      </c>
      <c r="AT1026" s="4" t="n"/>
      <c r="AU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5" t="n"/>
      <c r="K1027" s="5" t="n"/>
      <c r="L1027" s="18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Row],[fecha_inicio]]="","",tblOrdenes[[#This Row],[anio]]&amp;"-"&amp;TEXT(tblOrdenes[[#This Row],[mes]],"00"))</f>
        <v/>
      </c>
      <c r="S1027" s="5">
        <f>IF(tblOrdenes[[#This Row],[fecha_inicio]]="","",INDEX(lista_dias,WEEKDAY(tblOrdenes[[#This Row],[fecha_inicio]],2)))</f>
        <v/>
      </c>
      <c r="T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5">
        <f>IF(tblOrdenes[[#This Row],[tipo_ot]]="","",_xlfn.XLOOKUP(tblOrdenes[[#This Row],[tipo_ot]],tblTiposOT[codigo],tblTiposOT[clasificacion],"sin_clasificar"))</f>
        <v/>
      </c>
      <c r="V10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5">
        <f>IF(tblOrdenes[[#This Row],[centro_costo]]="","",_xlfn.XLOOKUP(tblOrdenes[[#This Row],[centro_costo]],tblCECO[codigo],tblCECO[linea],"(sin catálogo)"))</f>
        <v/>
      </c>
      <c r="Y1027" s="5">
        <f>IF(tblOrdenes[[#This Row],[centro_costo]]="","",_xlfn.XLOOKUP(tblOrdenes[[#This Row],[centro_costo]],tblCECO[codigo],tblCECO[area],"(sin catálogo)"))</f>
        <v/>
      </c>
      <c r="Z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5">
        <f>IF(tblOrdenes[[#This Row],[centro_costo]]="","",_xlfn.XLOOKUP(tblOrdenes[[#This Row],[centro_costo]],tblCECO[codigo],tblCECO[coordinador],"(sin catálogo)"))</f>
        <v/>
      </c>
      <c r="AB1027" s="5">
        <f>IF(tblOrdenes[[#This Row],[puesto_trabajo]]="","",_xlfn.XLOOKUP(tblOrdenes[[#This Row],[puesto_trabajo]],tblPuestos[codigo],tblPuestos[especialidad],"(sin catálogo)"))</f>
        <v/>
      </c>
      <c r="AC1027" s="5">
        <f>IF(tblOrdenes[[#This Row],[cod_actividad]]="","",_xlfn.XLOOKUP(tblOrdenes[[#This Row],[cod_actividad]],tblActividades[codigo],tblActividades[descripcion],"(sin catálogo)"))</f>
        <v/>
      </c>
      <c r="AD1027" s="23">
        <f>IF(tblOrdenes[[#This Row],[fecha_inicio]]="","",TODAY()-tblOrdenes[[#This Row],[fecha_inicio]])</f>
        <v/>
      </c>
      <c r="AE10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5">
        <f>IF(tblOrdenes[[#This Row],[backlog_habiles]]="","",IF(tblOrdenes[[#This Row],[backlog_habiles]]&lt;0,"FUTURO",IF(tblOrdenes[[#This Row],[backlog_habiles]]&gt;p_dias_backlog_max,"BACKLOG","MES CORRIENTE")))</f>
        <v/>
      </c>
      <c r="AG1027" s="5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18">
        <f>IF(tblOrdenes[[#This Row],[orden]]="","",_xlfn.XLOOKUP(tblOrdenes[[#This Row],[id_operacion]],tblEjecucion[id_operacion],tblEjecucion[precio],0))</f>
        <v/>
      </c>
      <c r="AM1027" s="18">
        <f>IF(tblOrdenes[[#This Row],[orden]]="","",MAX(0,_xlfn.XLOOKUP(tblOrdenes[[#This Row],[id_operacion]],tblEjecucion[id_operacion],tblEjecucion[costo_plan_total],0)-tblOrdenes[[#This Row],[costo_servicio]]))</f>
        <v/>
      </c>
      <c r="AN1027" s="18">
        <f>IF(tblOrdenes[[#This Row],[orden]]="","",tblOrdenes[[#This Row],[costo_servicio]]+tblOrdenes[[#This Row],[costo_materiales]])</f>
        <v/>
      </c>
      <c r="AO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5">
        <f>IF(tblOrdenes[[#This Row],[link_checklist]]="","",HYPERLINK(p_ruta_base_checklists&amp;tblOrdenes[[#This Row],[link_checklist]],"abrir"))</f>
        <v/>
      </c>
      <c r="AT1027" s="4" t="n"/>
      <c r="AU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5" t="n"/>
      <c r="K1028" s="5" t="n"/>
      <c r="L1028" s="18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Row],[fecha_inicio]]="","",tblOrdenes[[#This Row],[anio]]&amp;"-"&amp;TEXT(tblOrdenes[[#This Row],[mes]],"00"))</f>
        <v/>
      </c>
      <c r="S1028" s="5">
        <f>IF(tblOrdenes[[#This Row],[fecha_inicio]]="","",INDEX(lista_dias,WEEKDAY(tblOrdenes[[#This Row],[fecha_inicio]],2)))</f>
        <v/>
      </c>
      <c r="T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5">
        <f>IF(tblOrdenes[[#This Row],[tipo_ot]]="","",_xlfn.XLOOKUP(tblOrdenes[[#This Row],[tipo_ot]],tblTiposOT[codigo],tblTiposOT[clasificacion],"sin_clasificar"))</f>
        <v/>
      </c>
      <c r="V10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5">
        <f>IF(tblOrdenes[[#This Row],[centro_costo]]="","",_xlfn.XLOOKUP(tblOrdenes[[#This Row],[centro_costo]],tblCECO[codigo],tblCECO[linea],"(sin catálogo)"))</f>
        <v/>
      </c>
      <c r="Y1028" s="5">
        <f>IF(tblOrdenes[[#This Row],[centro_costo]]="","",_xlfn.XLOOKUP(tblOrdenes[[#This Row],[centro_costo]],tblCECO[codigo],tblCECO[area],"(sin catálogo)"))</f>
        <v/>
      </c>
      <c r="Z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5">
        <f>IF(tblOrdenes[[#This Row],[centro_costo]]="","",_xlfn.XLOOKUP(tblOrdenes[[#This Row],[centro_costo]],tblCECO[codigo],tblCECO[coordinador],"(sin catálogo)"))</f>
        <v/>
      </c>
      <c r="AB1028" s="5">
        <f>IF(tblOrdenes[[#This Row],[puesto_trabajo]]="","",_xlfn.XLOOKUP(tblOrdenes[[#This Row],[puesto_trabajo]],tblPuestos[codigo],tblPuestos[especialidad],"(sin catálogo)"))</f>
        <v/>
      </c>
      <c r="AC1028" s="5">
        <f>IF(tblOrdenes[[#This Row],[cod_actividad]]="","",_xlfn.XLOOKUP(tblOrdenes[[#This Row],[cod_actividad]],tblActividades[codigo],tblActividades[descripcion],"(sin catálogo)"))</f>
        <v/>
      </c>
      <c r="AD1028" s="23">
        <f>IF(tblOrdenes[[#This Row],[fecha_inicio]]="","",TODAY()-tblOrdenes[[#This Row],[fecha_inicio]])</f>
        <v/>
      </c>
      <c r="AE10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5">
        <f>IF(tblOrdenes[[#This Row],[backlog_habiles]]="","",IF(tblOrdenes[[#This Row],[backlog_habiles]]&lt;0,"FUTURO",IF(tblOrdenes[[#This Row],[backlog_habiles]]&gt;p_dias_backlog_max,"BACKLOG","MES CORRIENTE")))</f>
        <v/>
      </c>
      <c r="AG1028" s="5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18">
        <f>IF(tblOrdenes[[#This Row],[orden]]="","",_xlfn.XLOOKUP(tblOrdenes[[#This Row],[id_operacion]],tblEjecucion[id_operacion],tblEjecucion[precio],0))</f>
        <v/>
      </c>
      <c r="AM1028" s="18">
        <f>IF(tblOrdenes[[#This Row],[orden]]="","",MAX(0,_xlfn.XLOOKUP(tblOrdenes[[#This Row],[id_operacion]],tblEjecucion[id_operacion],tblEjecucion[costo_plan_total],0)-tblOrdenes[[#This Row],[costo_servicio]]))</f>
        <v/>
      </c>
      <c r="AN1028" s="18">
        <f>IF(tblOrdenes[[#This Row],[orden]]="","",tblOrdenes[[#This Row],[costo_servicio]]+tblOrdenes[[#This Row],[costo_materiales]])</f>
        <v/>
      </c>
      <c r="AO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5">
        <f>IF(tblOrdenes[[#This Row],[link_checklist]]="","",HYPERLINK(p_ruta_base_checklists&amp;tblOrdenes[[#This Row],[link_checklist]],"abrir"))</f>
        <v/>
      </c>
      <c r="AT1028" s="4" t="n"/>
      <c r="AU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5" t="n"/>
      <c r="K1029" s="5" t="n"/>
      <c r="L1029" s="18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Row],[fecha_inicio]]="","",tblOrdenes[[#This Row],[anio]]&amp;"-"&amp;TEXT(tblOrdenes[[#This Row],[mes]],"00"))</f>
        <v/>
      </c>
      <c r="S1029" s="5">
        <f>IF(tblOrdenes[[#This Row],[fecha_inicio]]="","",INDEX(lista_dias,WEEKDAY(tblOrdenes[[#This Row],[fecha_inicio]],2)))</f>
        <v/>
      </c>
      <c r="T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5">
        <f>IF(tblOrdenes[[#This Row],[tipo_ot]]="","",_xlfn.XLOOKUP(tblOrdenes[[#This Row],[tipo_ot]],tblTiposOT[codigo],tblTiposOT[clasificacion],"sin_clasificar"))</f>
        <v/>
      </c>
      <c r="V10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5">
        <f>IF(tblOrdenes[[#This Row],[centro_costo]]="","",_xlfn.XLOOKUP(tblOrdenes[[#This Row],[centro_costo]],tblCECO[codigo],tblCECO[linea],"(sin catálogo)"))</f>
        <v/>
      </c>
      <c r="Y1029" s="5">
        <f>IF(tblOrdenes[[#This Row],[centro_costo]]="","",_xlfn.XLOOKUP(tblOrdenes[[#This Row],[centro_costo]],tblCECO[codigo],tblCECO[area],"(sin catálogo)"))</f>
        <v/>
      </c>
      <c r="Z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5">
        <f>IF(tblOrdenes[[#This Row],[centro_costo]]="","",_xlfn.XLOOKUP(tblOrdenes[[#This Row],[centro_costo]],tblCECO[codigo],tblCECO[coordinador],"(sin catálogo)"))</f>
        <v/>
      </c>
      <c r="AB1029" s="5">
        <f>IF(tblOrdenes[[#This Row],[puesto_trabajo]]="","",_xlfn.XLOOKUP(tblOrdenes[[#This Row],[puesto_trabajo]],tblPuestos[codigo],tblPuestos[especialidad],"(sin catálogo)"))</f>
        <v/>
      </c>
      <c r="AC1029" s="5">
        <f>IF(tblOrdenes[[#This Row],[cod_actividad]]="","",_xlfn.XLOOKUP(tblOrdenes[[#This Row],[cod_actividad]],tblActividades[codigo],tblActividades[descripcion],"(sin catálogo)"))</f>
        <v/>
      </c>
      <c r="AD1029" s="23">
        <f>IF(tblOrdenes[[#This Row],[fecha_inicio]]="","",TODAY()-tblOrdenes[[#This Row],[fecha_inicio]])</f>
        <v/>
      </c>
      <c r="AE10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5">
        <f>IF(tblOrdenes[[#This Row],[backlog_habiles]]="","",IF(tblOrdenes[[#This Row],[backlog_habiles]]&lt;0,"FUTURO",IF(tblOrdenes[[#This Row],[backlog_habiles]]&gt;p_dias_backlog_max,"BACKLOG","MES CORRIENTE")))</f>
        <v/>
      </c>
      <c r="AG1029" s="5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18">
        <f>IF(tblOrdenes[[#This Row],[orden]]="","",_xlfn.XLOOKUP(tblOrdenes[[#This Row],[id_operacion]],tblEjecucion[id_operacion],tblEjecucion[precio],0))</f>
        <v/>
      </c>
      <c r="AM1029" s="18">
        <f>IF(tblOrdenes[[#This Row],[orden]]="","",MAX(0,_xlfn.XLOOKUP(tblOrdenes[[#This Row],[id_operacion]],tblEjecucion[id_operacion],tblEjecucion[costo_plan_total],0)-tblOrdenes[[#This Row],[costo_servicio]]))</f>
        <v/>
      </c>
      <c r="AN1029" s="18">
        <f>IF(tblOrdenes[[#This Row],[orden]]="","",tblOrdenes[[#This Row],[costo_servicio]]+tblOrdenes[[#This Row],[costo_materiales]])</f>
        <v/>
      </c>
      <c r="AO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5">
        <f>IF(tblOrdenes[[#This Row],[link_checklist]]="","",HYPERLINK(p_ruta_base_checklists&amp;tblOrdenes[[#This Row],[link_checklist]],"abrir"))</f>
        <v/>
      </c>
      <c r="AT1029" s="4" t="n"/>
      <c r="AU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5" t="n"/>
      <c r="K1030" s="5" t="n"/>
      <c r="L1030" s="18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Row],[fecha_inicio]]="","",tblOrdenes[[#This Row],[anio]]&amp;"-"&amp;TEXT(tblOrdenes[[#This Row],[mes]],"00"))</f>
        <v/>
      </c>
      <c r="S1030" s="5">
        <f>IF(tblOrdenes[[#This Row],[fecha_inicio]]="","",INDEX(lista_dias,WEEKDAY(tblOrdenes[[#This Row],[fecha_inicio]],2)))</f>
        <v/>
      </c>
      <c r="T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5">
        <f>IF(tblOrdenes[[#This Row],[tipo_ot]]="","",_xlfn.XLOOKUP(tblOrdenes[[#This Row],[tipo_ot]],tblTiposOT[codigo],tblTiposOT[clasificacion],"sin_clasificar"))</f>
        <v/>
      </c>
      <c r="V10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5">
        <f>IF(tblOrdenes[[#This Row],[centro_costo]]="","",_xlfn.XLOOKUP(tblOrdenes[[#This Row],[centro_costo]],tblCECO[codigo],tblCECO[linea],"(sin catálogo)"))</f>
        <v/>
      </c>
      <c r="Y1030" s="5">
        <f>IF(tblOrdenes[[#This Row],[centro_costo]]="","",_xlfn.XLOOKUP(tblOrdenes[[#This Row],[centro_costo]],tblCECO[codigo],tblCECO[area],"(sin catálogo)"))</f>
        <v/>
      </c>
      <c r="Z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5">
        <f>IF(tblOrdenes[[#This Row],[centro_costo]]="","",_xlfn.XLOOKUP(tblOrdenes[[#This Row],[centro_costo]],tblCECO[codigo],tblCECO[coordinador],"(sin catálogo)"))</f>
        <v/>
      </c>
      <c r="AB1030" s="5">
        <f>IF(tblOrdenes[[#This Row],[puesto_trabajo]]="","",_xlfn.XLOOKUP(tblOrdenes[[#This Row],[puesto_trabajo]],tblPuestos[codigo],tblPuestos[especialidad],"(sin catálogo)"))</f>
        <v/>
      </c>
      <c r="AC1030" s="5">
        <f>IF(tblOrdenes[[#This Row],[cod_actividad]]="","",_xlfn.XLOOKUP(tblOrdenes[[#This Row],[cod_actividad]],tblActividades[codigo],tblActividades[descripcion],"(sin catálogo)"))</f>
        <v/>
      </c>
      <c r="AD1030" s="23">
        <f>IF(tblOrdenes[[#This Row],[fecha_inicio]]="","",TODAY()-tblOrdenes[[#This Row],[fecha_inicio]])</f>
        <v/>
      </c>
      <c r="AE10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5">
        <f>IF(tblOrdenes[[#This Row],[backlog_habiles]]="","",IF(tblOrdenes[[#This Row],[backlog_habiles]]&lt;0,"FUTURO",IF(tblOrdenes[[#This Row],[backlog_habiles]]&gt;p_dias_backlog_max,"BACKLOG","MES CORRIENTE")))</f>
        <v/>
      </c>
      <c r="AG1030" s="5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18">
        <f>IF(tblOrdenes[[#This Row],[orden]]="","",_xlfn.XLOOKUP(tblOrdenes[[#This Row],[id_operacion]],tblEjecucion[id_operacion],tblEjecucion[precio],0))</f>
        <v/>
      </c>
      <c r="AM1030" s="18">
        <f>IF(tblOrdenes[[#This Row],[orden]]="","",MAX(0,_xlfn.XLOOKUP(tblOrdenes[[#This Row],[id_operacion]],tblEjecucion[id_operacion],tblEjecucion[costo_plan_total],0)-tblOrdenes[[#This Row],[costo_servicio]]))</f>
        <v/>
      </c>
      <c r="AN1030" s="18">
        <f>IF(tblOrdenes[[#This Row],[orden]]="","",tblOrdenes[[#This Row],[costo_servicio]]+tblOrdenes[[#This Row],[costo_materiales]])</f>
        <v/>
      </c>
      <c r="AO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5">
        <f>IF(tblOrdenes[[#This Row],[link_checklist]]="","",HYPERLINK(p_ruta_base_checklists&amp;tblOrdenes[[#This Row],[link_checklist]],"abrir"))</f>
        <v/>
      </c>
      <c r="AT1030" s="4" t="n"/>
      <c r="AU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5" t="n"/>
      <c r="K1031" s="5" t="n"/>
      <c r="L1031" s="18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Row],[fecha_inicio]]="","",tblOrdenes[[#This Row],[anio]]&amp;"-"&amp;TEXT(tblOrdenes[[#This Row],[mes]],"00"))</f>
        <v/>
      </c>
      <c r="S1031" s="5">
        <f>IF(tblOrdenes[[#This Row],[fecha_inicio]]="","",INDEX(lista_dias,WEEKDAY(tblOrdenes[[#This Row],[fecha_inicio]],2)))</f>
        <v/>
      </c>
      <c r="T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5">
        <f>IF(tblOrdenes[[#This Row],[tipo_ot]]="","",_xlfn.XLOOKUP(tblOrdenes[[#This Row],[tipo_ot]],tblTiposOT[codigo],tblTiposOT[clasificacion],"sin_clasificar"))</f>
        <v/>
      </c>
      <c r="V10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5">
        <f>IF(tblOrdenes[[#This Row],[centro_costo]]="","",_xlfn.XLOOKUP(tblOrdenes[[#This Row],[centro_costo]],tblCECO[codigo],tblCECO[linea],"(sin catálogo)"))</f>
        <v/>
      </c>
      <c r="Y1031" s="5">
        <f>IF(tblOrdenes[[#This Row],[centro_costo]]="","",_xlfn.XLOOKUP(tblOrdenes[[#This Row],[centro_costo]],tblCECO[codigo],tblCECO[area],"(sin catálogo)"))</f>
        <v/>
      </c>
      <c r="Z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5">
        <f>IF(tblOrdenes[[#This Row],[centro_costo]]="","",_xlfn.XLOOKUP(tblOrdenes[[#This Row],[centro_costo]],tblCECO[codigo],tblCECO[coordinador],"(sin catálogo)"))</f>
        <v/>
      </c>
      <c r="AB1031" s="5">
        <f>IF(tblOrdenes[[#This Row],[puesto_trabajo]]="","",_xlfn.XLOOKUP(tblOrdenes[[#This Row],[puesto_trabajo]],tblPuestos[codigo],tblPuestos[especialidad],"(sin catálogo)"))</f>
        <v/>
      </c>
      <c r="AC1031" s="5">
        <f>IF(tblOrdenes[[#This Row],[cod_actividad]]="","",_xlfn.XLOOKUP(tblOrdenes[[#This Row],[cod_actividad]],tblActividades[codigo],tblActividades[descripcion],"(sin catálogo)"))</f>
        <v/>
      </c>
      <c r="AD1031" s="23">
        <f>IF(tblOrdenes[[#This Row],[fecha_inicio]]="","",TODAY()-tblOrdenes[[#This Row],[fecha_inicio]])</f>
        <v/>
      </c>
      <c r="AE10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5">
        <f>IF(tblOrdenes[[#This Row],[backlog_habiles]]="","",IF(tblOrdenes[[#This Row],[backlog_habiles]]&lt;0,"FUTURO",IF(tblOrdenes[[#This Row],[backlog_habiles]]&gt;p_dias_backlog_max,"BACKLOG","MES CORRIENTE")))</f>
        <v/>
      </c>
      <c r="AG1031" s="5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18">
        <f>IF(tblOrdenes[[#This Row],[orden]]="","",_xlfn.XLOOKUP(tblOrdenes[[#This Row],[id_operacion]],tblEjecucion[id_operacion],tblEjecucion[precio],0))</f>
        <v/>
      </c>
      <c r="AM1031" s="18">
        <f>IF(tblOrdenes[[#This Row],[orden]]="","",MAX(0,_xlfn.XLOOKUP(tblOrdenes[[#This Row],[id_operacion]],tblEjecucion[id_operacion],tblEjecucion[costo_plan_total],0)-tblOrdenes[[#This Row],[costo_servicio]]))</f>
        <v/>
      </c>
      <c r="AN1031" s="18">
        <f>IF(tblOrdenes[[#This Row],[orden]]="","",tblOrdenes[[#This Row],[costo_servicio]]+tblOrdenes[[#This Row],[costo_materiales]])</f>
        <v/>
      </c>
      <c r="AO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5">
        <f>IF(tblOrdenes[[#This Row],[link_checklist]]="","",HYPERLINK(p_ruta_base_checklists&amp;tblOrdenes[[#This Row],[link_checklist]],"abrir"))</f>
        <v/>
      </c>
      <c r="AT1031" s="4" t="n"/>
      <c r="AU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5" t="n"/>
      <c r="K1032" s="5" t="n"/>
      <c r="L1032" s="18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Row],[fecha_inicio]]="","",tblOrdenes[[#This Row],[anio]]&amp;"-"&amp;TEXT(tblOrdenes[[#This Row],[mes]],"00"))</f>
        <v/>
      </c>
      <c r="S1032" s="5">
        <f>IF(tblOrdenes[[#This Row],[fecha_inicio]]="","",INDEX(lista_dias,WEEKDAY(tblOrdenes[[#This Row],[fecha_inicio]],2)))</f>
        <v/>
      </c>
      <c r="T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5">
        <f>IF(tblOrdenes[[#This Row],[tipo_ot]]="","",_xlfn.XLOOKUP(tblOrdenes[[#This Row],[tipo_ot]],tblTiposOT[codigo],tblTiposOT[clasificacion],"sin_clasificar"))</f>
        <v/>
      </c>
      <c r="V10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5">
        <f>IF(tblOrdenes[[#This Row],[centro_costo]]="","",_xlfn.XLOOKUP(tblOrdenes[[#This Row],[centro_costo]],tblCECO[codigo],tblCECO[linea],"(sin catálogo)"))</f>
        <v/>
      </c>
      <c r="Y1032" s="5">
        <f>IF(tblOrdenes[[#This Row],[centro_costo]]="","",_xlfn.XLOOKUP(tblOrdenes[[#This Row],[centro_costo]],tblCECO[codigo],tblCECO[area],"(sin catálogo)"))</f>
        <v/>
      </c>
      <c r="Z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5">
        <f>IF(tblOrdenes[[#This Row],[centro_costo]]="","",_xlfn.XLOOKUP(tblOrdenes[[#This Row],[centro_costo]],tblCECO[codigo],tblCECO[coordinador],"(sin catálogo)"))</f>
        <v/>
      </c>
      <c r="AB1032" s="5">
        <f>IF(tblOrdenes[[#This Row],[puesto_trabajo]]="","",_xlfn.XLOOKUP(tblOrdenes[[#This Row],[puesto_trabajo]],tblPuestos[codigo],tblPuestos[especialidad],"(sin catálogo)"))</f>
        <v/>
      </c>
      <c r="AC1032" s="5">
        <f>IF(tblOrdenes[[#This Row],[cod_actividad]]="","",_xlfn.XLOOKUP(tblOrdenes[[#This Row],[cod_actividad]],tblActividades[codigo],tblActividades[descripcion],"(sin catálogo)"))</f>
        <v/>
      </c>
      <c r="AD1032" s="23">
        <f>IF(tblOrdenes[[#This Row],[fecha_inicio]]="","",TODAY()-tblOrdenes[[#This Row],[fecha_inicio]])</f>
        <v/>
      </c>
      <c r="AE10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5">
        <f>IF(tblOrdenes[[#This Row],[backlog_habiles]]="","",IF(tblOrdenes[[#This Row],[backlog_habiles]]&lt;0,"FUTURO",IF(tblOrdenes[[#This Row],[backlog_habiles]]&gt;p_dias_backlog_max,"BACKLOG","MES CORRIENTE")))</f>
        <v/>
      </c>
      <c r="AG1032" s="5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18">
        <f>IF(tblOrdenes[[#This Row],[orden]]="","",_xlfn.XLOOKUP(tblOrdenes[[#This Row],[id_operacion]],tblEjecucion[id_operacion],tblEjecucion[precio],0))</f>
        <v/>
      </c>
      <c r="AM1032" s="18">
        <f>IF(tblOrdenes[[#This Row],[orden]]="","",MAX(0,_xlfn.XLOOKUP(tblOrdenes[[#This Row],[id_operacion]],tblEjecucion[id_operacion],tblEjecucion[costo_plan_total],0)-tblOrdenes[[#This Row],[costo_servicio]]))</f>
        <v/>
      </c>
      <c r="AN1032" s="18">
        <f>IF(tblOrdenes[[#This Row],[orden]]="","",tblOrdenes[[#This Row],[costo_servicio]]+tblOrdenes[[#This Row],[costo_materiales]])</f>
        <v/>
      </c>
      <c r="AO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5">
        <f>IF(tblOrdenes[[#This Row],[link_checklist]]="","",HYPERLINK(p_ruta_base_checklists&amp;tblOrdenes[[#This Row],[link_checklist]],"abrir"))</f>
        <v/>
      </c>
      <c r="AT1032" s="4" t="n"/>
      <c r="AU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5" t="n"/>
      <c r="K1033" s="5" t="n"/>
      <c r="L1033" s="18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Row],[fecha_inicio]]="","",tblOrdenes[[#This Row],[anio]]&amp;"-"&amp;TEXT(tblOrdenes[[#This Row],[mes]],"00"))</f>
        <v/>
      </c>
      <c r="S1033" s="5">
        <f>IF(tblOrdenes[[#This Row],[fecha_inicio]]="","",INDEX(lista_dias,WEEKDAY(tblOrdenes[[#This Row],[fecha_inicio]],2)))</f>
        <v/>
      </c>
      <c r="T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5">
        <f>IF(tblOrdenes[[#This Row],[tipo_ot]]="","",_xlfn.XLOOKUP(tblOrdenes[[#This Row],[tipo_ot]],tblTiposOT[codigo],tblTiposOT[clasificacion],"sin_clasificar"))</f>
        <v/>
      </c>
      <c r="V10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5">
        <f>IF(tblOrdenes[[#This Row],[centro_costo]]="","",_xlfn.XLOOKUP(tblOrdenes[[#This Row],[centro_costo]],tblCECO[codigo],tblCECO[linea],"(sin catálogo)"))</f>
        <v/>
      </c>
      <c r="Y1033" s="5">
        <f>IF(tblOrdenes[[#This Row],[centro_costo]]="","",_xlfn.XLOOKUP(tblOrdenes[[#This Row],[centro_costo]],tblCECO[codigo],tblCECO[area],"(sin catálogo)"))</f>
        <v/>
      </c>
      <c r="Z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5">
        <f>IF(tblOrdenes[[#This Row],[centro_costo]]="","",_xlfn.XLOOKUP(tblOrdenes[[#This Row],[centro_costo]],tblCECO[codigo],tblCECO[coordinador],"(sin catálogo)"))</f>
        <v/>
      </c>
      <c r="AB1033" s="5">
        <f>IF(tblOrdenes[[#This Row],[puesto_trabajo]]="","",_xlfn.XLOOKUP(tblOrdenes[[#This Row],[puesto_trabajo]],tblPuestos[codigo],tblPuestos[especialidad],"(sin catálogo)"))</f>
        <v/>
      </c>
      <c r="AC1033" s="5">
        <f>IF(tblOrdenes[[#This Row],[cod_actividad]]="","",_xlfn.XLOOKUP(tblOrdenes[[#This Row],[cod_actividad]],tblActividades[codigo],tblActividades[descripcion],"(sin catálogo)"))</f>
        <v/>
      </c>
      <c r="AD1033" s="23">
        <f>IF(tblOrdenes[[#This Row],[fecha_inicio]]="","",TODAY()-tblOrdenes[[#This Row],[fecha_inicio]])</f>
        <v/>
      </c>
      <c r="AE10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5">
        <f>IF(tblOrdenes[[#This Row],[backlog_habiles]]="","",IF(tblOrdenes[[#This Row],[backlog_habiles]]&lt;0,"FUTURO",IF(tblOrdenes[[#This Row],[backlog_habiles]]&gt;p_dias_backlog_max,"BACKLOG","MES CORRIENTE")))</f>
        <v/>
      </c>
      <c r="AG1033" s="5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18">
        <f>IF(tblOrdenes[[#This Row],[orden]]="","",_xlfn.XLOOKUP(tblOrdenes[[#This Row],[id_operacion]],tblEjecucion[id_operacion],tblEjecucion[precio],0))</f>
        <v/>
      </c>
      <c r="AM1033" s="18">
        <f>IF(tblOrdenes[[#This Row],[orden]]="","",MAX(0,_xlfn.XLOOKUP(tblOrdenes[[#This Row],[id_operacion]],tblEjecucion[id_operacion],tblEjecucion[costo_plan_total],0)-tblOrdenes[[#This Row],[costo_servicio]]))</f>
        <v/>
      </c>
      <c r="AN1033" s="18">
        <f>IF(tblOrdenes[[#This Row],[orden]]="","",tblOrdenes[[#This Row],[costo_servicio]]+tblOrdenes[[#This Row],[costo_materiales]])</f>
        <v/>
      </c>
      <c r="AO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5">
        <f>IF(tblOrdenes[[#This Row],[link_checklist]]="","",HYPERLINK(p_ruta_base_checklists&amp;tblOrdenes[[#This Row],[link_checklist]],"abrir"))</f>
        <v/>
      </c>
      <c r="AT1033" s="4" t="n"/>
      <c r="AU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5" t="n"/>
      <c r="K1034" s="5" t="n"/>
      <c r="L1034" s="18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Row],[fecha_inicio]]="","",tblOrdenes[[#This Row],[anio]]&amp;"-"&amp;TEXT(tblOrdenes[[#This Row],[mes]],"00"))</f>
        <v/>
      </c>
      <c r="S1034" s="5">
        <f>IF(tblOrdenes[[#This Row],[fecha_inicio]]="","",INDEX(lista_dias,WEEKDAY(tblOrdenes[[#This Row],[fecha_inicio]],2)))</f>
        <v/>
      </c>
      <c r="T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5">
        <f>IF(tblOrdenes[[#This Row],[tipo_ot]]="","",_xlfn.XLOOKUP(tblOrdenes[[#This Row],[tipo_ot]],tblTiposOT[codigo],tblTiposOT[clasificacion],"sin_clasificar"))</f>
        <v/>
      </c>
      <c r="V10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5">
        <f>IF(tblOrdenes[[#This Row],[centro_costo]]="","",_xlfn.XLOOKUP(tblOrdenes[[#This Row],[centro_costo]],tblCECO[codigo],tblCECO[linea],"(sin catálogo)"))</f>
        <v/>
      </c>
      <c r="Y1034" s="5">
        <f>IF(tblOrdenes[[#This Row],[centro_costo]]="","",_xlfn.XLOOKUP(tblOrdenes[[#This Row],[centro_costo]],tblCECO[codigo],tblCECO[area],"(sin catálogo)"))</f>
        <v/>
      </c>
      <c r="Z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5">
        <f>IF(tblOrdenes[[#This Row],[centro_costo]]="","",_xlfn.XLOOKUP(tblOrdenes[[#This Row],[centro_costo]],tblCECO[codigo],tblCECO[coordinador],"(sin catálogo)"))</f>
        <v/>
      </c>
      <c r="AB1034" s="5">
        <f>IF(tblOrdenes[[#This Row],[puesto_trabajo]]="","",_xlfn.XLOOKUP(tblOrdenes[[#This Row],[puesto_trabajo]],tblPuestos[codigo],tblPuestos[especialidad],"(sin catálogo)"))</f>
        <v/>
      </c>
      <c r="AC1034" s="5">
        <f>IF(tblOrdenes[[#This Row],[cod_actividad]]="","",_xlfn.XLOOKUP(tblOrdenes[[#This Row],[cod_actividad]],tblActividades[codigo],tblActividades[descripcion],"(sin catálogo)"))</f>
        <v/>
      </c>
      <c r="AD1034" s="23">
        <f>IF(tblOrdenes[[#This Row],[fecha_inicio]]="","",TODAY()-tblOrdenes[[#This Row],[fecha_inicio]])</f>
        <v/>
      </c>
      <c r="AE10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5">
        <f>IF(tblOrdenes[[#This Row],[backlog_habiles]]="","",IF(tblOrdenes[[#This Row],[backlog_habiles]]&lt;0,"FUTURO",IF(tblOrdenes[[#This Row],[backlog_habiles]]&gt;p_dias_backlog_max,"BACKLOG","MES CORRIENTE")))</f>
        <v/>
      </c>
      <c r="AG1034" s="5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18">
        <f>IF(tblOrdenes[[#This Row],[orden]]="","",_xlfn.XLOOKUP(tblOrdenes[[#This Row],[id_operacion]],tblEjecucion[id_operacion],tblEjecucion[precio],0))</f>
        <v/>
      </c>
      <c r="AM1034" s="18">
        <f>IF(tblOrdenes[[#This Row],[orden]]="","",MAX(0,_xlfn.XLOOKUP(tblOrdenes[[#This Row],[id_operacion]],tblEjecucion[id_operacion],tblEjecucion[costo_plan_total],0)-tblOrdenes[[#This Row],[costo_servicio]]))</f>
        <v/>
      </c>
      <c r="AN1034" s="18">
        <f>IF(tblOrdenes[[#This Row],[orden]]="","",tblOrdenes[[#This Row],[costo_servicio]]+tblOrdenes[[#This Row],[costo_materiales]])</f>
        <v/>
      </c>
      <c r="AO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5">
        <f>IF(tblOrdenes[[#This Row],[link_checklist]]="","",HYPERLINK(p_ruta_base_checklists&amp;tblOrdenes[[#This Row],[link_checklist]],"abrir"))</f>
        <v/>
      </c>
      <c r="AT1034" s="4" t="n"/>
      <c r="AU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5" t="n"/>
      <c r="K1035" s="5" t="n"/>
      <c r="L1035" s="18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Row],[fecha_inicio]]="","",tblOrdenes[[#This Row],[anio]]&amp;"-"&amp;TEXT(tblOrdenes[[#This Row],[mes]],"00"))</f>
        <v/>
      </c>
      <c r="S1035" s="5">
        <f>IF(tblOrdenes[[#This Row],[fecha_inicio]]="","",INDEX(lista_dias,WEEKDAY(tblOrdenes[[#This Row],[fecha_inicio]],2)))</f>
        <v/>
      </c>
      <c r="T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5">
        <f>IF(tblOrdenes[[#This Row],[tipo_ot]]="","",_xlfn.XLOOKUP(tblOrdenes[[#This Row],[tipo_ot]],tblTiposOT[codigo],tblTiposOT[clasificacion],"sin_clasificar"))</f>
        <v/>
      </c>
      <c r="V10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5">
        <f>IF(tblOrdenes[[#This Row],[centro_costo]]="","",_xlfn.XLOOKUP(tblOrdenes[[#This Row],[centro_costo]],tblCECO[codigo],tblCECO[linea],"(sin catálogo)"))</f>
        <v/>
      </c>
      <c r="Y1035" s="5">
        <f>IF(tblOrdenes[[#This Row],[centro_costo]]="","",_xlfn.XLOOKUP(tblOrdenes[[#This Row],[centro_costo]],tblCECO[codigo],tblCECO[area],"(sin catálogo)"))</f>
        <v/>
      </c>
      <c r="Z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5">
        <f>IF(tblOrdenes[[#This Row],[centro_costo]]="","",_xlfn.XLOOKUP(tblOrdenes[[#This Row],[centro_costo]],tblCECO[codigo],tblCECO[coordinador],"(sin catálogo)"))</f>
        <v/>
      </c>
      <c r="AB1035" s="5">
        <f>IF(tblOrdenes[[#This Row],[puesto_trabajo]]="","",_xlfn.XLOOKUP(tblOrdenes[[#This Row],[puesto_trabajo]],tblPuestos[codigo],tblPuestos[especialidad],"(sin catálogo)"))</f>
        <v/>
      </c>
      <c r="AC1035" s="5">
        <f>IF(tblOrdenes[[#This Row],[cod_actividad]]="","",_xlfn.XLOOKUP(tblOrdenes[[#This Row],[cod_actividad]],tblActividades[codigo],tblActividades[descripcion],"(sin catálogo)"))</f>
        <v/>
      </c>
      <c r="AD1035" s="23">
        <f>IF(tblOrdenes[[#This Row],[fecha_inicio]]="","",TODAY()-tblOrdenes[[#This Row],[fecha_inicio]])</f>
        <v/>
      </c>
      <c r="AE10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5">
        <f>IF(tblOrdenes[[#This Row],[backlog_habiles]]="","",IF(tblOrdenes[[#This Row],[backlog_habiles]]&lt;0,"FUTURO",IF(tblOrdenes[[#This Row],[backlog_habiles]]&gt;p_dias_backlog_max,"BACKLOG","MES CORRIENTE")))</f>
        <v/>
      </c>
      <c r="AG1035" s="5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18">
        <f>IF(tblOrdenes[[#This Row],[orden]]="","",_xlfn.XLOOKUP(tblOrdenes[[#This Row],[id_operacion]],tblEjecucion[id_operacion],tblEjecucion[precio],0))</f>
        <v/>
      </c>
      <c r="AM1035" s="18">
        <f>IF(tblOrdenes[[#This Row],[orden]]="","",MAX(0,_xlfn.XLOOKUP(tblOrdenes[[#This Row],[id_operacion]],tblEjecucion[id_operacion],tblEjecucion[costo_plan_total],0)-tblOrdenes[[#This Row],[costo_servicio]]))</f>
        <v/>
      </c>
      <c r="AN1035" s="18">
        <f>IF(tblOrdenes[[#This Row],[orden]]="","",tblOrdenes[[#This Row],[costo_servicio]]+tblOrdenes[[#This Row],[costo_materiales]])</f>
        <v/>
      </c>
      <c r="AO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5">
        <f>IF(tblOrdenes[[#This Row],[link_checklist]]="","",HYPERLINK(p_ruta_base_checklists&amp;tblOrdenes[[#This Row],[link_checklist]],"abrir"))</f>
        <v/>
      </c>
      <c r="AT1035" s="4" t="n"/>
      <c r="AU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5" t="n"/>
      <c r="K1036" s="5" t="n"/>
      <c r="L1036" s="18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Row],[fecha_inicio]]="","",tblOrdenes[[#This Row],[anio]]&amp;"-"&amp;TEXT(tblOrdenes[[#This Row],[mes]],"00"))</f>
        <v/>
      </c>
      <c r="S1036" s="5">
        <f>IF(tblOrdenes[[#This Row],[fecha_inicio]]="","",INDEX(lista_dias,WEEKDAY(tblOrdenes[[#This Row],[fecha_inicio]],2)))</f>
        <v/>
      </c>
      <c r="T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5">
        <f>IF(tblOrdenes[[#This Row],[tipo_ot]]="","",_xlfn.XLOOKUP(tblOrdenes[[#This Row],[tipo_ot]],tblTiposOT[codigo],tblTiposOT[clasificacion],"sin_clasificar"))</f>
        <v/>
      </c>
      <c r="V10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5">
        <f>IF(tblOrdenes[[#This Row],[centro_costo]]="","",_xlfn.XLOOKUP(tblOrdenes[[#This Row],[centro_costo]],tblCECO[codigo],tblCECO[linea],"(sin catálogo)"))</f>
        <v/>
      </c>
      <c r="Y1036" s="5">
        <f>IF(tblOrdenes[[#This Row],[centro_costo]]="","",_xlfn.XLOOKUP(tblOrdenes[[#This Row],[centro_costo]],tblCECO[codigo],tblCECO[area],"(sin catálogo)"))</f>
        <v/>
      </c>
      <c r="Z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5">
        <f>IF(tblOrdenes[[#This Row],[centro_costo]]="","",_xlfn.XLOOKUP(tblOrdenes[[#This Row],[centro_costo]],tblCECO[codigo],tblCECO[coordinador],"(sin catálogo)"))</f>
        <v/>
      </c>
      <c r="AB1036" s="5">
        <f>IF(tblOrdenes[[#This Row],[puesto_trabajo]]="","",_xlfn.XLOOKUP(tblOrdenes[[#This Row],[puesto_trabajo]],tblPuestos[codigo],tblPuestos[especialidad],"(sin catálogo)"))</f>
        <v/>
      </c>
      <c r="AC1036" s="5">
        <f>IF(tblOrdenes[[#This Row],[cod_actividad]]="","",_xlfn.XLOOKUP(tblOrdenes[[#This Row],[cod_actividad]],tblActividades[codigo],tblActividades[descripcion],"(sin catálogo)"))</f>
        <v/>
      </c>
      <c r="AD1036" s="23">
        <f>IF(tblOrdenes[[#This Row],[fecha_inicio]]="","",TODAY()-tblOrdenes[[#This Row],[fecha_inicio]])</f>
        <v/>
      </c>
      <c r="AE10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5">
        <f>IF(tblOrdenes[[#This Row],[backlog_habiles]]="","",IF(tblOrdenes[[#This Row],[backlog_habiles]]&lt;0,"FUTURO",IF(tblOrdenes[[#This Row],[backlog_habiles]]&gt;p_dias_backlog_max,"BACKLOG","MES CORRIENTE")))</f>
        <v/>
      </c>
      <c r="AG1036" s="5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18">
        <f>IF(tblOrdenes[[#This Row],[orden]]="","",_xlfn.XLOOKUP(tblOrdenes[[#This Row],[id_operacion]],tblEjecucion[id_operacion],tblEjecucion[precio],0))</f>
        <v/>
      </c>
      <c r="AM1036" s="18">
        <f>IF(tblOrdenes[[#This Row],[orden]]="","",MAX(0,_xlfn.XLOOKUP(tblOrdenes[[#This Row],[id_operacion]],tblEjecucion[id_operacion],tblEjecucion[costo_plan_total],0)-tblOrdenes[[#This Row],[costo_servicio]]))</f>
        <v/>
      </c>
      <c r="AN1036" s="18">
        <f>IF(tblOrdenes[[#This Row],[orden]]="","",tblOrdenes[[#This Row],[costo_servicio]]+tblOrdenes[[#This Row],[costo_materiales]])</f>
        <v/>
      </c>
      <c r="AO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5">
        <f>IF(tblOrdenes[[#This Row],[link_checklist]]="","",HYPERLINK(p_ruta_base_checklists&amp;tblOrdenes[[#This Row],[link_checklist]],"abrir"))</f>
        <v/>
      </c>
      <c r="AT1036" s="4" t="n"/>
      <c r="AU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5" t="n"/>
      <c r="K1037" s="5" t="n"/>
      <c r="L1037" s="18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Row],[fecha_inicio]]="","",tblOrdenes[[#This Row],[anio]]&amp;"-"&amp;TEXT(tblOrdenes[[#This Row],[mes]],"00"))</f>
        <v/>
      </c>
      <c r="S1037" s="5">
        <f>IF(tblOrdenes[[#This Row],[fecha_inicio]]="","",INDEX(lista_dias,WEEKDAY(tblOrdenes[[#This Row],[fecha_inicio]],2)))</f>
        <v/>
      </c>
      <c r="T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5">
        <f>IF(tblOrdenes[[#This Row],[tipo_ot]]="","",_xlfn.XLOOKUP(tblOrdenes[[#This Row],[tipo_ot]],tblTiposOT[codigo],tblTiposOT[clasificacion],"sin_clasificar"))</f>
        <v/>
      </c>
      <c r="V10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5">
        <f>IF(tblOrdenes[[#This Row],[centro_costo]]="","",_xlfn.XLOOKUP(tblOrdenes[[#This Row],[centro_costo]],tblCECO[codigo],tblCECO[linea],"(sin catálogo)"))</f>
        <v/>
      </c>
      <c r="Y1037" s="5">
        <f>IF(tblOrdenes[[#This Row],[centro_costo]]="","",_xlfn.XLOOKUP(tblOrdenes[[#This Row],[centro_costo]],tblCECO[codigo],tblCECO[area],"(sin catálogo)"))</f>
        <v/>
      </c>
      <c r="Z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5">
        <f>IF(tblOrdenes[[#This Row],[centro_costo]]="","",_xlfn.XLOOKUP(tblOrdenes[[#This Row],[centro_costo]],tblCECO[codigo],tblCECO[coordinador],"(sin catálogo)"))</f>
        <v/>
      </c>
      <c r="AB1037" s="5">
        <f>IF(tblOrdenes[[#This Row],[puesto_trabajo]]="","",_xlfn.XLOOKUP(tblOrdenes[[#This Row],[puesto_trabajo]],tblPuestos[codigo],tblPuestos[especialidad],"(sin catálogo)"))</f>
        <v/>
      </c>
      <c r="AC1037" s="5">
        <f>IF(tblOrdenes[[#This Row],[cod_actividad]]="","",_xlfn.XLOOKUP(tblOrdenes[[#This Row],[cod_actividad]],tblActividades[codigo],tblActividades[descripcion],"(sin catálogo)"))</f>
        <v/>
      </c>
      <c r="AD1037" s="23">
        <f>IF(tblOrdenes[[#This Row],[fecha_inicio]]="","",TODAY()-tblOrdenes[[#This Row],[fecha_inicio]])</f>
        <v/>
      </c>
      <c r="AE10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5">
        <f>IF(tblOrdenes[[#This Row],[backlog_habiles]]="","",IF(tblOrdenes[[#This Row],[backlog_habiles]]&lt;0,"FUTURO",IF(tblOrdenes[[#This Row],[backlog_habiles]]&gt;p_dias_backlog_max,"BACKLOG","MES CORRIENTE")))</f>
        <v/>
      </c>
      <c r="AG1037" s="5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18">
        <f>IF(tblOrdenes[[#This Row],[orden]]="","",_xlfn.XLOOKUP(tblOrdenes[[#This Row],[id_operacion]],tblEjecucion[id_operacion],tblEjecucion[precio],0))</f>
        <v/>
      </c>
      <c r="AM1037" s="18">
        <f>IF(tblOrdenes[[#This Row],[orden]]="","",MAX(0,_xlfn.XLOOKUP(tblOrdenes[[#This Row],[id_operacion]],tblEjecucion[id_operacion],tblEjecucion[costo_plan_total],0)-tblOrdenes[[#This Row],[costo_servicio]]))</f>
        <v/>
      </c>
      <c r="AN1037" s="18">
        <f>IF(tblOrdenes[[#This Row],[orden]]="","",tblOrdenes[[#This Row],[costo_servicio]]+tblOrdenes[[#This Row],[costo_materiales]])</f>
        <v/>
      </c>
      <c r="AO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5">
        <f>IF(tblOrdenes[[#This Row],[link_checklist]]="","",HYPERLINK(p_ruta_base_checklists&amp;tblOrdenes[[#This Row],[link_checklist]],"abrir"))</f>
        <v/>
      </c>
      <c r="AT1037" s="4" t="n"/>
      <c r="AU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5" t="n"/>
      <c r="K1038" s="5" t="n"/>
      <c r="L1038" s="18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Row],[fecha_inicio]]="","",tblOrdenes[[#This Row],[anio]]&amp;"-"&amp;TEXT(tblOrdenes[[#This Row],[mes]],"00"))</f>
        <v/>
      </c>
      <c r="S1038" s="5">
        <f>IF(tblOrdenes[[#This Row],[fecha_inicio]]="","",INDEX(lista_dias,WEEKDAY(tblOrdenes[[#This Row],[fecha_inicio]],2)))</f>
        <v/>
      </c>
      <c r="T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5">
        <f>IF(tblOrdenes[[#This Row],[tipo_ot]]="","",_xlfn.XLOOKUP(tblOrdenes[[#This Row],[tipo_ot]],tblTiposOT[codigo],tblTiposOT[clasificacion],"sin_clasificar"))</f>
        <v/>
      </c>
      <c r="V10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5">
        <f>IF(tblOrdenes[[#This Row],[centro_costo]]="","",_xlfn.XLOOKUP(tblOrdenes[[#This Row],[centro_costo]],tblCECO[codigo],tblCECO[linea],"(sin catálogo)"))</f>
        <v/>
      </c>
      <c r="Y1038" s="5">
        <f>IF(tblOrdenes[[#This Row],[centro_costo]]="","",_xlfn.XLOOKUP(tblOrdenes[[#This Row],[centro_costo]],tblCECO[codigo],tblCECO[area],"(sin catálogo)"))</f>
        <v/>
      </c>
      <c r="Z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5">
        <f>IF(tblOrdenes[[#This Row],[centro_costo]]="","",_xlfn.XLOOKUP(tblOrdenes[[#This Row],[centro_costo]],tblCECO[codigo],tblCECO[coordinador],"(sin catálogo)"))</f>
        <v/>
      </c>
      <c r="AB1038" s="5">
        <f>IF(tblOrdenes[[#This Row],[puesto_trabajo]]="","",_xlfn.XLOOKUP(tblOrdenes[[#This Row],[puesto_trabajo]],tblPuestos[codigo],tblPuestos[especialidad],"(sin catálogo)"))</f>
        <v/>
      </c>
      <c r="AC1038" s="5">
        <f>IF(tblOrdenes[[#This Row],[cod_actividad]]="","",_xlfn.XLOOKUP(tblOrdenes[[#This Row],[cod_actividad]],tblActividades[codigo],tblActividades[descripcion],"(sin catálogo)"))</f>
        <v/>
      </c>
      <c r="AD1038" s="23">
        <f>IF(tblOrdenes[[#This Row],[fecha_inicio]]="","",TODAY()-tblOrdenes[[#This Row],[fecha_inicio]])</f>
        <v/>
      </c>
      <c r="AE10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5">
        <f>IF(tblOrdenes[[#This Row],[backlog_habiles]]="","",IF(tblOrdenes[[#This Row],[backlog_habiles]]&lt;0,"FUTURO",IF(tblOrdenes[[#This Row],[backlog_habiles]]&gt;p_dias_backlog_max,"BACKLOG","MES CORRIENTE")))</f>
        <v/>
      </c>
      <c r="AG1038" s="5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18">
        <f>IF(tblOrdenes[[#This Row],[orden]]="","",_xlfn.XLOOKUP(tblOrdenes[[#This Row],[id_operacion]],tblEjecucion[id_operacion],tblEjecucion[precio],0))</f>
        <v/>
      </c>
      <c r="AM1038" s="18">
        <f>IF(tblOrdenes[[#This Row],[orden]]="","",MAX(0,_xlfn.XLOOKUP(tblOrdenes[[#This Row],[id_operacion]],tblEjecucion[id_operacion],tblEjecucion[costo_plan_total],0)-tblOrdenes[[#This Row],[costo_servicio]]))</f>
        <v/>
      </c>
      <c r="AN1038" s="18">
        <f>IF(tblOrdenes[[#This Row],[orden]]="","",tblOrdenes[[#This Row],[costo_servicio]]+tblOrdenes[[#This Row],[costo_materiales]])</f>
        <v/>
      </c>
      <c r="AO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5">
        <f>IF(tblOrdenes[[#This Row],[link_checklist]]="","",HYPERLINK(p_ruta_base_checklists&amp;tblOrdenes[[#This Row],[link_checklist]],"abrir"))</f>
        <v/>
      </c>
      <c r="AT1038" s="4" t="n"/>
      <c r="AU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5" t="n"/>
      <c r="K1039" s="5" t="n"/>
      <c r="L1039" s="18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Row],[fecha_inicio]]="","",tblOrdenes[[#This Row],[anio]]&amp;"-"&amp;TEXT(tblOrdenes[[#This Row],[mes]],"00"))</f>
        <v/>
      </c>
      <c r="S1039" s="5">
        <f>IF(tblOrdenes[[#This Row],[fecha_inicio]]="","",INDEX(lista_dias,WEEKDAY(tblOrdenes[[#This Row],[fecha_inicio]],2)))</f>
        <v/>
      </c>
      <c r="T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5">
        <f>IF(tblOrdenes[[#This Row],[tipo_ot]]="","",_xlfn.XLOOKUP(tblOrdenes[[#This Row],[tipo_ot]],tblTiposOT[codigo],tblTiposOT[clasificacion],"sin_clasificar"))</f>
        <v/>
      </c>
      <c r="V10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5">
        <f>IF(tblOrdenes[[#This Row],[centro_costo]]="","",_xlfn.XLOOKUP(tblOrdenes[[#This Row],[centro_costo]],tblCECO[codigo],tblCECO[linea],"(sin catálogo)"))</f>
        <v/>
      </c>
      <c r="Y1039" s="5">
        <f>IF(tblOrdenes[[#This Row],[centro_costo]]="","",_xlfn.XLOOKUP(tblOrdenes[[#This Row],[centro_costo]],tblCECO[codigo],tblCECO[area],"(sin catálogo)"))</f>
        <v/>
      </c>
      <c r="Z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5">
        <f>IF(tblOrdenes[[#This Row],[centro_costo]]="","",_xlfn.XLOOKUP(tblOrdenes[[#This Row],[centro_costo]],tblCECO[codigo],tblCECO[coordinador],"(sin catálogo)"))</f>
        <v/>
      </c>
      <c r="AB1039" s="5">
        <f>IF(tblOrdenes[[#This Row],[puesto_trabajo]]="","",_xlfn.XLOOKUP(tblOrdenes[[#This Row],[puesto_trabajo]],tblPuestos[codigo],tblPuestos[especialidad],"(sin catálogo)"))</f>
        <v/>
      </c>
      <c r="AC1039" s="5">
        <f>IF(tblOrdenes[[#This Row],[cod_actividad]]="","",_xlfn.XLOOKUP(tblOrdenes[[#This Row],[cod_actividad]],tblActividades[codigo],tblActividades[descripcion],"(sin catálogo)"))</f>
        <v/>
      </c>
      <c r="AD1039" s="23">
        <f>IF(tblOrdenes[[#This Row],[fecha_inicio]]="","",TODAY()-tblOrdenes[[#This Row],[fecha_inicio]])</f>
        <v/>
      </c>
      <c r="AE10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5">
        <f>IF(tblOrdenes[[#This Row],[backlog_habiles]]="","",IF(tblOrdenes[[#This Row],[backlog_habiles]]&lt;0,"FUTURO",IF(tblOrdenes[[#This Row],[backlog_habiles]]&gt;p_dias_backlog_max,"BACKLOG","MES CORRIENTE")))</f>
        <v/>
      </c>
      <c r="AG1039" s="5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18">
        <f>IF(tblOrdenes[[#This Row],[orden]]="","",_xlfn.XLOOKUP(tblOrdenes[[#This Row],[id_operacion]],tblEjecucion[id_operacion],tblEjecucion[precio],0))</f>
        <v/>
      </c>
      <c r="AM1039" s="18">
        <f>IF(tblOrdenes[[#This Row],[orden]]="","",MAX(0,_xlfn.XLOOKUP(tblOrdenes[[#This Row],[id_operacion]],tblEjecucion[id_operacion],tblEjecucion[costo_plan_total],0)-tblOrdenes[[#This Row],[costo_servicio]]))</f>
        <v/>
      </c>
      <c r="AN1039" s="18">
        <f>IF(tblOrdenes[[#This Row],[orden]]="","",tblOrdenes[[#This Row],[costo_servicio]]+tblOrdenes[[#This Row],[costo_materiales]])</f>
        <v/>
      </c>
      <c r="AO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5">
        <f>IF(tblOrdenes[[#This Row],[link_checklist]]="","",HYPERLINK(p_ruta_base_checklists&amp;tblOrdenes[[#This Row],[link_checklist]],"abrir"))</f>
        <v/>
      </c>
      <c r="AT1039" s="4" t="n"/>
      <c r="AU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5" t="n"/>
      <c r="K1040" s="5" t="n"/>
      <c r="L1040" s="18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Row],[fecha_inicio]]="","",tblOrdenes[[#This Row],[anio]]&amp;"-"&amp;TEXT(tblOrdenes[[#This Row],[mes]],"00"))</f>
        <v/>
      </c>
      <c r="S1040" s="5">
        <f>IF(tblOrdenes[[#This Row],[fecha_inicio]]="","",INDEX(lista_dias,WEEKDAY(tblOrdenes[[#This Row],[fecha_inicio]],2)))</f>
        <v/>
      </c>
      <c r="T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5">
        <f>IF(tblOrdenes[[#This Row],[tipo_ot]]="","",_xlfn.XLOOKUP(tblOrdenes[[#This Row],[tipo_ot]],tblTiposOT[codigo],tblTiposOT[clasificacion],"sin_clasificar"))</f>
        <v/>
      </c>
      <c r="V10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5">
        <f>IF(tblOrdenes[[#This Row],[centro_costo]]="","",_xlfn.XLOOKUP(tblOrdenes[[#This Row],[centro_costo]],tblCECO[codigo],tblCECO[linea],"(sin catálogo)"))</f>
        <v/>
      </c>
      <c r="Y1040" s="5">
        <f>IF(tblOrdenes[[#This Row],[centro_costo]]="","",_xlfn.XLOOKUP(tblOrdenes[[#This Row],[centro_costo]],tblCECO[codigo],tblCECO[area],"(sin catálogo)"))</f>
        <v/>
      </c>
      <c r="Z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5">
        <f>IF(tblOrdenes[[#This Row],[centro_costo]]="","",_xlfn.XLOOKUP(tblOrdenes[[#This Row],[centro_costo]],tblCECO[codigo],tblCECO[coordinador],"(sin catálogo)"))</f>
        <v/>
      </c>
      <c r="AB1040" s="5">
        <f>IF(tblOrdenes[[#This Row],[puesto_trabajo]]="","",_xlfn.XLOOKUP(tblOrdenes[[#This Row],[puesto_trabajo]],tblPuestos[codigo],tblPuestos[especialidad],"(sin catálogo)"))</f>
        <v/>
      </c>
      <c r="AC1040" s="5">
        <f>IF(tblOrdenes[[#This Row],[cod_actividad]]="","",_xlfn.XLOOKUP(tblOrdenes[[#This Row],[cod_actividad]],tblActividades[codigo],tblActividades[descripcion],"(sin catálogo)"))</f>
        <v/>
      </c>
      <c r="AD1040" s="23">
        <f>IF(tblOrdenes[[#This Row],[fecha_inicio]]="","",TODAY()-tblOrdenes[[#This Row],[fecha_inicio]])</f>
        <v/>
      </c>
      <c r="AE10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5">
        <f>IF(tblOrdenes[[#This Row],[backlog_habiles]]="","",IF(tblOrdenes[[#This Row],[backlog_habiles]]&lt;0,"FUTURO",IF(tblOrdenes[[#This Row],[backlog_habiles]]&gt;p_dias_backlog_max,"BACKLOG","MES CORRIENTE")))</f>
        <v/>
      </c>
      <c r="AG1040" s="5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18">
        <f>IF(tblOrdenes[[#This Row],[orden]]="","",_xlfn.XLOOKUP(tblOrdenes[[#This Row],[id_operacion]],tblEjecucion[id_operacion],tblEjecucion[precio],0))</f>
        <v/>
      </c>
      <c r="AM1040" s="18">
        <f>IF(tblOrdenes[[#This Row],[orden]]="","",MAX(0,_xlfn.XLOOKUP(tblOrdenes[[#This Row],[id_operacion]],tblEjecucion[id_operacion],tblEjecucion[costo_plan_total],0)-tblOrdenes[[#This Row],[costo_servicio]]))</f>
        <v/>
      </c>
      <c r="AN1040" s="18">
        <f>IF(tblOrdenes[[#This Row],[orden]]="","",tblOrdenes[[#This Row],[costo_servicio]]+tblOrdenes[[#This Row],[costo_materiales]])</f>
        <v/>
      </c>
      <c r="AO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5">
        <f>IF(tblOrdenes[[#This Row],[link_checklist]]="","",HYPERLINK(p_ruta_base_checklists&amp;tblOrdenes[[#This Row],[link_checklist]],"abrir"))</f>
        <v/>
      </c>
      <c r="AT1040" s="4" t="n"/>
      <c r="AU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5" t="n"/>
      <c r="K1041" s="5" t="n"/>
      <c r="L1041" s="18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Row],[fecha_inicio]]="","",tblOrdenes[[#This Row],[anio]]&amp;"-"&amp;TEXT(tblOrdenes[[#This Row],[mes]],"00"))</f>
        <v/>
      </c>
      <c r="S1041" s="5">
        <f>IF(tblOrdenes[[#This Row],[fecha_inicio]]="","",INDEX(lista_dias,WEEKDAY(tblOrdenes[[#This Row],[fecha_inicio]],2)))</f>
        <v/>
      </c>
      <c r="T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5">
        <f>IF(tblOrdenes[[#This Row],[tipo_ot]]="","",_xlfn.XLOOKUP(tblOrdenes[[#This Row],[tipo_ot]],tblTiposOT[codigo],tblTiposOT[clasificacion],"sin_clasificar"))</f>
        <v/>
      </c>
      <c r="V10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5">
        <f>IF(tblOrdenes[[#This Row],[centro_costo]]="","",_xlfn.XLOOKUP(tblOrdenes[[#This Row],[centro_costo]],tblCECO[codigo],tblCECO[linea],"(sin catálogo)"))</f>
        <v/>
      </c>
      <c r="Y1041" s="5">
        <f>IF(tblOrdenes[[#This Row],[centro_costo]]="","",_xlfn.XLOOKUP(tblOrdenes[[#This Row],[centro_costo]],tblCECO[codigo],tblCECO[area],"(sin catálogo)"))</f>
        <v/>
      </c>
      <c r="Z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5">
        <f>IF(tblOrdenes[[#This Row],[centro_costo]]="","",_xlfn.XLOOKUP(tblOrdenes[[#This Row],[centro_costo]],tblCECO[codigo],tblCECO[coordinador],"(sin catálogo)"))</f>
        <v/>
      </c>
      <c r="AB1041" s="5">
        <f>IF(tblOrdenes[[#This Row],[puesto_trabajo]]="","",_xlfn.XLOOKUP(tblOrdenes[[#This Row],[puesto_trabajo]],tblPuestos[codigo],tblPuestos[especialidad],"(sin catálogo)"))</f>
        <v/>
      </c>
      <c r="AC1041" s="5">
        <f>IF(tblOrdenes[[#This Row],[cod_actividad]]="","",_xlfn.XLOOKUP(tblOrdenes[[#This Row],[cod_actividad]],tblActividades[codigo],tblActividades[descripcion],"(sin catálogo)"))</f>
        <v/>
      </c>
      <c r="AD1041" s="23">
        <f>IF(tblOrdenes[[#This Row],[fecha_inicio]]="","",TODAY()-tblOrdenes[[#This Row],[fecha_inicio]])</f>
        <v/>
      </c>
      <c r="AE10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5">
        <f>IF(tblOrdenes[[#This Row],[backlog_habiles]]="","",IF(tblOrdenes[[#This Row],[backlog_habiles]]&lt;0,"FUTURO",IF(tblOrdenes[[#This Row],[backlog_habiles]]&gt;p_dias_backlog_max,"BACKLOG","MES CORRIENTE")))</f>
        <v/>
      </c>
      <c r="AG1041" s="5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18">
        <f>IF(tblOrdenes[[#This Row],[orden]]="","",_xlfn.XLOOKUP(tblOrdenes[[#This Row],[id_operacion]],tblEjecucion[id_operacion],tblEjecucion[precio],0))</f>
        <v/>
      </c>
      <c r="AM1041" s="18">
        <f>IF(tblOrdenes[[#This Row],[orden]]="","",MAX(0,_xlfn.XLOOKUP(tblOrdenes[[#This Row],[id_operacion]],tblEjecucion[id_operacion],tblEjecucion[costo_plan_total],0)-tblOrdenes[[#This Row],[costo_servicio]]))</f>
        <v/>
      </c>
      <c r="AN1041" s="18">
        <f>IF(tblOrdenes[[#This Row],[orden]]="","",tblOrdenes[[#This Row],[costo_servicio]]+tblOrdenes[[#This Row],[costo_materiales]])</f>
        <v/>
      </c>
      <c r="AO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5">
        <f>IF(tblOrdenes[[#This Row],[link_checklist]]="","",HYPERLINK(p_ruta_base_checklists&amp;tblOrdenes[[#This Row],[link_checklist]],"abrir"))</f>
        <v/>
      </c>
      <c r="AT1041" s="4" t="n"/>
      <c r="AU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5" t="n"/>
      <c r="K1042" s="5" t="n"/>
      <c r="L1042" s="18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Row],[fecha_inicio]]="","",tblOrdenes[[#This Row],[anio]]&amp;"-"&amp;TEXT(tblOrdenes[[#This Row],[mes]],"00"))</f>
        <v/>
      </c>
      <c r="S1042" s="5">
        <f>IF(tblOrdenes[[#This Row],[fecha_inicio]]="","",INDEX(lista_dias,WEEKDAY(tblOrdenes[[#This Row],[fecha_inicio]],2)))</f>
        <v/>
      </c>
      <c r="T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5">
        <f>IF(tblOrdenes[[#This Row],[tipo_ot]]="","",_xlfn.XLOOKUP(tblOrdenes[[#This Row],[tipo_ot]],tblTiposOT[codigo],tblTiposOT[clasificacion],"sin_clasificar"))</f>
        <v/>
      </c>
      <c r="V10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5">
        <f>IF(tblOrdenes[[#This Row],[centro_costo]]="","",_xlfn.XLOOKUP(tblOrdenes[[#This Row],[centro_costo]],tblCECO[codigo],tblCECO[linea],"(sin catálogo)"))</f>
        <v/>
      </c>
      <c r="Y1042" s="5">
        <f>IF(tblOrdenes[[#This Row],[centro_costo]]="","",_xlfn.XLOOKUP(tblOrdenes[[#This Row],[centro_costo]],tblCECO[codigo],tblCECO[area],"(sin catálogo)"))</f>
        <v/>
      </c>
      <c r="Z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5">
        <f>IF(tblOrdenes[[#This Row],[centro_costo]]="","",_xlfn.XLOOKUP(tblOrdenes[[#This Row],[centro_costo]],tblCECO[codigo],tblCECO[coordinador],"(sin catálogo)"))</f>
        <v/>
      </c>
      <c r="AB1042" s="5">
        <f>IF(tblOrdenes[[#This Row],[puesto_trabajo]]="","",_xlfn.XLOOKUP(tblOrdenes[[#This Row],[puesto_trabajo]],tblPuestos[codigo],tblPuestos[especialidad],"(sin catálogo)"))</f>
        <v/>
      </c>
      <c r="AC1042" s="5">
        <f>IF(tblOrdenes[[#This Row],[cod_actividad]]="","",_xlfn.XLOOKUP(tblOrdenes[[#This Row],[cod_actividad]],tblActividades[codigo],tblActividades[descripcion],"(sin catálogo)"))</f>
        <v/>
      </c>
      <c r="AD1042" s="23">
        <f>IF(tblOrdenes[[#This Row],[fecha_inicio]]="","",TODAY()-tblOrdenes[[#This Row],[fecha_inicio]])</f>
        <v/>
      </c>
      <c r="AE10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5">
        <f>IF(tblOrdenes[[#This Row],[backlog_habiles]]="","",IF(tblOrdenes[[#This Row],[backlog_habiles]]&lt;0,"FUTURO",IF(tblOrdenes[[#This Row],[backlog_habiles]]&gt;p_dias_backlog_max,"BACKLOG","MES CORRIENTE")))</f>
        <v/>
      </c>
      <c r="AG1042" s="5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18">
        <f>IF(tblOrdenes[[#This Row],[orden]]="","",_xlfn.XLOOKUP(tblOrdenes[[#This Row],[id_operacion]],tblEjecucion[id_operacion],tblEjecucion[precio],0))</f>
        <v/>
      </c>
      <c r="AM1042" s="18">
        <f>IF(tblOrdenes[[#This Row],[orden]]="","",MAX(0,_xlfn.XLOOKUP(tblOrdenes[[#This Row],[id_operacion]],tblEjecucion[id_operacion],tblEjecucion[costo_plan_total],0)-tblOrdenes[[#This Row],[costo_servicio]]))</f>
        <v/>
      </c>
      <c r="AN1042" s="18">
        <f>IF(tblOrdenes[[#This Row],[orden]]="","",tblOrdenes[[#This Row],[costo_servicio]]+tblOrdenes[[#This Row],[costo_materiales]])</f>
        <v/>
      </c>
      <c r="AO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5">
        <f>IF(tblOrdenes[[#This Row],[link_checklist]]="","",HYPERLINK(p_ruta_base_checklists&amp;tblOrdenes[[#This Row],[link_checklist]],"abrir"))</f>
        <v/>
      </c>
      <c r="AT1042" s="4" t="n"/>
      <c r="AU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5" t="n"/>
      <c r="K1043" s="5" t="n"/>
      <c r="L1043" s="18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Row],[fecha_inicio]]="","",tblOrdenes[[#This Row],[anio]]&amp;"-"&amp;TEXT(tblOrdenes[[#This Row],[mes]],"00"))</f>
        <v/>
      </c>
      <c r="S1043" s="5">
        <f>IF(tblOrdenes[[#This Row],[fecha_inicio]]="","",INDEX(lista_dias,WEEKDAY(tblOrdenes[[#This Row],[fecha_inicio]],2)))</f>
        <v/>
      </c>
      <c r="T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5">
        <f>IF(tblOrdenes[[#This Row],[tipo_ot]]="","",_xlfn.XLOOKUP(tblOrdenes[[#This Row],[tipo_ot]],tblTiposOT[codigo],tblTiposOT[clasificacion],"sin_clasificar"))</f>
        <v/>
      </c>
      <c r="V10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5">
        <f>IF(tblOrdenes[[#This Row],[centro_costo]]="","",_xlfn.XLOOKUP(tblOrdenes[[#This Row],[centro_costo]],tblCECO[codigo],tblCECO[linea],"(sin catálogo)"))</f>
        <v/>
      </c>
      <c r="Y1043" s="5">
        <f>IF(tblOrdenes[[#This Row],[centro_costo]]="","",_xlfn.XLOOKUP(tblOrdenes[[#This Row],[centro_costo]],tblCECO[codigo],tblCECO[area],"(sin catálogo)"))</f>
        <v/>
      </c>
      <c r="Z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5">
        <f>IF(tblOrdenes[[#This Row],[centro_costo]]="","",_xlfn.XLOOKUP(tblOrdenes[[#This Row],[centro_costo]],tblCECO[codigo],tblCECO[coordinador],"(sin catálogo)"))</f>
        <v/>
      </c>
      <c r="AB1043" s="5">
        <f>IF(tblOrdenes[[#This Row],[puesto_trabajo]]="","",_xlfn.XLOOKUP(tblOrdenes[[#This Row],[puesto_trabajo]],tblPuestos[codigo],tblPuestos[especialidad],"(sin catálogo)"))</f>
        <v/>
      </c>
      <c r="AC1043" s="5">
        <f>IF(tblOrdenes[[#This Row],[cod_actividad]]="","",_xlfn.XLOOKUP(tblOrdenes[[#This Row],[cod_actividad]],tblActividades[codigo],tblActividades[descripcion],"(sin catálogo)"))</f>
        <v/>
      </c>
      <c r="AD1043" s="23">
        <f>IF(tblOrdenes[[#This Row],[fecha_inicio]]="","",TODAY()-tblOrdenes[[#This Row],[fecha_inicio]])</f>
        <v/>
      </c>
      <c r="AE10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5">
        <f>IF(tblOrdenes[[#This Row],[backlog_habiles]]="","",IF(tblOrdenes[[#This Row],[backlog_habiles]]&lt;0,"FUTURO",IF(tblOrdenes[[#This Row],[backlog_habiles]]&gt;p_dias_backlog_max,"BACKLOG","MES CORRIENTE")))</f>
        <v/>
      </c>
      <c r="AG1043" s="5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18">
        <f>IF(tblOrdenes[[#This Row],[orden]]="","",_xlfn.XLOOKUP(tblOrdenes[[#This Row],[id_operacion]],tblEjecucion[id_operacion],tblEjecucion[precio],0))</f>
        <v/>
      </c>
      <c r="AM1043" s="18">
        <f>IF(tblOrdenes[[#This Row],[orden]]="","",MAX(0,_xlfn.XLOOKUP(tblOrdenes[[#This Row],[id_operacion]],tblEjecucion[id_operacion],tblEjecucion[costo_plan_total],0)-tblOrdenes[[#This Row],[costo_servicio]]))</f>
        <v/>
      </c>
      <c r="AN1043" s="18">
        <f>IF(tblOrdenes[[#This Row],[orden]]="","",tblOrdenes[[#This Row],[costo_servicio]]+tblOrdenes[[#This Row],[costo_materiales]])</f>
        <v/>
      </c>
      <c r="AO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5">
        <f>IF(tblOrdenes[[#This Row],[link_checklist]]="","",HYPERLINK(p_ruta_base_checklists&amp;tblOrdenes[[#This Row],[link_checklist]],"abrir"))</f>
        <v/>
      </c>
      <c r="AT1043" s="4" t="n"/>
      <c r="AU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5" t="n"/>
      <c r="K1044" s="5" t="n"/>
      <c r="L1044" s="18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Row],[fecha_inicio]]="","",tblOrdenes[[#This Row],[anio]]&amp;"-"&amp;TEXT(tblOrdenes[[#This Row],[mes]],"00"))</f>
        <v/>
      </c>
      <c r="S1044" s="5">
        <f>IF(tblOrdenes[[#This Row],[fecha_inicio]]="","",INDEX(lista_dias,WEEKDAY(tblOrdenes[[#This Row],[fecha_inicio]],2)))</f>
        <v/>
      </c>
      <c r="T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5">
        <f>IF(tblOrdenes[[#This Row],[tipo_ot]]="","",_xlfn.XLOOKUP(tblOrdenes[[#This Row],[tipo_ot]],tblTiposOT[codigo],tblTiposOT[clasificacion],"sin_clasificar"))</f>
        <v/>
      </c>
      <c r="V10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5">
        <f>IF(tblOrdenes[[#This Row],[centro_costo]]="","",_xlfn.XLOOKUP(tblOrdenes[[#This Row],[centro_costo]],tblCECO[codigo],tblCECO[linea],"(sin catálogo)"))</f>
        <v/>
      </c>
      <c r="Y1044" s="5">
        <f>IF(tblOrdenes[[#This Row],[centro_costo]]="","",_xlfn.XLOOKUP(tblOrdenes[[#This Row],[centro_costo]],tblCECO[codigo],tblCECO[area],"(sin catálogo)"))</f>
        <v/>
      </c>
      <c r="Z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5">
        <f>IF(tblOrdenes[[#This Row],[centro_costo]]="","",_xlfn.XLOOKUP(tblOrdenes[[#This Row],[centro_costo]],tblCECO[codigo],tblCECO[coordinador],"(sin catálogo)"))</f>
        <v/>
      </c>
      <c r="AB1044" s="5">
        <f>IF(tblOrdenes[[#This Row],[puesto_trabajo]]="","",_xlfn.XLOOKUP(tblOrdenes[[#This Row],[puesto_trabajo]],tblPuestos[codigo],tblPuestos[especialidad],"(sin catálogo)"))</f>
        <v/>
      </c>
      <c r="AC1044" s="5">
        <f>IF(tblOrdenes[[#This Row],[cod_actividad]]="","",_xlfn.XLOOKUP(tblOrdenes[[#This Row],[cod_actividad]],tblActividades[codigo],tblActividades[descripcion],"(sin catálogo)"))</f>
        <v/>
      </c>
      <c r="AD1044" s="23">
        <f>IF(tblOrdenes[[#This Row],[fecha_inicio]]="","",TODAY()-tblOrdenes[[#This Row],[fecha_inicio]])</f>
        <v/>
      </c>
      <c r="AE10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5">
        <f>IF(tblOrdenes[[#This Row],[backlog_habiles]]="","",IF(tblOrdenes[[#This Row],[backlog_habiles]]&lt;0,"FUTURO",IF(tblOrdenes[[#This Row],[backlog_habiles]]&gt;p_dias_backlog_max,"BACKLOG","MES CORRIENTE")))</f>
        <v/>
      </c>
      <c r="AG1044" s="5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18">
        <f>IF(tblOrdenes[[#This Row],[orden]]="","",_xlfn.XLOOKUP(tblOrdenes[[#This Row],[id_operacion]],tblEjecucion[id_operacion],tblEjecucion[precio],0))</f>
        <v/>
      </c>
      <c r="AM1044" s="18">
        <f>IF(tblOrdenes[[#This Row],[orden]]="","",MAX(0,_xlfn.XLOOKUP(tblOrdenes[[#This Row],[id_operacion]],tblEjecucion[id_operacion],tblEjecucion[costo_plan_total],0)-tblOrdenes[[#This Row],[costo_servicio]]))</f>
        <v/>
      </c>
      <c r="AN1044" s="18">
        <f>IF(tblOrdenes[[#This Row],[orden]]="","",tblOrdenes[[#This Row],[costo_servicio]]+tblOrdenes[[#This Row],[costo_materiales]])</f>
        <v/>
      </c>
      <c r="AO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5">
        <f>IF(tblOrdenes[[#This Row],[link_checklist]]="","",HYPERLINK(p_ruta_base_checklists&amp;tblOrdenes[[#This Row],[link_checklist]],"abrir"))</f>
        <v/>
      </c>
      <c r="AT1044" s="4" t="n"/>
      <c r="AU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5" t="n"/>
      <c r="K1045" s="5" t="n"/>
      <c r="L1045" s="18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Row],[fecha_inicio]]="","",tblOrdenes[[#This Row],[anio]]&amp;"-"&amp;TEXT(tblOrdenes[[#This Row],[mes]],"00"))</f>
        <v/>
      </c>
      <c r="S1045" s="5">
        <f>IF(tblOrdenes[[#This Row],[fecha_inicio]]="","",INDEX(lista_dias,WEEKDAY(tblOrdenes[[#This Row],[fecha_inicio]],2)))</f>
        <v/>
      </c>
      <c r="T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5">
        <f>IF(tblOrdenes[[#This Row],[tipo_ot]]="","",_xlfn.XLOOKUP(tblOrdenes[[#This Row],[tipo_ot]],tblTiposOT[codigo],tblTiposOT[clasificacion],"sin_clasificar"))</f>
        <v/>
      </c>
      <c r="V10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5">
        <f>IF(tblOrdenes[[#This Row],[centro_costo]]="","",_xlfn.XLOOKUP(tblOrdenes[[#This Row],[centro_costo]],tblCECO[codigo],tblCECO[linea],"(sin catálogo)"))</f>
        <v/>
      </c>
      <c r="Y1045" s="5">
        <f>IF(tblOrdenes[[#This Row],[centro_costo]]="","",_xlfn.XLOOKUP(tblOrdenes[[#This Row],[centro_costo]],tblCECO[codigo],tblCECO[area],"(sin catálogo)"))</f>
        <v/>
      </c>
      <c r="Z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5">
        <f>IF(tblOrdenes[[#This Row],[centro_costo]]="","",_xlfn.XLOOKUP(tblOrdenes[[#This Row],[centro_costo]],tblCECO[codigo],tblCECO[coordinador],"(sin catálogo)"))</f>
        <v/>
      </c>
      <c r="AB1045" s="5">
        <f>IF(tblOrdenes[[#This Row],[puesto_trabajo]]="","",_xlfn.XLOOKUP(tblOrdenes[[#This Row],[puesto_trabajo]],tblPuestos[codigo],tblPuestos[especialidad],"(sin catálogo)"))</f>
        <v/>
      </c>
      <c r="AC1045" s="5">
        <f>IF(tblOrdenes[[#This Row],[cod_actividad]]="","",_xlfn.XLOOKUP(tblOrdenes[[#This Row],[cod_actividad]],tblActividades[codigo],tblActividades[descripcion],"(sin catálogo)"))</f>
        <v/>
      </c>
      <c r="AD1045" s="23">
        <f>IF(tblOrdenes[[#This Row],[fecha_inicio]]="","",TODAY()-tblOrdenes[[#This Row],[fecha_inicio]])</f>
        <v/>
      </c>
      <c r="AE10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5">
        <f>IF(tblOrdenes[[#This Row],[backlog_habiles]]="","",IF(tblOrdenes[[#This Row],[backlog_habiles]]&lt;0,"FUTURO",IF(tblOrdenes[[#This Row],[backlog_habiles]]&gt;p_dias_backlog_max,"BACKLOG","MES CORRIENTE")))</f>
        <v/>
      </c>
      <c r="AG1045" s="5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18">
        <f>IF(tblOrdenes[[#This Row],[orden]]="","",_xlfn.XLOOKUP(tblOrdenes[[#This Row],[id_operacion]],tblEjecucion[id_operacion],tblEjecucion[precio],0))</f>
        <v/>
      </c>
      <c r="AM1045" s="18">
        <f>IF(tblOrdenes[[#This Row],[orden]]="","",MAX(0,_xlfn.XLOOKUP(tblOrdenes[[#This Row],[id_operacion]],tblEjecucion[id_operacion],tblEjecucion[costo_plan_total],0)-tblOrdenes[[#This Row],[costo_servicio]]))</f>
        <v/>
      </c>
      <c r="AN1045" s="18">
        <f>IF(tblOrdenes[[#This Row],[orden]]="","",tblOrdenes[[#This Row],[costo_servicio]]+tblOrdenes[[#This Row],[costo_materiales]])</f>
        <v/>
      </c>
      <c r="AO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5">
        <f>IF(tblOrdenes[[#This Row],[link_checklist]]="","",HYPERLINK(p_ruta_base_checklists&amp;tblOrdenes[[#This Row],[link_checklist]],"abrir"))</f>
        <v/>
      </c>
      <c r="AT1045" s="4" t="n"/>
      <c r="AU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5" t="n"/>
      <c r="K1046" s="5" t="n"/>
      <c r="L1046" s="18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Row],[fecha_inicio]]="","",tblOrdenes[[#This Row],[anio]]&amp;"-"&amp;TEXT(tblOrdenes[[#This Row],[mes]],"00"))</f>
        <v/>
      </c>
      <c r="S1046" s="5">
        <f>IF(tblOrdenes[[#This Row],[fecha_inicio]]="","",INDEX(lista_dias,WEEKDAY(tblOrdenes[[#This Row],[fecha_inicio]],2)))</f>
        <v/>
      </c>
      <c r="T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5">
        <f>IF(tblOrdenes[[#This Row],[tipo_ot]]="","",_xlfn.XLOOKUP(tblOrdenes[[#This Row],[tipo_ot]],tblTiposOT[codigo],tblTiposOT[clasificacion],"sin_clasificar"))</f>
        <v/>
      </c>
      <c r="V10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5">
        <f>IF(tblOrdenes[[#This Row],[centro_costo]]="","",_xlfn.XLOOKUP(tblOrdenes[[#This Row],[centro_costo]],tblCECO[codigo],tblCECO[linea],"(sin catálogo)"))</f>
        <v/>
      </c>
      <c r="Y1046" s="5">
        <f>IF(tblOrdenes[[#This Row],[centro_costo]]="","",_xlfn.XLOOKUP(tblOrdenes[[#This Row],[centro_costo]],tblCECO[codigo],tblCECO[area],"(sin catálogo)"))</f>
        <v/>
      </c>
      <c r="Z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5">
        <f>IF(tblOrdenes[[#This Row],[centro_costo]]="","",_xlfn.XLOOKUP(tblOrdenes[[#This Row],[centro_costo]],tblCECO[codigo],tblCECO[coordinador],"(sin catálogo)"))</f>
        <v/>
      </c>
      <c r="AB1046" s="5">
        <f>IF(tblOrdenes[[#This Row],[puesto_trabajo]]="","",_xlfn.XLOOKUP(tblOrdenes[[#This Row],[puesto_trabajo]],tblPuestos[codigo],tblPuestos[especialidad],"(sin catálogo)"))</f>
        <v/>
      </c>
      <c r="AC1046" s="5">
        <f>IF(tblOrdenes[[#This Row],[cod_actividad]]="","",_xlfn.XLOOKUP(tblOrdenes[[#This Row],[cod_actividad]],tblActividades[codigo],tblActividades[descripcion],"(sin catálogo)"))</f>
        <v/>
      </c>
      <c r="AD1046" s="23">
        <f>IF(tblOrdenes[[#This Row],[fecha_inicio]]="","",TODAY()-tblOrdenes[[#This Row],[fecha_inicio]])</f>
        <v/>
      </c>
      <c r="AE10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5">
        <f>IF(tblOrdenes[[#This Row],[backlog_habiles]]="","",IF(tblOrdenes[[#This Row],[backlog_habiles]]&lt;0,"FUTURO",IF(tblOrdenes[[#This Row],[backlog_habiles]]&gt;p_dias_backlog_max,"BACKLOG","MES CORRIENTE")))</f>
        <v/>
      </c>
      <c r="AG1046" s="5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18">
        <f>IF(tblOrdenes[[#This Row],[orden]]="","",_xlfn.XLOOKUP(tblOrdenes[[#This Row],[id_operacion]],tblEjecucion[id_operacion],tblEjecucion[precio],0))</f>
        <v/>
      </c>
      <c r="AM1046" s="18">
        <f>IF(tblOrdenes[[#This Row],[orden]]="","",MAX(0,_xlfn.XLOOKUP(tblOrdenes[[#This Row],[id_operacion]],tblEjecucion[id_operacion],tblEjecucion[costo_plan_total],0)-tblOrdenes[[#This Row],[costo_servicio]]))</f>
        <v/>
      </c>
      <c r="AN1046" s="18">
        <f>IF(tblOrdenes[[#This Row],[orden]]="","",tblOrdenes[[#This Row],[costo_servicio]]+tblOrdenes[[#This Row],[costo_materiales]])</f>
        <v/>
      </c>
      <c r="AO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5">
        <f>IF(tblOrdenes[[#This Row],[link_checklist]]="","",HYPERLINK(p_ruta_base_checklists&amp;tblOrdenes[[#This Row],[link_checklist]],"abrir"))</f>
        <v/>
      </c>
      <c r="AT1046" s="4" t="n"/>
      <c r="AU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5" t="n"/>
      <c r="K1047" s="5" t="n"/>
      <c r="L1047" s="18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Row],[fecha_inicio]]="","",tblOrdenes[[#This Row],[anio]]&amp;"-"&amp;TEXT(tblOrdenes[[#This Row],[mes]],"00"))</f>
        <v/>
      </c>
      <c r="S1047" s="5">
        <f>IF(tblOrdenes[[#This Row],[fecha_inicio]]="","",INDEX(lista_dias,WEEKDAY(tblOrdenes[[#This Row],[fecha_inicio]],2)))</f>
        <v/>
      </c>
      <c r="T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5">
        <f>IF(tblOrdenes[[#This Row],[tipo_ot]]="","",_xlfn.XLOOKUP(tblOrdenes[[#This Row],[tipo_ot]],tblTiposOT[codigo],tblTiposOT[clasificacion],"sin_clasificar"))</f>
        <v/>
      </c>
      <c r="V10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5">
        <f>IF(tblOrdenes[[#This Row],[centro_costo]]="","",_xlfn.XLOOKUP(tblOrdenes[[#This Row],[centro_costo]],tblCECO[codigo],tblCECO[linea],"(sin catálogo)"))</f>
        <v/>
      </c>
      <c r="Y1047" s="5">
        <f>IF(tblOrdenes[[#This Row],[centro_costo]]="","",_xlfn.XLOOKUP(tblOrdenes[[#This Row],[centro_costo]],tblCECO[codigo],tblCECO[area],"(sin catálogo)"))</f>
        <v/>
      </c>
      <c r="Z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5">
        <f>IF(tblOrdenes[[#This Row],[centro_costo]]="","",_xlfn.XLOOKUP(tblOrdenes[[#This Row],[centro_costo]],tblCECO[codigo],tblCECO[coordinador],"(sin catálogo)"))</f>
        <v/>
      </c>
      <c r="AB1047" s="5">
        <f>IF(tblOrdenes[[#This Row],[puesto_trabajo]]="","",_xlfn.XLOOKUP(tblOrdenes[[#This Row],[puesto_trabajo]],tblPuestos[codigo],tblPuestos[especialidad],"(sin catálogo)"))</f>
        <v/>
      </c>
      <c r="AC1047" s="5">
        <f>IF(tblOrdenes[[#This Row],[cod_actividad]]="","",_xlfn.XLOOKUP(tblOrdenes[[#This Row],[cod_actividad]],tblActividades[codigo],tblActividades[descripcion],"(sin catálogo)"))</f>
        <v/>
      </c>
      <c r="AD1047" s="23">
        <f>IF(tblOrdenes[[#This Row],[fecha_inicio]]="","",TODAY()-tblOrdenes[[#This Row],[fecha_inicio]])</f>
        <v/>
      </c>
      <c r="AE10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5">
        <f>IF(tblOrdenes[[#This Row],[backlog_habiles]]="","",IF(tblOrdenes[[#This Row],[backlog_habiles]]&lt;0,"FUTURO",IF(tblOrdenes[[#This Row],[backlog_habiles]]&gt;p_dias_backlog_max,"BACKLOG","MES CORRIENTE")))</f>
        <v/>
      </c>
      <c r="AG1047" s="5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18">
        <f>IF(tblOrdenes[[#This Row],[orden]]="","",_xlfn.XLOOKUP(tblOrdenes[[#This Row],[id_operacion]],tblEjecucion[id_operacion],tblEjecucion[precio],0))</f>
        <v/>
      </c>
      <c r="AM1047" s="18">
        <f>IF(tblOrdenes[[#This Row],[orden]]="","",MAX(0,_xlfn.XLOOKUP(tblOrdenes[[#This Row],[id_operacion]],tblEjecucion[id_operacion],tblEjecucion[costo_plan_total],0)-tblOrdenes[[#This Row],[costo_servicio]]))</f>
        <v/>
      </c>
      <c r="AN1047" s="18">
        <f>IF(tblOrdenes[[#This Row],[orden]]="","",tblOrdenes[[#This Row],[costo_servicio]]+tblOrdenes[[#This Row],[costo_materiales]])</f>
        <v/>
      </c>
      <c r="AO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5">
        <f>IF(tblOrdenes[[#This Row],[link_checklist]]="","",HYPERLINK(p_ruta_base_checklists&amp;tblOrdenes[[#This Row],[link_checklist]],"abrir"))</f>
        <v/>
      </c>
      <c r="AT1047" s="4" t="n"/>
      <c r="AU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5" t="n"/>
      <c r="K1048" s="5" t="n"/>
      <c r="L1048" s="18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Row],[fecha_inicio]]="","",tblOrdenes[[#This Row],[anio]]&amp;"-"&amp;TEXT(tblOrdenes[[#This Row],[mes]],"00"))</f>
        <v/>
      </c>
      <c r="S1048" s="5">
        <f>IF(tblOrdenes[[#This Row],[fecha_inicio]]="","",INDEX(lista_dias,WEEKDAY(tblOrdenes[[#This Row],[fecha_inicio]],2)))</f>
        <v/>
      </c>
      <c r="T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5">
        <f>IF(tblOrdenes[[#This Row],[tipo_ot]]="","",_xlfn.XLOOKUP(tblOrdenes[[#This Row],[tipo_ot]],tblTiposOT[codigo],tblTiposOT[clasificacion],"sin_clasificar"))</f>
        <v/>
      </c>
      <c r="V10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5">
        <f>IF(tblOrdenes[[#This Row],[centro_costo]]="","",_xlfn.XLOOKUP(tblOrdenes[[#This Row],[centro_costo]],tblCECO[codigo],tblCECO[linea],"(sin catálogo)"))</f>
        <v/>
      </c>
      <c r="Y1048" s="5">
        <f>IF(tblOrdenes[[#This Row],[centro_costo]]="","",_xlfn.XLOOKUP(tblOrdenes[[#This Row],[centro_costo]],tblCECO[codigo],tblCECO[area],"(sin catálogo)"))</f>
        <v/>
      </c>
      <c r="Z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5">
        <f>IF(tblOrdenes[[#This Row],[centro_costo]]="","",_xlfn.XLOOKUP(tblOrdenes[[#This Row],[centro_costo]],tblCECO[codigo],tblCECO[coordinador],"(sin catálogo)"))</f>
        <v/>
      </c>
      <c r="AB1048" s="5">
        <f>IF(tblOrdenes[[#This Row],[puesto_trabajo]]="","",_xlfn.XLOOKUP(tblOrdenes[[#This Row],[puesto_trabajo]],tblPuestos[codigo],tblPuestos[especialidad],"(sin catálogo)"))</f>
        <v/>
      </c>
      <c r="AC1048" s="5">
        <f>IF(tblOrdenes[[#This Row],[cod_actividad]]="","",_xlfn.XLOOKUP(tblOrdenes[[#This Row],[cod_actividad]],tblActividades[codigo],tblActividades[descripcion],"(sin catálogo)"))</f>
        <v/>
      </c>
      <c r="AD1048" s="23">
        <f>IF(tblOrdenes[[#This Row],[fecha_inicio]]="","",TODAY()-tblOrdenes[[#This Row],[fecha_inicio]])</f>
        <v/>
      </c>
      <c r="AE10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5">
        <f>IF(tblOrdenes[[#This Row],[backlog_habiles]]="","",IF(tblOrdenes[[#This Row],[backlog_habiles]]&lt;0,"FUTURO",IF(tblOrdenes[[#This Row],[backlog_habiles]]&gt;p_dias_backlog_max,"BACKLOG","MES CORRIENTE")))</f>
        <v/>
      </c>
      <c r="AG1048" s="5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18">
        <f>IF(tblOrdenes[[#This Row],[orden]]="","",_xlfn.XLOOKUP(tblOrdenes[[#This Row],[id_operacion]],tblEjecucion[id_operacion],tblEjecucion[precio],0))</f>
        <v/>
      </c>
      <c r="AM1048" s="18">
        <f>IF(tblOrdenes[[#This Row],[orden]]="","",MAX(0,_xlfn.XLOOKUP(tblOrdenes[[#This Row],[id_operacion]],tblEjecucion[id_operacion],tblEjecucion[costo_plan_total],0)-tblOrdenes[[#This Row],[costo_servicio]]))</f>
        <v/>
      </c>
      <c r="AN1048" s="18">
        <f>IF(tblOrdenes[[#This Row],[orden]]="","",tblOrdenes[[#This Row],[costo_servicio]]+tblOrdenes[[#This Row],[costo_materiales]])</f>
        <v/>
      </c>
      <c r="AO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5">
        <f>IF(tblOrdenes[[#This Row],[link_checklist]]="","",HYPERLINK(p_ruta_base_checklists&amp;tblOrdenes[[#This Row],[link_checklist]],"abrir"))</f>
        <v/>
      </c>
      <c r="AT1048" s="4" t="n"/>
      <c r="AU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5" t="n"/>
      <c r="K1049" s="5" t="n"/>
      <c r="L1049" s="18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Row],[fecha_inicio]]="","",tblOrdenes[[#This Row],[anio]]&amp;"-"&amp;TEXT(tblOrdenes[[#This Row],[mes]],"00"))</f>
        <v/>
      </c>
      <c r="S1049" s="5">
        <f>IF(tblOrdenes[[#This Row],[fecha_inicio]]="","",INDEX(lista_dias,WEEKDAY(tblOrdenes[[#This Row],[fecha_inicio]],2)))</f>
        <v/>
      </c>
      <c r="T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5">
        <f>IF(tblOrdenes[[#This Row],[tipo_ot]]="","",_xlfn.XLOOKUP(tblOrdenes[[#This Row],[tipo_ot]],tblTiposOT[codigo],tblTiposOT[clasificacion],"sin_clasificar"))</f>
        <v/>
      </c>
      <c r="V10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5">
        <f>IF(tblOrdenes[[#This Row],[centro_costo]]="","",_xlfn.XLOOKUP(tblOrdenes[[#This Row],[centro_costo]],tblCECO[codigo],tblCECO[linea],"(sin catálogo)"))</f>
        <v/>
      </c>
      <c r="Y1049" s="5">
        <f>IF(tblOrdenes[[#This Row],[centro_costo]]="","",_xlfn.XLOOKUP(tblOrdenes[[#This Row],[centro_costo]],tblCECO[codigo],tblCECO[area],"(sin catálogo)"))</f>
        <v/>
      </c>
      <c r="Z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5">
        <f>IF(tblOrdenes[[#This Row],[centro_costo]]="","",_xlfn.XLOOKUP(tblOrdenes[[#This Row],[centro_costo]],tblCECO[codigo],tblCECO[coordinador],"(sin catálogo)"))</f>
        <v/>
      </c>
      <c r="AB1049" s="5">
        <f>IF(tblOrdenes[[#This Row],[puesto_trabajo]]="","",_xlfn.XLOOKUP(tblOrdenes[[#This Row],[puesto_trabajo]],tblPuestos[codigo],tblPuestos[especialidad],"(sin catálogo)"))</f>
        <v/>
      </c>
      <c r="AC1049" s="5">
        <f>IF(tblOrdenes[[#This Row],[cod_actividad]]="","",_xlfn.XLOOKUP(tblOrdenes[[#This Row],[cod_actividad]],tblActividades[codigo],tblActividades[descripcion],"(sin catálogo)"))</f>
        <v/>
      </c>
      <c r="AD1049" s="23">
        <f>IF(tblOrdenes[[#This Row],[fecha_inicio]]="","",TODAY()-tblOrdenes[[#This Row],[fecha_inicio]])</f>
        <v/>
      </c>
      <c r="AE10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5">
        <f>IF(tblOrdenes[[#This Row],[backlog_habiles]]="","",IF(tblOrdenes[[#This Row],[backlog_habiles]]&lt;0,"FUTURO",IF(tblOrdenes[[#This Row],[backlog_habiles]]&gt;p_dias_backlog_max,"BACKLOG","MES CORRIENTE")))</f>
        <v/>
      </c>
      <c r="AG1049" s="5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18">
        <f>IF(tblOrdenes[[#This Row],[orden]]="","",_xlfn.XLOOKUP(tblOrdenes[[#This Row],[id_operacion]],tblEjecucion[id_operacion],tblEjecucion[precio],0))</f>
        <v/>
      </c>
      <c r="AM1049" s="18">
        <f>IF(tblOrdenes[[#This Row],[orden]]="","",MAX(0,_xlfn.XLOOKUP(tblOrdenes[[#This Row],[id_operacion]],tblEjecucion[id_operacion],tblEjecucion[costo_plan_total],0)-tblOrdenes[[#This Row],[costo_servicio]]))</f>
        <v/>
      </c>
      <c r="AN1049" s="18">
        <f>IF(tblOrdenes[[#This Row],[orden]]="","",tblOrdenes[[#This Row],[costo_servicio]]+tblOrdenes[[#This Row],[costo_materiales]])</f>
        <v/>
      </c>
      <c r="AO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5">
        <f>IF(tblOrdenes[[#This Row],[link_checklist]]="","",HYPERLINK(p_ruta_base_checklists&amp;tblOrdenes[[#This Row],[link_checklist]],"abrir"))</f>
        <v/>
      </c>
      <c r="AT1049" s="4" t="n"/>
      <c r="AU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5" t="n"/>
      <c r="K1050" s="5" t="n"/>
      <c r="L1050" s="18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Row],[fecha_inicio]]="","",tblOrdenes[[#This Row],[anio]]&amp;"-"&amp;TEXT(tblOrdenes[[#This Row],[mes]],"00"))</f>
        <v/>
      </c>
      <c r="S1050" s="5">
        <f>IF(tblOrdenes[[#This Row],[fecha_inicio]]="","",INDEX(lista_dias,WEEKDAY(tblOrdenes[[#This Row],[fecha_inicio]],2)))</f>
        <v/>
      </c>
      <c r="T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5">
        <f>IF(tblOrdenes[[#This Row],[tipo_ot]]="","",_xlfn.XLOOKUP(tblOrdenes[[#This Row],[tipo_ot]],tblTiposOT[codigo],tblTiposOT[clasificacion],"sin_clasificar"))</f>
        <v/>
      </c>
      <c r="V10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5">
        <f>IF(tblOrdenes[[#This Row],[centro_costo]]="","",_xlfn.XLOOKUP(tblOrdenes[[#This Row],[centro_costo]],tblCECO[codigo],tblCECO[linea],"(sin catálogo)"))</f>
        <v/>
      </c>
      <c r="Y1050" s="5">
        <f>IF(tblOrdenes[[#This Row],[centro_costo]]="","",_xlfn.XLOOKUP(tblOrdenes[[#This Row],[centro_costo]],tblCECO[codigo],tblCECO[area],"(sin catálogo)"))</f>
        <v/>
      </c>
      <c r="Z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5">
        <f>IF(tblOrdenes[[#This Row],[centro_costo]]="","",_xlfn.XLOOKUP(tblOrdenes[[#This Row],[centro_costo]],tblCECO[codigo],tblCECO[coordinador],"(sin catálogo)"))</f>
        <v/>
      </c>
      <c r="AB1050" s="5">
        <f>IF(tblOrdenes[[#This Row],[puesto_trabajo]]="","",_xlfn.XLOOKUP(tblOrdenes[[#This Row],[puesto_trabajo]],tblPuestos[codigo],tblPuestos[especialidad],"(sin catálogo)"))</f>
        <v/>
      </c>
      <c r="AC1050" s="5">
        <f>IF(tblOrdenes[[#This Row],[cod_actividad]]="","",_xlfn.XLOOKUP(tblOrdenes[[#This Row],[cod_actividad]],tblActividades[codigo],tblActividades[descripcion],"(sin catálogo)"))</f>
        <v/>
      </c>
      <c r="AD1050" s="23">
        <f>IF(tblOrdenes[[#This Row],[fecha_inicio]]="","",TODAY()-tblOrdenes[[#This Row],[fecha_inicio]])</f>
        <v/>
      </c>
      <c r="AE10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5">
        <f>IF(tblOrdenes[[#This Row],[backlog_habiles]]="","",IF(tblOrdenes[[#This Row],[backlog_habiles]]&lt;0,"FUTURO",IF(tblOrdenes[[#This Row],[backlog_habiles]]&gt;p_dias_backlog_max,"BACKLOG","MES CORRIENTE")))</f>
        <v/>
      </c>
      <c r="AG1050" s="5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18">
        <f>IF(tblOrdenes[[#This Row],[orden]]="","",_xlfn.XLOOKUP(tblOrdenes[[#This Row],[id_operacion]],tblEjecucion[id_operacion],tblEjecucion[precio],0))</f>
        <v/>
      </c>
      <c r="AM1050" s="18">
        <f>IF(tblOrdenes[[#This Row],[orden]]="","",MAX(0,_xlfn.XLOOKUP(tblOrdenes[[#This Row],[id_operacion]],tblEjecucion[id_operacion],tblEjecucion[costo_plan_total],0)-tblOrdenes[[#This Row],[costo_servicio]]))</f>
        <v/>
      </c>
      <c r="AN1050" s="18">
        <f>IF(tblOrdenes[[#This Row],[orden]]="","",tblOrdenes[[#This Row],[costo_servicio]]+tblOrdenes[[#This Row],[costo_materiales]])</f>
        <v/>
      </c>
      <c r="AO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5">
        <f>IF(tblOrdenes[[#This Row],[link_checklist]]="","",HYPERLINK(p_ruta_base_checklists&amp;tblOrdenes[[#This Row],[link_checklist]],"abrir"))</f>
        <v/>
      </c>
      <c r="AT1050" s="4" t="n"/>
      <c r="AU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5" t="n"/>
      <c r="K1051" s="5" t="n"/>
      <c r="L1051" s="18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Row],[fecha_inicio]]="","",tblOrdenes[[#This Row],[anio]]&amp;"-"&amp;TEXT(tblOrdenes[[#This Row],[mes]],"00"))</f>
        <v/>
      </c>
      <c r="S1051" s="5">
        <f>IF(tblOrdenes[[#This Row],[fecha_inicio]]="","",INDEX(lista_dias,WEEKDAY(tblOrdenes[[#This Row],[fecha_inicio]],2)))</f>
        <v/>
      </c>
      <c r="T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5">
        <f>IF(tblOrdenes[[#This Row],[tipo_ot]]="","",_xlfn.XLOOKUP(tblOrdenes[[#This Row],[tipo_ot]],tblTiposOT[codigo],tblTiposOT[clasificacion],"sin_clasificar"))</f>
        <v/>
      </c>
      <c r="V10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5">
        <f>IF(tblOrdenes[[#This Row],[centro_costo]]="","",_xlfn.XLOOKUP(tblOrdenes[[#This Row],[centro_costo]],tblCECO[codigo],tblCECO[linea],"(sin catálogo)"))</f>
        <v/>
      </c>
      <c r="Y1051" s="5">
        <f>IF(tblOrdenes[[#This Row],[centro_costo]]="","",_xlfn.XLOOKUP(tblOrdenes[[#This Row],[centro_costo]],tblCECO[codigo],tblCECO[area],"(sin catálogo)"))</f>
        <v/>
      </c>
      <c r="Z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5">
        <f>IF(tblOrdenes[[#This Row],[centro_costo]]="","",_xlfn.XLOOKUP(tblOrdenes[[#This Row],[centro_costo]],tblCECO[codigo],tblCECO[coordinador],"(sin catálogo)"))</f>
        <v/>
      </c>
      <c r="AB1051" s="5">
        <f>IF(tblOrdenes[[#This Row],[puesto_trabajo]]="","",_xlfn.XLOOKUP(tblOrdenes[[#This Row],[puesto_trabajo]],tblPuestos[codigo],tblPuestos[especialidad],"(sin catálogo)"))</f>
        <v/>
      </c>
      <c r="AC1051" s="5">
        <f>IF(tblOrdenes[[#This Row],[cod_actividad]]="","",_xlfn.XLOOKUP(tblOrdenes[[#This Row],[cod_actividad]],tblActividades[codigo],tblActividades[descripcion],"(sin catálogo)"))</f>
        <v/>
      </c>
      <c r="AD1051" s="23">
        <f>IF(tblOrdenes[[#This Row],[fecha_inicio]]="","",TODAY()-tblOrdenes[[#This Row],[fecha_inicio]])</f>
        <v/>
      </c>
      <c r="AE10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5">
        <f>IF(tblOrdenes[[#This Row],[backlog_habiles]]="","",IF(tblOrdenes[[#This Row],[backlog_habiles]]&lt;0,"FUTURO",IF(tblOrdenes[[#This Row],[backlog_habiles]]&gt;p_dias_backlog_max,"BACKLOG","MES CORRIENTE")))</f>
        <v/>
      </c>
      <c r="AG1051" s="5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18">
        <f>IF(tblOrdenes[[#This Row],[orden]]="","",_xlfn.XLOOKUP(tblOrdenes[[#This Row],[id_operacion]],tblEjecucion[id_operacion],tblEjecucion[precio],0))</f>
        <v/>
      </c>
      <c r="AM1051" s="18">
        <f>IF(tblOrdenes[[#This Row],[orden]]="","",MAX(0,_xlfn.XLOOKUP(tblOrdenes[[#This Row],[id_operacion]],tblEjecucion[id_operacion],tblEjecucion[costo_plan_total],0)-tblOrdenes[[#This Row],[costo_servicio]]))</f>
        <v/>
      </c>
      <c r="AN1051" s="18">
        <f>IF(tblOrdenes[[#This Row],[orden]]="","",tblOrdenes[[#This Row],[costo_servicio]]+tblOrdenes[[#This Row],[costo_materiales]])</f>
        <v/>
      </c>
      <c r="AO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5">
        <f>IF(tblOrdenes[[#This Row],[link_checklist]]="","",HYPERLINK(p_ruta_base_checklists&amp;tblOrdenes[[#This Row],[link_checklist]],"abrir"))</f>
        <v/>
      </c>
      <c r="AT1051" s="4" t="n"/>
      <c r="AU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5" t="n"/>
      <c r="K1052" s="5" t="n"/>
      <c r="L1052" s="18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Row],[fecha_inicio]]="","",tblOrdenes[[#This Row],[anio]]&amp;"-"&amp;TEXT(tblOrdenes[[#This Row],[mes]],"00"))</f>
        <v/>
      </c>
      <c r="S1052" s="5">
        <f>IF(tblOrdenes[[#This Row],[fecha_inicio]]="","",INDEX(lista_dias,WEEKDAY(tblOrdenes[[#This Row],[fecha_inicio]],2)))</f>
        <v/>
      </c>
      <c r="T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5">
        <f>IF(tblOrdenes[[#This Row],[tipo_ot]]="","",_xlfn.XLOOKUP(tblOrdenes[[#This Row],[tipo_ot]],tblTiposOT[codigo],tblTiposOT[clasificacion],"sin_clasificar"))</f>
        <v/>
      </c>
      <c r="V10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5">
        <f>IF(tblOrdenes[[#This Row],[centro_costo]]="","",_xlfn.XLOOKUP(tblOrdenes[[#This Row],[centro_costo]],tblCECO[codigo],tblCECO[linea],"(sin catálogo)"))</f>
        <v/>
      </c>
      <c r="Y1052" s="5">
        <f>IF(tblOrdenes[[#This Row],[centro_costo]]="","",_xlfn.XLOOKUP(tblOrdenes[[#This Row],[centro_costo]],tblCECO[codigo],tblCECO[area],"(sin catálogo)"))</f>
        <v/>
      </c>
      <c r="Z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5">
        <f>IF(tblOrdenes[[#This Row],[centro_costo]]="","",_xlfn.XLOOKUP(tblOrdenes[[#This Row],[centro_costo]],tblCECO[codigo],tblCECO[coordinador],"(sin catálogo)"))</f>
        <v/>
      </c>
      <c r="AB1052" s="5">
        <f>IF(tblOrdenes[[#This Row],[puesto_trabajo]]="","",_xlfn.XLOOKUP(tblOrdenes[[#This Row],[puesto_trabajo]],tblPuestos[codigo],tblPuestos[especialidad],"(sin catálogo)"))</f>
        <v/>
      </c>
      <c r="AC1052" s="5">
        <f>IF(tblOrdenes[[#This Row],[cod_actividad]]="","",_xlfn.XLOOKUP(tblOrdenes[[#This Row],[cod_actividad]],tblActividades[codigo],tblActividades[descripcion],"(sin catálogo)"))</f>
        <v/>
      </c>
      <c r="AD1052" s="23">
        <f>IF(tblOrdenes[[#This Row],[fecha_inicio]]="","",TODAY()-tblOrdenes[[#This Row],[fecha_inicio]])</f>
        <v/>
      </c>
      <c r="AE10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5">
        <f>IF(tblOrdenes[[#This Row],[backlog_habiles]]="","",IF(tblOrdenes[[#This Row],[backlog_habiles]]&lt;0,"FUTURO",IF(tblOrdenes[[#This Row],[backlog_habiles]]&gt;p_dias_backlog_max,"BACKLOG","MES CORRIENTE")))</f>
        <v/>
      </c>
      <c r="AG1052" s="5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18">
        <f>IF(tblOrdenes[[#This Row],[orden]]="","",_xlfn.XLOOKUP(tblOrdenes[[#This Row],[id_operacion]],tblEjecucion[id_operacion],tblEjecucion[precio],0))</f>
        <v/>
      </c>
      <c r="AM1052" s="18">
        <f>IF(tblOrdenes[[#This Row],[orden]]="","",MAX(0,_xlfn.XLOOKUP(tblOrdenes[[#This Row],[id_operacion]],tblEjecucion[id_operacion],tblEjecucion[costo_plan_total],0)-tblOrdenes[[#This Row],[costo_servicio]]))</f>
        <v/>
      </c>
      <c r="AN1052" s="18">
        <f>IF(tblOrdenes[[#This Row],[orden]]="","",tblOrdenes[[#This Row],[costo_servicio]]+tblOrdenes[[#This Row],[costo_materiales]])</f>
        <v/>
      </c>
      <c r="AO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5">
        <f>IF(tblOrdenes[[#This Row],[link_checklist]]="","",HYPERLINK(p_ruta_base_checklists&amp;tblOrdenes[[#This Row],[link_checklist]],"abrir"))</f>
        <v/>
      </c>
      <c r="AT1052" s="4" t="n"/>
      <c r="AU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5" t="n"/>
      <c r="K1053" s="5" t="n"/>
      <c r="L1053" s="18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Row],[fecha_inicio]]="","",tblOrdenes[[#This Row],[anio]]&amp;"-"&amp;TEXT(tblOrdenes[[#This Row],[mes]],"00"))</f>
        <v/>
      </c>
      <c r="S1053" s="5">
        <f>IF(tblOrdenes[[#This Row],[fecha_inicio]]="","",INDEX(lista_dias,WEEKDAY(tblOrdenes[[#This Row],[fecha_inicio]],2)))</f>
        <v/>
      </c>
      <c r="T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5">
        <f>IF(tblOrdenes[[#This Row],[tipo_ot]]="","",_xlfn.XLOOKUP(tblOrdenes[[#This Row],[tipo_ot]],tblTiposOT[codigo],tblTiposOT[clasificacion],"sin_clasificar"))</f>
        <v/>
      </c>
      <c r="V10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5">
        <f>IF(tblOrdenes[[#This Row],[centro_costo]]="","",_xlfn.XLOOKUP(tblOrdenes[[#This Row],[centro_costo]],tblCECO[codigo],tblCECO[linea],"(sin catálogo)"))</f>
        <v/>
      </c>
      <c r="Y1053" s="5">
        <f>IF(tblOrdenes[[#This Row],[centro_costo]]="","",_xlfn.XLOOKUP(tblOrdenes[[#This Row],[centro_costo]],tblCECO[codigo],tblCECO[area],"(sin catálogo)"))</f>
        <v/>
      </c>
      <c r="Z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5">
        <f>IF(tblOrdenes[[#This Row],[centro_costo]]="","",_xlfn.XLOOKUP(tblOrdenes[[#This Row],[centro_costo]],tblCECO[codigo],tblCECO[coordinador],"(sin catálogo)"))</f>
        <v/>
      </c>
      <c r="AB1053" s="5">
        <f>IF(tblOrdenes[[#This Row],[puesto_trabajo]]="","",_xlfn.XLOOKUP(tblOrdenes[[#This Row],[puesto_trabajo]],tblPuestos[codigo],tblPuestos[especialidad],"(sin catálogo)"))</f>
        <v/>
      </c>
      <c r="AC1053" s="5">
        <f>IF(tblOrdenes[[#This Row],[cod_actividad]]="","",_xlfn.XLOOKUP(tblOrdenes[[#This Row],[cod_actividad]],tblActividades[codigo],tblActividades[descripcion],"(sin catálogo)"))</f>
        <v/>
      </c>
      <c r="AD1053" s="23">
        <f>IF(tblOrdenes[[#This Row],[fecha_inicio]]="","",TODAY()-tblOrdenes[[#This Row],[fecha_inicio]])</f>
        <v/>
      </c>
      <c r="AE10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5">
        <f>IF(tblOrdenes[[#This Row],[backlog_habiles]]="","",IF(tblOrdenes[[#This Row],[backlog_habiles]]&lt;0,"FUTURO",IF(tblOrdenes[[#This Row],[backlog_habiles]]&gt;p_dias_backlog_max,"BACKLOG","MES CORRIENTE")))</f>
        <v/>
      </c>
      <c r="AG1053" s="5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18">
        <f>IF(tblOrdenes[[#This Row],[orden]]="","",_xlfn.XLOOKUP(tblOrdenes[[#This Row],[id_operacion]],tblEjecucion[id_operacion],tblEjecucion[precio],0))</f>
        <v/>
      </c>
      <c r="AM1053" s="18">
        <f>IF(tblOrdenes[[#This Row],[orden]]="","",MAX(0,_xlfn.XLOOKUP(tblOrdenes[[#This Row],[id_operacion]],tblEjecucion[id_operacion],tblEjecucion[costo_plan_total],0)-tblOrdenes[[#This Row],[costo_servicio]]))</f>
        <v/>
      </c>
      <c r="AN1053" s="18">
        <f>IF(tblOrdenes[[#This Row],[orden]]="","",tblOrdenes[[#This Row],[costo_servicio]]+tblOrdenes[[#This Row],[costo_materiales]])</f>
        <v/>
      </c>
      <c r="AO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5">
        <f>IF(tblOrdenes[[#This Row],[link_checklist]]="","",HYPERLINK(p_ruta_base_checklists&amp;tblOrdenes[[#This Row],[link_checklist]],"abrir"))</f>
        <v/>
      </c>
      <c r="AT1053" s="4" t="n"/>
      <c r="AU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5" t="n"/>
      <c r="K1054" s="5" t="n"/>
      <c r="L1054" s="18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Row],[fecha_inicio]]="","",tblOrdenes[[#This Row],[anio]]&amp;"-"&amp;TEXT(tblOrdenes[[#This Row],[mes]],"00"))</f>
        <v/>
      </c>
      <c r="S1054" s="5">
        <f>IF(tblOrdenes[[#This Row],[fecha_inicio]]="","",INDEX(lista_dias,WEEKDAY(tblOrdenes[[#This Row],[fecha_inicio]],2)))</f>
        <v/>
      </c>
      <c r="T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5">
        <f>IF(tblOrdenes[[#This Row],[tipo_ot]]="","",_xlfn.XLOOKUP(tblOrdenes[[#This Row],[tipo_ot]],tblTiposOT[codigo],tblTiposOT[clasificacion],"sin_clasificar"))</f>
        <v/>
      </c>
      <c r="V10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5">
        <f>IF(tblOrdenes[[#This Row],[centro_costo]]="","",_xlfn.XLOOKUP(tblOrdenes[[#This Row],[centro_costo]],tblCECO[codigo],tblCECO[linea],"(sin catálogo)"))</f>
        <v/>
      </c>
      <c r="Y1054" s="5">
        <f>IF(tblOrdenes[[#This Row],[centro_costo]]="","",_xlfn.XLOOKUP(tblOrdenes[[#This Row],[centro_costo]],tblCECO[codigo],tblCECO[area],"(sin catálogo)"))</f>
        <v/>
      </c>
      <c r="Z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5">
        <f>IF(tblOrdenes[[#This Row],[centro_costo]]="","",_xlfn.XLOOKUP(tblOrdenes[[#This Row],[centro_costo]],tblCECO[codigo],tblCECO[coordinador],"(sin catálogo)"))</f>
        <v/>
      </c>
      <c r="AB1054" s="5">
        <f>IF(tblOrdenes[[#This Row],[puesto_trabajo]]="","",_xlfn.XLOOKUP(tblOrdenes[[#This Row],[puesto_trabajo]],tblPuestos[codigo],tblPuestos[especialidad],"(sin catálogo)"))</f>
        <v/>
      </c>
      <c r="AC1054" s="5">
        <f>IF(tblOrdenes[[#This Row],[cod_actividad]]="","",_xlfn.XLOOKUP(tblOrdenes[[#This Row],[cod_actividad]],tblActividades[codigo],tblActividades[descripcion],"(sin catálogo)"))</f>
        <v/>
      </c>
      <c r="AD1054" s="23">
        <f>IF(tblOrdenes[[#This Row],[fecha_inicio]]="","",TODAY()-tblOrdenes[[#This Row],[fecha_inicio]])</f>
        <v/>
      </c>
      <c r="AE10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5">
        <f>IF(tblOrdenes[[#This Row],[backlog_habiles]]="","",IF(tblOrdenes[[#This Row],[backlog_habiles]]&lt;0,"FUTURO",IF(tblOrdenes[[#This Row],[backlog_habiles]]&gt;p_dias_backlog_max,"BACKLOG","MES CORRIENTE")))</f>
        <v/>
      </c>
      <c r="AG1054" s="5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18">
        <f>IF(tblOrdenes[[#This Row],[orden]]="","",_xlfn.XLOOKUP(tblOrdenes[[#This Row],[id_operacion]],tblEjecucion[id_operacion],tblEjecucion[precio],0))</f>
        <v/>
      </c>
      <c r="AM1054" s="18">
        <f>IF(tblOrdenes[[#This Row],[orden]]="","",MAX(0,_xlfn.XLOOKUP(tblOrdenes[[#This Row],[id_operacion]],tblEjecucion[id_operacion],tblEjecucion[costo_plan_total],0)-tblOrdenes[[#This Row],[costo_servicio]]))</f>
        <v/>
      </c>
      <c r="AN1054" s="18">
        <f>IF(tblOrdenes[[#This Row],[orden]]="","",tblOrdenes[[#This Row],[costo_servicio]]+tblOrdenes[[#This Row],[costo_materiales]])</f>
        <v/>
      </c>
      <c r="AO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5">
        <f>IF(tblOrdenes[[#This Row],[link_checklist]]="","",HYPERLINK(p_ruta_base_checklists&amp;tblOrdenes[[#This Row],[link_checklist]],"abrir"))</f>
        <v/>
      </c>
      <c r="AT1054" s="4" t="n"/>
      <c r="AU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5" t="n"/>
      <c r="K1055" s="5" t="n"/>
      <c r="L1055" s="18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Row],[fecha_inicio]]="","",tblOrdenes[[#This Row],[anio]]&amp;"-"&amp;TEXT(tblOrdenes[[#This Row],[mes]],"00"))</f>
        <v/>
      </c>
      <c r="S1055" s="5">
        <f>IF(tblOrdenes[[#This Row],[fecha_inicio]]="","",INDEX(lista_dias,WEEKDAY(tblOrdenes[[#This Row],[fecha_inicio]],2)))</f>
        <v/>
      </c>
      <c r="T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5">
        <f>IF(tblOrdenes[[#This Row],[tipo_ot]]="","",_xlfn.XLOOKUP(tblOrdenes[[#This Row],[tipo_ot]],tblTiposOT[codigo],tblTiposOT[clasificacion],"sin_clasificar"))</f>
        <v/>
      </c>
      <c r="V10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5">
        <f>IF(tblOrdenes[[#This Row],[centro_costo]]="","",_xlfn.XLOOKUP(tblOrdenes[[#This Row],[centro_costo]],tblCECO[codigo],tblCECO[linea],"(sin catálogo)"))</f>
        <v/>
      </c>
      <c r="Y1055" s="5">
        <f>IF(tblOrdenes[[#This Row],[centro_costo]]="","",_xlfn.XLOOKUP(tblOrdenes[[#This Row],[centro_costo]],tblCECO[codigo],tblCECO[area],"(sin catálogo)"))</f>
        <v/>
      </c>
      <c r="Z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5">
        <f>IF(tblOrdenes[[#This Row],[centro_costo]]="","",_xlfn.XLOOKUP(tblOrdenes[[#This Row],[centro_costo]],tblCECO[codigo],tblCECO[coordinador],"(sin catálogo)"))</f>
        <v/>
      </c>
      <c r="AB1055" s="5">
        <f>IF(tblOrdenes[[#This Row],[puesto_trabajo]]="","",_xlfn.XLOOKUP(tblOrdenes[[#This Row],[puesto_trabajo]],tblPuestos[codigo],tblPuestos[especialidad],"(sin catálogo)"))</f>
        <v/>
      </c>
      <c r="AC1055" s="5">
        <f>IF(tblOrdenes[[#This Row],[cod_actividad]]="","",_xlfn.XLOOKUP(tblOrdenes[[#This Row],[cod_actividad]],tblActividades[codigo],tblActividades[descripcion],"(sin catálogo)"))</f>
        <v/>
      </c>
      <c r="AD1055" s="23">
        <f>IF(tblOrdenes[[#This Row],[fecha_inicio]]="","",TODAY()-tblOrdenes[[#This Row],[fecha_inicio]])</f>
        <v/>
      </c>
      <c r="AE10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5">
        <f>IF(tblOrdenes[[#This Row],[backlog_habiles]]="","",IF(tblOrdenes[[#This Row],[backlog_habiles]]&lt;0,"FUTURO",IF(tblOrdenes[[#This Row],[backlog_habiles]]&gt;p_dias_backlog_max,"BACKLOG","MES CORRIENTE")))</f>
        <v/>
      </c>
      <c r="AG1055" s="5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18">
        <f>IF(tblOrdenes[[#This Row],[orden]]="","",_xlfn.XLOOKUP(tblOrdenes[[#This Row],[id_operacion]],tblEjecucion[id_operacion],tblEjecucion[precio],0))</f>
        <v/>
      </c>
      <c r="AM1055" s="18">
        <f>IF(tblOrdenes[[#This Row],[orden]]="","",MAX(0,_xlfn.XLOOKUP(tblOrdenes[[#This Row],[id_operacion]],tblEjecucion[id_operacion],tblEjecucion[costo_plan_total],0)-tblOrdenes[[#This Row],[costo_servicio]]))</f>
        <v/>
      </c>
      <c r="AN1055" s="18">
        <f>IF(tblOrdenes[[#This Row],[orden]]="","",tblOrdenes[[#This Row],[costo_servicio]]+tblOrdenes[[#This Row],[costo_materiales]])</f>
        <v/>
      </c>
      <c r="AO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5">
        <f>IF(tblOrdenes[[#This Row],[link_checklist]]="","",HYPERLINK(p_ruta_base_checklists&amp;tblOrdenes[[#This Row],[link_checklist]],"abrir"))</f>
        <v/>
      </c>
      <c r="AT1055" s="4" t="n"/>
      <c r="AU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5" t="n"/>
      <c r="K1056" s="5" t="n"/>
      <c r="L1056" s="18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Row],[fecha_inicio]]="","",tblOrdenes[[#This Row],[anio]]&amp;"-"&amp;TEXT(tblOrdenes[[#This Row],[mes]],"00"))</f>
        <v/>
      </c>
      <c r="S1056" s="5">
        <f>IF(tblOrdenes[[#This Row],[fecha_inicio]]="","",INDEX(lista_dias,WEEKDAY(tblOrdenes[[#This Row],[fecha_inicio]],2)))</f>
        <v/>
      </c>
      <c r="T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5">
        <f>IF(tblOrdenes[[#This Row],[tipo_ot]]="","",_xlfn.XLOOKUP(tblOrdenes[[#This Row],[tipo_ot]],tblTiposOT[codigo],tblTiposOT[clasificacion],"sin_clasificar"))</f>
        <v/>
      </c>
      <c r="V10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5">
        <f>IF(tblOrdenes[[#This Row],[centro_costo]]="","",_xlfn.XLOOKUP(tblOrdenes[[#This Row],[centro_costo]],tblCECO[codigo],tblCECO[linea],"(sin catálogo)"))</f>
        <v/>
      </c>
      <c r="Y1056" s="5">
        <f>IF(tblOrdenes[[#This Row],[centro_costo]]="","",_xlfn.XLOOKUP(tblOrdenes[[#This Row],[centro_costo]],tblCECO[codigo],tblCECO[area],"(sin catálogo)"))</f>
        <v/>
      </c>
      <c r="Z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5">
        <f>IF(tblOrdenes[[#This Row],[centro_costo]]="","",_xlfn.XLOOKUP(tblOrdenes[[#This Row],[centro_costo]],tblCECO[codigo],tblCECO[coordinador],"(sin catálogo)"))</f>
        <v/>
      </c>
      <c r="AB1056" s="5">
        <f>IF(tblOrdenes[[#This Row],[puesto_trabajo]]="","",_xlfn.XLOOKUP(tblOrdenes[[#This Row],[puesto_trabajo]],tblPuestos[codigo],tblPuestos[especialidad],"(sin catálogo)"))</f>
        <v/>
      </c>
      <c r="AC1056" s="5">
        <f>IF(tblOrdenes[[#This Row],[cod_actividad]]="","",_xlfn.XLOOKUP(tblOrdenes[[#This Row],[cod_actividad]],tblActividades[codigo],tblActividades[descripcion],"(sin catálogo)"))</f>
        <v/>
      </c>
      <c r="AD1056" s="23">
        <f>IF(tblOrdenes[[#This Row],[fecha_inicio]]="","",TODAY()-tblOrdenes[[#This Row],[fecha_inicio]])</f>
        <v/>
      </c>
      <c r="AE10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5">
        <f>IF(tblOrdenes[[#This Row],[backlog_habiles]]="","",IF(tblOrdenes[[#This Row],[backlog_habiles]]&lt;0,"FUTURO",IF(tblOrdenes[[#This Row],[backlog_habiles]]&gt;p_dias_backlog_max,"BACKLOG","MES CORRIENTE")))</f>
        <v/>
      </c>
      <c r="AG1056" s="5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18">
        <f>IF(tblOrdenes[[#This Row],[orden]]="","",_xlfn.XLOOKUP(tblOrdenes[[#This Row],[id_operacion]],tblEjecucion[id_operacion],tblEjecucion[precio],0))</f>
        <v/>
      </c>
      <c r="AM1056" s="18">
        <f>IF(tblOrdenes[[#This Row],[orden]]="","",MAX(0,_xlfn.XLOOKUP(tblOrdenes[[#This Row],[id_operacion]],tblEjecucion[id_operacion],tblEjecucion[costo_plan_total],0)-tblOrdenes[[#This Row],[costo_servicio]]))</f>
        <v/>
      </c>
      <c r="AN1056" s="18">
        <f>IF(tblOrdenes[[#This Row],[orden]]="","",tblOrdenes[[#This Row],[costo_servicio]]+tblOrdenes[[#This Row],[costo_materiales]])</f>
        <v/>
      </c>
      <c r="AO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5">
        <f>IF(tblOrdenes[[#This Row],[link_checklist]]="","",HYPERLINK(p_ruta_base_checklists&amp;tblOrdenes[[#This Row],[link_checklist]],"abrir"))</f>
        <v/>
      </c>
      <c r="AT1056" s="4" t="n"/>
      <c r="AU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5" t="n"/>
      <c r="K1057" s="5" t="n"/>
      <c r="L1057" s="18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Row],[fecha_inicio]]="","",tblOrdenes[[#This Row],[anio]]&amp;"-"&amp;TEXT(tblOrdenes[[#This Row],[mes]],"00"))</f>
        <v/>
      </c>
      <c r="S1057" s="5">
        <f>IF(tblOrdenes[[#This Row],[fecha_inicio]]="","",INDEX(lista_dias,WEEKDAY(tblOrdenes[[#This Row],[fecha_inicio]],2)))</f>
        <v/>
      </c>
      <c r="T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5">
        <f>IF(tblOrdenes[[#This Row],[tipo_ot]]="","",_xlfn.XLOOKUP(tblOrdenes[[#This Row],[tipo_ot]],tblTiposOT[codigo],tblTiposOT[clasificacion],"sin_clasificar"))</f>
        <v/>
      </c>
      <c r="V10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5">
        <f>IF(tblOrdenes[[#This Row],[centro_costo]]="","",_xlfn.XLOOKUP(tblOrdenes[[#This Row],[centro_costo]],tblCECO[codigo],tblCECO[linea],"(sin catálogo)"))</f>
        <v/>
      </c>
      <c r="Y1057" s="5">
        <f>IF(tblOrdenes[[#This Row],[centro_costo]]="","",_xlfn.XLOOKUP(tblOrdenes[[#This Row],[centro_costo]],tblCECO[codigo],tblCECO[area],"(sin catálogo)"))</f>
        <v/>
      </c>
      <c r="Z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5">
        <f>IF(tblOrdenes[[#This Row],[centro_costo]]="","",_xlfn.XLOOKUP(tblOrdenes[[#This Row],[centro_costo]],tblCECO[codigo],tblCECO[coordinador],"(sin catálogo)"))</f>
        <v/>
      </c>
      <c r="AB1057" s="5">
        <f>IF(tblOrdenes[[#This Row],[puesto_trabajo]]="","",_xlfn.XLOOKUP(tblOrdenes[[#This Row],[puesto_trabajo]],tblPuestos[codigo],tblPuestos[especialidad],"(sin catálogo)"))</f>
        <v/>
      </c>
      <c r="AC1057" s="5">
        <f>IF(tblOrdenes[[#This Row],[cod_actividad]]="","",_xlfn.XLOOKUP(tblOrdenes[[#This Row],[cod_actividad]],tblActividades[codigo],tblActividades[descripcion],"(sin catálogo)"))</f>
        <v/>
      </c>
      <c r="AD1057" s="23">
        <f>IF(tblOrdenes[[#This Row],[fecha_inicio]]="","",TODAY()-tblOrdenes[[#This Row],[fecha_inicio]])</f>
        <v/>
      </c>
      <c r="AE10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5">
        <f>IF(tblOrdenes[[#This Row],[backlog_habiles]]="","",IF(tblOrdenes[[#This Row],[backlog_habiles]]&lt;0,"FUTURO",IF(tblOrdenes[[#This Row],[backlog_habiles]]&gt;p_dias_backlog_max,"BACKLOG","MES CORRIENTE")))</f>
        <v/>
      </c>
      <c r="AG1057" s="5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18">
        <f>IF(tblOrdenes[[#This Row],[orden]]="","",_xlfn.XLOOKUP(tblOrdenes[[#This Row],[id_operacion]],tblEjecucion[id_operacion],tblEjecucion[precio],0))</f>
        <v/>
      </c>
      <c r="AM1057" s="18">
        <f>IF(tblOrdenes[[#This Row],[orden]]="","",MAX(0,_xlfn.XLOOKUP(tblOrdenes[[#This Row],[id_operacion]],tblEjecucion[id_operacion],tblEjecucion[costo_plan_total],0)-tblOrdenes[[#This Row],[costo_servicio]]))</f>
        <v/>
      </c>
      <c r="AN1057" s="18">
        <f>IF(tblOrdenes[[#This Row],[orden]]="","",tblOrdenes[[#This Row],[costo_servicio]]+tblOrdenes[[#This Row],[costo_materiales]])</f>
        <v/>
      </c>
      <c r="AO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5">
        <f>IF(tblOrdenes[[#This Row],[link_checklist]]="","",HYPERLINK(p_ruta_base_checklists&amp;tblOrdenes[[#This Row],[link_checklist]],"abrir"))</f>
        <v/>
      </c>
      <c r="AT1057" s="4" t="n"/>
      <c r="AU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5" t="n"/>
      <c r="K1058" s="5" t="n"/>
      <c r="L1058" s="18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Row],[fecha_inicio]]="","",tblOrdenes[[#This Row],[anio]]&amp;"-"&amp;TEXT(tblOrdenes[[#This Row],[mes]],"00"))</f>
        <v/>
      </c>
      <c r="S1058" s="5">
        <f>IF(tblOrdenes[[#This Row],[fecha_inicio]]="","",INDEX(lista_dias,WEEKDAY(tblOrdenes[[#This Row],[fecha_inicio]],2)))</f>
        <v/>
      </c>
      <c r="T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5">
        <f>IF(tblOrdenes[[#This Row],[tipo_ot]]="","",_xlfn.XLOOKUP(tblOrdenes[[#This Row],[tipo_ot]],tblTiposOT[codigo],tblTiposOT[clasificacion],"sin_clasificar"))</f>
        <v/>
      </c>
      <c r="V10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5">
        <f>IF(tblOrdenes[[#This Row],[centro_costo]]="","",_xlfn.XLOOKUP(tblOrdenes[[#This Row],[centro_costo]],tblCECO[codigo],tblCECO[linea],"(sin catálogo)"))</f>
        <v/>
      </c>
      <c r="Y1058" s="5">
        <f>IF(tblOrdenes[[#This Row],[centro_costo]]="","",_xlfn.XLOOKUP(tblOrdenes[[#This Row],[centro_costo]],tblCECO[codigo],tblCECO[area],"(sin catálogo)"))</f>
        <v/>
      </c>
      <c r="Z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5">
        <f>IF(tblOrdenes[[#This Row],[centro_costo]]="","",_xlfn.XLOOKUP(tblOrdenes[[#This Row],[centro_costo]],tblCECO[codigo],tblCECO[coordinador],"(sin catálogo)"))</f>
        <v/>
      </c>
      <c r="AB1058" s="5">
        <f>IF(tblOrdenes[[#This Row],[puesto_trabajo]]="","",_xlfn.XLOOKUP(tblOrdenes[[#This Row],[puesto_trabajo]],tblPuestos[codigo],tblPuestos[especialidad],"(sin catálogo)"))</f>
        <v/>
      </c>
      <c r="AC1058" s="5">
        <f>IF(tblOrdenes[[#This Row],[cod_actividad]]="","",_xlfn.XLOOKUP(tblOrdenes[[#This Row],[cod_actividad]],tblActividades[codigo],tblActividades[descripcion],"(sin catálogo)"))</f>
        <v/>
      </c>
      <c r="AD1058" s="23">
        <f>IF(tblOrdenes[[#This Row],[fecha_inicio]]="","",TODAY()-tblOrdenes[[#This Row],[fecha_inicio]])</f>
        <v/>
      </c>
      <c r="AE10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5">
        <f>IF(tblOrdenes[[#This Row],[backlog_habiles]]="","",IF(tblOrdenes[[#This Row],[backlog_habiles]]&lt;0,"FUTURO",IF(tblOrdenes[[#This Row],[backlog_habiles]]&gt;p_dias_backlog_max,"BACKLOG","MES CORRIENTE")))</f>
        <v/>
      </c>
      <c r="AG1058" s="5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18">
        <f>IF(tblOrdenes[[#This Row],[orden]]="","",_xlfn.XLOOKUP(tblOrdenes[[#This Row],[id_operacion]],tblEjecucion[id_operacion],tblEjecucion[precio],0))</f>
        <v/>
      </c>
      <c r="AM1058" s="18">
        <f>IF(tblOrdenes[[#This Row],[orden]]="","",MAX(0,_xlfn.XLOOKUP(tblOrdenes[[#This Row],[id_operacion]],tblEjecucion[id_operacion],tblEjecucion[costo_plan_total],0)-tblOrdenes[[#This Row],[costo_servicio]]))</f>
        <v/>
      </c>
      <c r="AN1058" s="18">
        <f>IF(tblOrdenes[[#This Row],[orden]]="","",tblOrdenes[[#This Row],[costo_servicio]]+tblOrdenes[[#This Row],[costo_materiales]])</f>
        <v/>
      </c>
      <c r="AO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5">
        <f>IF(tblOrdenes[[#This Row],[link_checklist]]="","",HYPERLINK(p_ruta_base_checklists&amp;tblOrdenes[[#This Row],[link_checklist]],"abrir"))</f>
        <v/>
      </c>
      <c r="AT1058" s="4" t="n"/>
      <c r="AU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5" t="n"/>
      <c r="K1059" s="5" t="n"/>
      <c r="L1059" s="18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Row],[fecha_inicio]]="","",tblOrdenes[[#This Row],[anio]]&amp;"-"&amp;TEXT(tblOrdenes[[#This Row],[mes]],"00"))</f>
        <v/>
      </c>
      <c r="S1059" s="5">
        <f>IF(tblOrdenes[[#This Row],[fecha_inicio]]="","",INDEX(lista_dias,WEEKDAY(tblOrdenes[[#This Row],[fecha_inicio]],2)))</f>
        <v/>
      </c>
      <c r="T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5">
        <f>IF(tblOrdenes[[#This Row],[tipo_ot]]="","",_xlfn.XLOOKUP(tblOrdenes[[#This Row],[tipo_ot]],tblTiposOT[codigo],tblTiposOT[clasificacion],"sin_clasificar"))</f>
        <v/>
      </c>
      <c r="V10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5">
        <f>IF(tblOrdenes[[#This Row],[centro_costo]]="","",_xlfn.XLOOKUP(tblOrdenes[[#This Row],[centro_costo]],tblCECO[codigo],tblCECO[linea],"(sin catálogo)"))</f>
        <v/>
      </c>
      <c r="Y1059" s="5">
        <f>IF(tblOrdenes[[#This Row],[centro_costo]]="","",_xlfn.XLOOKUP(tblOrdenes[[#This Row],[centro_costo]],tblCECO[codigo],tblCECO[area],"(sin catálogo)"))</f>
        <v/>
      </c>
      <c r="Z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5">
        <f>IF(tblOrdenes[[#This Row],[centro_costo]]="","",_xlfn.XLOOKUP(tblOrdenes[[#This Row],[centro_costo]],tblCECO[codigo],tblCECO[coordinador],"(sin catálogo)"))</f>
        <v/>
      </c>
      <c r="AB1059" s="5">
        <f>IF(tblOrdenes[[#This Row],[puesto_trabajo]]="","",_xlfn.XLOOKUP(tblOrdenes[[#This Row],[puesto_trabajo]],tblPuestos[codigo],tblPuestos[especialidad],"(sin catálogo)"))</f>
        <v/>
      </c>
      <c r="AC1059" s="5">
        <f>IF(tblOrdenes[[#This Row],[cod_actividad]]="","",_xlfn.XLOOKUP(tblOrdenes[[#This Row],[cod_actividad]],tblActividades[codigo],tblActividades[descripcion],"(sin catálogo)"))</f>
        <v/>
      </c>
      <c r="AD1059" s="23">
        <f>IF(tblOrdenes[[#This Row],[fecha_inicio]]="","",TODAY()-tblOrdenes[[#This Row],[fecha_inicio]])</f>
        <v/>
      </c>
      <c r="AE10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5">
        <f>IF(tblOrdenes[[#This Row],[backlog_habiles]]="","",IF(tblOrdenes[[#This Row],[backlog_habiles]]&lt;0,"FUTURO",IF(tblOrdenes[[#This Row],[backlog_habiles]]&gt;p_dias_backlog_max,"BACKLOG","MES CORRIENTE")))</f>
        <v/>
      </c>
      <c r="AG1059" s="5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18">
        <f>IF(tblOrdenes[[#This Row],[orden]]="","",_xlfn.XLOOKUP(tblOrdenes[[#This Row],[id_operacion]],tblEjecucion[id_operacion],tblEjecucion[precio],0))</f>
        <v/>
      </c>
      <c r="AM1059" s="18">
        <f>IF(tblOrdenes[[#This Row],[orden]]="","",MAX(0,_xlfn.XLOOKUP(tblOrdenes[[#This Row],[id_operacion]],tblEjecucion[id_operacion],tblEjecucion[costo_plan_total],0)-tblOrdenes[[#This Row],[costo_servicio]]))</f>
        <v/>
      </c>
      <c r="AN1059" s="18">
        <f>IF(tblOrdenes[[#This Row],[orden]]="","",tblOrdenes[[#This Row],[costo_servicio]]+tblOrdenes[[#This Row],[costo_materiales]])</f>
        <v/>
      </c>
      <c r="AO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5">
        <f>IF(tblOrdenes[[#This Row],[link_checklist]]="","",HYPERLINK(p_ruta_base_checklists&amp;tblOrdenes[[#This Row],[link_checklist]],"abrir"))</f>
        <v/>
      </c>
      <c r="AT1059" s="4" t="n"/>
      <c r="AU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5" t="n"/>
      <c r="K1060" s="5" t="n"/>
      <c r="L1060" s="18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Row],[fecha_inicio]]="","",tblOrdenes[[#This Row],[anio]]&amp;"-"&amp;TEXT(tblOrdenes[[#This Row],[mes]],"00"))</f>
        <v/>
      </c>
      <c r="S1060" s="5">
        <f>IF(tblOrdenes[[#This Row],[fecha_inicio]]="","",INDEX(lista_dias,WEEKDAY(tblOrdenes[[#This Row],[fecha_inicio]],2)))</f>
        <v/>
      </c>
      <c r="T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5">
        <f>IF(tblOrdenes[[#This Row],[tipo_ot]]="","",_xlfn.XLOOKUP(tblOrdenes[[#This Row],[tipo_ot]],tblTiposOT[codigo],tblTiposOT[clasificacion],"sin_clasificar"))</f>
        <v/>
      </c>
      <c r="V10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5">
        <f>IF(tblOrdenes[[#This Row],[centro_costo]]="","",_xlfn.XLOOKUP(tblOrdenes[[#This Row],[centro_costo]],tblCECO[codigo],tblCECO[linea],"(sin catálogo)"))</f>
        <v/>
      </c>
      <c r="Y1060" s="5">
        <f>IF(tblOrdenes[[#This Row],[centro_costo]]="","",_xlfn.XLOOKUP(tblOrdenes[[#This Row],[centro_costo]],tblCECO[codigo],tblCECO[area],"(sin catálogo)"))</f>
        <v/>
      </c>
      <c r="Z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5">
        <f>IF(tblOrdenes[[#This Row],[centro_costo]]="","",_xlfn.XLOOKUP(tblOrdenes[[#This Row],[centro_costo]],tblCECO[codigo],tblCECO[coordinador],"(sin catálogo)"))</f>
        <v/>
      </c>
      <c r="AB1060" s="5">
        <f>IF(tblOrdenes[[#This Row],[puesto_trabajo]]="","",_xlfn.XLOOKUP(tblOrdenes[[#This Row],[puesto_trabajo]],tblPuestos[codigo],tblPuestos[especialidad],"(sin catálogo)"))</f>
        <v/>
      </c>
      <c r="AC1060" s="5">
        <f>IF(tblOrdenes[[#This Row],[cod_actividad]]="","",_xlfn.XLOOKUP(tblOrdenes[[#This Row],[cod_actividad]],tblActividades[codigo],tblActividades[descripcion],"(sin catálogo)"))</f>
        <v/>
      </c>
      <c r="AD1060" s="23">
        <f>IF(tblOrdenes[[#This Row],[fecha_inicio]]="","",TODAY()-tblOrdenes[[#This Row],[fecha_inicio]])</f>
        <v/>
      </c>
      <c r="AE10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5">
        <f>IF(tblOrdenes[[#This Row],[backlog_habiles]]="","",IF(tblOrdenes[[#This Row],[backlog_habiles]]&lt;0,"FUTURO",IF(tblOrdenes[[#This Row],[backlog_habiles]]&gt;p_dias_backlog_max,"BACKLOG","MES CORRIENTE")))</f>
        <v/>
      </c>
      <c r="AG1060" s="5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18">
        <f>IF(tblOrdenes[[#This Row],[orden]]="","",_xlfn.XLOOKUP(tblOrdenes[[#This Row],[id_operacion]],tblEjecucion[id_operacion],tblEjecucion[precio],0))</f>
        <v/>
      </c>
      <c r="AM1060" s="18">
        <f>IF(tblOrdenes[[#This Row],[orden]]="","",MAX(0,_xlfn.XLOOKUP(tblOrdenes[[#This Row],[id_operacion]],tblEjecucion[id_operacion],tblEjecucion[costo_plan_total],0)-tblOrdenes[[#This Row],[costo_servicio]]))</f>
        <v/>
      </c>
      <c r="AN1060" s="18">
        <f>IF(tblOrdenes[[#This Row],[orden]]="","",tblOrdenes[[#This Row],[costo_servicio]]+tblOrdenes[[#This Row],[costo_materiales]])</f>
        <v/>
      </c>
      <c r="AO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5">
        <f>IF(tblOrdenes[[#This Row],[link_checklist]]="","",HYPERLINK(p_ruta_base_checklists&amp;tblOrdenes[[#This Row],[link_checklist]],"abrir"))</f>
        <v/>
      </c>
      <c r="AT1060" s="4" t="n"/>
      <c r="AU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5" t="n"/>
      <c r="K1061" s="5" t="n"/>
      <c r="L1061" s="18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Row],[fecha_inicio]]="","",tblOrdenes[[#This Row],[anio]]&amp;"-"&amp;TEXT(tblOrdenes[[#This Row],[mes]],"00"))</f>
        <v/>
      </c>
      <c r="S1061" s="5">
        <f>IF(tblOrdenes[[#This Row],[fecha_inicio]]="","",INDEX(lista_dias,WEEKDAY(tblOrdenes[[#This Row],[fecha_inicio]],2)))</f>
        <v/>
      </c>
      <c r="T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5">
        <f>IF(tblOrdenes[[#This Row],[tipo_ot]]="","",_xlfn.XLOOKUP(tblOrdenes[[#This Row],[tipo_ot]],tblTiposOT[codigo],tblTiposOT[clasificacion],"sin_clasificar"))</f>
        <v/>
      </c>
      <c r="V10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5">
        <f>IF(tblOrdenes[[#This Row],[centro_costo]]="","",_xlfn.XLOOKUP(tblOrdenes[[#This Row],[centro_costo]],tblCECO[codigo],tblCECO[linea],"(sin catálogo)"))</f>
        <v/>
      </c>
      <c r="Y1061" s="5">
        <f>IF(tblOrdenes[[#This Row],[centro_costo]]="","",_xlfn.XLOOKUP(tblOrdenes[[#This Row],[centro_costo]],tblCECO[codigo],tblCECO[area],"(sin catálogo)"))</f>
        <v/>
      </c>
      <c r="Z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5">
        <f>IF(tblOrdenes[[#This Row],[centro_costo]]="","",_xlfn.XLOOKUP(tblOrdenes[[#This Row],[centro_costo]],tblCECO[codigo],tblCECO[coordinador],"(sin catálogo)"))</f>
        <v/>
      </c>
      <c r="AB1061" s="5">
        <f>IF(tblOrdenes[[#This Row],[puesto_trabajo]]="","",_xlfn.XLOOKUP(tblOrdenes[[#This Row],[puesto_trabajo]],tblPuestos[codigo],tblPuestos[especialidad],"(sin catálogo)"))</f>
        <v/>
      </c>
      <c r="AC1061" s="5">
        <f>IF(tblOrdenes[[#This Row],[cod_actividad]]="","",_xlfn.XLOOKUP(tblOrdenes[[#This Row],[cod_actividad]],tblActividades[codigo],tblActividades[descripcion],"(sin catálogo)"))</f>
        <v/>
      </c>
      <c r="AD1061" s="23">
        <f>IF(tblOrdenes[[#This Row],[fecha_inicio]]="","",TODAY()-tblOrdenes[[#This Row],[fecha_inicio]])</f>
        <v/>
      </c>
      <c r="AE10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5">
        <f>IF(tblOrdenes[[#This Row],[backlog_habiles]]="","",IF(tblOrdenes[[#This Row],[backlog_habiles]]&lt;0,"FUTURO",IF(tblOrdenes[[#This Row],[backlog_habiles]]&gt;p_dias_backlog_max,"BACKLOG","MES CORRIENTE")))</f>
        <v/>
      </c>
      <c r="AG1061" s="5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18">
        <f>IF(tblOrdenes[[#This Row],[orden]]="","",_xlfn.XLOOKUP(tblOrdenes[[#This Row],[id_operacion]],tblEjecucion[id_operacion],tblEjecucion[precio],0))</f>
        <v/>
      </c>
      <c r="AM1061" s="18">
        <f>IF(tblOrdenes[[#This Row],[orden]]="","",MAX(0,_xlfn.XLOOKUP(tblOrdenes[[#This Row],[id_operacion]],tblEjecucion[id_operacion],tblEjecucion[costo_plan_total],0)-tblOrdenes[[#This Row],[costo_servicio]]))</f>
        <v/>
      </c>
      <c r="AN1061" s="18">
        <f>IF(tblOrdenes[[#This Row],[orden]]="","",tblOrdenes[[#This Row],[costo_servicio]]+tblOrdenes[[#This Row],[costo_materiales]])</f>
        <v/>
      </c>
      <c r="AO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5">
        <f>IF(tblOrdenes[[#This Row],[link_checklist]]="","",HYPERLINK(p_ruta_base_checklists&amp;tblOrdenes[[#This Row],[link_checklist]],"abrir"))</f>
        <v/>
      </c>
      <c r="AT1061" s="4" t="n"/>
      <c r="AU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5" t="n"/>
      <c r="K1062" s="5" t="n"/>
      <c r="L1062" s="18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Row],[fecha_inicio]]="","",tblOrdenes[[#This Row],[anio]]&amp;"-"&amp;TEXT(tblOrdenes[[#This Row],[mes]],"00"))</f>
        <v/>
      </c>
      <c r="S1062" s="5">
        <f>IF(tblOrdenes[[#This Row],[fecha_inicio]]="","",INDEX(lista_dias,WEEKDAY(tblOrdenes[[#This Row],[fecha_inicio]],2)))</f>
        <v/>
      </c>
      <c r="T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5">
        <f>IF(tblOrdenes[[#This Row],[tipo_ot]]="","",_xlfn.XLOOKUP(tblOrdenes[[#This Row],[tipo_ot]],tblTiposOT[codigo],tblTiposOT[clasificacion],"sin_clasificar"))</f>
        <v/>
      </c>
      <c r="V10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5">
        <f>IF(tblOrdenes[[#This Row],[centro_costo]]="","",_xlfn.XLOOKUP(tblOrdenes[[#This Row],[centro_costo]],tblCECO[codigo],tblCECO[linea],"(sin catálogo)"))</f>
        <v/>
      </c>
      <c r="Y1062" s="5">
        <f>IF(tblOrdenes[[#This Row],[centro_costo]]="","",_xlfn.XLOOKUP(tblOrdenes[[#This Row],[centro_costo]],tblCECO[codigo],tblCECO[area],"(sin catálogo)"))</f>
        <v/>
      </c>
      <c r="Z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5">
        <f>IF(tblOrdenes[[#This Row],[centro_costo]]="","",_xlfn.XLOOKUP(tblOrdenes[[#This Row],[centro_costo]],tblCECO[codigo],tblCECO[coordinador],"(sin catálogo)"))</f>
        <v/>
      </c>
      <c r="AB1062" s="5">
        <f>IF(tblOrdenes[[#This Row],[puesto_trabajo]]="","",_xlfn.XLOOKUP(tblOrdenes[[#This Row],[puesto_trabajo]],tblPuestos[codigo],tblPuestos[especialidad],"(sin catálogo)"))</f>
        <v/>
      </c>
      <c r="AC1062" s="5">
        <f>IF(tblOrdenes[[#This Row],[cod_actividad]]="","",_xlfn.XLOOKUP(tblOrdenes[[#This Row],[cod_actividad]],tblActividades[codigo],tblActividades[descripcion],"(sin catálogo)"))</f>
        <v/>
      </c>
      <c r="AD1062" s="23">
        <f>IF(tblOrdenes[[#This Row],[fecha_inicio]]="","",TODAY()-tblOrdenes[[#This Row],[fecha_inicio]])</f>
        <v/>
      </c>
      <c r="AE10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5">
        <f>IF(tblOrdenes[[#This Row],[backlog_habiles]]="","",IF(tblOrdenes[[#This Row],[backlog_habiles]]&lt;0,"FUTURO",IF(tblOrdenes[[#This Row],[backlog_habiles]]&gt;p_dias_backlog_max,"BACKLOG","MES CORRIENTE")))</f>
        <v/>
      </c>
      <c r="AG1062" s="5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18">
        <f>IF(tblOrdenes[[#This Row],[orden]]="","",_xlfn.XLOOKUP(tblOrdenes[[#This Row],[id_operacion]],tblEjecucion[id_operacion],tblEjecucion[precio],0))</f>
        <v/>
      </c>
      <c r="AM1062" s="18">
        <f>IF(tblOrdenes[[#This Row],[orden]]="","",MAX(0,_xlfn.XLOOKUP(tblOrdenes[[#This Row],[id_operacion]],tblEjecucion[id_operacion],tblEjecucion[costo_plan_total],0)-tblOrdenes[[#This Row],[costo_servicio]]))</f>
        <v/>
      </c>
      <c r="AN1062" s="18">
        <f>IF(tblOrdenes[[#This Row],[orden]]="","",tblOrdenes[[#This Row],[costo_servicio]]+tblOrdenes[[#This Row],[costo_materiales]])</f>
        <v/>
      </c>
      <c r="AO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5">
        <f>IF(tblOrdenes[[#This Row],[link_checklist]]="","",HYPERLINK(p_ruta_base_checklists&amp;tblOrdenes[[#This Row],[link_checklist]],"abrir"))</f>
        <v/>
      </c>
      <c r="AT1062" s="4" t="n"/>
      <c r="AU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5" t="n"/>
      <c r="K1063" s="5" t="n"/>
      <c r="L1063" s="18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Row],[fecha_inicio]]="","",tblOrdenes[[#This Row],[anio]]&amp;"-"&amp;TEXT(tblOrdenes[[#This Row],[mes]],"00"))</f>
        <v/>
      </c>
      <c r="S1063" s="5">
        <f>IF(tblOrdenes[[#This Row],[fecha_inicio]]="","",INDEX(lista_dias,WEEKDAY(tblOrdenes[[#This Row],[fecha_inicio]],2)))</f>
        <v/>
      </c>
      <c r="T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5">
        <f>IF(tblOrdenes[[#This Row],[tipo_ot]]="","",_xlfn.XLOOKUP(tblOrdenes[[#This Row],[tipo_ot]],tblTiposOT[codigo],tblTiposOT[clasificacion],"sin_clasificar"))</f>
        <v/>
      </c>
      <c r="V10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5">
        <f>IF(tblOrdenes[[#This Row],[centro_costo]]="","",_xlfn.XLOOKUP(tblOrdenes[[#This Row],[centro_costo]],tblCECO[codigo],tblCECO[linea],"(sin catálogo)"))</f>
        <v/>
      </c>
      <c r="Y1063" s="5">
        <f>IF(tblOrdenes[[#This Row],[centro_costo]]="","",_xlfn.XLOOKUP(tblOrdenes[[#This Row],[centro_costo]],tblCECO[codigo],tblCECO[area],"(sin catálogo)"))</f>
        <v/>
      </c>
      <c r="Z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5">
        <f>IF(tblOrdenes[[#This Row],[centro_costo]]="","",_xlfn.XLOOKUP(tblOrdenes[[#This Row],[centro_costo]],tblCECO[codigo],tblCECO[coordinador],"(sin catálogo)"))</f>
        <v/>
      </c>
      <c r="AB1063" s="5">
        <f>IF(tblOrdenes[[#This Row],[puesto_trabajo]]="","",_xlfn.XLOOKUP(tblOrdenes[[#This Row],[puesto_trabajo]],tblPuestos[codigo],tblPuestos[especialidad],"(sin catálogo)"))</f>
        <v/>
      </c>
      <c r="AC1063" s="5">
        <f>IF(tblOrdenes[[#This Row],[cod_actividad]]="","",_xlfn.XLOOKUP(tblOrdenes[[#This Row],[cod_actividad]],tblActividades[codigo],tblActividades[descripcion],"(sin catálogo)"))</f>
        <v/>
      </c>
      <c r="AD1063" s="23">
        <f>IF(tblOrdenes[[#This Row],[fecha_inicio]]="","",TODAY()-tblOrdenes[[#This Row],[fecha_inicio]])</f>
        <v/>
      </c>
      <c r="AE10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5">
        <f>IF(tblOrdenes[[#This Row],[backlog_habiles]]="","",IF(tblOrdenes[[#This Row],[backlog_habiles]]&lt;0,"FUTURO",IF(tblOrdenes[[#This Row],[backlog_habiles]]&gt;p_dias_backlog_max,"BACKLOG","MES CORRIENTE")))</f>
        <v/>
      </c>
      <c r="AG1063" s="5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18">
        <f>IF(tblOrdenes[[#This Row],[orden]]="","",_xlfn.XLOOKUP(tblOrdenes[[#This Row],[id_operacion]],tblEjecucion[id_operacion],tblEjecucion[precio],0))</f>
        <v/>
      </c>
      <c r="AM1063" s="18">
        <f>IF(tblOrdenes[[#This Row],[orden]]="","",MAX(0,_xlfn.XLOOKUP(tblOrdenes[[#This Row],[id_operacion]],tblEjecucion[id_operacion],tblEjecucion[costo_plan_total],0)-tblOrdenes[[#This Row],[costo_servicio]]))</f>
        <v/>
      </c>
      <c r="AN1063" s="18">
        <f>IF(tblOrdenes[[#This Row],[orden]]="","",tblOrdenes[[#This Row],[costo_servicio]]+tblOrdenes[[#This Row],[costo_materiales]])</f>
        <v/>
      </c>
      <c r="AO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5">
        <f>IF(tblOrdenes[[#This Row],[link_checklist]]="","",HYPERLINK(p_ruta_base_checklists&amp;tblOrdenes[[#This Row],[link_checklist]],"abrir"))</f>
        <v/>
      </c>
      <c r="AT1063" s="4" t="n"/>
      <c r="AU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5" t="n"/>
      <c r="K1064" s="5" t="n"/>
      <c r="L1064" s="18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Row],[fecha_inicio]]="","",tblOrdenes[[#This Row],[anio]]&amp;"-"&amp;TEXT(tblOrdenes[[#This Row],[mes]],"00"))</f>
        <v/>
      </c>
      <c r="S1064" s="5">
        <f>IF(tblOrdenes[[#This Row],[fecha_inicio]]="","",INDEX(lista_dias,WEEKDAY(tblOrdenes[[#This Row],[fecha_inicio]],2)))</f>
        <v/>
      </c>
      <c r="T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5">
        <f>IF(tblOrdenes[[#This Row],[tipo_ot]]="","",_xlfn.XLOOKUP(tblOrdenes[[#This Row],[tipo_ot]],tblTiposOT[codigo],tblTiposOT[clasificacion],"sin_clasificar"))</f>
        <v/>
      </c>
      <c r="V10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5">
        <f>IF(tblOrdenes[[#This Row],[centro_costo]]="","",_xlfn.XLOOKUP(tblOrdenes[[#This Row],[centro_costo]],tblCECO[codigo],tblCECO[linea],"(sin catálogo)"))</f>
        <v/>
      </c>
      <c r="Y1064" s="5">
        <f>IF(tblOrdenes[[#This Row],[centro_costo]]="","",_xlfn.XLOOKUP(tblOrdenes[[#This Row],[centro_costo]],tblCECO[codigo],tblCECO[area],"(sin catálogo)"))</f>
        <v/>
      </c>
      <c r="Z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5">
        <f>IF(tblOrdenes[[#This Row],[centro_costo]]="","",_xlfn.XLOOKUP(tblOrdenes[[#This Row],[centro_costo]],tblCECO[codigo],tblCECO[coordinador],"(sin catálogo)"))</f>
        <v/>
      </c>
      <c r="AB1064" s="5">
        <f>IF(tblOrdenes[[#This Row],[puesto_trabajo]]="","",_xlfn.XLOOKUP(tblOrdenes[[#This Row],[puesto_trabajo]],tblPuestos[codigo],tblPuestos[especialidad],"(sin catálogo)"))</f>
        <v/>
      </c>
      <c r="AC1064" s="5">
        <f>IF(tblOrdenes[[#This Row],[cod_actividad]]="","",_xlfn.XLOOKUP(tblOrdenes[[#This Row],[cod_actividad]],tblActividades[codigo],tblActividades[descripcion],"(sin catálogo)"))</f>
        <v/>
      </c>
      <c r="AD1064" s="23">
        <f>IF(tblOrdenes[[#This Row],[fecha_inicio]]="","",TODAY()-tblOrdenes[[#This Row],[fecha_inicio]])</f>
        <v/>
      </c>
      <c r="AE10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5">
        <f>IF(tblOrdenes[[#This Row],[backlog_habiles]]="","",IF(tblOrdenes[[#This Row],[backlog_habiles]]&lt;0,"FUTURO",IF(tblOrdenes[[#This Row],[backlog_habiles]]&gt;p_dias_backlog_max,"BACKLOG","MES CORRIENTE")))</f>
        <v/>
      </c>
      <c r="AG1064" s="5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18">
        <f>IF(tblOrdenes[[#This Row],[orden]]="","",_xlfn.XLOOKUP(tblOrdenes[[#This Row],[id_operacion]],tblEjecucion[id_operacion],tblEjecucion[precio],0))</f>
        <v/>
      </c>
      <c r="AM1064" s="18">
        <f>IF(tblOrdenes[[#This Row],[orden]]="","",MAX(0,_xlfn.XLOOKUP(tblOrdenes[[#This Row],[id_operacion]],tblEjecucion[id_operacion],tblEjecucion[costo_plan_total],0)-tblOrdenes[[#This Row],[costo_servicio]]))</f>
        <v/>
      </c>
      <c r="AN1064" s="18">
        <f>IF(tblOrdenes[[#This Row],[orden]]="","",tblOrdenes[[#This Row],[costo_servicio]]+tblOrdenes[[#This Row],[costo_materiales]])</f>
        <v/>
      </c>
      <c r="AO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5">
        <f>IF(tblOrdenes[[#This Row],[link_checklist]]="","",HYPERLINK(p_ruta_base_checklists&amp;tblOrdenes[[#This Row],[link_checklist]],"abrir"))</f>
        <v/>
      </c>
      <c r="AT1064" s="4" t="n"/>
      <c r="AU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5" t="n"/>
      <c r="K1065" s="5" t="n"/>
      <c r="L1065" s="18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Row],[fecha_inicio]]="","",tblOrdenes[[#This Row],[anio]]&amp;"-"&amp;TEXT(tblOrdenes[[#This Row],[mes]],"00"))</f>
        <v/>
      </c>
      <c r="S1065" s="5">
        <f>IF(tblOrdenes[[#This Row],[fecha_inicio]]="","",INDEX(lista_dias,WEEKDAY(tblOrdenes[[#This Row],[fecha_inicio]],2)))</f>
        <v/>
      </c>
      <c r="T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5">
        <f>IF(tblOrdenes[[#This Row],[tipo_ot]]="","",_xlfn.XLOOKUP(tblOrdenes[[#This Row],[tipo_ot]],tblTiposOT[codigo],tblTiposOT[clasificacion],"sin_clasificar"))</f>
        <v/>
      </c>
      <c r="V10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5">
        <f>IF(tblOrdenes[[#This Row],[centro_costo]]="","",_xlfn.XLOOKUP(tblOrdenes[[#This Row],[centro_costo]],tblCECO[codigo],tblCECO[linea],"(sin catálogo)"))</f>
        <v/>
      </c>
      <c r="Y1065" s="5">
        <f>IF(tblOrdenes[[#This Row],[centro_costo]]="","",_xlfn.XLOOKUP(tblOrdenes[[#This Row],[centro_costo]],tblCECO[codigo],tblCECO[area],"(sin catálogo)"))</f>
        <v/>
      </c>
      <c r="Z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5">
        <f>IF(tblOrdenes[[#This Row],[centro_costo]]="","",_xlfn.XLOOKUP(tblOrdenes[[#This Row],[centro_costo]],tblCECO[codigo],tblCECO[coordinador],"(sin catálogo)"))</f>
        <v/>
      </c>
      <c r="AB1065" s="5">
        <f>IF(tblOrdenes[[#This Row],[puesto_trabajo]]="","",_xlfn.XLOOKUP(tblOrdenes[[#This Row],[puesto_trabajo]],tblPuestos[codigo],tblPuestos[especialidad],"(sin catálogo)"))</f>
        <v/>
      </c>
      <c r="AC1065" s="5">
        <f>IF(tblOrdenes[[#This Row],[cod_actividad]]="","",_xlfn.XLOOKUP(tblOrdenes[[#This Row],[cod_actividad]],tblActividades[codigo],tblActividades[descripcion],"(sin catálogo)"))</f>
        <v/>
      </c>
      <c r="AD1065" s="23">
        <f>IF(tblOrdenes[[#This Row],[fecha_inicio]]="","",TODAY()-tblOrdenes[[#This Row],[fecha_inicio]])</f>
        <v/>
      </c>
      <c r="AE10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5">
        <f>IF(tblOrdenes[[#This Row],[backlog_habiles]]="","",IF(tblOrdenes[[#This Row],[backlog_habiles]]&lt;0,"FUTURO",IF(tblOrdenes[[#This Row],[backlog_habiles]]&gt;p_dias_backlog_max,"BACKLOG","MES CORRIENTE")))</f>
        <v/>
      </c>
      <c r="AG1065" s="5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18">
        <f>IF(tblOrdenes[[#This Row],[orden]]="","",_xlfn.XLOOKUP(tblOrdenes[[#This Row],[id_operacion]],tblEjecucion[id_operacion],tblEjecucion[precio],0))</f>
        <v/>
      </c>
      <c r="AM1065" s="18">
        <f>IF(tblOrdenes[[#This Row],[orden]]="","",MAX(0,_xlfn.XLOOKUP(tblOrdenes[[#This Row],[id_operacion]],tblEjecucion[id_operacion],tblEjecucion[costo_plan_total],0)-tblOrdenes[[#This Row],[costo_servicio]]))</f>
        <v/>
      </c>
      <c r="AN1065" s="18">
        <f>IF(tblOrdenes[[#This Row],[orden]]="","",tblOrdenes[[#This Row],[costo_servicio]]+tblOrdenes[[#This Row],[costo_materiales]])</f>
        <v/>
      </c>
      <c r="AO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5">
        <f>IF(tblOrdenes[[#This Row],[link_checklist]]="","",HYPERLINK(p_ruta_base_checklists&amp;tblOrdenes[[#This Row],[link_checklist]],"abrir"))</f>
        <v/>
      </c>
      <c r="AT1065" s="4" t="n"/>
      <c r="AU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5" t="n"/>
      <c r="K1066" s="5" t="n"/>
      <c r="L1066" s="18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Row],[fecha_inicio]]="","",tblOrdenes[[#This Row],[anio]]&amp;"-"&amp;TEXT(tblOrdenes[[#This Row],[mes]],"00"))</f>
        <v/>
      </c>
      <c r="S1066" s="5">
        <f>IF(tblOrdenes[[#This Row],[fecha_inicio]]="","",INDEX(lista_dias,WEEKDAY(tblOrdenes[[#This Row],[fecha_inicio]],2)))</f>
        <v/>
      </c>
      <c r="T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5">
        <f>IF(tblOrdenes[[#This Row],[tipo_ot]]="","",_xlfn.XLOOKUP(tblOrdenes[[#This Row],[tipo_ot]],tblTiposOT[codigo],tblTiposOT[clasificacion],"sin_clasificar"))</f>
        <v/>
      </c>
      <c r="V10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5">
        <f>IF(tblOrdenes[[#This Row],[centro_costo]]="","",_xlfn.XLOOKUP(tblOrdenes[[#This Row],[centro_costo]],tblCECO[codigo],tblCECO[linea],"(sin catálogo)"))</f>
        <v/>
      </c>
      <c r="Y1066" s="5">
        <f>IF(tblOrdenes[[#This Row],[centro_costo]]="","",_xlfn.XLOOKUP(tblOrdenes[[#This Row],[centro_costo]],tblCECO[codigo],tblCECO[area],"(sin catálogo)"))</f>
        <v/>
      </c>
      <c r="Z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5">
        <f>IF(tblOrdenes[[#This Row],[centro_costo]]="","",_xlfn.XLOOKUP(tblOrdenes[[#This Row],[centro_costo]],tblCECO[codigo],tblCECO[coordinador],"(sin catálogo)"))</f>
        <v/>
      </c>
      <c r="AB1066" s="5">
        <f>IF(tblOrdenes[[#This Row],[puesto_trabajo]]="","",_xlfn.XLOOKUP(tblOrdenes[[#This Row],[puesto_trabajo]],tblPuestos[codigo],tblPuestos[especialidad],"(sin catálogo)"))</f>
        <v/>
      </c>
      <c r="AC1066" s="5">
        <f>IF(tblOrdenes[[#This Row],[cod_actividad]]="","",_xlfn.XLOOKUP(tblOrdenes[[#This Row],[cod_actividad]],tblActividades[codigo],tblActividades[descripcion],"(sin catálogo)"))</f>
        <v/>
      </c>
      <c r="AD1066" s="23">
        <f>IF(tblOrdenes[[#This Row],[fecha_inicio]]="","",TODAY()-tblOrdenes[[#This Row],[fecha_inicio]])</f>
        <v/>
      </c>
      <c r="AE10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5">
        <f>IF(tblOrdenes[[#This Row],[backlog_habiles]]="","",IF(tblOrdenes[[#This Row],[backlog_habiles]]&lt;0,"FUTURO",IF(tblOrdenes[[#This Row],[backlog_habiles]]&gt;p_dias_backlog_max,"BACKLOG","MES CORRIENTE")))</f>
        <v/>
      </c>
      <c r="AG1066" s="5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18">
        <f>IF(tblOrdenes[[#This Row],[orden]]="","",_xlfn.XLOOKUP(tblOrdenes[[#This Row],[id_operacion]],tblEjecucion[id_operacion],tblEjecucion[precio],0))</f>
        <v/>
      </c>
      <c r="AM1066" s="18">
        <f>IF(tblOrdenes[[#This Row],[orden]]="","",MAX(0,_xlfn.XLOOKUP(tblOrdenes[[#This Row],[id_operacion]],tblEjecucion[id_operacion],tblEjecucion[costo_plan_total],0)-tblOrdenes[[#This Row],[costo_servicio]]))</f>
        <v/>
      </c>
      <c r="AN1066" s="18">
        <f>IF(tblOrdenes[[#This Row],[orden]]="","",tblOrdenes[[#This Row],[costo_servicio]]+tblOrdenes[[#This Row],[costo_materiales]])</f>
        <v/>
      </c>
      <c r="AO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5">
        <f>IF(tblOrdenes[[#This Row],[link_checklist]]="","",HYPERLINK(p_ruta_base_checklists&amp;tblOrdenes[[#This Row],[link_checklist]],"abrir"))</f>
        <v/>
      </c>
      <c r="AT1066" s="4" t="n"/>
      <c r="AU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5" t="n"/>
      <c r="K1067" s="5" t="n"/>
      <c r="L1067" s="18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Row],[fecha_inicio]]="","",tblOrdenes[[#This Row],[anio]]&amp;"-"&amp;TEXT(tblOrdenes[[#This Row],[mes]],"00"))</f>
        <v/>
      </c>
      <c r="S1067" s="5">
        <f>IF(tblOrdenes[[#This Row],[fecha_inicio]]="","",INDEX(lista_dias,WEEKDAY(tblOrdenes[[#This Row],[fecha_inicio]],2)))</f>
        <v/>
      </c>
      <c r="T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5">
        <f>IF(tblOrdenes[[#This Row],[tipo_ot]]="","",_xlfn.XLOOKUP(tblOrdenes[[#This Row],[tipo_ot]],tblTiposOT[codigo],tblTiposOT[clasificacion],"sin_clasificar"))</f>
        <v/>
      </c>
      <c r="V10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5">
        <f>IF(tblOrdenes[[#This Row],[centro_costo]]="","",_xlfn.XLOOKUP(tblOrdenes[[#This Row],[centro_costo]],tblCECO[codigo],tblCECO[linea],"(sin catálogo)"))</f>
        <v/>
      </c>
      <c r="Y1067" s="5">
        <f>IF(tblOrdenes[[#This Row],[centro_costo]]="","",_xlfn.XLOOKUP(tblOrdenes[[#This Row],[centro_costo]],tblCECO[codigo],tblCECO[area],"(sin catálogo)"))</f>
        <v/>
      </c>
      <c r="Z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5">
        <f>IF(tblOrdenes[[#This Row],[centro_costo]]="","",_xlfn.XLOOKUP(tblOrdenes[[#This Row],[centro_costo]],tblCECO[codigo],tblCECO[coordinador],"(sin catálogo)"))</f>
        <v/>
      </c>
      <c r="AB1067" s="5">
        <f>IF(tblOrdenes[[#This Row],[puesto_trabajo]]="","",_xlfn.XLOOKUP(tblOrdenes[[#This Row],[puesto_trabajo]],tblPuestos[codigo],tblPuestos[especialidad],"(sin catálogo)"))</f>
        <v/>
      </c>
      <c r="AC1067" s="5">
        <f>IF(tblOrdenes[[#This Row],[cod_actividad]]="","",_xlfn.XLOOKUP(tblOrdenes[[#This Row],[cod_actividad]],tblActividades[codigo],tblActividades[descripcion],"(sin catálogo)"))</f>
        <v/>
      </c>
      <c r="AD1067" s="23">
        <f>IF(tblOrdenes[[#This Row],[fecha_inicio]]="","",TODAY()-tblOrdenes[[#This Row],[fecha_inicio]])</f>
        <v/>
      </c>
      <c r="AE10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5">
        <f>IF(tblOrdenes[[#This Row],[backlog_habiles]]="","",IF(tblOrdenes[[#This Row],[backlog_habiles]]&lt;0,"FUTURO",IF(tblOrdenes[[#This Row],[backlog_habiles]]&gt;p_dias_backlog_max,"BACKLOG","MES CORRIENTE")))</f>
        <v/>
      </c>
      <c r="AG1067" s="5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18">
        <f>IF(tblOrdenes[[#This Row],[orden]]="","",_xlfn.XLOOKUP(tblOrdenes[[#This Row],[id_operacion]],tblEjecucion[id_operacion],tblEjecucion[precio],0))</f>
        <v/>
      </c>
      <c r="AM1067" s="18">
        <f>IF(tblOrdenes[[#This Row],[orden]]="","",MAX(0,_xlfn.XLOOKUP(tblOrdenes[[#This Row],[id_operacion]],tblEjecucion[id_operacion],tblEjecucion[costo_plan_total],0)-tblOrdenes[[#This Row],[costo_servicio]]))</f>
        <v/>
      </c>
      <c r="AN1067" s="18">
        <f>IF(tblOrdenes[[#This Row],[orden]]="","",tblOrdenes[[#This Row],[costo_servicio]]+tblOrdenes[[#This Row],[costo_materiales]])</f>
        <v/>
      </c>
      <c r="AO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5">
        <f>IF(tblOrdenes[[#This Row],[link_checklist]]="","",HYPERLINK(p_ruta_base_checklists&amp;tblOrdenes[[#This Row],[link_checklist]],"abrir"))</f>
        <v/>
      </c>
      <c r="AT1067" s="4" t="n"/>
      <c r="AU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5" t="n"/>
      <c r="K1068" s="5" t="n"/>
      <c r="L1068" s="18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Row],[fecha_inicio]]="","",tblOrdenes[[#This Row],[anio]]&amp;"-"&amp;TEXT(tblOrdenes[[#This Row],[mes]],"00"))</f>
        <v/>
      </c>
      <c r="S1068" s="5">
        <f>IF(tblOrdenes[[#This Row],[fecha_inicio]]="","",INDEX(lista_dias,WEEKDAY(tblOrdenes[[#This Row],[fecha_inicio]],2)))</f>
        <v/>
      </c>
      <c r="T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5">
        <f>IF(tblOrdenes[[#This Row],[tipo_ot]]="","",_xlfn.XLOOKUP(tblOrdenes[[#This Row],[tipo_ot]],tblTiposOT[codigo],tblTiposOT[clasificacion],"sin_clasificar"))</f>
        <v/>
      </c>
      <c r="V10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5">
        <f>IF(tblOrdenes[[#This Row],[centro_costo]]="","",_xlfn.XLOOKUP(tblOrdenes[[#This Row],[centro_costo]],tblCECO[codigo],tblCECO[linea],"(sin catálogo)"))</f>
        <v/>
      </c>
      <c r="Y1068" s="5">
        <f>IF(tblOrdenes[[#This Row],[centro_costo]]="","",_xlfn.XLOOKUP(tblOrdenes[[#This Row],[centro_costo]],tblCECO[codigo],tblCECO[area],"(sin catálogo)"))</f>
        <v/>
      </c>
      <c r="Z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5">
        <f>IF(tblOrdenes[[#This Row],[centro_costo]]="","",_xlfn.XLOOKUP(tblOrdenes[[#This Row],[centro_costo]],tblCECO[codigo],tblCECO[coordinador],"(sin catálogo)"))</f>
        <v/>
      </c>
      <c r="AB1068" s="5">
        <f>IF(tblOrdenes[[#This Row],[puesto_trabajo]]="","",_xlfn.XLOOKUP(tblOrdenes[[#This Row],[puesto_trabajo]],tblPuestos[codigo],tblPuestos[especialidad],"(sin catálogo)"))</f>
        <v/>
      </c>
      <c r="AC1068" s="5">
        <f>IF(tblOrdenes[[#This Row],[cod_actividad]]="","",_xlfn.XLOOKUP(tblOrdenes[[#This Row],[cod_actividad]],tblActividades[codigo],tblActividades[descripcion],"(sin catálogo)"))</f>
        <v/>
      </c>
      <c r="AD1068" s="23">
        <f>IF(tblOrdenes[[#This Row],[fecha_inicio]]="","",TODAY()-tblOrdenes[[#This Row],[fecha_inicio]])</f>
        <v/>
      </c>
      <c r="AE10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5">
        <f>IF(tblOrdenes[[#This Row],[backlog_habiles]]="","",IF(tblOrdenes[[#This Row],[backlog_habiles]]&lt;0,"FUTURO",IF(tblOrdenes[[#This Row],[backlog_habiles]]&gt;p_dias_backlog_max,"BACKLOG","MES CORRIENTE")))</f>
        <v/>
      </c>
      <c r="AG1068" s="5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18">
        <f>IF(tblOrdenes[[#This Row],[orden]]="","",_xlfn.XLOOKUP(tblOrdenes[[#This Row],[id_operacion]],tblEjecucion[id_operacion],tblEjecucion[precio],0))</f>
        <v/>
      </c>
      <c r="AM1068" s="18">
        <f>IF(tblOrdenes[[#This Row],[orden]]="","",MAX(0,_xlfn.XLOOKUP(tblOrdenes[[#This Row],[id_operacion]],tblEjecucion[id_operacion],tblEjecucion[costo_plan_total],0)-tblOrdenes[[#This Row],[costo_servicio]]))</f>
        <v/>
      </c>
      <c r="AN1068" s="18">
        <f>IF(tblOrdenes[[#This Row],[orden]]="","",tblOrdenes[[#This Row],[costo_servicio]]+tblOrdenes[[#This Row],[costo_materiales]])</f>
        <v/>
      </c>
      <c r="AO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5">
        <f>IF(tblOrdenes[[#This Row],[link_checklist]]="","",HYPERLINK(p_ruta_base_checklists&amp;tblOrdenes[[#This Row],[link_checklist]],"abrir"))</f>
        <v/>
      </c>
      <c r="AT1068" s="4" t="n"/>
      <c r="AU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5" t="n"/>
      <c r="K1069" s="5" t="n"/>
      <c r="L1069" s="18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Row],[fecha_inicio]]="","",tblOrdenes[[#This Row],[anio]]&amp;"-"&amp;TEXT(tblOrdenes[[#This Row],[mes]],"00"))</f>
        <v/>
      </c>
      <c r="S1069" s="5">
        <f>IF(tblOrdenes[[#This Row],[fecha_inicio]]="","",INDEX(lista_dias,WEEKDAY(tblOrdenes[[#This Row],[fecha_inicio]],2)))</f>
        <v/>
      </c>
      <c r="T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5">
        <f>IF(tblOrdenes[[#This Row],[tipo_ot]]="","",_xlfn.XLOOKUP(tblOrdenes[[#This Row],[tipo_ot]],tblTiposOT[codigo],tblTiposOT[clasificacion],"sin_clasificar"))</f>
        <v/>
      </c>
      <c r="V10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5">
        <f>IF(tblOrdenes[[#This Row],[centro_costo]]="","",_xlfn.XLOOKUP(tblOrdenes[[#This Row],[centro_costo]],tblCECO[codigo],tblCECO[linea],"(sin catálogo)"))</f>
        <v/>
      </c>
      <c r="Y1069" s="5">
        <f>IF(tblOrdenes[[#This Row],[centro_costo]]="","",_xlfn.XLOOKUP(tblOrdenes[[#This Row],[centro_costo]],tblCECO[codigo],tblCECO[area],"(sin catálogo)"))</f>
        <v/>
      </c>
      <c r="Z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5">
        <f>IF(tblOrdenes[[#This Row],[centro_costo]]="","",_xlfn.XLOOKUP(tblOrdenes[[#This Row],[centro_costo]],tblCECO[codigo],tblCECO[coordinador],"(sin catálogo)"))</f>
        <v/>
      </c>
      <c r="AB1069" s="5">
        <f>IF(tblOrdenes[[#This Row],[puesto_trabajo]]="","",_xlfn.XLOOKUP(tblOrdenes[[#This Row],[puesto_trabajo]],tblPuestos[codigo],tblPuestos[especialidad],"(sin catálogo)"))</f>
        <v/>
      </c>
      <c r="AC1069" s="5">
        <f>IF(tblOrdenes[[#This Row],[cod_actividad]]="","",_xlfn.XLOOKUP(tblOrdenes[[#This Row],[cod_actividad]],tblActividades[codigo],tblActividades[descripcion],"(sin catálogo)"))</f>
        <v/>
      </c>
      <c r="AD1069" s="23">
        <f>IF(tblOrdenes[[#This Row],[fecha_inicio]]="","",TODAY()-tblOrdenes[[#This Row],[fecha_inicio]])</f>
        <v/>
      </c>
      <c r="AE10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5">
        <f>IF(tblOrdenes[[#This Row],[backlog_habiles]]="","",IF(tblOrdenes[[#This Row],[backlog_habiles]]&lt;0,"FUTURO",IF(tblOrdenes[[#This Row],[backlog_habiles]]&gt;p_dias_backlog_max,"BACKLOG","MES CORRIENTE")))</f>
        <v/>
      </c>
      <c r="AG1069" s="5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18">
        <f>IF(tblOrdenes[[#This Row],[orden]]="","",_xlfn.XLOOKUP(tblOrdenes[[#This Row],[id_operacion]],tblEjecucion[id_operacion],tblEjecucion[precio],0))</f>
        <v/>
      </c>
      <c r="AM1069" s="18">
        <f>IF(tblOrdenes[[#This Row],[orden]]="","",MAX(0,_xlfn.XLOOKUP(tblOrdenes[[#This Row],[id_operacion]],tblEjecucion[id_operacion],tblEjecucion[costo_plan_total],0)-tblOrdenes[[#This Row],[costo_servicio]]))</f>
        <v/>
      </c>
      <c r="AN1069" s="18">
        <f>IF(tblOrdenes[[#This Row],[orden]]="","",tblOrdenes[[#This Row],[costo_servicio]]+tblOrdenes[[#This Row],[costo_materiales]])</f>
        <v/>
      </c>
      <c r="AO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5">
        <f>IF(tblOrdenes[[#This Row],[link_checklist]]="","",HYPERLINK(p_ruta_base_checklists&amp;tblOrdenes[[#This Row],[link_checklist]],"abrir"))</f>
        <v/>
      </c>
      <c r="AT1069" s="4" t="n"/>
      <c r="AU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5" t="n"/>
      <c r="K1070" s="5" t="n"/>
      <c r="L1070" s="18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Row],[fecha_inicio]]="","",tblOrdenes[[#This Row],[anio]]&amp;"-"&amp;TEXT(tblOrdenes[[#This Row],[mes]],"00"))</f>
        <v/>
      </c>
      <c r="S1070" s="5">
        <f>IF(tblOrdenes[[#This Row],[fecha_inicio]]="","",INDEX(lista_dias,WEEKDAY(tblOrdenes[[#This Row],[fecha_inicio]],2)))</f>
        <v/>
      </c>
      <c r="T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5">
        <f>IF(tblOrdenes[[#This Row],[tipo_ot]]="","",_xlfn.XLOOKUP(tblOrdenes[[#This Row],[tipo_ot]],tblTiposOT[codigo],tblTiposOT[clasificacion],"sin_clasificar"))</f>
        <v/>
      </c>
      <c r="V10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5">
        <f>IF(tblOrdenes[[#This Row],[centro_costo]]="","",_xlfn.XLOOKUP(tblOrdenes[[#This Row],[centro_costo]],tblCECO[codigo],tblCECO[linea],"(sin catálogo)"))</f>
        <v/>
      </c>
      <c r="Y1070" s="5">
        <f>IF(tblOrdenes[[#This Row],[centro_costo]]="","",_xlfn.XLOOKUP(tblOrdenes[[#This Row],[centro_costo]],tblCECO[codigo],tblCECO[area],"(sin catálogo)"))</f>
        <v/>
      </c>
      <c r="Z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5">
        <f>IF(tblOrdenes[[#This Row],[centro_costo]]="","",_xlfn.XLOOKUP(tblOrdenes[[#This Row],[centro_costo]],tblCECO[codigo],tblCECO[coordinador],"(sin catálogo)"))</f>
        <v/>
      </c>
      <c r="AB1070" s="5">
        <f>IF(tblOrdenes[[#This Row],[puesto_trabajo]]="","",_xlfn.XLOOKUP(tblOrdenes[[#This Row],[puesto_trabajo]],tblPuestos[codigo],tblPuestos[especialidad],"(sin catálogo)"))</f>
        <v/>
      </c>
      <c r="AC1070" s="5">
        <f>IF(tblOrdenes[[#This Row],[cod_actividad]]="","",_xlfn.XLOOKUP(tblOrdenes[[#This Row],[cod_actividad]],tblActividades[codigo],tblActividades[descripcion],"(sin catálogo)"))</f>
        <v/>
      </c>
      <c r="AD1070" s="23">
        <f>IF(tblOrdenes[[#This Row],[fecha_inicio]]="","",TODAY()-tblOrdenes[[#This Row],[fecha_inicio]])</f>
        <v/>
      </c>
      <c r="AE10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5">
        <f>IF(tblOrdenes[[#This Row],[backlog_habiles]]="","",IF(tblOrdenes[[#This Row],[backlog_habiles]]&lt;0,"FUTURO",IF(tblOrdenes[[#This Row],[backlog_habiles]]&gt;p_dias_backlog_max,"BACKLOG","MES CORRIENTE")))</f>
        <v/>
      </c>
      <c r="AG1070" s="5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18">
        <f>IF(tblOrdenes[[#This Row],[orden]]="","",_xlfn.XLOOKUP(tblOrdenes[[#This Row],[id_operacion]],tblEjecucion[id_operacion],tblEjecucion[precio],0))</f>
        <v/>
      </c>
      <c r="AM1070" s="18">
        <f>IF(tblOrdenes[[#This Row],[orden]]="","",MAX(0,_xlfn.XLOOKUP(tblOrdenes[[#This Row],[id_operacion]],tblEjecucion[id_operacion],tblEjecucion[costo_plan_total],0)-tblOrdenes[[#This Row],[costo_servicio]]))</f>
        <v/>
      </c>
      <c r="AN1070" s="18">
        <f>IF(tblOrdenes[[#This Row],[orden]]="","",tblOrdenes[[#This Row],[costo_servicio]]+tblOrdenes[[#This Row],[costo_materiales]])</f>
        <v/>
      </c>
      <c r="AO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5">
        <f>IF(tblOrdenes[[#This Row],[link_checklist]]="","",HYPERLINK(p_ruta_base_checklists&amp;tblOrdenes[[#This Row],[link_checklist]],"abrir"))</f>
        <v/>
      </c>
      <c r="AT1070" s="4" t="n"/>
      <c r="AU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5" t="n"/>
      <c r="K1071" s="5" t="n"/>
      <c r="L1071" s="18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Row],[fecha_inicio]]="","",tblOrdenes[[#This Row],[anio]]&amp;"-"&amp;TEXT(tblOrdenes[[#This Row],[mes]],"00"))</f>
        <v/>
      </c>
      <c r="S1071" s="5">
        <f>IF(tblOrdenes[[#This Row],[fecha_inicio]]="","",INDEX(lista_dias,WEEKDAY(tblOrdenes[[#This Row],[fecha_inicio]],2)))</f>
        <v/>
      </c>
      <c r="T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5">
        <f>IF(tblOrdenes[[#This Row],[tipo_ot]]="","",_xlfn.XLOOKUP(tblOrdenes[[#This Row],[tipo_ot]],tblTiposOT[codigo],tblTiposOT[clasificacion],"sin_clasificar"))</f>
        <v/>
      </c>
      <c r="V10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5">
        <f>IF(tblOrdenes[[#This Row],[centro_costo]]="","",_xlfn.XLOOKUP(tblOrdenes[[#This Row],[centro_costo]],tblCECO[codigo],tblCECO[linea],"(sin catálogo)"))</f>
        <v/>
      </c>
      <c r="Y1071" s="5">
        <f>IF(tblOrdenes[[#This Row],[centro_costo]]="","",_xlfn.XLOOKUP(tblOrdenes[[#This Row],[centro_costo]],tblCECO[codigo],tblCECO[area],"(sin catálogo)"))</f>
        <v/>
      </c>
      <c r="Z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5">
        <f>IF(tblOrdenes[[#This Row],[centro_costo]]="","",_xlfn.XLOOKUP(tblOrdenes[[#This Row],[centro_costo]],tblCECO[codigo],tblCECO[coordinador],"(sin catálogo)"))</f>
        <v/>
      </c>
      <c r="AB1071" s="5">
        <f>IF(tblOrdenes[[#This Row],[puesto_trabajo]]="","",_xlfn.XLOOKUP(tblOrdenes[[#This Row],[puesto_trabajo]],tblPuestos[codigo],tblPuestos[especialidad],"(sin catálogo)"))</f>
        <v/>
      </c>
      <c r="AC1071" s="5">
        <f>IF(tblOrdenes[[#This Row],[cod_actividad]]="","",_xlfn.XLOOKUP(tblOrdenes[[#This Row],[cod_actividad]],tblActividades[codigo],tblActividades[descripcion],"(sin catálogo)"))</f>
        <v/>
      </c>
      <c r="AD1071" s="23">
        <f>IF(tblOrdenes[[#This Row],[fecha_inicio]]="","",TODAY()-tblOrdenes[[#This Row],[fecha_inicio]])</f>
        <v/>
      </c>
      <c r="AE10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5">
        <f>IF(tblOrdenes[[#This Row],[backlog_habiles]]="","",IF(tblOrdenes[[#This Row],[backlog_habiles]]&lt;0,"FUTURO",IF(tblOrdenes[[#This Row],[backlog_habiles]]&gt;p_dias_backlog_max,"BACKLOG","MES CORRIENTE")))</f>
        <v/>
      </c>
      <c r="AG1071" s="5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18">
        <f>IF(tblOrdenes[[#This Row],[orden]]="","",_xlfn.XLOOKUP(tblOrdenes[[#This Row],[id_operacion]],tblEjecucion[id_operacion],tblEjecucion[precio],0))</f>
        <v/>
      </c>
      <c r="AM1071" s="18">
        <f>IF(tblOrdenes[[#This Row],[orden]]="","",MAX(0,_xlfn.XLOOKUP(tblOrdenes[[#This Row],[id_operacion]],tblEjecucion[id_operacion],tblEjecucion[costo_plan_total],0)-tblOrdenes[[#This Row],[costo_servicio]]))</f>
        <v/>
      </c>
      <c r="AN1071" s="18">
        <f>IF(tblOrdenes[[#This Row],[orden]]="","",tblOrdenes[[#This Row],[costo_servicio]]+tblOrdenes[[#This Row],[costo_materiales]])</f>
        <v/>
      </c>
      <c r="AO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5">
        <f>IF(tblOrdenes[[#This Row],[link_checklist]]="","",HYPERLINK(p_ruta_base_checklists&amp;tblOrdenes[[#This Row],[link_checklist]],"abrir"))</f>
        <v/>
      </c>
      <c r="AT1071" s="4" t="n"/>
      <c r="AU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5" t="n"/>
      <c r="K1072" s="5" t="n"/>
      <c r="L1072" s="18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Row],[fecha_inicio]]="","",tblOrdenes[[#This Row],[anio]]&amp;"-"&amp;TEXT(tblOrdenes[[#This Row],[mes]],"00"))</f>
        <v/>
      </c>
      <c r="S1072" s="5">
        <f>IF(tblOrdenes[[#This Row],[fecha_inicio]]="","",INDEX(lista_dias,WEEKDAY(tblOrdenes[[#This Row],[fecha_inicio]],2)))</f>
        <v/>
      </c>
      <c r="T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5">
        <f>IF(tblOrdenes[[#This Row],[tipo_ot]]="","",_xlfn.XLOOKUP(tblOrdenes[[#This Row],[tipo_ot]],tblTiposOT[codigo],tblTiposOT[clasificacion],"sin_clasificar"))</f>
        <v/>
      </c>
      <c r="V10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5">
        <f>IF(tblOrdenes[[#This Row],[centro_costo]]="","",_xlfn.XLOOKUP(tblOrdenes[[#This Row],[centro_costo]],tblCECO[codigo],tblCECO[linea],"(sin catálogo)"))</f>
        <v/>
      </c>
      <c r="Y1072" s="5">
        <f>IF(tblOrdenes[[#This Row],[centro_costo]]="","",_xlfn.XLOOKUP(tblOrdenes[[#This Row],[centro_costo]],tblCECO[codigo],tblCECO[area],"(sin catálogo)"))</f>
        <v/>
      </c>
      <c r="Z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5">
        <f>IF(tblOrdenes[[#This Row],[centro_costo]]="","",_xlfn.XLOOKUP(tblOrdenes[[#This Row],[centro_costo]],tblCECO[codigo],tblCECO[coordinador],"(sin catálogo)"))</f>
        <v/>
      </c>
      <c r="AB1072" s="5">
        <f>IF(tblOrdenes[[#This Row],[puesto_trabajo]]="","",_xlfn.XLOOKUP(tblOrdenes[[#This Row],[puesto_trabajo]],tblPuestos[codigo],tblPuestos[especialidad],"(sin catálogo)"))</f>
        <v/>
      </c>
      <c r="AC1072" s="5">
        <f>IF(tblOrdenes[[#This Row],[cod_actividad]]="","",_xlfn.XLOOKUP(tblOrdenes[[#This Row],[cod_actividad]],tblActividades[codigo],tblActividades[descripcion],"(sin catálogo)"))</f>
        <v/>
      </c>
      <c r="AD1072" s="23">
        <f>IF(tblOrdenes[[#This Row],[fecha_inicio]]="","",TODAY()-tblOrdenes[[#This Row],[fecha_inicio]])</f>
        <v/>
      </c>
      <c r="AE10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5">
        <f>IF(tblOrdenes[[#This Row],[backlog_habiles]]="","",IF(tblOrdenes[[#This Row],[backlog_habiles]]&lt;0,"FUTURO",IF(tblOrdenes[[#This Row],[backlog_habiles]]&gt;p_dias_backlog_max,"BACKLOG","MES CORRIENTE")))</f>
        <v/>
      </c>
      <c r="AG1072" s="5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18">
        <f>IF(tblOrdenes[[#This Row],[orden]]="","",_xlfn.XLOOKUP(tblOrdenes[[#This Row],[id_operacion]],tblEjecucion[id_operacion],tblEjecucion[precio],0))</f>
        <v/>
      </c>
      <c r="AM1072" s="18">
        <f>IF(tblOrdenes[[#This Row],[orden]]="","",MAX(0,_xlfn.XLOOKUP(tblOrdenes[[#This Row],[id_operacion]],tblEjecucion[id_operacion],tblEjecucion[costo_plan_total],0)-tblOrdenes[[#This Row],[costo_servicio]]))</f>
        <v/>
      </c>
      <c r="AN1072" s="18">
        <f>IF(tblOrdenes[[#This Row],[orden]]="","",tblOrdenes[[#This Row],[costo_servicio]]+tblOrdenes[[#This Row],[costo_materiales]])</f>
        <v/>
      </c>
      <c r="AO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5">
        <f>IF(tblOrdenes[[#This Row],[link_checklist]]="","",HYPERLINK(p_ruta_base_checklists&amp;tblOrdenes[[#This Row],[link_checklist]],"abrir"))</f>
        <v/>
      </c>
      <c r="AT1072" s="4" t="n"/>
      <c r="AU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5" t="n"/>
      <c r="K1073" s="5" t="n"/>
      <c r="L1073" s="18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Row],[fecha_inicio]]="","",tblOrdenes[[#This Row],[anio]]&amp;"-"&amp;TEXT(tblOrdenes[[#This Row],[mes]],"00"))</f>
        <v/>
      </c>
      <c r="S1073" s="5">
        <f>IF(tblOrdenes[[#This Row],[fecha_inicio]]="","",INDEX(lista_dias,WEEKDAY(tblOrdenes[[#This Row],[fecha_inicio]],2)))</f>
        <v/>
      </c>
      <c r="T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5">
        <f>IF(tblOrdenes[[#This Row],[tipo_ot]]="","",_xlfn.XLOOKUP(tblOrdenes[[#This Row],[tipo_ot]],tblTiposOT[codigo],tblTiposOT[clasificacion],"sin_clasificar"))</f>
        <v/>
      </c>
      <c r="V10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5">
        <f>IF(tblOrdenes[[#This Row],[centro_costo]]="","",_xlfn.XLOOKUP(tblOrdenes[[#This Row],[centro_costo]],tblCECO[codigo],tblCECO[linea],"(sin catálogo)"))</f>
        <v/>
      </c>
      <c r="Y1073" s="5">
        <f>IF(tblOrdenes[[#This Row],[centro_costo]]="","",_xlfn.XLOOKUP(tblOrdenes[[#This Row],[centro_costo]],tblCECO[codigo],tblCECO[area],"(sin catálogo)"))</f>
        <v/>
      </c>
      <c r="Z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5">
        <f>IF(tblOrdenes[[#This Row],[centro_costo]]="","",_xlfn.XLOOKUP(tblOrdenes[[#This Row],[centro_costo]],tblCECO[codigo],tblCECO[coordinador],"(sin catálogo)"))</f>
        <v/>
      </c>
      <c r="AB1073" s="5">
        <f>IF(tblOrdenes[[#This Row],[puesto_trabajo]]="","",_xlfn.XLOOKUP(tblOrdenes[[#This Row],[puesto_trabajo]],tblPuestos[codigo],tblPuestos[especialidad],"(sin catálogo)"))</f>
        <v/>
      </c>
      <c r="AC1073" s="5">
        <f>IF(tblOrdenes[[#This Row],[cod_actividad]]="","",_xlfn.XLOOKUP(tblOrdenes[[#This Row],[cod_actividad]],tblActividades[codigo],tblActividades[descripcion],"(sin catálogo)"))</f>
        <v/>
      </c>
      <c r="AD1073" s="23">
        <f>IF(tblOrdenes[[#This Row],[fecha_inicio]]="","",TODAY()-tblOrdenes[[#This Row],[fecha_inicio]])</f>
        <v/>
      </c>
      <c r="AE10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5">
        <f>IF(tblOrdenes[[#This Row],[backlog_habiles]]="","",IF(tblOrdenes[[#This Row],[backlog_habiles]]&lt;0,"FUTURO",IF(tblOrdenes[[#This Row],[backlog_habiles]]&gt;p_dias_backlog_max,"BACKLOG","MES CORRIENTE")))</f>
        <v/>
      </c>
      <c r="AG1073" s="5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18">
        <f>IF(tblOrdenes[[#This Row],[orden]]="","",_xlfn.XLOOKUP(tblOrdenes[[#This Row],[id_operacion]],tblEjecucion[id_operacion],tblEjecucion[precio],0))</f>
        <v/>
      </c>
      <c r="AM1073" s="18">
        <f>IF(tblOrdenes[[#This Row],[orden]]="","",MAX(0,_xlfn.XLOOKUP(tblOrdenes[[#This Row],[id_operacion]],tblEjecucion[id_operacion],tblEjecucion[costo_plan_total],0)-tblOrdenes[[#This Row],[costo_servicio]]))</f>
        <v/>
      </c>
      <c r="AN1073" s="18">
        <f>IF(tblOrdenes[[#This Row],[orden]]="","",tblOrdenes[[#This Row],[costo_servicio]]+tblOrdenes[[#This Row],[costo_materiales]])</f>
        <v/>
      </c>
      <c r="AO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5">
        <f>IF(tblOrdenes[[#This Row],[link_checklist]]="","",HYPERLINK(p_ruta_base_checklists&amp;tblOrdenes[[#This Row],[link_checklist]],"abrir"))</f>
        <v/>
      </c>
      <c r="AT1073" s="4" t="n"/>
      <c r="AU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5" t="n"/>
      <c r="K1074" s="5" t="n"/>
      <c r="L1074" s="18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Row],[fecha_inicio]]="","",tblOrdenes[[#This Row],[anio]]&amp;"-"&amp;TEXT(tblOrdenes[[#This Row],[mes]],"00"))</f>
        <v/>
      </c>
      <c r="S1074" s="5">
        <f>IF(tblOrdenes[[#This Row],[fecha_inicio]]="","",INDEX(lista_dias,WEEKDAY(tblOrdenes[[#This Row],[fecha_inicio]],2)))</f>
        <v/>
      </c>
      <c r="T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5">
        <f>IF(tblOrdenes[[#This Row],[tipo_ot]]="","",_xlfn.XLOOKUP(tblOrdenes[[#This Row],[tipo_ot]],tblTiposOT[codigo],tblTiposOT[clasificacion],"sin_clasificar"))</f>
        <v/>
      </c>
      <c r="V10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5">
        <f>IF(tblOrdenes[[#This Row],[centro_costo]]="","",_xlfn.XLOOKUP(tblOrdenes[[#This Row],[centro_costo]],tblCECO[codigo],tblCECO[linea],"(sin catálogo)"))</f>
        <v/>
      </c>
      <c r="Y1074" s="5">
        <f>IF(tblOrdenes[[#This Row],[centro_costo]]="","",_xlfn.XLOOKUP(tblOrdenes[[#This Row],[centro_costo]],tblCECO[codigo],tblCECO[area],"(sin catálogo)"))</f>
        <v/>
      </c>
      <c r="Z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5">
        <f>IF(tblOrdenes[[#This Row],[centro_costo]]="","",_xlfn.XLOOKUP(tblOrdenes[[#This Row],[centro_costo]],tblCECO[codigo],tblCECO[coordinador],"(sin catálogo)"))</f>
        <v/>
      </c>
      <c r="AB1074" s="5">
        <f>IF(tblOrdenes[[#This Row],[puesto_trabajo]]="","",_xlfn.XLOOKUP(tblOrdenes[[#This Row],[puesto_trabajo]],tblPuestos[codigo],tblPuestos[especialidad],"(sin catálogo)"))</f>
        <v/>
      </c>
      <c r="AC1074" s="5">
        <f>IF(tblOrdenes[[#This Row],[cod_actividad]]="","",_xlfn.XLOOKUP(tblOrdenes[[#This Row],[cod_actividad]],tblActividades[codigo],tblActividades[descripcion],"(sin catálogo)"))</f>
        <v/>
      </c>
      <c r="AD1074" s="23">
        <f>IF(tblOrdenes[[#This Row],[fecha_inicio]]="","",TODAY()-tblOrdenes[[#This Row],[fecha_inicio]])</f>
        <v/>
      </c>
      <c r="AE10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5">
        <f>IF(tblOrdenes[[#This Row],[backlog_habiles]]="","",IF(tblOrdenes[[#This Row],[backlog_habiles]]&lt;0,"FUTURO",IF(tblOrdenes[[#This Row],[backlog_habiles]]&gt;p_dias_backlog_max,"BACKLOG","MES CORRIENTE")))</f>
        <v/>
      </c>
      <c r="AG1074" s="5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18">
        <f>IF(tblOrdenes[[#This Row],[orden]]="","",_xlfn.XLOOKUP(tblOrdenes[[#This Row],[id_operacion]],tblEjecucion[id_operacion],tblEjecucion[precio],0))</f>
        <v/>
      </c>
      <c r="AM1074" s="18">
        <f>IF(tblOrdenes[[#This Row],[orden]]="","",MAX(0,_xlfn.XLOOKUP(tblOrdenes[[#This Row],[id_operacion]],tblEjecucion[id_operacion],tblEjecucion[costo_plan_total],0)-tblOrdenes[[#This Row],[costo_servicio]]))</f>
        <v/>
      </c>
      <c r="AN1074" s="18">
        <f>IF(tblOrdenes[[#This Row],[orden]]="","",tblOrdenes[[#This Row],[costo_servicio]]+tblOrdenes[[#This Row],[costo_materiales]])</f>
        <v/>
      </c>
      <c r="AO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5">
        <f>IF(tblOrdenes[[#This Row],[link_checklist]]="","",HYPERLINK(p_ruta_base_checklists&amp;tblOrdenes[[#This Row],[link_checklist]],"abrir"))</f>
        <v/>
      </c>
      <c r="AT1074" s="4" t="n"/>
      <c r="AU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5" t="n"/>
      <c r="K1075" s="5" t="n"/>
      <c r="L1075" s="18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Row],[fecha_inicio]]="","",tblOrdenes[[#This Row],[anio]]&amp;"-"&amp;TEXT(tblOrdenes[[#This Row],[mes]],"00"))</f>
        <v/>
      </c>
      <c r="S1075" s="5">
        <f>IF(tblOrdenes[[#This Row],[fecha_inicio]]="","",INDEX(lista_dias,WEEKDAY(tblOrdenes[[#This Row],[fecha_inicio]],2)))</f>
        <v/>
      </c>
      <c r="T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5">
        <f>IF(tblOrdenes[[#This Row],[tipo_ot]]="","",_xlfn.XLOOKUP(tblOrdenes[[#This Row],[tipo_ot]],tblTiposOT[codigo],tblTiposOT[clasificacion],"sin_clasificar"))</f>
        <v/>
      </c>
      <c r="V10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5">
        <f>IF(tblOrdenes[[#This Row],[centro_costo]]="","",_xlfn.XLOOKUP(tblOrdenes[[#This Row],[centro_costo]],tblCECO[codigo],tblCECO[linea],"(sin catálogo)"))</f>
        <v/>
      </c>
      <c r="Y1075" s="5">
        <f>IF(tblOrdenes[[#This Row],[centro_costo]]="","",_xlfn.XLOOKUP(tblOrdenes[[#This Row],[centro_costo]],tblCECO[codigo],tblCECO[area],"(sin catálogo)"))</f>
        <v/>
      </c>
      <c r="Z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5">
        <f>IF(tblOrdenes[[#This Row],[centro_costo]]="","",_xlfn.XLOOKUP(tblOrdenes[[#This Row],[centro_costo]],tblCECO[codigo],tblCECO[coordinador],"(sin catálogo)"))</f>
        <v/>
      </c>
      <c r="AB1075" s="5">
        <f>IF(tblOrdenes[[#This Row],[puesto_trabajo]]="","",_xlfn.XLOOKUP(tblOrdenes[[#This Row],[puesto_trabajo]],tblPuestos[codigo],tblPuestos[especialidad],"(sin catálogo)"))</f>
        <v/>
      </c>
      <c r="AC1075" s="5">
        <f>IF(tblOrdenes[[#This Row],[cod_actividad]]="","",_xlfn.XLOOKUP(tblOrdenes[[#This Row],[cod_actividad]],tblActividades[codigo],tblActividades[descripcion],"(sin catálogo)"))</f>
        <v/>
      </c>
      <c r="AD1075" s="23">
        <f>IF(tblOrdenes[[#This Row],[fecha_inicio]]="","",TODAY()-tblOrdenes[[#This Row],[fecha_inicio]])</f>
        <v/>
      </c>
      <c r="AE10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5">
        <f>IF(tblOrdenes[[#This Row],[backlog_habiles]]="","",IF(tblOrdenes[[#This Row],[backlog_habiles]]&lt;0,"FUTURO",IF(tblOrdenes[[#This Row],[backlog_habiles]]&gt;p_dias_backlog_max,"BACKLOG","MES CORRIENTE")))</f>
        <v/>
      </c>
      <c r="AG1075" s="5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18">
        <f>IF(tblOrdenes[[#This Row],[orden]]="","",_xlfn.XLOOKUP(tblOrdenes[[#This Row],[id_operacion]],tblEjecucion[id_operacion],tblEjecucion[precio],0))</f>
        <v/>
      </c>
      <c r="AM1075" s="18">
        <f>IF(tblOrdenes[[#This Row],[orden]]="","",MAX(0,_xlfn.XLOOKUP(tblOrdenes[[#This Row],[id_operacion]],tblEjecucion[id_operacion],tblEjecucion[costo_plan_total],0)-tblOrdenes[[#This Row],[costo_servicio]]))</f>
        <v/>
      </c>
      <c r="AN1075" s="18">
        <f>IF(tblOrdenes[[#This Row],[orden]]="","",tblOrdenes[[#This Row],[costo_servicio]]+tblOrdenes[[#This Row],[costo_materiales]])</f>
        <v/>
      </c>
      <c r="AO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5">
        <f>IF(tblOrdenes[[#This Row],[link_checklist]]="","",HYPERLINK(p_ruta_base_checklists&amp;tblOrdenes[[#This Row],[link_checklist]],"abrir"))</f>
        <v/>
      </c>
      <c r="AT1075" s="4" t="n"/>
      <c r="AU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5" t="n"/>
      <c r="K1076" s="5" t="n"/>
      <c r="L1076" s="18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Row],[fecha_inicio]]="","",tblOrdenes[[#This Row],[anio]]&amp;"-"&amp;TEXT(tblOrdenes[[#This Row],[mes]],"00"))</f>
        <v/>
      </c>
      <c r="S1076" s="5">
        <f>IF(tblOrdenes[[#This Row],[fecha_inicio]]="","",INDEX(lista_dias,WEEKDAY(tblOrdenes[[#This Row],[fecha_inicio]],2)))</f>
        <v/>
      </c>
      <c r="T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5">
        <f>IF(tblOrdenes[[#This Row],[tipo_ot]]="","",_xlfn.XLOOKUP(tblOrdenes[[#This Row],[tipo_ot]],tblTiposOT[codigo],tblTiposOT[clasificacion],"sin_clasificar"))</f>
        <v/>
      </c>
      <c r="V10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5">
        <f>IF(tblOrdenes[[#This Row],[centro_costo]]="","",_xlfn.XLOOKUP(tblOrdenes[[#This Row],[centro_costo]],tblCECO[codigo],tblCECO[linea],"(sin catálogo)"))</f>
        <v/>
      </c>
      <c r="Y1076" s="5">
        <f>IF(tblOrdenes[[#This Row],[centro_costo]]="","",_xlfn.XLOOKUP(tblOrdenes[[#This Row],[centro_costo]],tblCECO[codigo],tblCECO[area],"(sin catálogo)"))</f>
        <v/>
      </c>
      <c r="Z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5">
        <f>IF(tblOrdenes[[#This Row],[centro_costo]]="","",_xlfn.XLOOKUP(tblOrdenes[[#This Row],[centro_costo]],tblCECO[codigo],tblCECO[coordinador],"(sin catálogo)"))</f>
        <v/>
      </c>
      <c r="AB1076" s="5">
        <f>IF(tblOrdenes[[#This Row],[puesto_trabajo]]="","",_xlfn.XLOOKUP(tblOrdenes[[#This Row],[puesto_trabajo]],tblPuestos[codigo],tblPuestos[especialidad],"(sin catálogo)"))</f>
        <v/>
      </c>
      <c r="AC1076" s="5">
        <f>IF(tblOrdenes[[#This Row],[cod_actividad]]="","",_xlfn.XLOOKUP(tblOrdenes[[#This Row],[cod_actividad]],tblActividades[codigo],tblActividades[descripcion],"(sin catálogo)"))</f>
        <v/>
      </c>
      <c r="AD1076" s="23">
        <f>IF(tblOrdenes[[#This Row],[fecha_inicio]]="","",TODAY()-tblOrdenes[[#This Row],[fecha_inicio]])</f>
        <v/>
      </c>
      <c r="AE10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5">
        <f>IF(tblOrdenes[[#This Row],[backlog_habiles]]="","",IF(tblOrdenes[[#This Row],[backlog_habiles]]&lt;0,"FUTURO",IF(tblOrdenes[[#This Row],[backlog_habiles]]&gt;p_dias_backlog_max,"BACKLOG","MES CORRIENTE")))</f>
        <v/>
      </c>
      <c r="AG1076" s="5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18">
        <f>IF(tblOrdenes[[#This Row],[orden]]="","",_xlfn.XLOOKUP(tblOrdenes[[#This Row],[id_operacion]],tblEjecucion[id_operacion],tblEjecucion[precio],0))</f>
        <v/>
      </c>
      <c r="AM1076" s="18">
        <f>IF(tblOrdenes[[#This Row],[orden]]="","",MAX(0,_xlfn.XLOOKUP(tblOrdenes[[#This Row],[id_operacion]],tblEjecucion[id_operacion],tblEjecucion[costo_plan_total],0)-tblOrdenes[[#This Row],[costo_servicio]]))</f>
        <v/>
      </c>
      <c r="AN1076" s="18">
        <f>IF(tblOrdenes[[#This Row],[orden]]="","",tblOrdenes[[#This Row],[costo_servicio]]+tblOrdenes[[#This Row],[costo_materiales]])</f>
        <v/>
      </c>
      <c r="AO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5">
        <f>IF(tblOrdenes[[#This Row],[link_checklist]]="","",HYPERLINK(p_ruta_base_checklists&amp;tblOrdenes[[#This Row],[link_checklist]],"abrir"))</f>
        <v/>
      </c>
      <c r="AT1076" s="4" t="n"/>
      <c r="AU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5" t="n"/>
      <c r="K1077" s="5" t="n"/>
      <c r="L1077" s="18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Row],[fecha_inicio]]="","",tblOrdenes[[#This Row],[anio]]&amp;"-"&amp;TEXT(tblOrdenes[[#This Row],[mes]],"00"))</f>
        <v/>
      </c>
      <c r="S1077" s="5">
        <f>IF(tblOrdenes[[#This Row],[fecha_inicio]]="","",INDEX(lista_dias,WEEKDAY(tblOrdenes[[#This Row],[fecha_inicio]],2)))</f>
        <v/>
      </c>
      <c r="T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5">
        <f>IF(tblOrdenes[[#This Row],[tipo_ot]]="","",_xlfn.XLOOKUP(tblOrdenes[[#This Row],[tipo_ot]],tblTiposOT[codigo],tblTiposOT[clasificacion],"sin_clasificar"))</f>
        <v/>
      </c>
      <c r="V10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5">
        <f>IF(tblOrdenes[[#This Row],[centro_costo]]="","",_xlfn.XLOOKUP(tblOrdenes[[#This Row],[centro_costo]],tblCECO[codigo],tblCECO[linea],"(sin catálogo)"))</f>
        <v/>
      </c>
      <c r="Y1077" s="5">
        <f>IF(tblOrdenes[[#This Row],[centro_costo]]="","",_xlfn.XLOOKUP(tblOrdenes[[#This Row],[centro_costo]],tblCECO[codigo],tblCECO[area],"(sin catálogo)"))</f>
        <v/>
      </c>
      <c r="Z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5">
        <f>IF(tblOrdenes[[#This Row],[centro_costo]]="","",_xlfn.XLOOKUP(tblOrdenes[[#This Row],[centro_costo]],tblCECO[codigo],tblCECO[coordinador],"(sin catálogo)"))</f>
        <v/>
      </c>
      <c r="AB1077" s="5">
        <f>IF(tblOrdenes[[#This Row],[puesto_trabajo]]="","",_xlfn.XLOOKUP(tblOrdenes[[#This Row],[puesto_trabajo]],tblPuestos[codigo],tblPuestos[especialidad],"(sin catálogo)"))</f>
        <v/>
      </c>
      <c r="AC1077" s="5">
        <f>IF(tblOrdenes[[#This Row],[cod_actividad]]="","",_xlfn.XLOOKUP(tblOrdenes[[#This Row],[cod_actividad]],tblActividades[codigo],tblActividades[descripcion],"(sin catálogo)"))</f>
        <v/>
      </c>
      <c r="AD1077" s="23">
        <f>IF(tblOrdenes[[#This Row],[fecha_inicio]]="","",TODAY()-tblOrdenes[[#This Row],[fecha_inicio]])</f>
        <v/>
      </c>
      <c r="AE10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5">
        <f>IF(tblOrdenes[[#This Row],[backlog_habiles]]="","",IF(tblOrdenes[[#This Row],[backlog_habiles]]&lt;0,"FUTURO",IF(tblOrdenes[[#This Row],[backlog_habiles]]&gt;p_dias_backlog_max,"BACKLOG","MES CORRIENTE")))</f>
        <v/>
      </c>
      <c r="AG1077" s="5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18">
        <f>IF(tblOrdenes[[#This Row],[orden]]="","",_xlfn.XLOOKUP(tblOrdenes[[#This Row],[id_operacion]],tblEjecucion[id_operacion],tblEjecucion[precio],0))</f>
        <v/>
      </c>
      <c r="AM1077" s="18">
        <f>IF(tblOrdenes[[#This Row],[orden]]="","",MAX(0,_xlfn.XLOOKUP(tblOrdenes[[#This Row],[id_operacion]],tblEjecucion[id_operacion],tblEjecucion[costo_plan_total],0)-tblOrdenes[[#This Row],[costo_servicio]]))</f>
        <v/>
      </c>
      <c r="AN1077" s="18">
        <f>IF(tblOrdenes[[#This Row],[orden]]="","",tblOrdenes[[#This Row],[costo_servicio]]+tblOrdenes[[#This Row],[costo_materiales]])</f>
        <v/>
      </c>
      <c r="AO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5">
        <f>IF(tblOrdenes[[#This Row],[link_checklist]]="","",HYPERLINK(p_ruta_base_checklists&amp;tblOrdenes[[#This Row],[link_checklist]],"abrir"))</f>
        <v/>
      </c>
      <c r="AT1077" s="4" t="n"/>
      <c r="AU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5" t="n"/>
      <c r="K1078" s="5" t="n"/>
      <c r="L1078" s="18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Row],[fecha_inicio]]="","",tblOrdenes[[#This Row],[anio]]&amp;"-"&amp;TEXT(tblOrdenes[[#This Row],[mes]],"00"))</f>
        <v/>
      </c>
      <c r="S1078" s="5">
        <f>IF(tblOrdenes[[#This Row],[fecha_inicio]]="","",INDEX(lista_dias,WEEKDAY(tblOrdenes[[#This Row],[fecha_inicio]],2)))</f>
        <v/>
      </c>
      <c r="T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5">
        <f>IF(tblOrdenes[[#This Row],[tipo_ot]]="","",_xlfn.XLOOKUP(tblOrdenes[[#This Row],[tipo_ot]],tblTiposOT[codigo],tblTiposOT[clasificacion],"sin_clasificar"))</f>
        <v/>
      </c>
      <c r="V10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5">
        <f>IF(tblOrdenes[[#This Row],[centro_costo]]="","",_xlfn.XLOOKUP(tblOrdenes[[#This Row],[centro_costo]],tblCECO[codigo],tblCECO[linea],"(sin catálogo)"))</f>
        <v/>
      </c>
      <c r="Y1078" s="5">
        <f>IF(tblOrdenes[[#This Row],[centro_costo]]="","",_xlfn.XLOOKUP(tblOrdenes[[#This Row],[centro_costo]],tblCECO[codigo],tblCECO[area],"(sin catálogo)"))</f>
        <v/>
      </c>
      <c r="Z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5">
        <f>IF(tblOrdenes[[#This Row],[centro_costo]]="","",_xlfn.XLOOKUP(tblOrdenes[[#This Row],[centro_costo]],tblCECO[codigo],tblCECO[coordinador],"(sin catálogo)"))</f>
        <v/>
      </c>
      <c r="AB1078" s="5">
        <f>IF(tblOrdenes[[#This Row],[puesto_trabajo]]="","",_xlfn.XLOOKUP(tblOrdenes[[#This Row],[puesto_trabajo]],tblPuestos[codigo],tblPuestos[especialidad],"(sin catálogo)"))</f>
        <v/>
      </c>
      <c r="AC1078" s="5">
        <f>IF(tblOrdenes[[#This Row],[cod_actividad]]="","",_xlfn.XLOOKUP(tblOrdenes[[#This Row],[cod_actividad]],tblActividades[codigo],tblActividades[descripcion],"(sin catálogo)"))</f>
        <v/>
      </c>
      <c r="AD1078" s="23">
        <f>IF(tblOrdenes[[#This Row],[fecha_inicio]]="","",TODAY()-tblOrdenes[[#This Row],[fecha_inicio]])</f>
        <v/>
      </c>
      <c r="AE10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5">
        <f>IF(tblOrdenes[[#This Row],[backlog_habiles]]="","",IF(tblOrdenes[[#This Row],[backlog_habiles]]&lt;0,"FUTURO",IF(tblOrdenes[[#This Row],[backlog_habiles]]&gt;p_dias_backlog_max,"BACKLOG","MES CORRIENTE")))</f>
        <v/>
      </c>
      <c r="AG1078" s="5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18">
        <f>IF(tblOrdenes[[#This Row],[orden]]="","",_xlfn.XLOOKUP(tblOrdenes[[#This Row],[id_operacion]],tblEjecucion[id_operacion],tblEjecucion[precio],0))</f>
        <v/>
      </c>
      <c r="AM1078" s="18">
        <f>IF(tblOrdenes[[#This Row],[orden]]="","",MAX(0,_xlfn.XLOOKUP(tblOrdenes[[#This Row],[id_operacion]],tblEjecucion[id_operacion],tblEjecucion[costo_plan_total],0)-tblOrdenes[[#This Row],[costo_servicio]]))</f>
        <v/>
      </c>
      <c r="AN1078" s="18">
        <f>IF(tblOrdenes[[#This Row],[orden]]="","",tblOrdenes[[#This Row],[costo_servicio]]+tblOrdenes[[#This Row],[costo_materiales]])</f>
        <v/>
      </c>
      <c r="AO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5">
        <f>IF(tblOrdenes[[#This Row],[link_checklist]]="","",HYPERLINK(p_ruta_base_checklists&amp;tblOrdenes[[#This Row],[link_checklist]],"abrir"))</f>
        <v/>
      </c>
      <c r="AT1078" s="4" t="n"/>
      <c r="AU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5" t="n"/>
      <c r="K1079" s="5" t="n"/>
      <c r="L1079" s="18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Row],[fecha_inicio]]="","",tblOrdenes[[#This Row],[anio]]&amp;"-"&amp;TEXT(tblOrdenes[[#This Row],[mes]],"00"))</f>
        <v/>
      </c>
      <c r="S1079" s="5">
        <f>IF(tblOrdenes[[#This Row],[fecha_inicio]]="","",INDEX(lista_dias,WEEKDAY(tblOrdenes[[#This Row],[fecha_inicio]],2)))</f>
        <v/>
      </c>
      <c r="T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5">
        <f>IF(tblOrdenes[[#This Row],[tipo_ot]]="","",_xlfn.XLOOKUP(tblOrdenes[[#This Row],[tipo_ot]],tblTiposOT[codigo],tblTiposOT[clasificacion],"sin_clasificar"))</f>
        <v/>
      </c>
      <c r="V10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5">
        <f>IF(tblOrdenes[[#This Row],[centro_costo]]="","",_xlfn.XLOOKUP(tblOrdenes[[#This Row],[centro_costo]],tblCECO[codigo],tblCECO[linea],"(sin catálogo)"))</f>
        <v/>
      </c>
      <c r="Y1079" s="5">
        <f>IF(tblOrdenes[[#This Row],[centro_costo]]="","",_xlfn.XLOOKUP(tblOrdenes[[#This Row],[centro_costo]],tblCECO[codigo],tblCECO[area],"(sin catálogo)"))</f>
        <v/>
      </c>
      <c r="Z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5">
        <f>IF(tblOrdenes[[#This Row],[centro_costo]]="","",_xlfn.XLOOKUP(tblOrdenes[[#This Row],[centro_costo]],tblCECO[codigo],tblCECO[coordinador],"(sin catálogo)"))</f>
        <v/>
      </c>
      <c r="AB1079" s="5">
        <f>IF(tblOrdenes[[#This Row],[puesto_trabajo]]="","",_xlfn.XLOOKUP(tblOrdenes[[#This Row],[puesto_trabajo]],tblPuestos[codigo],tblPuestos[especialidad],"(sin catálogo)"))</f>
        <v/>
      </c>
      <c r="AC1079" s="5">
        <f>IF(tblOrdenes[[#This Row],[cod_actividad]]="","",_xlfn.XLOOKUP(tblOrdenes[[#This Row],[cod_actividad]],tblActividades[codigo],tblActividades[descripcion],"(sin catálogo)"))</f>
        <v/>
      </c>
      <c r="AD1079" s="23">
        <f>IF(tblOrdenes[[#This Row],[fecha_inicio]]="","",TODAY()-tblOrdenes[[#This Row],[fecha_inicio]])</f>
        <v/>
      </c>
      <c r="AE10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5">
        <f>IF(tblOrdenes[[#This Row],[backlog_habiles]]="","",IF(tblOrdenes[[#This Row],[backlog_habiles]]&lt;0,"FUTURO",IF(tblOrdenes[[#This Row],[backlog_habiles]]&gt;p_dias_backlog_max,"BACKLOG","MES CORRIENTE")))</f>
        <v/>
      </c>
      <c r="AG1079" s="5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18">
        <f>IF(tblOrdenes[[#This Row],[orden]]="","",_xlfn.XLOOKUP(tblOrdenes[[#This Row],[id_operacion]],tblEjecucion[id_operacion],tblEjecucion[precio],0))</f>
        <v/>
      </c>
      <c r="AM1079" s="18">
        <f>IF(tblOrdenes[[#This Row],[orden]]="","",MAX(0,_xlfn.XLOOKUP(tblOrdenes[[#This Row],[id_operacion]],tblEjecucion[id_operacion],tblEjecucion[costo_plan_total],0)-tblOrdenes[[#This Row],[costo_servicio]]))</f>
        <v/>
      </c>
      <c r="AN1079" s="18">
        <f>IF(tblOrdenes[[#This Row],[orden]]="","",tblOrdenes[[#This Row],[costo_servicio]]+tblOrdenes[[#This Row],[costo_materiales]])</f>
        <v/>
      </c>
      <c r="AO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5">
        <f>IF(tblOrdenes[[#This Row],[link_checklist]]="","",HYPERLINK(p_ruta_base_checklists&amp;tblOrdenes[[#This Row],[link_checklist]],"abrir"))</f>
        <v/>
      </c>
      <c r="AT1079" s="4" t="n"/>
      <c r="AU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5" t="n"/>
      <c r="K1080" s="5" t="n"/>
      <c r="L1080" s="18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Row],[fecha_inicio]]="","",tblOrdenes[[#This Row],[anio]]&amp;"-"&amp;TEXT(tblOrdenes[[#This Row],[mes]],"00"))</f>
        <v/>
      </c>
      <c r="S1080" s="5">
        <f>IF(tblOrdenes[[#This Row],[fecha_inicio]]="","",INDEX(lista_dias,WEEKDAY(tblOrdenes[[#This Row],[fecha_inicio]],2)))</f>
        <v/>
      </c>
      <c r="T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5">
        <f>IF(tblOrdenes[[#This Row],[tipo_ot]]="","",_xlfn.XLOOKUP(tblOrdenes[[#This Row],[tipo_ot]],tblTiposOT[codigo],tblTiposOT[clasificacion],"sin_clasificar"))</f>
        <v/>
      </c>
      <c r="V10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5">
        <f>IF(tblOrdenes[[#This Row],[centro_costo]]="","",_xlfn.XLOOKUP(tblOrdenes[[#This Row],[centro_costo]],tblCECO[codigo],tblCECO[linea],"(sin catálogo)"))</f>
        <v/>
      </c>
      <c r="Y1080" s="5">
        <f>IF(tblOrdenes[[#This Row],[centro_costo]]="","",_xlfn.XLOOKUP(tblOrdenes[[#This Row],[centro_costo]],tblCECO[codigo],tblCECO[area],"(sin catálogo)"))</f>
        <v/>
      </c>
      <c r="Z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5">
        <f>IF(tblOrdenes[[#This Row],[centro_costo]]="","",_xlfn.XLOOKUP(tblOrdenes[[#This Row],[centro_costo]],tblCECO[codigo],tblCECO[coordinador],"(sin catálogo)"))</f>
        <v/>
      </c>
      <c r="AB1080" s="5">
        <f>IF(tblOrdenes[[#This Row],[puesto_trabajo]]="","",_xlfn.XLOOKUP(tblOrdenes[[#This Row],[puesto_trabajo]],tblPuestos[codigo],tblPuestos[especialidad],"(sin catálogo)"))</f>
        <v/>
      </c>
      <c r="AC1080" s="5">
        <f>IF(tblOrdenes[[#This Row],[cod_actividad]]="","",_xlfn.XLOOKUP(tblOrdenes[[#This Row],[cod_actividad]],tblActividades[codigo],tblActividades[descripcion],"(sin catálogo)"))</f>
        <v/>
      </c>
      <c r="AD1080" s="23">
        <f>IF(tblOrdenes[[#This Row],[fecha_inicio]]="","",TODAY()-tblOrdenes[[#This Row],[fecha_inicio]])</f>
        <v/>
      </c>
      <c r="AE10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5">
        <f>IF(tblOrdenes[[#This Row],[backlog_habiles]]="","",IF(tblOrdenes[[#This Row],[backlog_habiles]]&lt;0,"FUTURO",IF(tblOrdenes[[#This Row],[backlog_habiles]]&gt;p_dias_backlog_max,"BACKLOG","MES CORRIENTE")))</f>
        <v/>
      </c>
      <c r="AG1080" s="5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18">
        <f>IF(tblOrdenes[[#This Row],[orden]]="","",_xlfn.XLOOKUP(tblOrdenes[[#This Row],[id_operacion]],tblEjecucion[id_operacion],tblEjecucion[precio],0))</f>
        <v/>
      </c>
      <c r="AM1080" s="18">
        <f>IF(tblOrdenes[[#This Row],[orden]]="","",MAX(0,_xlfn.XLOOKUP(tblOrdenes[[#This Row],[id_operacion]],tblEjecucion[id_operacion],tblEjecucion[costo_plan_total],0)-tblOrdenes[[#This Row],[costo_servicio]]))</f>
        <v/>
      </c>
      <c r="AN1080" s="18">
        <f>IF(tblOrdenes[[#This Row],[orden]]="","",tblOrdenes[[#This Row],[costo_servicio]]+tblOrdenes[[#This Row],[costo_materiales]])</f>
        <v/>
      </c>
      <c r="AO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5">
        <f>IF(tblOrdenes[[#This Row],[link_checklist]]="","",HYPERLINK(p_ruta_base_checklists&amp;tblOrdenes[[#This Row],[link_checklist]],"abrir"))</f>
        <v/>
      </c>
      <c r="AT1080" s="4" t="n"/>
      <c r="AU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5" t="n"/>
      <c r="K1081" s="5" t="n"/>
      <c r="L1081" s="18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Row],[fecha_inicio]]="","",tblOrdenes[[#This Row],[anio]]&amp;"-"&amp;TEXT(tblOrdenes[[#This Row],[mes]],"00"))</f>
        <v/>
      </c>
      <c r="S1081" s="5">
        <f>IF(tblOrdenes[[#This Row],[fecha_inicio]]="","",INDEX(lista_dias,WEEKDAY(tblOrdenes[[#This Row],[fecha_inicio]],2)))</f>
        <v/>
      </c>
      <c r="T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5">
        <f>IF(tblOrdenes[[#This Row],[tipo_ot]]="","",_xlfn.XLOOKUP(tblOrdenes[[#This Row],[tipo_ot]],tblTiposOT[codigo],tblTiposOT[clasificacion],"sin_clasificar"))</f>
        <v/>
      </c>
      <c r="V10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5">
        <f>IF(tblOrdenes[[#This Row],[centro_costo]]="","",_xlfn.XLOOKUP(tblOrdenes[[#This Row],[centro_costo]],tblCECO[codigo],tblCECO[linea],"(sin catálogo)"))</f>
        <v/>
      </c>
      <c r="Y1081" s="5">
        <f>IF(tblOrdenes[[#This Row],[centro_costo]]="","",_xlfn.XLOOKUP(tblOrdenes[[#This Row],[centro_costo]],tblCECO[codigo],tblCECO[area],"(sin catálogo)"))</f>
        <v/>
      </c>
      <c r="Z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5">
        <f>IF(tblOrdenes[[#This Row],[centro_costo]]="","",_xlfn.XLOOKUP(tblOrdenes[[#This Row],[centro_costo]],tblCECO[codigo],tblCECO[coordinador],"(sin catálogo)"))</f>
        <v/>
      </c>
      <c r="AB1081" s="5">
        <f>IF(tblOrdenes[[#This Row],[puesto_trabajo]]="","",_xlfn.XLOOKUP(tblOrdenes[[#This Row],[puesto_trabajo]],tblPuestos[codigo],tblPuestos[especialidad],"(sin catálogo)"))</f>
        <v/>
      </c>
      <c r="AC1081" s="5">
        <f>IF(tblOrdenes[[#This Row],[cod_actividad]]="","",_xlfn.XLOOKUP(tblOrdenes[[#This Row],[cod_actividad]],tblActividades[codigo],tblActividades[descripcion],"(sin catálogo)"))</f>
        <v/>
      </c>
      <c r="AD1081" s="23">
        <f>IF(tblOrdenes[[#This Row],[fecha_inicio]]="","",TODAY()-tblOrdenes[[#This Row],[fecha_inicio]])</f>
        <v/>
      </c>
      <c r="AE10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5">
        <f>IF(tblOrdenes[[#This Row],[backlog_habiles]]="","",IF(tblOrdenes[[#This Row],[backlog_habiles]]&lt;0,"FUTURO",IF(tblOrdenes[[#This Row],[backlog_habiles]]&gt;p_dias_backlog_max,"BACKLOG","MES CORRIENTE")))</f>
        <v/>
      </c>
      <c r="AG1081" s="5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18">
        <f>IF(tblOrdenes[[#This Row],[orden]]="","",_xlfn.XLOOKUP(tblOrdenes[[#This Row],[id_operacion]],tblEjecucion[id_operacion],tblEjecucion[precio],0))</f>
        <v/>
      </c>
      <c r="AM1081" s="18">
        <f>IF(tblOrdenes[[#This Row],[orden]]="","",MAX(0,_xlfn.XLOOKUP(tblOrdenes[[#This Row],[id_operacion]],tblEjecucion[id_operacion],tblEjecucion[costo_plan_total],0)-tblOrdenes[[#This Row],[costo_servicio]]))</f>
        <v/>
      </c>
      <c r="AN1081" s="18">
        <f>IF(tblOrdenes[[#This Row],[orden]]="","",tblOrdenes[[#This Row],[costo_servicio]]+tblOrdenes[[#This Row],[costo_materiales]])</f>
        <v/>
      </c>
      <c r="AO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5">
        <f>IF(tblOrdenes[[#This Row],[link_checklist]]="","",HYPERLINK(p_ruta_base_checklists&amp;tblOrdenes[[#This Row],[link_checklist]],"abrir"))</f>
        <v/>
      </c>
      <c r="AT1081" s="4" t="n"/>
      <c r="AU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5" t="n"/>
      <c r="K1082" s="5" t="n"/>
      <c r="L1082" s="18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Row],[fecha_inicio]]="","",tblOrdenes[[#This Row],[anio]]&amp;"-"&amp;TEXT(tblOrdenes[[#This Row],[mes]],"00"))</f>
        <v/>
      </c>
      <c r="S1082" s="5">
        <f>IF(tblOrdenes[[#This Row],[fecha_inicio]]="","",INDEX(lista_dias,WEEKDAY(tblOrdenes[[#This Row],[fecha_inicio]],2)))</f>
        <v/>
      </c>
      <c r="T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5">
        <f>IF(tblOrdenes[[#This Row],[tipo_ot]]="","",_xlfn.XLOOKUP(tblOrdenes[[#This Row],[tipo_ot]],tblTiposOT[codigo],tblTiposOT[clasificacion],"sin_clasificar"))</f>
        <v/>
      </c>
      <c r="V10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5">
        <f>IF(tblOrdenes[[#This Row],[centro_costo]]="","",_xlfn.XLOOKUP(tblOrdenes[[#This Row],[centro_costo]],tblCECO[codigo],tblCECO[linea],"(sin catálogo)"))</f>
        <v/>
      </c>
      <c r="Y1082" s="5">
        <f>IF(tblOrdenes[[#This Row],[centro_costo]]="","",_xlfn.XLOOKUP(tblOrdenes[[#This Row],[centro_costo]],tblCECO[codigo],tblCECO[area],"(sin catálogo)"))</f>
        <v/>
      </c>
      <c r="Z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5">
        <f>IF(tblOrdenes[[#This Row],[centro_costo]]="","",_xlfn.XLOOKUP(tblOrdenes[[#This Row],[centro_costo]],tblCECO[codigo],tblCECO[coordinador],"(sin catálogo)"))</f>
        <v/>
      </c>
      <c r="AB1082" s="5">
        <f>IF(tblOrdenes[[#This Row],[puesto_trabajo]]="","",_xlfn.XLOOKUP(tblOrdenes[[#This Row],[puesto_trabajo]],tblPuestos[codigo],tblPuestos[especialidad],"(sin catálogo)"))</f>
        <v/>
      </c>
      <c r="AC1082" s="5">
        <f>IF(tblOrdenes[[#This Row],[cod_actividad]]="","",_xlfn.XLOOKUP(tblOrdenes[[#This Row],[cod_actividad]],tblActividades[codigo],tblActividades[descripcion],"(sin catálogo)"))</f>
        <v/>
      </c>
      <c r="AD1082" s="23">
        <f>IF(tblOrdenes[[#This Row],[fecha_inicio]]="","",TODAY()-tblOrdenes[[#This Row],[fecha_inicio]])</f>
        <v/>
      </c>
      <c r="AE10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5">
        <f>IF(tblOrdenes[[#This Row],[backlog_habiles]]="","",IF(tblOrdenes[[#This Row],[backlog_habiles]]&lt;0,"FUTURO",IF(tblOrdenes[[#This Row],[backlog_habiles]]&gt;p_dias_backlog_max,"BACKLOG","MES CORRIENTE")))</f>
        <v/>
      </c>
      <c r="AG1082" s="5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18">
        <f>IF(tblOrdenes[[#This Row],[orden]]="","",_xlfn.XLOOKUP(tblOrdenes[[#This Row],[id_operacion]],tblEjecucion[id_operacion],tblEjecucion[precio],0))</f>
        <v/>
      </c>
      <c r="AM1082" s="18">
        <f>IF(tblOrdenes[[#This Row],[orden]]="","",MAX(0,_xlfn.XLOOKUP(tblOrdenes[[#This Row],[id_operacion]],tblEjecucion[id_operacion],tblEjecucion[costo_plan_total],0)-tblOrdenes[[#This Row],[costo_servicio]]))</f>
        <v/>
      </c>
      <c r="AN1082" s="18">
        <f>IF(tblOrdenes[[#This Row],[orden]]="","",tblOrdenes[[#This Row],[costo_servicio]]+tblOrdenes[[#This Row],[costo_materiales]])</f>
        <v/>
      </c>
      <c r="AO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5">
        <f>IF(tblOrdenes[[#This Row],[link_checklist]]="","",HYPERLINK(p_ruta_base_checklists&amp;tblOrdenes[[#This Row],[link_checklist]],"abrir"))</f>
        <v/>
      </c>
      <c r="AT1082" s="4" t="n"/>
      <c r="AU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5" t="n"/>
      <c r="K1083" s="5" t="n"/>
      <c r="L1083" s="18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Row],[fecha_inicio]]="","",tblOrdenes[[#This Row],[anio]]&amp;"-"&amp;TEXT(tblOrdenes[[#This Row],[mes]],"00"))</f>
        <v/>
      </c>
      <c r="S1083" s="5">
        <f>IF(tblOrdenes[[#This Row],[fecha_inicio]]="","",INDEX(lista_dias,WEEKDAY(tblOrdenes[[#This Row],[fecha_inicio]],2)))</f>
        <v/>
      </c>
      <c r="T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5">
        <f>IF(tblOrdenes[[#This Row],[tipo_ot]]="","",_xlfn.XLOOKUP(tblOrdenes[[#This Row],[tipo_ot]],tblTiposOT[codigo],tblTiposOT[clasificacion],"sin_clasificar"))</f>
        <v/>
      </c>
      <c r="V10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5">
        <f>IF(tblOrdenes[[#This Row],[centro_costo]]="","",_xlfn.XLOOKUP(tblOrdenes[[#This Row],[centro_costo]],tblCECO[codigo],tblCECO[linea],"(sin catálogo)"))</f>
        <v/>
      </c>
      <c r="Y1083" s="5">
        <f>IF(tblOrdenes[[#This Row],[centro_costo]]="","",_xlfn.XLOOKUP(tblOrdenes[[#This Row],[centro_costo]],tblCECO[codigo],tblCECO[area],"(sin catálogo)"))</f>
        <v/>
      </c>
      <c r="Z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5">
        <f>IF(tblOrdenes[[#This Row],[centro_costo]]="","",_xlfn.XLOOKUP(tblOrdenes[[#This Row],[centro_costo]],tblCECO[codigo],tblCECO[coordinador],"(sin catálogo)"))</f>
        <v/>
      </c>
      <c r="AB1083" s="5">
        <f>IF(tblOrdenes[[#This Row],[puesto_trabajo]]="","",_xlfn.XLOOKUP(tblOrdenes[[#This Row],[puesto_trabajo]],tblPuestos[codigo],tblPuestos[especialidad],"(sin catálogo)"))</f>
        <v/>
      </c>
      <c r="AC1083" s="5">
        <f>IF(tblOrdenes[[#This Row],[cod_actividad]]="","",_xlfn.XLOOKUP(tblOrdenes[[#This Row],[cod_actividad]],tblActividades[codigo],tblActividades[descripcion],"(sin catálogo)"))</f>
        <v/>
      </c>
      <c r="AD1083" s="23">
        <f>IF(tblOrdenes[[#This Row],[fecha_inicio]]="","",TODAY()-tblOrdenes[[#This Row],[fecha_inicio]])</f>
        <v/>
      </c>
      <c r="AE10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5">
        <f>IF(tblOrdenes[[#This Row],[backlog_habiles]]="","",IF(tblOrdenes[[#This Row],[backlog_habiles]]&lt;0,"FUTURO",IF(tblOrdenes[[#This Row],[backlog_habiles]]&gt;p_dias_backlog_max,"BACKLOG","MES CORRIENTE")))</f>
        <v/>
      </c>
      <c r="AG1083" s="5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18">
        <f>IF(tblOrdenes[[#This Row],[orden]]="","",_xlfn.XLOOKUP(tblOrdenes[[#This Row],[id_operacion]],tblEjecucion[id_operacion],tblEjecucion[precio],0))</f>
        <v/>
      </c>
      <c r="AM1083" s="18">
        <f>IF(tblOrdenes[[#This Row],[orden]]="","",MAX(0,_xlfn.XLOOKUP(tblOrdenes[[#This Row],[id_operacion]],tblEjecucion[id_operacion],tblEjecucion[costo_plan_total],0)-tblOrdenes[[#This Row],[costo_servicio]]))</f>
        <v/>
      </c>
      <c r="AN1083" s="18">
        <f>IF(tblOrdenes[[#This Row],[orden]]="","",tblOrdenes[[#This Row],[costo_servicio]]+tblOrdenes[[#This Row],[costo_materiales]])</f>
        <v/>
      </c>
      <c r="AO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5">
        <f>IF(tblOrdenes[[#This Row],[link_checklist]]="","",HYPERLINK(p_ruta_base_checklists&amp;tblOrdenes[[#This Row],[link_checklist]],"abrir"))</f>
        <v/>
      </c>
      <c r="AT1083" s="4" t="n"/>
      <c r="AU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5" t="n"/>
      <c r="K1084" s="5" t="n"/>
      <c r="L1084" s="18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Row],[fecha_inicio]]="","",tblOrdenes[[#This Row],[anio]]&amp;"-"&amp;TEXT(tblOrdenes[[#This Row],[mes]],"00"))</f>
        <v/>
      </c>
      <c r="S1084" s="5">
        <f>IF(tblOrdenes[[#This Row],[fecha_inicio]]="","",INDEX(lista_dias,WEEKDAY(tblOrdenes[[#This Row],[fecha_inicio]],2)))</f>
        <v/>
      </c>
      <c r="T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5">
        <f>IF(tblOrdenes[[#This Row],[tipo_ot]]="","",_xlfn.XLOOKUP(tblOrdenes[[#This Row],[tipo_ot]],tblTiposOT[codigo],tblTiposOT[clasificacion],"sin_clasificar"))</f>
        <v/>
      </c>
      <c r="V10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5">
        <f>IF(tblOrdenes[[#This Row],[centro_costo]]="","",_xlfn.XLOOKUP(tblOrdenes[[#This Row],[centro_costo]],tblCECO[codigo],tblCECO[linea],"(sin catálogo)"))</f>
        <v/>
      </c>
      <c r="Y1084" s="5">
        <f>IF(tblOrdenes[[#This Row],[centro_costo]]="","",_xlfn.XLOOKUP(tblOrdenes[[#This Row],[centro_costo]],tblCECO[codigo],tblCECO[area],"(sin catálogo)"))</f>
        <v/>
      </c>
      <c r="Z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5">
        <f>IF(tblOrdenes[[#This Row],[centro_costo]]="","",_xlfn.XLOOKUP(tblOrdenes[[#This Row],[centro_costo]],tblCECO[codigo],tblCECO[coordinador],"(sin catálogo)"))</f>
        <v/>
      </c>
      <c r="AB1084" s="5">
        <f>IF(tblOrdenes[[#This Row],[puesto_trabajo]]="","",_xlfn.XLOOKUP(tblOrdenes[[#This Row],[puesto_trabajo]],tblPuestos[codigo],tblPuestos[especialidad],"(sin catálogo)"))</f>
        <v/>
      </c>
      <c r="AC1084" s="5">
        <f>IF(tblOrdenes[[#This Row],[cod_actividad]]="","",_xlfn.XLOOKUP(tblOrdenes[[#This Row],[cod_actividad]],tblActividades[codigo],tblActividades[descripcion],"(sin catálogo)"))</f>
        <v/>
      </c>
      <c r="AD1084" s="23">
        <f>IF(tblOrdenes[[#This Row],[fecha_inicio]]="","",TODAY()-tblOrdenes[[#This Row],[fecha_inicio]])</f>
        <v/>
      </c>
      <c r="AE10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5">
        <f>IF(tblOrdenes[[#This Row],[backlog_habiles]]="","",IF(tblOrdenes[[#This Row],[backlog_habiles]]&lt;0,"FUTURO",IF(tblOrdenes[[#This Row],[backlog_habiles]]&gt;p_dias_backlog_max,"BACKLOG","MES CORRIENTE")))</f>
        <v/>
      </c>
      <c r="AG1084" s="5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18">
        <f>IF(tblOrdenes[[#This Row],[orden]]="","",_xlfn.XLOOKUP(tblOrdenes[[#This Row],[id_operacion]],tblEjecucion[id_operacion],tblEjecucion[precio],0))</f>
        <v/>
      </c>
      <c r="AM1084" s="18">
        <f>IF(tblOrdenes[[#This Row],[orden]]="","",MAX(0,_xlfn.XLOOKUP(tblOrdenes[[#This Row],[id_operacion]],tblEjecucion[id_operacion],tblEjecucion[costo_plan_total],0)-tblOrdenes[[#This Row],[costo_servicio]]))</f>
        <v/>
      </c>
      <c r="AN1084" s="18">
        <f>IF(tblOrdenes[[#This Row],[orden]]="","",tblOrdenes[[#This Row],[costo_servicio]]+tblOrdenes[[#This Row],[costo_materiales]])</f>
        <v/>
      </c>
      <c r="AO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5">
        <f>IF(tblOrdenes[[#This Row],[link_checklist]]="","",HYPERLINK(p_ruta_base_checklists&amp;tblOrdenes[[#This Row],[link_checklist]],"abrir"))</f>
        <v/>
      </c>
      <c r="AT1084" s="4" t="n"/>
      <c r="AU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5" t="n"/>
      <c r="K1085" s="5" t="n"/>
      <c r="L1085" s="18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Row],[fecha_inicio]]="","",tblOrdenes[[#This Row],[anio]]&amp;"-"&amp;TEXT(tblOrdenes[[#This Row],[mes]],"00"))</f>
        <v/>
      </c>
      <c r="S1085" s="5">
        <f>IF(tblOrdenes[[#This Row],[fecha_inicio]]="","",INDEX(lista_dias,WEEKDAY(tblOrdenes[[#This Row],[fecha_inicio]],2)))</f>
        <v/>
      </c>
      <c r="T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5">
        <f>IF(tblOrdenes[[#This Row],[tipo_ot]]="","",_xlfn.XLOOKUP(tblOrdenes[[#This Row],[tipo_ot]],tblTiposOT[codigo],tblTiposOT[clasificacion],"sin_clasificar"))</f>
        <v/>
      </c>
      <c r="V10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5">
        <f>IF(tblOrdenes[[#This Row],[centro_costo]]="","",_xlfn.XLOOKUP(tblOrdenes[[#This Row],[centro_costo]],tblCECO[codigo],tblCECO[linea],"(sin catálogo)"))</f>
        <v/>
      </c>
      <c r="Y1085" s="5">
        <f>IF(tblOrdenes[[#This Row],[centro_costo]]="","",_xlfn.XLOOKUP(tblOrdenes[[#This Row],[centro_costo]],tblCECO[codigo],tblCECO[area],"(sin catálogo)"))</f>
        <v/>
      </c>
      <c r="Z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5">
        <f>IF(tblOrdenes[[#This Row],[centro_costo]]="","",_xlfn.XLOOKUP(tblOrdenes[[#This Row],[centro_costo]],tblCECO[codigo],tblCECO[coordinador],"(sin catálogo)"))</f>
        <v/>
      </c>
      <c r="AB1085" s="5">
        <f>IF(tblOrdenes[[#This Row],[puesto_trabajo]]="","",_xlfn.XLOOKUP(tblOrdenes[[#This Row],[puesto_trabajo]],tblPuestos[codigo],tblPuestos[especialidad],"(sin catálogo)"))</f>
        <v/>
      </c>
      <c r="AC1085" s="5">
        <f>IF(tblOrdenes[[#This Row],[cod_actividad]]="","",_xlfn.XLOOKUP(tblOrdenes[[#This Row],[cod_actividad]],tblActividades[codigo],tblActividades[descripcion],"(sin catálogo)"))</f>
        <v/>
      </c>
      <c r="AD1085" s="23">
        <f>IF(tblOrdenes[[#This Row],[fecha_inicio]]="","",TODAY()-tblOrdenes[[#This Row],[fecha_inicio]])</f>
        <v/>
      </c>
      <c r="AE10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5">
        <f>IF(tblOrdenes[[#This Row],[backlog_habiles]]="","",IF(tblOrdenes[[#This Row],[backlog_habiles]]&lt;0,"FUTURO",IF(tblOrdenes[[#This Row],[backlog_habiles]]&gt;p_dias_backlog_max,"BACKLOG","MES CORRIENTE")))</f>
        <v/>
      </c>
      <c r="AG1085" s="5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18">
        <f>IF(tblOrdenes[[#This Row],[orden]]="","",_xlfn.XLOOKUP(tblOrdenes[[#This Row],[id_operacion]],tblEjecucion[id_operacion],tblEjecucion[precio],0))</f>
        <v/>
      </c>
      <c r="AM1085" s="18">
        <f>IF(tblOrdenes[[#This Row],[orden]]="","",MAX(0,_xlfn.XLOOKUP(tblOrdenes[[#This Row],[id_operacion]],tblEjecucion[id_operacion],tblEjecucion[costo_plan_total],0)-tblOrdenes[[#This Row],[costo_servicio]]))</f>
        <v/>
      </c>
      <c r="AN1085" s="18">
        <f>IF(tblOrdenes[[#This Row],[orden]]="","",tblOrdenes[[#This Row],[costo_servicio]]+tblOrdenes[[#This Row],[costo_materiales]])</f>
        <v/>
      </c>
      <c r="AO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5">
        <f>IF(tblOrdenes[[#This Row],[link_checklist]]="","",HYPERLINK(p_ruta_base_checklists&amp;tblOrdenes[[#This Row],[link_checklist]],"abrir"))</f>
        <v/>
      </c>
      <c r="AT1085" s="4" t="n"/>
      <c r="AU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5" t="n"/>
      <c r="K1086" s="5" t="n"/>
      <c r="L1086" s="18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Row],[fecha_inicio]]="","",tblOrdenes[[#This Row],[anio]]&amp;"-"&amp;TEXT(tblOrdenes[[#This Row],[mes]],"00"))</f>
        <v/>
      </c>
      <c r="S1086" s="5">
        <f>IF(tblOrdenes[[#This Row],[fecha_inicio]]="","",INDEX(lista_dias,WEEKDAY(tblOrdenes[[#This Row],[fecha_inicio]],2)))</f>
        <v/>
      </c>
      <c r="T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5">
        <f>IF(tblOrdenes[[#This Row],[tipo_ot]]="","",_xlfn.XLOOKUP(tblOrdenes[[#This Row],[tipo_ot]],tblTiposOT[codigo],tblTiposOT[clasificacion],"sin_clasificar"))</f>
        <v/>
      </c>
      <c r="V10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5">
        <f>IF(tblOrdenes[[#This Row],[centro_costo]]="","",_xlfn.XLOOKUP(tblOrdenes[[#This Row],[centro_costo]],tblCECO[codigo],tblCECO[linea],"(sin catálogo)"))</f>
        <v/>
      </c>
      <c r="Y1086" s="5">
        <f>IF(tblOrdenes[[#This Row],[centro_costo]]="","",_xlfn.XLOOKUP(tblOrdenes[[#This Row],[centro_costo]],tblCECO[codigo],tblCECO[area],"(sin catálogo)"))</f>
        <v/>
      </c>
      <c r="Z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5">
        <f>IF(tblOrdenes[[#This Row],[centro_costo]]="","",_xlfn.XLOOKUP(tblOrdenes[[#This Row],[centro_costo]],tblCECO[codigo],tblCECO[coordinador],"(sin catálogo)"))</f>
        <v/>
      </c>
      <c r="AB1086" s="5">
        <f>IF(tblOrdenes[[#This Row],[puesto_trabajo]]="","",_xlfn.XLOOKUP(tblOrdenes[[#This Row],[puesto_trabajo]],tblPuestos[codigo],tblPuestos[especialidad],"(sin catálogo)"))</f>
        <v/>
      </c>
      <c r="AC1086" s="5">
        <f>IF(tblOrdenes[[#This Row],[cod_actividad]]="","",_xlfn.XLOOKUP(tblOrdenes[[#This Row],[cod_actividad]],tblActividades[codigo],tblActividades[descripcion],"(sin catálogo)"))</f>
        <v/>
      </c>
      <c r="AD1086" s="23">
        <f>IF(tblOrdenes[[#This Row],[fecha_inicio]]="","",TODAY()-tblOrdenes[[#This Row],[fecha_inicio]])</f>
        <v/>
      </c>
      <c r="AE10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5">
        <f>IF(tblOrdenes[[#This Row],[backlog_habiles]]="","",IF(tblOrdenes[[#This Row],[backlog_habiles]]&lt;0,"FUTURO",IF(tblOrdenes[[#This Row],[backlog_habiles]]&gt;p_dias_backlog_max,"BACKLOG","MES CORRIENTE")))</f>
        <v/>
      </c>
      <c r="AG1086" s="5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18">
        <f>IF(tblOrdenes[[#This Row],[orden]]="","",_xlfn.XLOOKUP(tblOrdenes[[#This Row],[id_operacion]],tblEjecucion[id_operacion],tblEjecucion[precio],0))</f>
        <v/>
      </c>
      <c r="AM1086" s="18">
        <f>IF(tblOrdenes[[#This Row],[orden]]="","",MAX(0,_xlfn.XLOOKUP(tblOrdenes[[#This Row],[id_operacion]],tblEjecucion[id_operacion],tblEjecucion[costo_plan_total],0)-tblOrdenes[[#This Row],[costo_servicio]]))</f>
        <v/>
      </c>
      <c r="AN1086" s="18">
        <f>IF(tblOrdenes[[#This Row],[orden]]="","",tblOrdenes[[#This Row],[costo_servicio]]+tblOrdenes[[#This Row],[costo_materiales]])</f>
        <v/>
      </c>
      <c r="AO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5">
        <f>IF(tblOrdenes[[#This Row],[link_checklist]]="","",HYPERLINK(p_ruta_base_checklists&amp;tblOrdenes[[#This Row],[link_checklist]],"abrir"))</f>
        <v/>
      </c>
      <c r="AT1086" s="4" t="n"/>
      <c r="AU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5" t="n"/>
      <c r="K1087" s="5" t="n"/>
      <c r="L1087" s="18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Row],[fecha_inicio]]="","",tblOrdenes[[#This Row],[anio]]&amp;"-"&amp;TEXT(tblOrdenes[[#This Row],[mes]],"00"))</f>
        <v/>
      </c>
      <c r="S1087" s="5">
        <f>IF(tblOrdenes[[#This Row],[fecha_inicio]]="","",INDEX(lista_dias,WEEKDAY(tblOrdenes[[#This Row],[fecha_inicio]],2)))</f>
        <v/>
      </c>
      <c r="T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5">
        <f>IF(tblOrdenes[[#This Row],[tipo_ot]]="","",_xlfn.XLOOKUP(tblOrdenes[[#This Row],[tipo_ot]],tblTiposOT[codigo],tblTiposOT[clasificacion],"sin_clasificar"))</f>
        <v/>
      </c>
      <c r="V10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5">
        <f>IF(tblOrdenes[[#This Row],[centro_costo]]="","",_xlfn.XLOOKUP(tblOrdenes[[#This Row],[centro_costo]],tblCECO[codigo],tblCECO[linea],"(sin catálogo)"))</f>
        <v/>
      </c>
      <c r="Y1087" s="5">
        <f>IF(tblOrdenes[[#This Row],[centro_costo]]="","",_xlfn.XLOOKUP(tblOrdenes[[#This Row],[centro_costo]],tblCECO[codigo],tblCECO[area],"(sin catálogo)"))</f>
        <v/>
      </c>
      <c r="Z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5">
        <f>IF(tblOrdenes[[#This Row],[centro_costo]]="","",_xlfn.XLOOKUP(tblOrdenes[[#This Row],[centro_costo]],tblCECO[codigo],tblCECO[coordinador],"(sin catálogo)"))</f>
        <v/>
      </c>
      <c r="AB1087" s="5">
        <f>IF(tblOrdenes[[#This Row],[puesto_trabajo]]="","",_xlfn.XLOOKUP(tblOrdenes[[#This Row],[puesto_trabajo]],tblPuestos[codigo],tblPuestos[especialidad],"(sin catálogo)"))</f>
        <v/>
      </c>
      <c r="AC1087" s="5">
        <f>IF(tblOrdenes[[#This Row],[cod_actividad]]="","",_xlfn.XLOOKUP(tblOrdenes[[#This Row],[cod_actividad]],tblActividades[codigo],tblActividades[descripcion],"(sin catálogo)"))</f>
        <v/>
      </c>
      <c r="AD1087" s="23">
        <f>IF(tblOrdenes[[#This Row],[fecha_inicio]]="","",TODAY()-tblOrdenes[[#This Row],[fecha_inicio]])</f>
        <v/>
      </c>
      <c r="AE10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5">
        <f>IF(tblOrdenes[[#This Row],[backlog_habiles]]="","",IF(tblOrdenes[[#This Row],[backlog_habiles]]&lt;0,"FUTURO",IF(tblOrdenes[[#This Row],[backlog_habiles]]&gt;p_dias_backlog_max,"BACKLOG","MES CORRIENTE")))</f>
        <v/>
      </c>
      <c r="AG1087" s="5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18">
        <f>IF(tblOrdenes[[#This Row],[orden]]="","",_xlfn.XLOOKUP(tblOrdenes[[#This Row],[id_operacion]],tblEjecucion[id_operacion],tblEjecucion[precio],0))</f>
        <v/>
      </c>
      <c r="AM1087" s="18">
        <f>IF(tblOrdenes[[#This Row],[orden]]="","",MAX(0,_xlfn.XLOOKUP(tblOrdenes[[#This Row],[id_operacion]],tblEjecucion[id_operacion],tblEjecucion[costo_plan_total],0)-tblOrdenes[[#This Row],[costo_servicio]]))</f>
        <v/>
      </c>
      <c r="AN1087" s="18">
        <f>IF(tblOrdenes[[#This Row],[orden]]="","",tblOrdenes[[#This Row],[costo_servicio]]+tblOrdenes[[#This Row],[costo_materiales]])</f>
        <v/>
      </c>
      <c r="AO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5">
        <f>IF(tblOrdenes[[#This Row],[link_checklist]]="","",HYPERLINK(p_ruta_base_checklists&amp;tblOrdenes[[#This Row],[link_checklist]],"abrir"))</f>
        <v/>
      </c>
      <c r="AT1087" s="4" t="n"/>
      <c r="AU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5" t="n"/>
      <c r="K1088" s="5" t="n"/>
      <c r="L1088" s="18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Row],[fecha_inicio]]="","",tblOrdenes[[#This Row],[anio]]&amp;"-"&amp;TEXT(tblOrdenes[[#This Row],[mes]],"00"))</f>
        <v/>
      </c>
      <c r="S1088" s="5">
        <f>IF(tblOrdenes[[#This Row],[fecha_inicio]]="","",INDEX(lista_dias,WEEKDAY(tblOrdenes[[#This Row],[fecha_inicio]],2)))</f>
        <v/>
      </c>
      <c r="T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5">
        <f>IF(tblOrdenes[[#This Row],[tipo_ot]]="","",_xlfn.XLOOKUP(tblOrdenes[[#This Row],[tipo_ot]],tblTiposOT[codigo],tblTiposOT[clasificacion],"sin_clasificar"))</f>
        <v/>
      </c>
      <c r="V10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5">
        <f>IF(tblOrdenes[[#This Row],[centro_costo]]="","",_xlfn.XLOOKUP(tblOrdenes[[#This Row],[centro_costo]],tblCECO[codigo],tblCECO[linea],"(sin catálogo)"))</f>
        <v/>
      </c>
      <c r="Y1088" s="5">
        <f>IF(tblOrdenes[[#This Row],[centro_costo]]="","",_xlfn.XLOOKUP(tblOrdenes[[#This Row],[centro_costo]],tblCECO[codigo],tblCECO[area],"(sin catálogo)"))</f>
        <v/>
      </c>
      <c r="Z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5">
        <f>IF(tblOrdenes[[#This Row],[centro_costo]]="","",_xlfn.XLOOKUP(tblOrdenes[[#This Row],[centro_costo]],tblCECO[codigo],tblCECO[coordinador],"(sin catálogo)"))</f>
        <v/>
      </c>
      <c r="AB1088" s="5">
        <f>IF(tblOrdenes[[#This Row],[puesto_trabajo]]="","",_xlfn.XLOOKUP(tblOrdenes[[#This Row],[puesto_trabajo]],tblPuestos[codigo],tblPuestos[especialidad],"(sin catálogo)"))</f>
        <v/>
      </c>
      <c r="AC1088" s="5">
        <f>IF(tblOrdenes[[#This Row],[cod_actividad]]="","",_xlfn.XLOOKUP(tblOrdenes[[#This Row],[cod_actividad]],tblActividades[codigo],tblActividades[descripcion],"(sin catálogo)"))</f>
        <v/>
      </c>
      <c r="AD1088" s="23">
        <f>IF(tblOrdenes[[#This Row],[fecha_inicio]]="","",TODAY()-tblOrdenes[[#This Row],[fecha_inicio]])</f>
        <v/>
      </c>
      <c r="AE10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5">
        <f>IF(tblOrdenes[[#This Row],[backlog_habiles]]="","",IF(tblOrdenes[[#This Row],[backlog_habiles]]&lt;0,"FUTURO",IF(tblOrdenes[[#This Row],[backlog_habiles]]&gt;p_dias_backlog_max,"BACKLOG","MES CORRIENTE")))</f>
        <v/>
      </c>
      <c r="AG1088" s="5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18">
        <f>IF(tblOrdenes[[#This Row],[orden]]="","",_xlfn.XLOOKUP(tblOrdenes[[#This Row],[id_operacion]],tblEjecucion[id_operacion],tblEjecucion[precio],0))</f>
        <v/>
      </c>
      <c r="AM1088" s="18">
        <f>IF(tblOrdenes[[#This Row],[orden]]="","",MAX(0,_xlfn.XLOOKUP(tblOrdenes[[#This Row],[id_operacion]],tblEjecucion[id_operacion],tblEjecucion[costo_plan_total],0)-tblOrdenes[[#This Row],[costo_servicio]]))</f>
        <v/>
      </c>
      <c r="AN1088" s="18">
        <f>IF(tblOrdenes[[#This Row],[orden]]="","",tblOrdenes[[#This Row],[costo_servicio]]+tblOrdenes[[#This Row],[costo_materiales]])</f>
        <v/>
      </c>
      <c r="AO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5">
        <f>IF(tblOrdenes[[#This Row],[link_checklist]]="","",HYPERLINK(p_ruta_base_checklists&amp;tblOrdenes[[#This Row],[link_checklist]],"abrir"))</f>
        <v/>
      </c>
      <c r="AT1088" s="4" t="n"/>
      <c r="AU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5" t="n"/>
      <c r="K1089" s="5" t="n"/>
      <c r="L1089" s="18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Row],[fecha_inicio]]="","",tblOrdenes[[#This Row],[anio]]&amp;"-"&amp;TEXT(tblOrdenes[[#This Row],[mes]],"00"))</f>
        <v/>
      </c>
      <c r="S1089" s="5">
        <f>IF(tblOrdenes[[#This Row],[fecha_inicio]]="","",INDEX(lista_dias,WEEKDAY(tblOrdenes[[#This Row],[fecha_inicio]],2)))</f>
        <v/>
      </c>
      <c r="T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5">
        <f>IF(tblOrdenes[[#This Row],[tipo_ot]]="","",_xlfn.XLOOKUP(tblOrdenes[[#This Row],[tipo_ot]],tblTiposOT[codigo],tblTiposOT[clasificacion],"sin_clasificar"))</f>
        <v/>
      </c>
      <c r="V10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5">
        <f>IF(tblOrdenes[[#This Row],[centro_costo]]="","",_xlfn.XLOOKUP(tblOrdenes[[#This Row],[centro_costo]],tblCECO[codigo],tblCECO[linea],"(sin catálogo)"))</f>
        <v/>
      </c>
      <c r="Y1089" s="5">
        <f>IF(tblOrdenes[[#This Row],[centro_costo]]="","",_xlfn.XLOOKUP(tblOrdenes[[#This Row],[centro_costo]],tblCECO[codigo],tblCECO[area],"(sin catálogo)"))</f>
        <v/>
      </c>
      <c r="Z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5">
        <f>IF(tblOrdenes[[#This Row],[centro_costo]]="","",_xlfn.XLOOKUP(tblOrdenes[[#This Row],[centro_costo]],tblCECO[codigo],tblCECO[coordinador],"(sin catálogo)"))</f>
        <v/>
      </c>
      <c r="AB1089" s="5">
        <f>IF(tblOrdenes[[#This Row],[puesto_trabajo]]="","",_xlfn.XLOOKUP(tblOrdenes[[#This Row],[puesto_trabajo]],tblPuestos[codigo],tblPuestos[especialidad],"(sin catálogo)"))</f>
        <v/>
      </c>
      <c r="AC1089" s="5">
        <f>IF(tblOrdenes[[#This Row],[cod_actividad]]="","",_xlfn.XLOOKUP(tblOrdenes[[#This Row],[cod_actividad]],tblActividades[codigo],tblActividades[descripcion],"(sin catálogo)"))</f>
        <v/>
      </c>
      <c r="AD1089" s="23">
        <f>IF(tblOrdenes[[#This Row],[fecha_inicio]]="","",TODAY()-tblOrdenes[[#This Row],[fecha_inicio]])</f>
        <v/>
      </c>
      <c r="AE10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5">
        <f>IF(tblOrdenes[[#This Row],[backlog_habiles]]="","",IF(tblOrdenes[[#This Row],[backlog_habiles]]&lt;0,"FUTURO",IF(tblOrdenes[[#This Row],[backlog_habiles]]&gt;p_dias_backlog_max,"BACKLOG","MES CORRIENTE")))</f>
        <v/>
      </c>
      <c r="AG1089" s="5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18">
        <f>IF(tblOrdenes[[#This Row],[orden]]="","",_xlfn.XLOOKUP(tblOrdenes[[#This Row],[id_operacion]],tblEjecucion[id_operacion],tblEjecucion[precio],0))</f>
        <v/>
      </c>
      <c r="AM1089" s="18">
        <f>IF(tblOrdenes[[#This Row],[orden]]="","",MAX(0,_xlfn.XLOOKUP(tblOrdenes[[#This Row],[id_operacion]],tblEjecucion[id_operacion],tblEjecucion[costo_plan_total],0)-tblOrdenes[[#This Row],[costo_servicio]]))</f>
        <v/>
      </c>
      <c r="AN1089" s="18">
        <f>IF(tblOrdenes[[#This Row],[orden]]="","",tblOrdenes[[#This Row],[costo_servicio]]+tblOrdenes[[#This Row],[costo_materiales]])</f>
        <v/>
      </c>
      <c r="AO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5">
        <f>IF(tblOrdenes[[#This Row],[link_checklist]]="","",HYPERLINK(p_ruta_base_checklists&amp;tblOrdenes[[#This Row],[link_checklist]],"abrir"))</f>
        <v/>
      </c>
      <c r="AT1089" s="4" t="n"/>
      <c r="AU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5" t="n"/>
      <c r="K1090" s="5" t="n"/>
      <c r="L1090" s="18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Row],[fecha_inicio]]="","",tblOrdenes[[#This Row],[anio]]&amp;"-"&amp;TEXT(tblOrdenes[[#This Row],[mes]],"00"))</f>
        <v/>
      </c>
      <c r="S1090" s="5">
        <f>IF(tblOrdenes[[#This Row],[fecha_inicio]]="","",INDEX(lista_dias,WEEKDAY(tblOrdenes[[#This Row],[fecha_inicio]],2)))</f>
        <v/>
      </c>
      <c r="T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5">
        <f>IF(tblOrdenes[[#This Row],[tipo_ot]]="","",_xlfn.XLOOKUP(tblOrdenes[[#This Row],[tipo_ot]],tblTiposOT[codigo],tblTiposOT[clasificacion],"sin_clasificar"))</f>
        <v/>
      </c>
      <c r="V10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5">
        <f>IF(tblOrdenes[[#This Row],[centro_costo]]="","",_xlfn.XLOOKUP(tblOrdenes[[#This Row],[centro_costo]],tblCECO[codigo],tblCECO[linea],"(sin catálogo)"))</f>
        <v/>
      </c>
      <c r="Y1090" s="5">
        <f>IF(tblOrdenes[[#This Row],[centro_costo]]="","",_xlfn.XLOOKUP(tblOrdenes[[#This Row],[centro_costo]],tblCECO[codigo],tblCECO[area],"(sin catálogo)"))</f>
        <v/>
      </c>
      <c r="Z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5">
        <f>IF(tblOrdenes[[#This Row],[centro_costo]]="","",_xlfn.XLOOKUP(tblOrdenes[[#This Row],[centro_costo]],tblCECO[codigo],tblCECO[coordinador],"(sin catálogo)"))</f>
        <v/>
      </c>
      <c r="AB1090" s="5">
        <f>IF(tblOrdenes[[#This Row],[puesto_trabajo]]="","",_xlfn.XLOOKUP(tblOrdenes[[#This Row],[puesto_trabajo]],tblPuestos[codigo],tblPuestos[especialidad],"(sin catálogo)"))</f>
        <v/>
      </c>
      <c r="AC1090" s="5">
        <f>IF(tblOrdenes[[#This Row],[cod_actividad]]="","",_xlfn.XLOOKUP(tblOrdenes[[#This Row],[cod_actividad]],tblActividades[codigo],tblActividades[descripcion],"(sin catálogo)"))</f>
        <v/>
      </c>
      <c r="AD1090" s="23">
        <f>IF(tblOrdenes[[#This Row],[fecha_inicio]]="","",TODAY()-tblOrdenes[[#This Row],[fecha_inicio]])</f>
        <v/>
      </c>
      <c r="AE10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5">
        <f>IF(tblOrdenes[[#This Row],[backlog_habiles]]="","",IF(tblOrdenes[[#This Row],[backlog_habiles]]&lt;0,"FUTURO",IF(tblOrdenes[[#This Row],[backlog_habiles]]&gt;p_dias_backlog_max,"BACKLOG","MES CORRIENTE")))</f>
        <v/>
      </c>
      <c r="AG1090" s="5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18">
        <f>IF(tblOrdenes[[#This Row],[orden]]="","",_xlfn.XLOOKUP(tblOrdenes[[#This Row],[id_operacion]],tblEjecucion[id_operacion],tblEjecucion[precio],0))</f>
        <v/>
      </c>
      <c r="AM1090" s="18">
        <f>IF(tblOrdenes[[#This Row],[orden]]="","",MAX(0,_xlfn.XLOOKUP(tblOrdenes[[#This Row],[id_operacion]],tblEjecucion[id_operacion],tblEjecucion[costo_plan_total],0)-tblOrdenes[[#This Row],[costo_servicio]]))</f>
        <v/>
      </c>
      <c r="AN1090" s="18">
        <f>IF(tblOrdenes[[#This Row],[orden]]="","",tblOrdenes[[#This Row],[costo_servicio]]+tblOrdenes[[#This Row],[costo_materiales]])</f>
        <v/>
      </c>
      <c r="AO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5">
        <f>IF(tblOrdenes[[#This Row],[link_checklist]]="","",HYPERLINK(p_ruta_base_checklists&amp;tblOrdenes[[#This Row],[link_checklist]],"abrir"))</f>
        <v/>
      </c>
      <c r="AT1090" s="4" t="n"/>
      <c r="AU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5" t="n"/>
      <c r="K1091" s="5" t="n"/>
      <c r="L1091" s="18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Row],[fecha_inicio]]="","",tblOrdenes[[#This Row],[anio]]&amp;"-"&amp;TEXT(tblOrdenes[[#This Row],[mes]],"00"))</f>
        <v/>
      </c>
      <c r="S1091" s="5">
        <f>IF(tblOrdenes[[#This Row],[fecha_inicio]]="","",INDEX(lista_dias,WEEKDAY(tblOrdenes[[#This Row],[fecha_inicio]],2)))</f>
        <v/>
      </c>
      <c r="T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5">
        <f>IF(tblOrdenes[[#This Row],[tipo_ot]]="","",_xlfn.XLOOKUP(tblOrdenes[[#This Row],[tipo_ot]],tblTiposOT[codigo],tblTiposOT[clasificacion],"sin_clasificar"))</f>
        <v/>
      </c>
      <c r="V10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5">
        <f>IF(tblOrdenes[[#This Row],[centro_costo]]="","",_xlfn.XLOOKUP(tblOrdenes[[#This Row],[centro_costo]],tblCECO[codigo],tblCECO[linea],"(sin catálogo)"))</f>
        <v/>
      </c>
      <c r="Y1091" s="5">
        <f>IF(tblOrdenes[[#This Row],[centro_costo]]="","",_xlfn.XLOOKUP(tblOrdenes[[#This Row],[centro_costo]],tblCECO[codigo],tblCECO[area],"(sin catálogo)"))</f>
        <v/>
      </c>
      <c r="Z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5">
        <f>IF(tblOrdenes[[#This Row],[centro_costo]]="","",_xlfn.XLOOKUP(tblOrdenes[[#This Row],[centro_costo]],tblCECO[codigo],tblCECO[coordinador],"(sin catálogo)"))</f>
        <v/>
      </c>
      <c r="AB1091" s="5">
        <f>IF(tblOrdenes[[#This Row],[puesto_trabajo]]="","",_xlfn.XLOOKUP(tblOrdenes[[#This Row],[puesto_trabajo]],tblPuestos[codigo],tblPuestos[especialidad],"(sin catálogo)"))</f>
        <v/>
      </c>
      <c r="AC1091" s="5">
        <f>IF(tblOrdenes[[#This Row],[cod_actividad]]="","",_xlfn.XLOOKUP(tblOrdenes[[#This Row],[cod_actividad]],tblActividades[codigo],tblActividades[descripcion],"(sin catálogo)"))</f>
        <v/>
      </c>
      <c r="AD1091" s="23">
        <f>IF(tblOrdenes[[#This Row],[fecha_inicio]]="","",TODAY()-tblOrdenes[[#This Row],[fecha_inicio]])</f>
        <v/>
      </c>
      <c r="AE10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5">
        <f>IF(tblOrdenes[[#This Row],[backlog_habiles]]="","",IF(tblOrdenes[[#This Row],[backlog_habiles]]&lt;0,"FUTURO",IF(tblOrdenes[[#This Row],[backlog_habiles]]&gt;p_dias_backlog_max,"BACKLOG","MES CORRIENTE")))</f>
        <v/>
      </c>
      <c r="AG1091" s="5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18">
        <f>IF(tblOrdenes[[#This Row],[orden]]="","",_xlfn.XLOOKUP(tblOrdenes[[#This Row],[id_operacion]],tblEjecucion[id_operacion],tblEjecucion[precio],0))</f>
        <v/>
      </c>
      <c r="AM1091" s="18">
        <f>IF(tblOrdenes[[#This Row],[orden]]="","",MAX(0,_xlfn.XLOOKUP(tblOrdenes[[#This Row],[id_operacion]],tblEjecucion[id_operacion],tblEjecucion[costo_plan_total],0)-tblOrdenes[[#This Row],[costo_servicio]]))</f>
        <v/>
      </c>
      <c r="AN1091" s="18">
        <f>IF(tblOrdenes[[#This Row],[orden]]="","",tblOrdenes[[#This Row],[costo_servicio]]+tblOrdenes[[#This Row],[costo_materiales]])</f>
        <v/>
      </c>
      <c r="AO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5">
        <f>IF(tblOrdenes[[#This Row],[link_checklist]]="","",HYPERLINK(p_ruta_base_checklists&amp;tblOrdenes[[#This Row],[link_checklist]],"abrir"))</f>
        <v/>
      </c>
      <c r="AT1091" s="4" t="n"/>
      <c r="AU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5" t="n"/>
      <c r="K1092" s="5" t="n"/>
      <c r="L1092" s="18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Row],[fecha_inicio]]="","",tblOrdenes[[#This Row],[anio]]&amp;"-"&amp;TEXT(tblOrdenes[[#This Row],[mes]],"00"))</f>
        <v/>
      </c>
      <c r="S1092" s="5">
        <f>IF(tblOrdenes[[#This Row],[fecha_inicio]]="","",INDEX(lista_dias,WEEKDAY(tblOrdenes[[#This Row],[fecha_inicio]],2)))</f>
        <v/>
      </c>
      <c r="T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5">
        <f>IF(tblOrdenes[[#This Row],[tipo_ot]]="","",_xlfn.XLOOKUP(tblOrdenes[[#This Row],[tipo_ot]],tblTiposOT[codigo],tblTiposOT[clasificacion],"sin_clasificar"))</f>
        <v/>
      </c>
      <c r="V10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5">
        <f>IF(tblOrdenes[[#This Row],[centro_costo]]="","",_xlfn.XLOOKUP(tblOrdenes[[#This Row],[centro_costo]],tblCECO[codigo],tblCECO[linea],"(sin catálogo)"))</f>
        <v/>
      </c>
      <c r="Y1092" s="5">
        <f>IF(tblOrdenes[[#This Row],[centro_costo]]="","",_xlfn.XLOOKUP(tblOrdenes[[#This Row],[centro_costo]],tblCECO[codigo],tblCECO[area],"(sin catálogo)"))</f>
        <v/>
      </c>
      <c r="Z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5">
        <f>IF(tblOrdenes[[#This Row],[centro_costo]]="","",_xlfn.XLOOKUP(tblOrdenes[[#This Row],[centro_costo]],tblCECO[codigo],tblCECO[coordinador],"(sin catálogo)"))</f>
        <v/>
      </c>
      <c r="AB1092" s="5">
        <f>IF(tblOrdenes[[#This Row],[puesto_trabajo]]="","",_xlfn.XLOOKUP(tblOrdenes[[#This Row],[puesto_trabajo]],tblPuestos[codigo],tblPuestos[especialidad],"(sin catálogo)"))</f>
        <v/>
      </c>
      <c r="AC1092" s="5">
        <f>IF(tblOrdenes[[#This Row],[cod_actividad]]="","",_xlfn.XLOOKUP(tblOrdenes[[#This Row],[cod_actividad]],tblActividades[codigo],tblActividades[descripcion],"(sin catálogo)"))</f>
        <v/>
      </c>
      <c r="AD1092" s="23">
        <f>IF(tblOrdenes[[#This Row],[fecha_inicio]]="","",TODAY()-tblOrdenes[[#This Row],[fecha_inicio]])</f>
        <v/>
      </c>
      <c r="AE10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5">
        <f>IF(tblOrdenes[[#This Row],[backlog_habiles]]="","",IF(tblOrdenes[[#This Row],[backlog_habiles]]&lt;0,"FUTURO",IF(tblOrdenes[[#This Row],[backlog_habiles]]&gt;p_dias_backlog_max,"BACKLOG","MES CORRIENTE")))</f>
        <v/>
      </c>
      <c r="AG1092" s="5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18">
        <f>IF(tblOrdenes[[#This Row],[orden]]="","",_xlfn.XLOOKUP(tblOrdenes[[#This Row],[id_operacion]],tblEjecucion[id_operacion],tblEjecucion[precio],0))</f>
        <v/>
      </c>
      <c r="AM1092" s="18">
        <f>IF(tblOrdenes[[#This Row],[orden]]="","",MAX(0,_xlfn.XLOOKUP(tblOrdenes[[#This Row],[id_operacion]],tblEjecucion[id_operacion],tblEjecucion[costo_plan_total],0)-tblOrdenes[[#This Row],[costo_servicio]]))</f>
        <v/>
      </c>
      <c r="AN1092" s="18">
        <f>IF(tblOrdenes[[#This Row],[orden]]="","",tblOrdenes[[#This Row],[costo_servicio]]+tblOrdenes[[#This Row],[costo_materiales]])</f>
        <v/>
      </c>
      <c r="AO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5">
        <f>IF(tblOrdenes[[#This Row],[link_checklist]]="","",HYPERLINK(p_ruta_base_checklists&amp;tblOrdenes[[#This Row],[link_checklist]],"abrir"))</f>
        <v/>
      </c>
      <c r="AT1092" s="4" t="n"/>
      <c r="AU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5" t="n"/>
      <c r="K1093" s="5" t="n"/>
      <c r="L1093" s="18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Row],[fecha_inicio]]="","",tblOrdenes[[#This Row],[anio]]&amp;"-"&amp;TEXT(tblOrdenes[[#This Row],[mes]],"00"))</f>
        <v/>
      </c>
      <c r="S1093" s="5">
        <f>IF(tblOrdenes[[#This Row],[fecha_inicio]]="","",INDEX(lista_dias,WEEKDAY(tblOrdenes[[#This Row],[fecha_inicio]],2)))</f>
        <v/>
      </c>
      <c r="T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5">
        <f>IF(tblOrdenes[[#This Row],[tipo_ot]]="","",_xlfn.XLOOKUP(tblOrdenes[[#This Row],[tipo_ot]],tblTiposOT[codigo],tblTiposOT[clasificacion],"sin_clasificar"))</f>
        <v/>
      </c>
      <c r="V10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5">
        <f>IF(tblOrdenes[[#This Row],[centro_costo]]="","",_xlfn.XLOOKUP(tblOrdenes[[#This Row],[centro_costo]],tblCECO[codigo],tblCECO[linea],"(sin catálogo)"))</f>
        <v/>
      </c>
      <c r="Y1093" s="5">
        <f>IF(tblOrdenes[[#This Row],[centro_costo]]="","",_xlfn.XLOOKUP(tblOrdenes[[#This Row],[centro_costo]],tblCECO[codigo],tblCECO[area],"(sin catálogo)"))</f>
        <v/>
      </c>
      <c r="Z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5">
        <f>IF(tblOrdenes[[#This Row],[centro_costo]]="","",_xlfn.XLOOKUP(tblOrdenes[[#This Row],[centro_costo]],tblCECO[codigo],tblCECO[coordinador],"(sin catálogo)"))</f>
        <v/>
      </c>
      <c r="AB1093" s="5">
        <f>IF(tblOrdenes[[#This Row],[puesto_trabajo]]="","",_xlfn.XLOOKUP(tblOrdenes[[#This Row],[puesto_trabajo]],tblPuestos[codigo],tblPuestos[especialidad],"(sin catálogo)"))</f>
        <v/>
      </c>
      <c r="AC1093" s="5">
        <f>IF(tblOrdenes[[#This Row],[cod_actividad]]="","",_xlfn.XLOOKUP(tblOrdenes[[#This Row],[cod_actividad]],tblActividades[codigo],tblActividades[descripcion],"(sin catálogo)"))</f>
        <v/>
      </c>
      <c r="AD1093" s="23">
        <f>IF(tblOrdenes[[#This Row],[fecha_inicio]]="","",TODAY()-tblOrdenes[[#This Row],[fecha_inicio]])</f>
        <v/>
      </c>
      <c r="AE10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5">
        <f>IF(tblOrdenes[[#This Row],[backlog_habiles]]="","",IF(tblOrdenes[[#This Row],[backlog_habiles]]&lt;0,"FUTURO",IF(tblOrdenes[[#This Row],[backlog_habiles]]&gt;p_dias_backlog_max,"BACKLOG","MES CORRIENTE")))</f>
        <v/>
      </c>
      <c r="AG1093" s="5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18">
        <f>IF(tblOrdenes[[#This Row],[orden]]="","",_xlfn.XLOOKUP(tblOrdenes[[#This Row],[id_operacion]],tblEjecucion[id_operacion],tblEjecucion[precio],0))</f>
        <v/>
      </c>
      <c r="AM1093" s="18">
        <f>IF(tblOrdenes[[#This Row],[orden]]="","",MAX(0,_xlfn.XLOOKUP(tblOrdenes[[#This Row],[id_operacion]],tblEjecucion[id_operacion],tblEjecucion[costo_plan_total],0)-tblOrdenes[[#This Row],[costo_servicio]]))</f>
        <v/>
      </c>
      <c r="AN1093" s="18">
        <f>IF(tblOrdenes[[#This Row],[orden]]="","",tblOrdenes[[#This Row],[costo_servicio]]+tblOrdenes[[#This Row],[costo_materiales]])</f>
        <v/>
      </c>
      <c r="AO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5">
        <f>IF(tblOrdenes[[#This Row],[link_checklist]]="","",HYPERLINK(p_ruta_base_checklists&amp;tblOrdenes[[#This Row],[link_checklist]],"abrir"))</f>
        <v/>
      </c>
      <c r="AT1093" s="4" t="n"/>
      <c r="AU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5" t="n"/>
      <c r="K1094" s="5" t="n"/>
      <c r="L1094" s="18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Row],[fecha_inicio]]="","",tblOrdenes[[#This Row],[anio]]&amp;"-"&amp;TEXT(tblOrdenes[[#This Row],[mes]],"00"))</f>
        <v/>
      </c>
      <c r="S1094" s="5">
        <f>IF(tblOrdenes[[#This Row],[fecha_inicio]]="","",INDEX(lista_dias,WEEKDAY(tblOrdenes[[#This Row],[fecha_inicio]],2)))</f>
        <v/>
      </c>
      <c r="T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5">
        <f>IF(tblOrdenes[[#This Row],[tipo_ot]]="","",_xlfn.XLOOKUP(tblOrdenes[[#This Row],[tipo_ot]],tblTiposOT[codigo],tblTiposOT[clasificacion],"sin_clasificar"))</f>
        <v/>
      </c>
      <c r="V10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5">
        <f>IF(tblOrdenes[[#This Row],[centro_costo]]="","",_xlfn.XLOOKUP(tblOrdenes[[#This Row],[centro_costo]],tblCECO[codigo],tblCECO[linea],"(sin catálogo)"))</f>
        <v/>
      </c>
      <c r="Y1094" s="5">
        <f>IF(tblOrdenes[[#This Row],[centro_costo]]="","",_xlfn.XLOOKUP(tblOrdenes[[#This Row],[centro_costo]],tblCECO[codigo],tblCECO[area],"(sin catálogo)"))</f>
        <v/>
      </c>
      <c r="Z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5">
        <f>IF(tblOrdenes[[#This Row],[centro_costo]]="","",_xlfn.XLOOKUP(tblOrdenes[[#This Row],[centro_costo]],tblCECO[codigo],tblCECO[coordinador],"(sin catálogo)"))</f>
        <v/>
      </c>
      <c r="AB1094" s="5">
        <f>IF(tblOrdenes[[#This Row],[puesto_trabajo]]="","",_xlfn.XLOOKUP(tblOrdenes[[#This Row],[puesto_trabajo]],tblPuestos[codigo],tblPuestos[especialidad],"(sin catálogo)"))</f>
        <v/>
      </c>
      <c r="AC1094" s="5">
        <f>IF(tblOrdenes[[#This Row],[cod_actividad]]="","",_xlfn.XLOOKUP(tblOrdenes[[#This Row],[cod_actividad]],tblActividades[codigo],tblActividades[descripcion],"(sin catálogo)"))</f>
        <v/>
      </c>
      <c r="AD1094" s="23">
        <f>IF(tblOrdenes[[#This Row],[fecha_inicio]]="","",TODAY()-tblOrdenes[[#This Row],[fecha_inicio]])</f>
        <v/>
      </c>
      <c r="AE10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5">
        <f>IF(tblOrdenes[[#This Row],[backlog_habiles]]="","",IF(tblOrdenes[[#This Row],[backlog_habiles]]&lt;0,"FUTURO",IF(tblOrdenes[[#This Row],[backlog_habiles]]&gt;p_dias_backlog_max,"BACKLOG","MES CORRIENTE")))</f>
        <v/>
      </c>
      <c r="AG1094" s="5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18">
        <f>IF(tblOrdenes[[#This Row],[orden]]="","",_xlfn.XLOOKUP(tblOrdenes[[#This Row],[id_operacion]],tblEjecucion[id_operacion],tblEjecucion[precio],0))</f>
        <v/>
      </c>
      <c r="AM1094" s="18">
        <f>IF(tblOrdenes[[#This Row],[orden]]="","",MAX(0,_xlfn.XLOOKUP(tblOrdenes[[#This Row],[id_operacion]],tblEjecucion[id_operacion],tblEjecucion[costo_plan_total],0)-tblOrdenes[[#This Row],[costo_servicio]]))</f>
        <v/>
      </c>
      <c r="AN1094" s="18">
        <f>IF(tblOrdenes[[#This Row],[orden]]="","",tblOrdenes[[#This Row],[costo_servicio]]+tblOrdenes[[#This Row],[costo_materiales]])</f>
        <v/>
      </c>
      <c r="AO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5">
        <f>IF(tblOrdenes[[#This Row],[link_checklist]]="","",HYPERLINK(p_ruta_base_checklists&amp;tblOrdenes[[#This Row],[link_checklist]],"abrir"))</f>
        <v/>
      </c>
      <c r="AT1094" s="4" t="n"/>
      <c r="AU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5" t="n"/>
      <c r="K1095" s="5" t="n"/>
      <c r="L1095" s="18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Row],[fecha_inicio]]="","",tblOrdenes[[#This Row],[anio]]&amp;"-"&amp;TEXT(tblOrdenes[[#This Row],[mes]],"00"))</f>
        <v/>
      </c>
      <c r="S1095" s="5">
        <f>IF(tblOrdenes[[#This Row],[fecha_inicio]]="","",INDEX(lista_dias,WEEKDAY(tblOrdenes[[#This Row],[fecha_inicio]],2)))</f>
        <v/>
      </c>
      <c r="T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5">
        <f>IF(tblOrdenes[[#This Row],[tipo_ot]]="","",_xlfn.XLOOKUP(tblOrdenes[[#This Row],[tipo_ot]],tblTiposOT[codigo],tblTiposOT[clasificacion],"sin_clasificar"))</f>
        <v/>
      </c>
      <c r="V10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5">
        <f>IF(tblOrdenes[[#This Row],[centro_costo]]="","",_xlfn.XLOOKUP(tblOrdenes[[#This Row],[centro_costo]],tblCECO[codigo],tblCECO[linea],"(sin catálogo)"))</f>
        <v/>
      </c>
      <c r="Y1095" s="5">
        <f>IF(tblOrdenes[[#This Row],[centro_costo]]="","",_xlfn.XLOOKUP(tblOrdenes[[#This Row],[centro_costo]],tblCECO[codigo],tblCECO[area],"(sin catálogo)"))</f>
        <v/>
      </c>
      <c r="Z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5">
        <f>IF(tblOrdenes[[#This Row],[centro_costo]]="","",_xlfn.XLOOKUP(tblOrdenes[[#This Row],[centro_costo]],tblCECO[codigo],tblCECO[coordinador],"(sin catálogo)"))</f>
        <v/>
      </c>
      <c r="AB1095" s="5">
        <f>IF(tblOrdenes[[#This Row],[puesto_trabajo]]="","",_xlfn.XLOOKUP(tblOrdenes[[#This Row],[puesto_trabajo]],tblPuestos[codigo],tblPuestos[especialidad],"(sin catálogo)"))</f>
        <v/>
      </c>
      <c r="AC1095" s="5">
        <f>IF(tblOrdenes[[#This Row],[cod_actividad]]="","",_xlfn.XLOOKUP(tblOrdenes[[#This Row],[cod_actividad]],tblActividades[codigo],tblActividades[descripcion],"(sin catálogo)"))</f>
        <v/>
      </c>
      <c r="AD1095" s="23">
        <f>IF(tblOrdenes[[#This Row],[fecha_inicio]]="","",TODAY()-tblOrdenes[[#This Row],[fecha_inicio]])</f>
        <v/>
      </c>
      <c r="AE10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5">
        <f>IF(tblOrdenes[[#This Row],[backlog_habiles]]="","",IF(tblOrdenes[[#This Row],[backlog_habiles]]&lt;0,"FUTURO",IF(tblOrdenes[[#This Row],[backlog_habiles]]&gt;p_dias_backlog_max,"BACKLOG","MES CORRIENTE")))</f>
        <v/>
      </c>
      <c r="AG1095" s="5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18">
        <f>IF(tblOrdenes[[#This Row],[orden]]="","",_xlfn.XLOOKUP(tblOrdenes[[#This Row],[id_operacion]],tblEjecucion[id_operacion],tblEjecucion[precio],0))</f>
        <v/>
      </c>
      <c r="AM1095" s="18">
        <f>IF(tblOrdenes[[#This Row],[orden]]="","",MAX(0,_xlfn.XLOOKUP(tblOrdenes[[#This Row],[id_operacion]],tblEjecucion[id_operacion],tblEjecucion[costo_plan_total],0)-tblOrdenes[[#This Row],[costo_servicio]]))</f>
        <v/>
      </c>
      <c r="AN1095" s="18">
        <f>IF(tblOrdenes[[#This Row],[orden]]="","",tblOrdenes[[#This Row],[costo_servicio]]+tblOrdenes[[#This Row],[costo_materiales]])</f>
        <v/>
      </c>
      <c r="AO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5">
        <f>IF(tblOrdenes[[#This Row],[link_checklist]]="","",HYPERLINK(p_ruta_base_checklists&amp;tblOrdenes[[#This Row],[link_checklist]],"abrir"))</f>
        <v/>
      </c>
      <c r="AT1095" s="4" t="n"/>
      <c r="AU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5" t="n"/>
      <c r="K1096" s="5" t="n"/>
      <c r="L1096" s="18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Row],[fecha_inicio]]="","",tblOrdenes[[#This Row],[anio]]&amp;"-"&amp;TEXT(tblOrdenes[[#This Row],[mes]],"00"))</f>
        <v/>
      </c>
      <c r="S1096" s="5">
        <f>IF(tblOrdenes[[#This Row],[fecha_inicio]]="","",INDEX(lista_dias,WEEKDAY(tblOrdenes[[#This Row],[fecha_inicio]],2)))</f>
        <v/>
      </c>
      <c r="T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5">
        <f>IF(tblOrdenes[[#This Row],[tipo_ot]]="","",_xlfn.XLOOKUP(tblOrdenes[[#This Row],[tipo_ot]],tblTiposOT[codigo],tblTiposOT[clasificacion],"sin_clasificar"))</f>
        <v/>
      </c>
      <c r="V10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5">
        <f>IF(tblOrdenes[[#This Row],[centro_costo]]="","",_xlfn.XLOOKUP(tblOrdenes[[#This Row],[centro_costo]],tblCECO[codigo],tblCECO[linea],"(sin catálogo)"))</f>
        <v/>
      </c>
      <c r="Y1096" s="5">
        <f>IF(tblOrdenes[[#This Row],[centro_costo]]="","",_xlfn.XLOOKUP(tblOrdenes[[#This Row],[centro_costo]],tblCECO[codigo],tblCECO[area],"(sin catálogo)"))</f>
        <v/>
      </c>
      <c r="Z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5">
        <f>IF(tblOrdenes[[#This Row],[centro_costo]]="","",_xlfn.XLOOKUP(tblOrdenes[[#This Row],[centro_costo]],tblCECO[codigo],tblCECO[coordinador],"(sin catálogo)"))</f>
        <v/>
      </c>
      <c r="AB1096" s="5">
        <f>IF(tblOrdenes[[#This Row],[puesto_trabajo]]="","",_xlfn.XLOOKUP(tblOrdenes[[#This Row],[puesto_trabajo]],tblPuestos[codigo],tblPuestos[especialidad],"(sin catálogo)"))</f>
        <v/>
      </c>
      <c r="AC1096" s="5">
        <f>IF(tblOrdenes[[#This Row],[cod_actividad]]="","",_xlfn.XLOOKUP(tblOrdenes[[#This Row],[cod_actividad]],tblActividades[codigo],tblActividades[descripcion],"(sin catálogo)"))</f>
        <v/>
      </c>
      <c r="AD1096" s="23">
        <f>IF(tblOrdenes[[#This Row],[fecha_inicio]]="","",TODAY()-tblOrdenes[[#This Row],[fecha_inicio]])</f>
        <v/>
      </c>
      <c r="AE10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5">
        <f>IF(tblOrdenes[[#This Row],[backlog_habiles]]="","",IF(tblOrdenes[[#This Row],[backlog_habiles]]&lt;0,"FUTURO",IF(tblOrdenes[[#This Row],[backlog_habiles]]&gt;p_dias_backlog_max,"BACKLOG","MES CORRIENTE")))</f>
        <v/>
      </c>
      <c r="AG1096" s="5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18">
        <f>IF(tblOrdenes[[#This Row],[orden]]="","",_xlfn.XLOOKUP(tblOrdenes[[#This Row],[id_operacion]],tblEjecucion[id_operacion],tblEjecucion[precio],0))</f>
        <v/>
      </c>
      <c r="AM1096" s="18">
        <f>IF(tblOrdenes[[#This Row],[orden]]="","",MAX(0,_xlfn.XLOOKUP(tblOrdenes[[#This Row],[id_operacion]],tblEjecucion[id_operacion],tblEjecucion[costo_plan_total],0)-tblOrdenes[[#This Row],[costo_servicio]]))</f>
        <v/>
      </c>
      <c r="AN1096" s="18">
        <f>IF(tblOrdenes[[#This Row],[orden]]="","",tblOrdenes[[#This Row],[costo_servicio]]+tblOrdenes[[#This Row],[costo_materiales]])</f>
        <v/>
      </c>
      <c r="AO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5">
        <f>IF(tblOrdenes[[#This Row],[link_checklist]]="","",HYPERLINK(p_ruta_base_checklists&amp;tblOrdenes[[#This Row],[link_checklist]],"abrir"))</f>
        <v/>
      </c>
      <c r="AT1096" s="4" t="n"/>
      <c r="AU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5" t="n"/>
      <c r="K1097" s="5" t="n"/>
      <c r="L1097" s="18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Row],[fecha_inicio]]="","",tblOrdenes[[#This Row],[anio]]&amp;"-"&amp;TEXT(tblOrdenes[[#This Row],[mes]],"00"))</f>
        <v/>
      </c>
      <c r="S1097" s="5">
        <f>IF(tblOrdenes[[#This Row],[fecha_inicio]]="","",INDEX(lista_dias,WEEKDAY(tblOrdenes[[#This Row],[fecha_inicio]],2)))</f>
        <v/>
      </c>
      <c r="T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5">
        <f>IF(tblOrdenes[[#This Row],[tipo_ot]]="","",_xlfn.XLOOKUP(tblOrdenes[[#This Row],[tipo_ot]],tblTiposOT[codigo],tblTiposOT[clasificacion],"sin_clasificar"))</f>
        <v/>
      </c>
      <c r="V10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5">
        <f>IF(tblOrdenes[[#This Row],[centro_costo]]="","",_xlfn.XLOOKUP(tblOrdenes[[#This Row],[centro_costo]],tblCECO[codigo],tblCECO[linea],"(sin catálogo)"))</f>
        <v/>
      </c>
      <c r="Y1097" s="5">
        <f>IF(tblOrdenes[[#This Row],[centro_costo]]="","",_xlfn.XLOOKUP(tblOrdenes[[#This Row],[centro_costo]],tblCECO[codigo],tblCECO[area],"(sin catálogo)"))</f>
        <v/>
      </c>
      <c r="Z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5">
        <f>IF(tblOrdenes[[#This Row],[centro_costo]]="","",_xlfn.XLOOKUP(tblOrdenes[[#This Row],[centro_costo]],tblCECO[codigo],tblCECO[coordinador],"(sin catálogo)"))</f>
        <v/>
      </c>
      <c r="AB1097" s="5">
        <f>IF(tblOrdenes[[#This Row],[puesto_trabajo]]="","",_xlfn.XLOOKUP(tblOrdenes[[#This Row],[puesto_trabajo]],tblPuestos[codigo],tblPuestos[especialidad],"(sin catálogo)"))</f>
        <v/>
      </c>
      <c r="AC1097" s="5">
        <f>IF(tblOrdenes[[#This Row],[cod_actividad]]="","",_xlfn.XLOOKUP(tblOrdenes[[#This Row],[cod_actividad]],tblActividades[codigo],tblActividades[descripcion],"(sin catálogo)"))</f>
        <v/>
      </c>
      <c r="AD1097" s="23">
        <f>IF(tblOrdenes[[#This Row],[fecha_inicio]]="","",TODAY()-tblOrdenes[[#This Row],[fecha_inicio]])</f>
        <v/>
      </c>
      <c r="AE10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5">
        <f>IF(tblOrdenes[[#This Row],[backlog_habiles]]="","",IF(tblOrdenes[[#This Row],[backlog_habiles]]&lt;0,"FUTURO",IF(tblOrdenes[[#This Row],[backlog_habiles]]&gt;p_dias_backlog_max,"BACKLOG","MES CORRIENTE")))</f>
        <v/>
      </c>
      <c r="AG1097" s="5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18">
        <f>IF(tblOrdenes[[#This Row],[orden]]="","",_xlfn.XLOOKUP(tblOrdenes[[#This Row],[id_operacion]],tblEjecucion[id_operacion],tblEjecucion[precio],0))</f>
        <v/>
      </c>
      <c r="AM1097" s="18">
        <f>IF(tblOrdenes[[#This Row],[orden]]="","",MAX(0,_xlfn.XLOOKUP(tblOrdenes[[#This Row],[id_operacion]],tblEjecucion[id_operacion],tblEjecucion[costo_plan_total],0)-tblOrdenes[[#This Row],[costo_servicio]]))</f>
        <v/>
      </c>
      <c r="AN1097" s="18">
        <f>IF(tblOrdenes[[#This Row],[orden]]="","",tblOrdenes[[#This Row],[costo_servicio]]+tblOrdenes[[#This Row],[costo_materiales]])</f>
        <v/>
      </c>
      <c r="AO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5">
        <f>IF(tblOrdenes[[#This Row],[link_checklist]]="","",HYPERLINK(p_ruta_base_checklists&amp;tblOrdenes[[#This Row],[link_checklist]],"abrir"))</f>
        <v/>
      </c>
      <c r="AT1097" s="4" t="n"/>
      <c r="AU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5" t="n"/>
      <c r="K1098" s="5" t="n"/>
      <c r="L1098" s="18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Row],[fecha_inicio]]="","",tblOrdenes[[#This Row],[anio]]&amp;"-"&amp;TEXT(tblOrdenes[[#This Row],[mes]],"00"))</f>
        <v/>
      </c>
      <c r="S1098" s="5">
        <f>IF(tblOrdenes[[#This Row],[fecha_inicio]]="","",INDEX(lista_dias,WEEKDAY(tblOrdenes[[#This Row],[fecha_inicio]],2)))</f>
        <v/>
      </c>
      <c r="T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5">
        <f>IF(tblOrdenes[[#This Row],[tipo_ot]]="","",_xlfn.XLOOKUP(tblOrdenes[[#This Row],[tipo_ot]],tblTiposOT[codigo],tblTiposOT[clasificacion],"sin_clasificar"))</f>
        <v/>
      </c>
      <c r="V10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5">
        <f>IF(tblOrdenes[[#This Row],[centro_costo]]="","",_xlfn.XLOOKUP(tblOrdenes[[#This Row],[centro_costo]],tblCECO[codigo],tblCECO[linea],"(sin catálogo)"))</f>
        <v/>
      </c>
      <c r="Y1098" s="5">
        <f>IF(tblOrdenes[[#This Row],[centro_costo]]="","",_xlfn.XLOOKUP(tblOrdenes[[#This Row],[centro_costo]],tblCECO[codigo],tblCECO[area],"(sin catálogo)"))</f>
        <v/>
      </c>
      <c r="Z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5">
        <f>IF(tblOrdenes[[#This Row],[centro_costo]]="","",_xlfn.XLOOKUP(tblOrdenes[[#This Row],[centro_costo]],tblCECO[codigo],tblCECO[coordinador],"(sin catálogo)"))</f>
        <v/>
      </c>
      <c r="AB1098" s="5">
        <f>IF(tblOrdenes[[#This Row],[puesto_trabajo]]="","",_xlfn.XLOOKUP(tblOrdenes[[#This Row],[puesto_trabajo]],tblPuestos[codigo],tblPuestos[especialidad],"(sin catálogo)"))</f>
        <v/>
      </c>
      <c r="AC1098" s="5">
        <f>IF(tblOrdenes[[#This Row],[cod_actividad]]="","",_xlfn.XLOOKUP(tblOrdenes[[#This Row],[cod_actividad]],tblActividades[codigo],tblActividades[descripcion],"(sin catálogo)"))</f>
        <v/>
      </c>
      <c r="AD1098" s="23">
        <f>IF(tblOrdenes[[#This Row],[fecha_inicio]]="","",TODAY()-tblOrdenes[[#This Row],[fecha_inicio]])</f>
        <v/>
      </c>
      <c r="AE10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5">
        <f>IF(tblOrdenes[[#This Row],[backlog_habiles]]="","",IF(tblOrdenes[[#This Row],[backlog_habiles]]&lt;0,"FUTURO",IF(tblOrdenes[[#This Row],[backlog_habiles]]&gt;p_dias_backlog_max,"BACKLOG","MES CORRIENTE")))</f>
        <v/>
      </c>
      <c r="AG1098" s="5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18">
        <f>IF(tblOrdenes[[#This Row],[orden]]="","",_xlfn.XLOOKUP(tblOrdenes[[#This Row],[id_operacion]],tblEjecucion[id_operacion],tblEjecucion[precio],0))</f>
        <v/>
      </c>
      <c r="AM1098" s="18">
        <f>IF(tblOrdenes[[#This Row],[orden]]="","",MAX(0,_xlfn.XLOOKUP(tblOrdenes[[#This Row],[id_operacion]],tblEjecucion[id_operacion],tblEjecucion[costo_plan_total],0)-tblOrdenes[[#This Row],[costo_servicio]]))</f>
        <v/>
      </c>
      <c r="AN1098" s="18">
        <f>IF(tblOrdenes[[#This Row],[orden]]="","",tblOrdenes[[#This Row],[costo_servicio]]+tblOrdenes[[#This Row],[costo_materiales]])</f>
        <v/>
      </c>
      <c r="AO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5">
        <f>IF(tblOrdenes[[#This Row],[link_checklist]]="","",HYPERLINK(p_ruta_base_checklists&amp;tblOrdenes[[#This Row],[link_checklist]],"abrir"))</f>
        <v/>
      </c>
      <c r="AT1098" s="4" t="n"/>
      <c r="AU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5" t="n"/>
      <c r="K1099" s="5" t="n"/>
      <c r="L1099" s="18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Row],[fecha_inicio]]="","",tblOrdenes[[#This Row],[anio]]&amp;"-"&amp;TEXT(tblOrdenes[[#This Row],[mes]],"00"))</f>
        <v/>
      </c>
      <c r="S1099" s="5">
        <f>IF(tblOrdenes[[#This Row],[fecha_inicio]]="","",INDEX(lista_dias,WEEKDAY(tblOrdenes[[#This Row],[fecha_inicio]],2)))</f>
        <v/>
      </c>
      <c r="T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5">
        <f>IF(tblOrdenes[[#This Row],[tipo_ot]]="","",_xlfn.XLOOKUP(tblOrdenes[[#This Row],[tipo_ot]],tblTiposOT[codigo],tblTiposOT[clasificacion],"sin_clasificar"))</f>
        <v/>
      </c>
      <c r="V10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5">
        <f>IF(tblOrdenes[[#This Row],[centro_costo]]="","",_xlfn.XLOOKUP(tblOrdenes[[#This Row],[centro_costo]],tblCECO[codigo],tblCECO[linea],"(sin catálogo)"))</f>
        <v/>
      </c>
      <c r="Y1099" s="5">
        <f>IF(tblOrdenes[[#This Row],[centro_costo]]="","",_xlfn.XLOOKUP(tblOrdenes[[#This Row],[centro_costo]],tblCECO[codigo],tblCECO[area],"(sin catálogo)"))</f>
        <v/>
      </c>
      <c r="Z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5">
        <f>IF(tblOrdenes[[#This Row],[centro_costo]]="","",_xlfn.XLOOKUP(tblOrdenes[[#This Row],[centro_costo]],tblCECO[codigo],tblCECO[coordinador],"(sin catálogo)"))</f>
        <v/>
      </c>
      <c r="AB1099" s="5">
        <f>IF(tblOrdenes[[#This Row],[puesto_trabajo]]="","",_xlfn.XLOOKUP(tblOrdenes[[#This Row],[puesto_trabajo]],tblPuestos[codigo],tblPuestos[especialidad],"(sin catálogo)"))</f>
        <v/>
      </c>
      <c r="AC1099" s="5">
        <f>IF(tblOrdenes[[#This Row],[cod_actividad]]="","",_xlfn.XLOOKUP(tblOrdenes[[#This Row],[cod_actividad]],tblActividades[codigo],tblActividades[descripcion],"(sin catálogo)"))</f>
        <v/>
      </c>
      <c r="AD1099" s="23">
        <f>IF(tblOrdenes[[#This Row],[fecha_inicio]]="","",TODAY()-tblOrdenes[[#This Row],[fecha_inicio]])</f>
        <v/>
      </c>
      <c r="AE10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5">
        <f>IF(tblOrdenes[[#This Row],[backlog_habiles]]="","",IF(tblOrdenes[[#This Row],[backlog_habiles]]&lt;0,"FUTURO",IF(tblOrdenes[[#This Row],[backlog_habiles]]&gt;p_dias_backlog_max,"BACKLOG","MES CORRIENTE")))</f>
        <v/>
      </c>
      <c r="AG1099" s="5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18">
        <f>IF(tblOrdenes[[#This Row],[orden]]="","",_xlfn.XLOOKUP(tblOrdenes[[#This Row],[id_operacion]],tblEjecucion[id_operacion],tblEjecucion[precio],0))</f>
        <v/>
      </c>
      <c r="AM1099" s="18">
        <f>IF(tblOrdenes[[#This Row],[orden]]="","",MAX(0,_xlfn.XLOOKUP(tblOrdenes[[#This Row],[id_operacion]],tblEjecucion[id_operacion],tblEjecucion[costo_plan_total],0)-tblOrdenes[[#This Row],[costo_servicio]]))</f>
        <v/>
      </c>
      <c r="AN1099" s="18">
        <f>IF(tblOrdenes[[#This Row],[orden]]="","",tblOrdenes[[#This Row],[costo_servicio]]+tblOrdenes[[#This Row],[costo_materiales]])</f>
        <v/>
      </c>
      <c r="AO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5">
        <f>IF(tblOrdenes[[#This Row],[link_checklist]]="","",HYPERLINK(p_ruta_base_checklists&amp;tblOrdenes[[#This Row],[link_checklist]],"abrir"))</f>
        <v/>
      </c>
      <c r="AT1099" s="4" t="n"/>
      <c r="AU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5" t="n"/>
      <c r="K1100" s="5" t="n"/>
      <c r="L1100" s="18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Row],[fecha_inicio]]="","",tblOrdenes[[#This Row],[anio]]&amp;"-"&amp;TEXT(tblOrdenes[[#This Row],[mes]],"00"))</f>
        <v/>
      </c>
      <c r="S1100" s="5">
        <f>IF(tblOrdenes[[#This Row],[fecha_inicio]]="","",INDEX(lista_dias,WEEKDAY(tblOrdenes[[#This Row],[fecha_inicio]],2)))</f>
        <v/>
      </c>
      <c r="T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5">
        <f>IF(tblOrdenes[[#This Row],[tipo_ot]]="","",_xlfn.XLOOKUP(tblOrdenes[[#This Row],[tipo_ot]],tblTiposOT[codigo],tblTiposOT[clasificacion],"sin_clasificar"))</f>
        <v/>
      </c>
      <c r="V1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5">
        <f>IF(tblOrdenes[[#This Row],[centro_costo]]="","",_xlfn.XLOOKUP(tblOrdenes[[#This Row],[centro_costo]],tblCECO[codigo],tblCECO[linea],"(sin catálogo)"))</f>
        <v/>
      </c>
      <c r="Y1100" s="5">
        <f>IF(tblOrdenes[[#This Row],[centro_costo]]="","",_xlfn.XLOOKUP(tblOrdenes[[#This Row],[centro_costo]],tblCECO[codigo],tblCECO[area],"(sin catálogo)"))</f>
        <v/>
      </c>
      <c r="Z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5">
        <f>IF(tblOrdenes[[#This Row],[centro_costo]]="","",_xlfn.XLOOKUP(tblOrdenes[[#This Row],[centro_costo]],tblCECO[codigo],tblCECO[coordinador],"(sin catálogo)"))</f>
        <v/>
      </c>
      <c r="AB1100" s="5">
        <f>IF(tblOrdenes[[#This Row],[puesto_trabajo]]="","",_xlfn.XLOOKUP(tblOrdenes[[#This Row],[puesto_trabajo]],tblPuestos[codigo],tblPuestos[especialidad],"(sin catálogo)"))</f>
        <v/>
      </c>
      <c r="AC1100" s="5">
        <f>IF(tblOrdenes[[#This Row],[cod_actividad]]="","",_xlfn.XLOOKUP(tblOrdenes[[#This Row],[cod_actividad]],tblActividades[codigo],tblActividades[descripcion],"(sin catálogo)"))</f>
        <v/>
      </c>
      <c r="AD1100" s="23">
        <f>IF(tblOrdenes[[#This Row],[fecha_inicio]]="","",TODAY()-tblOrdenes[[#This Row],[fecha_inicio]])</f>
        <v/>
      </c>
      <c r="AE11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5">
        <f>IF(tblOrdenes[[#This Row],[backlog_habiles]]="","",IF(tblOrdenes[[#This Row],[backlog_habiles]]&lt;0,"FUTURO",IF(tblOrdenes[[#This Row],[backlog_habiles]]&gt;p_dias_backlog_max,"BACKLOG","MES CORRIENTE")))</f>
        <v/>
      </c>
      <c r="AG1100" s="5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18">
        <f>IF(tblOrdenes[[#This Row],[orden]]="","",_xlfn.XLOOKUP(tblOrdenes[[#This Row],[id_operacion]],tblEjecucion[id_operacion],tblEjecucion[precio],0))</f>
        <v/>
      </c>
      <c r="AM1100" s="18">
        <f>IF(tblOrdenes[[#This Row],[orden]]="","",MAX(0,_xlfn.XLOOKUP(tblOrdenes[[#This Row],[id_operacion]],tblEjecucion[id_operacion],tblEjecucion[costo_plan_total],0)-tblOrdenes[[#This Row],[costo_servicio]]))</f>
        <v/>
      </c>
      <c r="AN1100" s="18">
        <f>IF(tblOrdenes[[#This Row],[orden]]="","",tblOrdenes[[#This Row],[costo_servicio]]+tblOrdenes[[#This Row],[costo_materiales]])</f>
        <v/>
      </c>
      <c r="AO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5">
        <f>IF(tblOrdenes[[#This Row],[link_checklist]]="","",HYPERLINK(p_ruta_base_checklists&amp;tblOrdenes[[#This Row],[link_checklist]],"abrir"))</f>
        <v/>
      </c>
      <c r="AT1100" s="4" t="n"/>
      <c r="AU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5" t="n"/>
      <c r="K1101" s="5" t="n"/>
      <c r="L1101" s="18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Row],[fecha_inicio]]="","",tblOrdenes[[#This Row],[anio]]&amp;"-"&amp;TEXT(tblOrdenes[[#This Row],[mes]],"00"))</f>
        <v/>
      </c>
      <c r="S1101" s="5">
        <f>IF(tblOrdenes[[#This Row],[fecha_inicio]]="","",INDEX(lista_dias,WEEKDAY(tblOrdenes[[#This Row],[fecha_inicio]],2)))</f>
        <v/>
      </c>
      <c r="T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5">
        <f>IF(tblOrdenes[[#This Row],[tipo_ot]]="","",_xlfn.XLOOKUP(tblOrdenes[[#This Row],[tipo_ot]],tblTiposOT[codigo],tblTiposOT[clasificacion],"sin_clasificar"))</f>
        <v/>
      </c>
      <c r="V1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5">
        <f>IF(tblOrdenes[[#This Row],[centro_costo]]="","",_xlfn.XLOOKUP(tblOrdenes[[#This Row],[centro_costo]],tblCECO[codigo],tblCECO[linea],"(sin catálogo)"))</f>
        <v/>
      </c>
      <c r="Y1101" s="5">
        <f>IF(tblOrdenes[[#This Row],[centro_costo]]="","",_xlfn.XLOOKUP(tblOrdenes[[#This Row],[centro_costo]],tblCECO[codigo],tblCECO[area],"(sin catálogo)"))</f>
        <v/>
      </c>
      <c r="Z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5">
        <f>IF(tblOrdenes[[#This Row],[centro_costo]]="","",_xlfn.XLOOKUP(tblOrdenes[[#This Row],[centro_costo]],tblCECO[codigo],tblCECO[coordinador],"(sin catálogo)"))</f>
        <v/>
      </c>
      <c r="AB1101" s="5">
        <f>IF(tblOrdenes[[#This Row],[puesto_trabajo]]="","",_xlfn.XLOOKUP(tblOrdenes[[#This Row],[puesto_trabajo]],tblPuestos[codigo],tblPuestos[especialidad],"(sin catálogo)"))</f>
        <v/>
      </c>
      <c r="AC1101" s="5">
        <f>IF(tblOrdenes[[#This Row],[cod_actividad]]="","",_xlfn.XLOOKUP(tblOrdenes[[#This Row],[cod_actividad]],tblActividades[codigo],tblActividades[descripcion],"(sin catálogo)"))</f>
        <v/>
      </c>
      <c r="AD1101" s="23">
        <f>IF(tblOrdenes[[#This Row],[fecha_inicio]]="","",TODAY()-tblOrdenes[[#This Row],[fecha_inicio]])</f>
        <v/>
      </c>
      <c r="AE11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5">
        <f>IF(tblOrdenes[[#This Row],[backlog_habiles]]="","",IF(tblOrdenes[[#This Row],[backlog_habiles]]&lt;0,"FUTURO",IF(tblOrdenes[[#This Row],[backlog_habiles]]&gt;p_dias_backlog_max,"BACKLOG","MES CORRIENTE")))</f>
        <v/>
      </c>
      <c r="AG1101" s="5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18">
        <f>IF(tblOrdenes[[#This Row],[orden]]="","",_xlfn.XLOOKUP(tblOrdenes[[#This Row],[id_operacion]],tblEjecucion[id_operacion],tblEjecucion[precio],0))</f>
        <v/>
      </c>
      <c r="AM1101" s="18">
        <f>IF(tblOrdenes[[#This Row],[orden]]="","",MAX(0,_xlfn.XLOOKUP(tblOrdenes[[#This Row],[id_operacion]],tblEjecucion[id_operacion],tblEjecucion[costo_plan_total],0)-tblOrdenes[[#This Row],[costo_servicio]]))</f>
        <v/>
      </c>
      <c r="AN1101" s="18">
        <f>IF(tblOrdenes[[#This Row],[orden]]="","",tblOrdenes[[#This Row],[costo_servicio]]+tblOrdenes[[#This Row],[costo_materiales]])</f>
        <v/>
      </c>
      <c r="AO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5">
        <f>IF(tblOrdenes[[#This Row],[link_checklist]]="","",HYPERLINK(p_ruta_base_checklists&amp;tblOrdenes[[#This Row],[link_checklist]],"abrir"))</f>
        <v/>
      </c>
      <c r="AT1101" s="4" t="n"/>
      <c r="AU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5" t="n"/>
      <c r="K1102" s="5" t="n"/>
      <c r="L1102" s="18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Row],[fecha_inicio]]="","",tblOrdenes[[#This Row],[anio]]&amp;"-"&amp;TEXT(tblOrdenes[[#This Row],[mes]],"00"))</f>
        <v/>
      </c>
      <c r="S1102" s="5">
        <f>IF(tblOrdenes[[#This Row],[fecha_inicio]]="","",INDEX(lista_dias,WEEKDAY(tblOrdenes[[#This Row],[fecha_inicio]],2)))</f>
        <v/>
      </c>
      <c r="T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5">
        <f>IF(tblOrdenes[[#This Row],[tipo_ot]]="","",_xlfn.XLOOKUP(tblOrdenes[[#This Row],[tipo_ot]],tblTiposOT[codigo],tblTiposOT[clasificacion],"sin_clasificar"))</f>
        <v/>
      </c>
      <c r="V1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5">
        <f>IF(tblOrdenes[[#This Row],[centro_costo]]="","",_xlfn.XLOOKUP(tblOrdenes[[#This Row],[centro_costo]],tblCECO[codigo],tblCECO[linea],"(sin catálogo)"))</f>
        <v/>
      </c>
      <c r="Y1102" s="5">
        <f>IF(tblOrdenes[[#This Row],[centro_costo]]="","",_xlfn.XLOOKUP(tblOrdenes[[#This Row],[centro_costo]],tblCECO[codigo],tblCECO[area],"(sin catálogo)"))</f>
        <v/>
      </c>
      <c r="Z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5">
        <f>IF(tblOrdenes[[#This Row],[centro_costo]]="","",_xlfn.XLOOKUP(tblOrdenes[[#This Row],[centro_costo]],tblCECO[codigo],tblCECO[coordinador],"(sin catálogo)"))</f>
        <v/>
      </c>
      <c r="AB1102" s="5">
        <f>IF(tblOrdenes[[#This Row],[puesto_trabajo]]="","",_xlfn.XLOOKUP(tblOrdenes[[#This Row],[puesto_trabajo]],tblPuestos[codigo],tblPuestos[especialidad],"(sin catálogo)"))</f>
        <v/>
      </c>
      <c r="AC1102" s="5">
        <f>IF(tblOrdenes[[#This Row],[cod_actividad]]="","",_xlfn.XLOOKUP(tblOrdenes[[#This Row],[cod_actividad]],tblActividades[codigo],tblActividades[descripcion],"(sin catálogo)"))</f>
        <v/>
      </c>
      <c r="AD1102" s="23">
        <f>IF(tblOrdenes[[#This Row],[fecha_inicio]]="","",TODAY()-tblOrdenes[[#This Row],[fecha_inicio]])</f>
        <v/>
      </c>
      <c r="AE11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5">
        <f>IF(tblOrdenes[[#This Row],[backlog_habiles]]="","",IF(tblOrdenes[[#This Row],[backlog_habiles]]&lt;0,"FUTURO",IF(tblOrdenes[[#This Row],[backlog_habiles]]&gt;p_dias_backlog_max,"BACKLOG","MES CORRIENTE")))</f>
        <v/>
      </c>
      <c r="AG1102" s="5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18">
        <f>IF(tblOrdenes[[#This Row],[orden]]="","",_xlfn.XLOOKUP(tblOrdenes[[#This Row],[id_operacion]],tblEjecucion[id_operacion],tblEjecucion[precio],0))</f>
        <v/>
      </c>
      <c r="AM1102" s="18">
        <f>IF(tblOrdenes[[#This Row],[orden]]="","",MAX(0,_xlfn.XLOOKUP(tblOrdenes[[#This Row],[id_operacion]],tblEjecucion[id_operacion],tblEjecucion[costo_plan_total],0)-tblOrdenes[[#This Row],[costo_servicio]]))</f>
        <v/>
      </c>
      <c r="AN1102" s="18">
        <f>IF(tblOrdenes[[#This Row],[orden]]="","",tblOrdenes[[#This Row],[costo_servicio]]+tblOrdenes[[#This Row],[costo_materiales]])</f>
        <v/>
      </c>
      <c r="AO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5">
        <f>IF(tblOrdenes[[#This Row],[link_checklist]]="","",HYPERLINK(p_ruta_base_checklists&amp;tblOrdenes[[#This Row],[link_checklist]],"abrir"))</f>
        <v/>
      </c>
      <c r="AT1102" s="4" t="n"/>
      <c r="AU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5" t="n"/>
      <c r="K1103" s="5" t="n"/>
      <c r="L1103" s="18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Row],[fecha_inicio]]="","",tblOrdenes[[#This Row],[anio]]&amp;"-"&amp;TEXT(tblOrdenes[[#This Row],[mes]],"00"))</f>
        <v/>
      </c>
      <c r="S1103" s="5">
        <f>IF(tblOrdenes[[#This Row],[fecha_inicio]]="","",INDEX(lista_dias,WEEKDAY(tblOrdenes[[#This Row],[fecha_inicio]],2)))</f>
        <v/>
      </c>
      <c r="T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5">
        <f>IF(tblOrdenes[[#This Row],[tipo_ot]]="","",_xlfn.XLOOKUP(tblOrdenes[[#This Row],[tipo_ot]],tblTiposOT[codigo],tblTiposOT[clasificacion],"sin_clasificar"))</f>
        <v/>
      </c>
      <c r="V1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5">
        <f>IF(tblOrdenes[[#This Row],[centro_costo]]="","",_xlfn.XLOOKUP(tblOrdenes[[#This Row],[centro_costo]],tblCECO[codigo],tblCECO[linea],"(sin catálogo)"))</f>
        <v/>
      </c>
      <c r="Y1103" s="5">
        <f>IF(tblOrdenes[[#This Row],[centro_costo]]="","",_xlfn.XLOOKUP(tblOrdenes[[#This Row],[centro_costo]],tblCECO[codigo],tblCECO[area],"(sin catálogo)"))</f>
        <v/>
      </c>
      <c r="Z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5">
        <f>IF(tblOrdenes[[#This Row],[centro_costo]]="","",_xlfn.XLOOKUP(tblOrdenes[[#This Row],[centro_costo]],tblCECO[codigo],tblCECO[coordinador],"(sin catálogo)"))</f>
        <v/>
      </c>
      <c r="AB1103" s="5">
        <f>IF(tblOrdenes[[#This Row],[puesto_trabajo]]="","",_xlfn.XLOOKUP(tblOrdenes[[#This Row],[puesto_trabajo]],tblPuestos[codigo],tblPuestos[especialidad],"(sin catálogo)"))</f>
        <v/>
      </c>
      <c r="AC1103" s="5">
        <f>IF(tblOrdenes[[#This Row],[cod_actividad]]="","",_xlfn.XLOOKUP(tblOrdenes[[#This Row],[cod_actividad]],tblActividades[codigo],tblActividades[descripcion],"(sin catálogo)"))</f>
        <v/>
      </c>
      <c r="AD1103" s="23">
        <f>IF(tblOrdenes[[#This Row],[fecha_inicio]]="","",TODAY()-tblOrdenes[[#This Row],[fecha_inicio]])</f>
        <v/>
      </c>
      <c r="AE11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5">
        <f>IF(tblOrdenes[[#This Row],[backlog_habiles]]="","",IF(tblOrdenes[[#This Row],[backlog_habiles]]&lt;0,"FUTURO",IF(tblOrdenes[[#This Row],[backlog_habiles]]&gt;p_dias_backlog_max,"BACKLOG","MES CORRIENTE")))</f>
        <v/>
      </c>
      <c r="AG1103" s="5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18">
        <f>IF(tblOrdenes[[#This Row],[orden]]="","",_xlfn.XLOOKUP(tblOrdenes[[#This Row],[id_operacion]],tblEjecucion[id_operacion],tblEjecucion[precio],0))</f>
        <v/>
      </c>
      <c r="AM1103" s="18">
        <f>IF(tblOrdenes[[#This Row],[orden]]="","",MAX(0,_xlfn.XLOOKUP(tblOrdenes[[#This Row],[id_operacion]],tblEjecucion[id_operacion],tblEjecucion[costo_plan_total],0)-tblOrdenes[[#This Row],[costo_servicio]]))</f>
        <v/>
      </c>
      <c r="AN1103" s="18">
        <f>IF(tblOrdenes[[#This Row],[orden]]="","",tblOrdenes[[#This Row],[costo_servicio]]+tblOrdenes[[#This Row],[costo_materiales]])</f>
        <v/>
      </c>
      <c r="AO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5">
        <f>IF(tblOrdenes[[#This Row],[link_checklist]]="","",HYPERLINK(p_ruta_base_checklists&amp;tblOrdenes[[#This Row],[link_checklist]],"abrir"))</f>
        <v/>
      </c>
      <c r="AT1103" s="4" t="n"/>
      <c r="AU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5" t="n"/>
      <c r="K1104" s="5" t="n"/>
      <c r="L1104" s="18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Row],[fecha_inicio]]="","",tblOrdenes[[#This Row],[anio]]&amp;"-"&amp;TEXT(tblOrdenes[[#This Row],[mes]],"00"))</f>
        <v/>
      </c>
      <c r="S1104" s="5">
        <f>IF(tblOrdenes[[#This Row],[fecha_inicio]]="","",INDEX(lista_dias,WEEKDAY(tblOrdenes[[#This Row],[fecha_inicio]],2)))</f>
        <v/>
      </c>
      <c r="T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5">
        <f>IF(tblOrdenes[[#This Row],[tipo_ot]]="","",_xlfn.XLOOKUP(tblOrdenes[[#This Row],[tipo_ot]],tblTiposOT[codigo],tblTiposOT[clasificacion],"sin_clasificar"))</f>
        <v/>
      </c>
      <c r="V1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5">
        <f>IF(tblOrdenes[[#This Row],[centro_costo]]="","",_xlfn.XLOOKUP(tblOrdenes[[#This Row],[centro_costo]],tblCECO[codigo],tblCECO[linea],"(sin catálogo)"))</f>
        <v/>
      </c>
      <c r="Y1104" s="5">
        <f>IF(tblOrdenes[[#This Row],[centro_costo]]="","",_xlfn.XLOOKUP(tblOrdenes[[#This Row],[centro_costo]],tblCECO[codigo],tblCECO[area],"(sin catálogo)"))</f>
        <v/>
      </c>
      <c r="Z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5">
        <f>IF(tblOrdenes[[#This Row],[centro_costo]]="","",_xlfn.XLOOKUP(tblOrdenes[[#This Row],[centro_costo]],tblCECO[codigo],tblCECO[coordinador],"(sin catálogo)"))</f>
        <v/>
      </c>
      <c r="AB1104" s="5">
        <f>IF(tblOrdenes[[#This Row],[puesto_trabajo]]="","",_xlfn.XLOOKUP(tblOrdenes[[#This Row],[puesto_trabajo]],tblPuestos[codigo],tblPuestos[especialidad],"(sin catálogo)"))</f>
        <v/>
      </c>
      <c r="AC1104" s="5">
        <f>IF(tblOrdenes[[#This Row],[cod_actividad]]="","",_xlfn.XLOOKUP(tblOrdenes[[#This Row],[cod_actividad]],tblActividades[codigo],tblActividades[descripcion],"(sin catálogo)"))</f>
        <v/>
      </c>
      <c r="AD1104" s="23">
        <f>IF(tblOrdenes[[#This Row],[fecha_inicio]]="","",TODAY()-tblOrdenes[[#This Row],[fecha_inicio]])</f>
        <v/>
      </c>
      <c r="AE11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5">
        <f>IF(tblOrdenes[[#This Row],[backlog_habiles]]="","",IF(tblOrdenes[[#This Row],[backlog_habiles]]&lt;0,"FUTURO",IF(tblOrdenes[[#This Row],[backlog_habiles]]&gt;p_dias_backlog_max,"BACKLOG","MES CORRIENTE")))</f>
        <v/>
      </c>
      <c r="AG1104" s="5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18">
        <f>IF(tblOrdenes[[#This Row],[orden]]="","",_xlfn.XLOOKUP(tblOrdenes[[#This Row],[id_operacion]],tblEjecucion[id_operacion],tblEjecucion[precio],0))</f>
        <v/>
      </c>
      <c r="AM1104" s="18">
        <f>IF(tblOrdenes[[#This Row],[orden]]="","",MAX(0,_xlfn.XLOOKUP(tblOrdenes[[#This Row],[id_operacion]],tblEjecucion[id_operacion],tblEjecucion[costo_plan_total],0)-tblOrdenes[[#This Row],[costo_servicio]]))</f>
        <v/>
      </c>
      <c r="AN1104" s="18">
        <f>IF(tblOrdenes[[#This Row],[orden]]="","",tblOrdenes[[#This Row],[costo_servicio]]+tblOrdenes[[#This Row],[costo_materiales]])</f>
        <v/>
      </c>
      <c r="AO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5">
        <f>IF(tblOrdenes[[#This Row],[link_checklist]]="","",HYPERLINK(p_ruta_base_checklists&amp;tblOrdenes[[#This Row],[link_checklist]],"abrir"))</f>
        <v/>
      </c>
      <c r="AT1104" s="4" t="n"/>
      <c r="AU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5" t="n"/>
      <c r="K1105" s="5" t="n"/>
      <c r="L1105" s="18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Row],[fecha_inicio]]="","",tblOrdenes[[#This Row],[anio]]&amp;"-"&amp;TEXT(tblOrdenes[[#This Row],[mes]],"00"))</f>
        <v/>
      </c>
      <c r="S1105" s="5">
        <f>IF(tblOrdenes[[#This Row],[fecha_inicio]]="","",INDEX(lista_dias,WEEKDAY(tblOrdenes[[#This Row],[fecha_inicio]],2)))</f>
        <v/>
      </c>
      <c r="T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5">
        <f>IF(tblOrdenes[[#This Row],[tipo_ot]]="","",_xlfn.XLOOKUP(tblOrdenes[[#This Row],[tipo_ot]],tblTiposOT[codigo],tblTiposOT[clasificacion],"sin_clasificar"))</f>
        <v/>
      </c>
      <c r="V1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5">
        <f>IF(tblOrdenes[[#This Row],[centro_costo]]="","",_xlfn.XLOOKUP(tblOrdenes[[#This Row],[centro_costo]],tblCECO[codigo],tblCECO[linea],"(sin catálogo)"))</f>
        <v/>
      </c>
      <c r="Y1105" s="5">
        <f>IF(tblOrdenes[[#This Row],[centro_costo]]="","",_xlfn.XLOOKUP(tblOrdenes[[#This Row],[centro_costo]],tblCECO[codigo],tblCECO[area],"(sin catálogo)"))</f>
        <v/>
      </c>
      <c r="Z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5">
        <f>IF(tblOrdenes[[#This Row],[centro_costo]]="","",_xlfn.XLOOKUP(tblOrdenes[[#This Row],[centro_costo]],tblCECO[codigo],tblCECO[coordinador],"(sin catálogo)"))</f>
        <v/>
      </c>
      <c r="AB1105" s="5">
        <f>IF(tblOrdenes[[#This Row],[puesto_trabajo]]="","",_xlfn.XLOOKUP(tblOrdenes[[#This Row],[puesto_trabajo]],tblPuestos[codigo],tblPuestos[especialidad],"(sin catálogo)"))</f>
        <v/>
      </c>
      <c r="AC1105" s="5">
        <f>IF(tblOrdenes[[#This Row],[cod_actividad]]="","",_xlfn.XLOOKUP(tblOrdenes[[#This Row],[cod_actividad]],tblActividades[codigo],tblActividades[descripcion],"(sin catálogo)"))</f>
        <v/>
      </c>
      <c r="AD1105" s="23">
        <f>IF(tblOrdenes[[#This Row],[fecha_inicio]]="","",TODAY()-tblOrdenes[[#This Row],[fecha_inicio]])</f>
        <v/>
      </c>
      <c r="AE11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5">
        <f>IF(tblOrdenes[[#This Row],[backlog_habiles]]="","",IF(tblOrdenes[[#This Row],[backlog_habiles]]&lt;0,"FUTURO",IF(tblOrdenes[[#This Row],[backlog_habiles]]&gt;p_dias_backlog_max,"BACKLOG","MES CORRIENTE")))</f>
        <v/>
      </c>
      <c r="AG1105" s="5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18">
        <f>IF(tblOrdenes[[#This Row],[orden]]="","",_xlfn.XLOOKUP(tblOrdenes[[#This Row],[id_operacion]],tblEjecucion[id_operacion],tblEjecucion[precio],0))</f>
        <v/>
      </c>
      <c r="AM1105" s="18">
        <f>IF(tblOrdenes[[#This Row],[orden]]="","",MAX(0,_xlfn.XLOOKUP(tblOrdenes[[#This Row],[id_operacion]],tblEjecucion[id_operacion],tblEjecucion[costo_plan_total],0)-tblOrdenes[[#This Row],[costo_servicio]]))</f>
        <v/>
      </c>
      <c r="AN1105" s="18">
        <f>IF(tblOrdenes[[#This Row],[orden]]="","",tblOrdenes[[#This Row],[costo_servicio]]+tblOrdenes[[#This Row],[costo_materiales]])</f>
        <v/>
      </c>
      <c r="AO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5">
        <f>IF(tblOrdenes[[#This Row],[link_checklist]]="","",HYPERLINK(p_ruta_base_checklists&amp;tblOrdenes[[#This Row],[link_checklist]],"abrir"))</f>
        <v/>
      </c>
      <c r="AT1105" s="4" t="n"/>
      <c r="AU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5" t="n"/>
      <c r="K1106" s="5" t="n"/>
      <c r="L1106" s="18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Row],[fecha_inicio]]="","",tblOrdenes[[#This Row],[anio]]&amp;"-"&amp;TEXT(tblOrdenes[[#This Row],[mes]],"00"))</f>
        <v/>
      </c>
      <c r="S1106" s="5">
        <f>IF(tblOrdenes[[#This Row],[fecha_inicio]]="","",INDEX(lista_dias,WEEKDAY(tblOrdenes[[#This Row],[fecha_inicio]],2)))</f>
        <v/>
      </c>
      <c r="T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5">
        <f>IF(tblOrdenes[[#This Row],[tipo_ot]]="","",_xlfn.XLOOKUP(tblOrdenes[[#This Row],[tipo_ot]],tblTiposOT[codigo],tblTiposOT[clasificacion],"sin_clasificar"))</f>
        <v/>
      </c>
      <c r="V1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5">
        <f>IF(tblOrdenes[[#This Row],[centro_costo]]="","",_xlfn.XLOOKUP(tblOrdenes[[#This Row],[centro_costo]],tblCECO[codigo],tblCECO[linea],"(sin catálogo)"))</f>
        <v/>
      </c>
      <c r="Y1106" s="5">
        <f>IF(tblOrdenes[[#This Row],[centro_costo]]="","",_xlfn.XLOOKUP(tblOrdenes[[#This Row],[centro_costo]],tblCECO[codigo],tblCECO[area],"(sin catálogo)"))</f>
        <v/>
      </c>
      <c r="Z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5">
        <f>IF(tblOrdenes[[#This Row],[centro_costo]]="","",_xlfn.XLOOKUP(tblOrdenes[[#This Row],[centro_costo]],tblCECO[codigo],tblCECO[coordinador],"(sin catálogo)"))</f>
        <v/>
      </c>
      <c r="AB1106" s="5">
        <f>IF(tblOrdenes[[#This Row],[puesto_trabajo]]="","",_xlfn.XLOOKUP(tblOrdenes[[#This Row],[puesto_trabajo]],tblPuestos[codigo],tblPuestos[especialidad],"(sin catálogo)"))</f>
        <v/>
      </c>
      <c r="AC1106" s="5">
        <f>IF(tblOrdenes[[#This Row],[cod_actividad]]="","",_xlfn.XLOOKUP(tblOrdenes[[#This Row],[cod_actividad]],tblActividades[codigo],tblActividades[descripcion],"(sin catálogo)"))</f>
        <v/>
      </c>
      <c r="AD1106" s="23">
        <f>IF(tblOrdenes[[#This Row],[fecha_inicio]]="","",TODAY()-tblOrdenes[[#This Row],[fecha_inicio]])</f>
        <v/>
      </c>
      <c r="AE11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5">
        <f>IF(tblOrdenes[[#This Row],[backlog_habiles]]="","",IF(tblOrdenes[[#This Row],[backlog_habiles]]&lt;0,"FUTURO",IF(tblOrdenes[[#This Row],[backlog_habiles]]&gt;p_dias_backlog_max,"BACKLOG","MES CORRIENTE")))</f>
        <v/>
      </c>
      <c r="AG1106" s="5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18">
        <f>IF(tblOrdenes[[#This Row],[orden]]="","",_xlfn.XLOOKUP(tblOrdenes[[#This Row],[id_operacion]],tblEjecucion[id_operacion],tblEjecucion[precio],0))</f>
        <v/>
      </c>
      <c r="AM1106" s="18">
        <f>IF(tblOrdenes[[#This Row],[orden]]="","",MAX(0,_xlfn.XLOOKUP(tblOrdenes[[#This Row],[id_operacion]],tblEjecucion[id_operacion],tblEjecucion[costo_plan_total],0)-tblOrdenes[[#This Row],[costo_servicio]]))</f>
        <v/>
      </c>
      <c r="AN1106" s="18">
        <f>IF(tblOrdenes[[#This Row],[orden]]="","",tblOrdenes[[#This Row],[costo_servicio]]+tblOrdenes[[#This Row],[costo_materiales]])</f>
        <v/>
      </c>
      <c r="AO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5">
        <f>IF(tblOrdenes[[#This Row],[link_checklist]]="","",HYPERLINK(p_ruta_base_checklists&amp;tblOrdenes[[#This Row],[link_checklist]],"abrir"))</f>
        <v/>
      </c>
      <c r="AT1106" s="4" t="n"/>
      <c r="AU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5" t="n"/>
      <c r="K1107" s="5" t="n"/>
      <c r="L1107" s="18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Row],[fecha_inicio]]="","",tblOrdenes[[#This Row],[anio]]&amp;"-"&amp;TEXT(tblOrdenes[[#This Row],[mes]],"00"))</f>
        <v/>
      </c>
      <c r="S1107" s="5">
        <f>IF(tblOrdenes[[#This Row],[fecha_inicio]]="","",INDEX(lista_dias,WEEKDAY(tblOrdenes[[#This Row],[fecha_inicio]],2)))</f>
        <v/>
      </c>
      <c r="T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5">
        <f>IF(tblOrdenes[[#This Row],[tipo_ot]]="","",_xlfn.XLOOKUP(tblOrdenes[[#This Row],[tipo_ot]],tblTiposOT[codigo],tblTiposOT[clasificacion],"sin_clasificar"))</f>
        <v/>
      </c>
      <c r="V1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5">
        <f>IF(tblOrdenes[[#This Row],[centro_costo]]="","",_xlfn.XLOOKUP(tblOrdenes[[#This Row],[centro_costo]],tblCECO[codigo],tblCECO[linea],"(sin catálogo)"))</f>
        <v/>
      </c>
      <c r="Y1107" s="5">
        <f>IF(tblOrdenes[[#This Row],[centro_costo]]="","",_xlfn.XLOOKUP(tblOrdenes[[#This Row],[centro_costo]],tblCECO[codigo],tblCECO[area],"(sin catálogo)"))</f>
        <v/>
      </c>
      <c r="Z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5">
        <f>IF(tblOrdenes[[#This Row],[centro_costo]]="","",_xlfn.XLOOKUP(tblOrdenes[[#This Row],[centro_costo]],tblCECO[codigo],tblCECO[coordinador],"(sin catálogo)"))</f>
        <v/>
      </c>
      <c r="AB1107" s="5">
        <f>IF(tblOrdenes[[#This Row],[puesto_trabajo]]="","",_xlfn.XLOOKUP(tblOrdenes[[#This Row],[puesto_trabajo]],tblPuestos[codigo],tblPuestos[especialidad],"(sin catálogo)"))</f>
        <v/>
      </c>
      <c r="AC1107" s="5">
        <f>IF(tblOrdenes[[#This Row],[cod_actividad]]="","",_xlfn.XLOOKUP(tblOrdenes[[#This Row],[cod_actividad]],tblActividades[codigo],tblActividades[descripcion],"(sin catálogo)"))</f>
        <v/>
      </c>
      <c r="AD1107" s="23">
        <f>IF(tblOrdenes[[#This Row],[fecha_inicio]]="","",TODAY()-tblOrdenes[[#This Row],[fecha_inicio]])</f>
        <v/>
      </c>
      <c r="AE11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5">
        <f>IF(tblOrdenes[[#This Row],[backlog_habiles]]="","",IF(tblOrdenes[[#This Row],[backlog_habiles]]&lt;0,"FUTURO",IF(tblOrdenes[[#This Row],[backlog_habiles]]&gt;p_dias_backlog_max,"BACKLOG","MES CORRIENTE")))</f>
        <v/>
      </c>
      <c r="AG1107" s="5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18">
        <f>IF(tblOrdenes[[#This Row],[orden]]="","",_xlfn.XLOOKUP(tblOrdenes[[#This Row],[id_operacion]],tblEjecucion[id_operacion],tblEjecucion[precio],0))</f>
        <v/>
      </c>
      <c r="AM1107" s="18">
        <f>IF(tblOrdenes[[#This Row],[orden]]="","",MAX(0,_xlfn.XLOOKUP(tblOrdenes[[#This Row],[id_operacion]],tblEjecucion[id_operacion],tblEjecucion[costo_plan_total],0)-tblOrdenes[[#This Row],[costo_servicio]]))</f>
        <v/>
      </c>
      <c r="AN1107" s="18">
        <f>IF(tblOrdenes[[#This Row],[orden]]="","",tblOrdenes[[#This Row],[costo_servicio]]+tblOrdenes[[#This Row],[costo_materiales]])</f>
        <v/>
      </c>
      <c r="AO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5">
        <f>IF(tblOrdenes[[#This Row],[link_checklist]]="","",HYPERLINK(p_ruta_base_checklists&amp;tblOrdenes[[#This Row],[link_checklist]],"abrir"))</f>
        <v/>
      </c>
      <c r="AT1107" s="4" t="n"/>
      <c r="AU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5" t="n"/>
      <c r="K1108" s="5" t="n"/>
      <c r="L1108" s="18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Row],[fecha_inicio]]="","",tblOrdenes[[#This Row],[anio]]&amp;"-"&amp;TEXT(tblOrdenes[[#This Row],[mes]],"00"))</f>
        <v/>
      </c>
      <c r="S1108" s="5">
        <f>IF(tblOrdenes[[#This Row],[fecha_inicio]]="","",INDEX(lista_dias,WEEKDAY(tblOrdenes[[#This Row],[fecha_inicio]],2)))</f>
        <v/>
      </c>
      <c r="T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5">
        <f>IF(tblOrdenes[[#This Row],[tipo_ot]]="","",_xlfn.XLOOKUP(tblOrdenes[[#This Row],[tipo_ot]],tblTiposOT[codigo],tblTiposOT[clasificacion],"sin_clasificar"))</f>
        <v/>
      </c>
      <c r="V1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5">
        <f>IF(tblOrdenes[[#This Row],[centro_costo]]="","",_xlfn.XLOOKUP(tblOrdenes[[#This Row],[centro_costo]],tblCECO[codigo],tblCECO[linea],"(sin catálogo)"))</f>
        <v/>
      </c>
      <c r="Y1108" s="5">
        <f>IF(tblOrdenes[[#This Row],[centro_costo]]="","",_xlfn.XLOOKUP(tblOrdenes[[#This Row],[centro_costo]],tblCECO[codigo],tblCECO[area],"(sin catálogo)"))</f>
        <v/>
      </c>
      <c r="Z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5">
        <f>IF(tblOrdenes[[#This Row],[centro_costo]]="","",_xlfn.XLOOKUP(tblOrdenes[[#This Row],[centro_costo]],tblCECO[codigo],tblCECO[coordinador],"(sin catálogo)"))</f>
        <v/>
      </c>
      <c r="AB1108" s="5">
        <f>IF(tblOrdenes[[#This Row],[puesto_trabajo]]="","",_xlfn.XLOOKUP(tblOrdenes[[#This Row],[puesto_trabajo]],tblPuestos[codigo],tblPuestos[especialidad],"(sin catálogo)"))</f>
        <v/>
      </c>
      <c r="AC1108" s="5">
        <f>IF(tblOrdenes[[#This Row],[cod_actividad]]="","",_xlfn.XLOOKUP(tblOrdenes[[#This Row],[cod_actividad]],tblActividades[codigo],tblActividades[descripcion],"(sin catálogo)"))</f>
        <v/>
      </c>
      <c r="AD1108" s="23">
        <f>IF(tblOrdenes[[#This Row],[fecha_inicio]]="","",TODAY()-tblOrdenes[[#This Row],[fecha_inicio]])</f>
        <v/>
      </c>
      <c r="AE11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5">
        <f>IF(tblOrdenes[[#This Row],[backlog_habiles]]="","",IF(tblOrdenes[[#This Row],[backlog_habiles]]&lt;0,"FUTURO",IF(tblOrdenes[[#This Row],[backlog_habiles]]&gt;p_dias_backlog_max,"BACKLOG","MES CORRIENTE")))</f>
        <v/>
      </c>
      <c r="AG1108" s="5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18">
        <f>IF(tblOrdenes[[#This Row],[orden]]="","",_xlfn.XLOOKUP(tblOrdenes[[#This Row],[id_operacion]],tblEjecucion[id_operacion],tblEjecucion[precio],0))</f>
        <v/>
      </c>
      <c r="AM1108" s="18">
        <f>IF(tblOrdenes[[#This Row],[orden]]="","",MAX(0,_xlfn.XLOOKUP(tblOrdenes[[#This Row],[id_operacion]],tblEjecucion[id_operacion],tblEjecucion[costo_plan_total],0)-tblOrdenes[[#This Row],[costo_servicio]]))</f>
        <v/>
      </c>
      <c r="AN1108" s="18">
        <f>IF(tblOrdenes[[#This Row],[orden]]="","",tblOrdenes[[#This Row],[costo_servicio]]+tblOrdenes[[#This Row],[costo_materiales]])</f>
        <v/>
      </c>
      <c r="AO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5">
        <f>IF(tblOrdenes[[#This Row],[link_checklist]]="","",HYPERLINK(p_ruta_base_checklists&amp;tblOrdenes[[#This Row],[link_checklist]],"abrir"))</f>
        <v/>
      </c>
      <c r="AT1108" s="4" t="n"/>
      <c r="AU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5" t="n"/>
      <c r="K1109" s="5" t="n"/>
      <c r="L1109" s="18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Row],[fecha_inicio]]="","",tblOrdenes[[#This Row],[anio]]&amp;"-"&amp;TEXT(tblOrdenes[[#This Row],[mes]],"00"))</f>
        <v/>
      </c>
      <c r="S1109" s="5">
        <f>IF(tblOrdenes[[#This Row],[fecha_inicio]]="","",INDEX(lista_dias,WEEKDAY(tblOrdenes[[#This Row],[fecha_inicio]],2)))</f>
        <v/>
      </c>
      <c r="T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5">
        <f>IF(tblOrdenes[[#This Row],[tipo_ot]]="","",_xlfn.XLOOKUP(tblOrdenes[[#This Row],[tipo_ot]],tblTiposOT[codigo],tblTiposOT[clasificacion],"sin_clasificar"))</f>
        <v/>
      </c>
      <c r="V1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5">
        <f>IF(tblOrdenes[[#This Row],[centro_costo]]="","",_xlfn.XLOOKUP(tblOrdenes[[#This Row],[centro_costo]],tblCECO[codigo],tblCECO[linea],"(sin catálogo)"))</f>
        <v/>
      </c>
      <c r="Y1109" s="5">
        <f>IF(tblOrdenes[[#This Row],[centro_costo]]="","",_xlfn.XLOOKUP(tblOrdenes[[#This Row],[centro_costo]],tblCECO[codigo],tblCECO[area],"(sin catálogo)"))</f>
        <v/>
      </c>
      <c r="Z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5">
        <f>IF(tblOrdenes[[#This Row],[centro_costo]]="","",_xlfn.XLOOKUP(tblOrdenes[[#This Row],[centro_costo]],tblCECO[codigo],tblCECO[coordinador],"(sin catálogo)"))</f>
        <v/>
      </c>
      <c r="AB1109" s="5">
        <f>IF(tblOrdenes[[#This Row],[puesto_trabajo]]="","",_xlfn.XLOOKUP(tblOrdenes[[#This Row],[puesto_trabajo]],tblPuestos[codigo],tblPuestos[especialidad],"(sin catálogo)"))</f>
        <v/>
      </c>
      <c r="AC1109" s="5">
        <f>IF(tblOrdenes[[#This Row],[cod_actividad]]="","",_xlfn.XLOOKUP(tblOrdenes[[#This Row],[cod_actividad]],tblActividades[codigo],tblActividades[descripcion],"(sin catálogo)"))</f>
        <v/>
      </c>
      <c r="AD1109" s="23">
        <f>IF(tblOrdenes[[#This Row],[fecha_inicio]]="","",TODAY()-tblOrdenes[[#This Row],[fecha_inicio]])</f>
        <v/>
      </c>
      <c r="AE11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5">
        <f>IF(tblOrdenes[[#This Row],[backlog_habiles]]="","",IF(tblOrdenes[[#This Row],[backlog_habiles]]&lt;0,"FUTURO",IF(tblOrdenes[[#This Row],[backlog_habiles]]&gt;p_dias_backlog_max,"BACKLOG","MES CORRIENTE")))</f>
        <v/>
      </c>
      <c r="AG1109" s="5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18">
        <f>IF(tblOrdenes[[#This Row],[orden]]="","",_xlfn.XLOOKUP(tblOrdenes[[#This Row],[id_operacion]],tblEjecucion[id_operacion],tblEjecucion[precio],0))</f>
        <v/>
      </c>
      <c r="AM1109" s="18">
        <f>IF(tblOrdenes[[#This Row],[orden]]="","",MAX(0,_xlfn.XLOOKUP(tblOrdenes[[#This Row],[id_operacion]],tblEjecucion[id_operacion],tblEjecucion[costo_plan_total],0)-tblOrdenes[[#This Row],[costo_servicio]]))</f>
        <v/>
      </c>
      <c r="AN1109" s="18">
        <f>IF(tblOrdenes[[#This Row],[orden]]="","",tblOrdenes[[#This Row],[costo_servicio]]+tblOrdenes[[#This Row],[costo_materiales]])</f>
        <v/>
      </c>
      <c r="AO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5">
        <f>IF(tblOrdenes[[#This Row],[link_checklist]]="","",HYPERLINK(p_ruta_base_checklists&amp;tblOrdenes[[#This Row],[link_checklist]],"abrir"))</f>
        <v/>
      </c>
      <c r="AT1109" s="4" t="n"/>
      <c r="AU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5" t="n"/>
      <c r="K1110" s="5" t="n"/>
      <c r="L1110" s="18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Row],[fecha_inicio]]="","",tblOrdenes[[#This Row],[anio]]&amp;"-"&amp;TEXT(tblOrdenes[[#This Row],[mes]],"00"))</f>
        <v/>
      </c>
      <c r="S1110" s="5">
        <f>IF(tblOrdenes[[#This Row],[fecha_inicio]]="","",INDEX(lista_dias,WEEKDAY(tblOrdenes[[#This Row],[fecha_inicio]],2)))</f>
        <v/>
      </c>
      <c r="T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5">
        <f>IF(tblOrdenes[[#This Row],[tipo_ot]]="","",_xlfn.XLOOKUP(tblOrdenes[[#This Row],[tipo_ot]],tblTiposOT[codigo],tblTiposOT[clasificacion],"sin_clasificar"))</f>
        <v/>
      </c>
      <c r="V1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5">
        <f>IF(tblOrdenes[[#This Row],[centro_costo]]="","",_xlfn.XLOOKUP(tblOrdenes[[#This Row],[centro_costo]],tblCECO[codigo],tblCECO[linea],"(sin catálogo)"))</f>
        <v/>
      </c>
      <c r="Y1110" s="5">
        <f>IF(tblOrdenes[[#This Row],[centro_costo]]="","",_xlfn.XLOOKUP(tblOrdenes[[#This Row],[centro_costo]],tblCECO[codigo],tblCECO[area],"(sin catálogo)"))</f>
        <v/>
      </c>
      <c r="Z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5">
        <f>IF(tblOrdenes[[#This Row],[centro_costo]]="","",_xlfn.XLOOKUP(tblOrdenes[[#This Row],[centro_costo]],tblCECO[codigo],tblCECO[coordinador],"(sin catálogo)"))</f>
        <v/>
      </c>
      <c r="AB1110" s="5">
        <f>IF(tblOrdenes[[#This Row],[puesto_trabajo]]="","",_xlfn.XLOOKUP(tblOrdenes[[#This Row],[puesto_trabajo]],tblPuestos[codigo],tblPuestos[especialidad],"(sin catálogo)"))</f>
        <v/>
      </c>
      <c r="AC1110" s="5">
        <f>IF(tblOrdenes[[#This Row],[cod_actividad]]="","",_xlfn.XLOOKUP(tblOrdenes[[#This Row],[cod_actividad]],tblActividades[codigo],tblActividades[descripcion],"(sin catálogo)"))</f>
        <v/>
      </c>
      <c r="AD1110" s="23">
        <f>IF(tblOrdenes[[#This Row],[fecha_inicio]]="","",TODAY()-tblOrdenes[[#This Row],[fecha_inicio]])</f>
        <v/>
      </c>
      <c r="AE11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5">
        <f>IF(tblOrdenes[[#This Row],[backlog_habiles]]="","",IF(tblOrdenes[[#This Row],[backlog_habiles]]&lt;0,"FUTURO",IF(tblOrdenes[[#This Row],[backlog_habiles]]&gt;p_dias_backlog_max,"BACKLOG","MES CORRIENTE")))</f>
        <v/>
      </c>
      <c r="AG1110" s="5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18">
        <f>IF(tblOrdenes[[#This Row],[orden]]="","",_xlfn.XLOOKUP(tblOrdenes[[#This Row],[id_operacion]],tblEjecucion[id_operacion],tblEjecucion[precio],0))</f>
        <v/>
      </c>
      <c r="AM1110" s="18">
        <f>IF(tblOrdenes[[#This Row],[orden]]="","",MAX(0,_xlfn.XLOOKUP(tblOrdenes[[#This Row],[id_operacion]],tblEjecucion[id_operacion],tblEjecucion[costo_plan_total],0)-tblOrdenes[[#This Row],[costo_servicio]]))</f>
        <v/>
      </c>
      <c r="AN1110" s="18">
        <f>IF(tblOrdenes[[#This Row],[orden]]="","",tblOrdenes[[#This Row],[costo_servicio]]+tblOrdenes[[#This Row],[costo_materiales]])</f>
        <v/>
      </c>
      <c r="AO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5">
        <f>IF(tblOrdenes[[#This Row],[link_checklist]]="","",HYPERLINK(p_ruta_base_checklists&amp;tblOrdenes[[#This Row],[link_checklist]],"abrir"))</f>
        <v/>
      </c>
      <c r="AT1110" s="4" t="n"/>
      <c r="AU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5" t="n"/>
      <c r="K1111" s="5" t="n"/>
      <c r="L1111" s="18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Row],[fecha_inicio]]="","",tblOrdenes[[#This Row],[anio]]&amp;"-"&amp;TEXT(tblOrdenes[[#This Row],[mes]],"00"))</f>
        <v/>
      </c>
      <c r="S1111" s="5">
        <f>IF(tblOrdenes[[#This Row],[fecha_inicio]]="","",INDEX(lista_dias,WEEKDAY(tblOrdenes[[#This Row],[fecha_inicio]],2)))</f>
        <v/>
      </c>
      <c r="T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5">
        <f>IF(tblOrdenes[[#This Row],[tipo_ot]]="","",_xlfn.XLOOKUP(tblOrdenes[[#This Row],[tipo_ot]],tblTiposOT[codigo],tblTiposOT[clasificacion],"sin_clasificar"))</f>
        <v/>
      </c>
      <c r="V1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5">
        <f>IF(tblOrdenes[[#This Row],[centro_costo]]="","",_xlfn.XLOOKUP(tblOrdenes[[#This Row],[centro_costo]],tblCECO[codigo],tblCECO[linea],"(sin catálogo)"))</f>
        <v/>
      </c>
      <c r="Y1111" s="5">
        <f>IF(tblOrdenes[[#This Row],[centro_costo]]="","",_xlfn.XLOOKUP(tblOrdenes[[#This Row],[centro_costo]],tblCECO[codigo],tblCECO[area],"(sin catálogo)"))</f>
        <v/>
      </c>
      <c r="Z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5">
        <f>IF(tblOrdenes[[#This Row],[centro_costo]]="","",_xlfn.XLOOKUP(tblOrdenes[[#This Row],[centro_costo]],tblCECO[codigo],tblCECO[coordinador],"(sin catálogo)"))</f>
        <v/>
      </c>
      <c r="AB1111" s="5">
        <f>IF(tblOrdenes[[#This Row],[puesto_trabajo]]="","",_xlfn.XLOOKUP(tblOrdenes[[#This Row],[puesto_trabajo]],tblPuestos[codigo],tblPuestos[especialidad],"(sin catálogo)"))</f>
        <v/>
      </c>
      <c r="AC1111" s="5">
        <f>IF(tblOrdenes[[#This Row],[cod_actividad]]="","",_xlfn.XLOOKUP(tblOrdenes[[#This Row],[cod_actividad]],tblActividades[codigo],tblActividades[descripcion],"(sin catálogo)"))</f>
        <v/>
      </c>
      <c r="AD1111" s="23">
        <f>IF(tblOrdenes[[#This Row],[fecha_inicio]]="","",TODAY()-tblOrdenes[[#This Row],[fecha_inicio]])</f>
        <v/>
      </c>
      <c r="AE11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5">
        <f>IF(tblOrdenes[[#This Row],[backlog_habiles]]="","",IF(tblOrdenes[[#This Row],[backlog_habiles]]&lt;0,"FUTURO",IF(tblOrdenes[[#This Row],[backlog_habiles]]&gt;p_dias_backlog_max,"BACKLOG","MES CORRIENTE")))</f>
        <v/>
      </c>
      <c r="AG1111" s="5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18">
        <f>IF(tblOrdenes[[#This Row],[orden]]="","",_xlfn.XLOOKUP(tblOrdenes[[#This Row],[id_operacion]],tblEjecucion[id_operacion],tblEjecucion[precio],0))</f>
        <v/>
      </c>
      <c r="AM1111" s="18">
        <f>IF(tblOrdenes[[#This Row],[orden]]="","",MAX(0,_xlfn.XLOOKUP(tblOrdenes[[#This Row],[id_operacion]],tblEjecucion[id_operacion],tblEjecucion[costo_plan_total],0)-tblOrdenes[[#This Row],[costo_servicio]]))</f>
        <v/>
      </c>
      <c r="AN1111" s="18">
        <f>IF(tblOrdenes[[#This Row],[orden]]="","",tblOrdenes[[#This Row],[costo_servicio]]+tblOrdenes[[#This Row],[costo_materiales]])</f>
        <v/>
      </c>
      <c r="AO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5">
        <f>IF(tblOrdenes[[#This Row],[link_checklist]]="","",HYPERLINK(p_ruta_base_checklists&amp;tblOrdenes[[#This Row],[link_checklist]],"abrir"))</f>
        <v/>
      </c>
      <c r="AT1111" s="4" t="n"/>
      <c r="AU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5" t="n"/>
      <c r="K1112" s="5" t="n"/>
      <c r="L1112" s="18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Row],[fecha_inicio]]="","",tblOrdenes[[#This Row],[anio]]&amp;"-"&amp;TEXT(tblOrdenes[[#This Row],[mes]],"00"))</f>
        <v/>
      </c>
      <c r="S1112" s="5">
        <f>IF(tblOrdenes[[#This Row],[fecha_inicio]]="","",INDEX(lista_dias,WEEKDAY(tblOrdenes[[#This Row],[fecha_inicio]],2)))</f>
        <v/>
      </c>
      <c r="T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5">
        <f>IF(tblOrdenes[[#This Row],[tipo_ot]]="","",_xlfn.XLOOKUP(tblOrdenes[[#This Row],[tipo_ot]],tblTiposOT[codigo],tblTiposOT[clasificacion],"sin_clasificar"))</f>
        <v/>
      </c>
      <c r="V1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5">
        <f>IF(tblOrdenes[[#This Row],[centro_costo]]="","",_xlfn.XLOOKUP(tblOrdenes[[#This Row],[centro_costo]],tblCECO[codigo],tblCECO[linea],"(sin catálogo)"))</f>
        <v/>
      </c>
      <c r="Y1112" s="5">
        <f>IF(tblOrdenes[[#This Row],[centro_costo]]="","",_xlfn.XLOOKUP(tblOrdenes[[#This Row],[centro_costo]],tblCECO[codigo],tblCECO[area],"(sin catálogo)"))</f>
        <v/>
      </c>
      <c r="Z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5">
        <f>IF(tblOrdenes[[#This Row],[centro_costo]]="","",_xlfn.XLOOKUP(tblOrdenes[[#This Row],[centro_costo]],tblCECO[codigo],tblCECO[coordinador],"(sin catálogo)"))</f>
        <v/>
      </c>
      <c r="AB1112" s="5">
        <f>IF(tblOrdenes[[#This Row],[puesto_trabajo]]="","",_xlfn.XLOOKUP(tblOrdenes[[#This Row],[puesto_trabajo]],tblPuestos[codigo],tblPuestos[especialidad],"(sin catálogo)"))</f>
        <v/>
      </c>
      <c r="AC1112" s="5">
        <f>IF(tblOrdenes[[#This Row],[cod_actividad]]="","",_xlfn.XLOOKUP(tblOrdenes[[#This Row],[cod_actividad]],tblActividades[codigo],tblActividades[descripcion],"(sin catálogo)"))</f>
        <v/>
      </c>
      <c r="AD1112" s="23">
        <f>IF(tblOrdenes[[#This Row],[fecha_inicio]]="","",TODAY()-tblOrdenes[[#This Row],[fecha_inicio]])</f>
        <v/>
      </c>
      <c r="AE11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5">
        <f>IF(tblOrdenes[[#This Row],[backlog_habiles]]="","",IF(tblOrdenes[[#This Row],[backlog_habiles]]&lt;0,"FUTURO",IF(tblOrdenes[[#This Row],[backlog_habiles]]&gt;p_dias_backlog_max,"BACKLOG","MES CORRIENTE")))</f>
        <v/>
      </c>
      <c r="AG1112" s="5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18">
        <f>IF(tblOrdenes[[#This Row],[orden]]="","",_xlfn.XLOOKUP(tblOrdenes[[#This Row],[id_operacion]],tblEjecucion[id_operacion],tblEjecucion[precio],0))</f>
        <v/>
      </c>
      <c r="AM1112" s="18">
        <f>IF(tblOrdenes[[#This Row],[orden]]="","",MAX(0,_xlfn.XLOOKUP(tblOrdenes[[#This Row],[id_operacion]],tblEjecucion[id_operacion],tblEjecucion[costo_plan_total],0)-tblOrdenes[[#This Row],[costo_servicio]]))</f>
        <v/>
      </c>
      <c r="AN1112" s="18">
        <f>IF(tblOrdenes[[#This Row],[orden]]="","",tblOrdenes[[#This Row],[costo_servicio]]+tblOrdenes[[#This Row],[costo_materiales]])</f>
        <v/>
      </c>
      <c r="AO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5">
        <f>IF(tblOrdenes[[#This Row],[link_checklist]]="","",HYPERLINK(p_ruta_base_checklists&amp;tblOrdenes[[#This Row],[link_checklist]],"abrir"))</f>
        <v/>
      </c>
      <c r="AT1112" s="4" t="n"/>
      <c r="AU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5" t="n"/>
      <c r="K1113" s="5" t="n"/>
      <c r="L1113" s="18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Row],[fecha_inicio]]="","",tblOrdenes[[#This Row],[anio]]&amp;"-"&amp;TEXT(tblOrdenes[[#This Row],[mes]],"00"))</f>
        <v/>
      </c>
      <c r="S1113" s="5">
        <f>IF(tblOrdenes[[#This Row],[fecha_inicio]]="","",INDEX(lista_dias,WEEKDAY(tblOrdenes[[#This Row],[fecha_inicio]],2)))</f>
        <v/>
      </c>
      <c r="T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5">
        <f>IF(tblOrdenes[[#This Row],[tipo_ot]]="","",_xlfn.XLOOKUP(tblOrdenes[[#This Row],[tipo_ot]],tblTiposOT[codigo],tblTiposOT[clasificacion],"sin_clasificar"))</f>
        <v/>
      </c>
      <c r="V1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5">
        <f>IF(tblOrdenes[[#This Row],[centro_costo]]="","",_xlfn.XLOOKUP(tblOrdenes[[#This Row],[centro_costo]],tblCECO[codigo],tblCECO[linea],"(sin catálogo)"))</f>
        <v/>
      </c>
      <c r="Y1113" s="5">
        <f>IF(tblOrdenes[[#This Row],[centro_costo]]="","",_xlfn.XLOOKUP(tblOrdenes[[#This Row],[centro_costo]],tblCECO[codigo],tblCECO[area],"(sin catálogo)"))</f>
        <v/>
      </c>
      <c r="Z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5">
        <f>IF(tblOrdenes[[#This Row],[centro_costo]]="","",_xlfn.XLOOKUP(tblOrdenes[[#This Row],[centro_costo]],tblCECO[codigo],tblCECO[coordinador],"(sin catálogo)"))</f>
        <v/>
      </c>
      <c r="AB1113" s="5">
        <f>IF(tblOrdenes[[#This Row],[puesto_trabajo]]="","",_xlfn.XLOOKUP(tblOrdenes[[#This Row],[puesto_trabajo]],tblPuestos[codigo],tblPuestos[especialidad],"(sin catálogo)"))</f>
        <v/>
      </c>
      <c r="AC1113" s="5">
        <f>IF(tblOrdenes[[#This Row],[cod_actividad]]="","",_xlfn.XLOOKUP(tblOrdenes[[#This Row],[cod_actividad]],tblActividades[codigo],tblActividades[descripcion],"(sin catálogo)"))</f>
        <v/>
      </c>
      <c r="AD1113" s="23">
        <f>IF(tblOrdenes[[#This Row],[fecha_inicio]]="","",TODAY()-tblOrdenes[[#This Row],[fecha_inicio]])</f>
        <v/>
      </c>
      <c r="AE11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5">
        <f>IF(tblOrdenes[[#This Row],[backlog_habiles]]="","",IF(tblOrdenes[[#This Row],[backlog_habiles]]&lt;0,"FUTURO",IF(tblOrdenes[[#This Row],[backlog_habiles]]&gt;p_dias_backlog_max,"BACKLOG","MES CORRIENTE")))</f>
        <v/>
      </c>
      <c r="AG1113" s="5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18">
        <f>IF(tblOrdenes[[#This Row],[orden]]="","",_xlfn.XLOOKUP(tblOrdenes[[#This Row],[id_operacion]],tblEjecucion[id_operacion],tblEjecucion[precio],0))</f>
        <v/>
      </c>
      <c r="AM1113" s="18">
        <f>IF(tblOrdenes[[#This Row],[orden]]="","",MAX(0,_xlfn.XLOOKUP(tblOrdenes[[#This Row],[id_operacion]],tblEjecucion[id_operacion],tblEjecucion[costo_plan_total],0)-tblOrdenes[[#This Row],[costo_servicio]]))</f>
        <v/>
      </c>
      <c r="AN1113" s="18">
        <f>IF(tblOrdenes[[#This Row],[orden]]="","",tblOrdenes[[#This Row],[costo_servicio]]+tblOrdenes[[#This Row],[costo_materiales]])</f>
        <v/>
      </c>
      <c r="AO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5">
        <f>IF(tblOrdenes[[#This Row],[link_checklist]]="","",HYPERLINK(p_ruta_base_checklists&amp;tblOrdenes[[#This Row],[link_checklist]],"abrir"))</f>
        <v/>
      </c>
      <c r="AT1113" s="4" t="n"/>
      <c r="AU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5" t="n"/>
      <c r="K1114" s="5" t="n"/>
      <c r="L1114" s="18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Row],[fecha_inicio]]="","",tblOrdenes[[#This Row],[anio]]&amp;"-"&amp;TEXT(tblOrdenes[[#This Row],[mes]],"00"))</f>
        <v/>
      </c>
      <c r="S1114" s="5">
        <f>IF(tblOrdenes[[#This Row],[fecha_inicio]]="","",INDEX(lista_dias,WEEKDAY(tblOrdenes[[#This Row],[fecha_inicio]],2)))</f>
        <v/>
      </c>
      <c r="T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5">
        <f>IF(tblOrdenes[[#This Row],[tipo_ot]]="","",_xlfn.XLOOKUP(tblOrdenes[[#This Row],[tipo_ot]],tblTiposOT[codigo],tblTiposOT[clasificacion],"sin_clasificar"))</f>
        <v/>
      </c>
      <c r="V1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5">
        <f>IF(tblOrdenes[[#This Row],[centro_costo]]="","",_xlfn.XLOOKUP(tblOrdenes[[#This Row],[centro_costo]],tblCECO[codigo],tblCECO[linea],"(sin catálogo)"))</f>
        <v/>
      </c>
      <c r="Y1114" s="5">
        <f>IF(tblOrdenes[[#This Row],[centro_costo]]="","",_xlfn.XLOOKUP(tblOrdenes[[#This Row],[centro_costo]],tblCECO[codigo],tblCECO[area],"(sin catálogo)"))</f>
        <v/>
      </c>
      <c r="Z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5">
        <f>IF(tblOrdenes[[#This Row],[centro_costo]]="","",_xlfn.XLOOKUP(tblOrdenes[[#This Row],[centro_costo]],tblCECO[codigo],tblCECO[coordinador],"(sin catálogo)"))</f>
        <v/>
      </c>
      <c r="AB1114" s="5">
        <f>IF(tblOrdenes[[#This Row],[puesto_trabajo]]="","",_xlfn.XLOOKUP(tblOrdenes[[#This Row],[puesto_trabajo]],tblPuestos[codigo],tblPuestos[especialidad],"(sin catálogo)"))</f>
        <v/>
      </c>
      <c r="AC1114" s="5">
        <f>IF(tblOrdenes[[#This Row],[cod_actividad]]="","",_xlfn.XLOOKUP(tblOrdenes[[#This Row],[cod_actividad]],tblActividades[codigo],tblActividades[descripcion],"(sin catálogo)"))</f>
        <v/>
      </c>
      <c r="AD1114" s="23">
        <f>IF(tblOrdenes[[#This Row],[fecha_inicio]]="","",TODAY()-tblOrdenes[[#This Row],[fecha_inicio]])</f>
        <v/>
      </c>
      <c r="AE11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5">
        <f>IF(tblOrdenes[[#This Row],[backlog_habiles]]="","",IF(tblOrdenes[[#This Row],[backlog_habiles]]&lt;0,"FUTURO",IF(tblOrdenes[[#This Row],[backlog_habiles]]&gt;p_dias_backlog_max,"BACKLOG","MES CORRIENTE")))</f>
        <v/>
      </c>
      <c r="AG1114" s="5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18">
        <f>IF(tblOrdenes[[#This Row],[orden]]="","",_xlfn.XLOOKUP(tblOrdenes[[#This Row],[id_operacion]],tblEjecucion[id_operacion],tblEjecucion[precio],0))</f>
        <v/>
      </c>
      <c r="AM1114" s="18">
        <f>IF(tblOrdenes[[#This Row],[orden]]="","",MAX(0,_xlfn.XLOOKUP(tblOrdenes[[#This Row],[id_operacion]],tblEjecucion[id_operacion],tblEjecucion[costo_plan_total],0)-tblOrdenes[[#This Row],[costo_servicio]]))</f>
        <v/>
      </c>
      <c r="AN1114" s="18">
        <f>IF(tblOrdenes[[#This Row],[orden]]="","",tblOrdenes[[#This Row],[costo_servicio]]+tblOrdenes[[#This Row],[costo_materiales]])</f>
        <v/>
      </c>
      <c r="AO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5">
        <f>IF(tblOrdenes[[#This Row],[link_checklist]]="","",HYPERLINK(p_ruta_base_checklists&amp;tblOrdenes[[#This Row],[link_checklist]],"abrir"))</f>
        <v/>
      </c>
      <c r="AT1114" s="4" t="n"/>
      <c r="AU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5" t="n"/>
      <c r="K1115" s="5" t="n"/>
      <c r="L1115" s="18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Row],[fecha_inicio]]="","",tblOrdenes[[#This Row],[anio]]&amp;"-"&amp;TEXT(tblOrdenes[[#This Row],[mes]],"00"))</f>
        <v/>
      </c>
      <c r="S1115" s="5">
        <f>IF(tblOrdenes[[#This Row],[fecha_inicio]]="","",INDEX(lista_dias,WEEKDAY(tblOrdenes[[#This Row],[fecha_inicio]],2)))</f>
        <v/>
      </c>
      <c r="T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5">
        <f>IF(tblOrdenes[[#This Row],[tipo_ot]]="","",_xlfn.XLOOKUP(tblOrdenes[[#This Row],[tipo_ot]],tblTiposOT[codigo],tblTiposOT[clasificacion],"sin_clasificar"))</f>
        <v/>
      </c>
      <c r="V1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5">
        <f>IF(tblOrdenes[[#This Row],[centro_costo]]="","",_xlfn.XLOOKUP(tblOrdenes[[#This Row],[centro_costo]],tblCECO[codigo],tblCECO[linea],"(sin catálogo)"))</f>
        <v/>
      </c>
      <c r="Y1115" s="5">
        <f>IF(tblOrdenes[[#This Row],[centro_costo]]="","",_xlfn.XLOOKUP(tblOrdenes[[#This Row],[centro_costo]],tblCECO[codigo],tblCECO[area],"(sin catálogo)"))</f>
        <v/>
      </c>
      <c r="Z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5">
        <f>IF(tblOrdenes[[#This Row],[centro_costo]]="","",_xlfn.XLOOKUP(tblOrdenes[[#This Row],[centro_costo]],tblCECO[codigo],tblCECO[coordinador],"(sin catálogo)"))</f>
        <v/>
      </c>
      <c r="AB1115" s="5">
        <f>IF(tblOrdenes[[#This Row],[puesto_trabajo]]="","",_xlfn.XLOOKUP(tblOrdenes[[#This Row],[puesto_trabajo]],tblPuestos[codigo],tblPuestos[especialidad],"(sin catálogo)"))</f>
        <v/>
      </c>
      <c r="AC1115" s="5">
        <f>IF(tblOrdenes[[#This Row],[cod_actividad]]="","",_xlfn.XLOOKUP(tblOrdenes[[#This Row],[cod_actividad]],tblActividades[codigo],tblActividades[descripcion],"(sin catálogo)"))</f>
        <v/>
      </c>
      <c r="AD1115" s="23">
        <f>IF(tblOrdenes[[#This Row],[fecha_inicio]]="","",TODAY()-tblOrdenes[[#This Row],[fecha_inicio]])</f>
        <v/>
      </c>
      <c r="AE11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5">
        <f>IF(tblOrdenes[[#This Row],[backlog_habiles]]="","",IF(tblOrdenes[[#This Row],[backlog_habiles]]&lt;0,"FUTURO",IF(tblOrdenes[[#This Row],[backlog_habiles]]&gt;p_dias_backlog_max,"BACKLOG","MES CORRIENTE")))</f>
        <v/>
      </c>
      <c r="AG1115" s="5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18">
        <f>IF(tblOrdenes[[#This Row],[orden]]="","",_xlfn.XLOOKUP(tblOrdenes[[#This Row],[id_operacion]],tblEjecucion[id_operacion],tblEjecucion[precio],0))</f>
        <v/>
      </c>
      <c r="AM1115" s="18">
        <f>IF(tblOrdenes[[#This Row],[orden]]="","",MAX(0,_xlfn.XLOOKUP(tblOrdenes[[#This Row],[id_operacion]],tblEjecucion[id_operacion],tblEjecucion[costo_plan_total],0)-tblOrdenes[[#This Row],[costo_servicio]]))</f>
        <v/>
      </c>
      <c r="AN1115" s="18">
        <f>IF(tblOrdenes[[#This Row],[orden]]="","",tblOrdenes[[#This Row],[costo_servicio]]+tblOrdenes[[#This Row],[costo_materiales]])</f>
        <v/>
      </c>
      <c r="AO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5">
        <f>IF(tblOrdenes[[#This Row],[link_checklist]]="","",HYPERLINK(p_ruta_base_checklists&amp;tblOrdenes[[#This Row],[link_checklist]],"abrir"))</f>
        <v/>
      </c>
      <c r="AT1115" s="4" t="n"/>
      <c r="AU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5" t="n"/>
      <c r="K1116" s="5" t="n"/>
      <c r="L1116" s="18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Row],[fecha_inicio]]="","",tblOrdenes[[#This Row],[anio]]&amp;"-"&amp;TEXT(tblOrdenes[[#This Row],[mes]],"00"))</f>
        <v/>
      </c>
      <c r="S1116" s="5">
        <f>IF(tblOrdenes[[#This Row],[fecha_inicio]]="","",INDEX(lista_dias,WEEKDAY(tblOrdenes[[#This Row],[fecha_inicio]],2)))</f>
        <v/>
      </c>
      <c r="T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5">
        <f>IF(tblOrdenes[[#This Row],[tipo_ot]]="","",_xlfn.XLOOKUP(tblOrdenes[[#This Row],[tipo_ot]],tblTiposOT[codigo],tblTiposOT[clasificacion],"sin_clasificar"))</f>
        <v/>
      </c>
      <c r="V1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5">
        <f>IF(tblOrdenes[[#This Row],[centro_costo]]="","",_xlfn.XLOOKUP(tblOrdenes[[#This Row],[centro_costo]],tblCECO[codigo],tblCECO[linea],"(sin catálogo)"))</f>
        <v/>
      </c>
      <c r="Y1116" s="5">
        <f>IF(tblOrdenes[[#This Row],[centro_costo]]="","",_xlfn.XLOOKUP(tblOrdenes[[#This Row],[centro_costo]],tblCECO[codigo],tblCECO[area],"(sin catálogo)"))</f>
        <v/>
      </c>
      <c r="Z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5">
        <f>IF(tblOrdenes[[#This Row],[centro_costo]]="","",_xlfn.XLOOKUP(tblOrdenes[[#This Row],[centro_costo]],tblCECO[codigo],tblCECO[coordinador],"(sin catálogo)"))</f>
        <v/>
      </c>
      <c r="AB1116" s="5">
        <f>IF(tblOrdenes[[#This Row],[puesto_trabajo]]="","",_xlfn.XLOOKUP(tblOrdenes[[#This Row],[puesto_trabajo]],tblPuestos[codigo],tblPuestos[especialidad],"(sin catálogo)"))</f>
        <v/>
      </c>
      <c r="AC1116" s="5">
        <f>IF(tblOrdenes[[#This Row],[cod_actividad]]="","",_xlfn.XLOOKUP(tblOrdenes[[#This Row],[cod_actividad]],tblActividades[codigo],tblActividades[descripcion],"(sin catálogo)"))</f>
        <v/>
      </c>
      <c r="AD1116" s="23">
        <f>IF(tblOrdenes[[#This Row],[fecha_inicio]]="","",TODAY()-tblOrdenes[[#This Row],[fecha_inicio]])</f>
        <v/>
      </c>
      <c r="AE11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5">
        <f>IF(tblOrdenes[[#This Row],[backlog_habiles]]="","",IF(tblOrdenes[[#This Row],[backlog_habiles]]&lt;0,"FUTURO",IF(tblOrdenes[[#This Row],[backlog_habiles]]&gt;p_dias_backlog_max,"BACKLOG","MES CORRIENTE")))</f>
        <v/>
      </c>
      <c r="AG1116" s="5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18">
        <f>IF(tblOrdenes[[#This Row],[orden]]="","",_xlfn.XLOOKUP(tblOrdenes[[#This Row],[id_operacion]],tblEjecucion[id_operacion],tblEjecucion[precio],0))</f>
        <v/>
      </c>
      <c r="AM1116" s="18">
        <f>IF(tblOrdenes[[#This Row],[orden]]="","",MAX(0,_xlfn.XLOOKUP(tblOrdenes[[#This Row],[id_operacion]],tblEjecucion[id_operacion],tblEjecucion[costo_plan_total],0)-tblOrdenes[[#This Row],[costo_servicio]]))</f>
        <v/>
      </c>
      <c r="AN1116" s="18">
        <f>IF(tblOrdenes[[#This Row],[orden]]="","",tblOrdenes[[#This Row],[costo_servicio]]+tblOrdenes[[#This Row],[costo_materiales]])</f>
        <v/>
      </c>
      <c r="AO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5">
        <f>IF(tblOrdenes[[#This Row],[link_checklist]]="","",HYPERLINK(p_ruta_base_checklists&amp;tblOrdenes[[#This Row],[link_checklist]],"abrir"))</f>
        <v/>
      </c>
      <c r="AT1116" s="4" t="n"/>
      <c r="AU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5" t="n"/>
      <c r="K1117" s="5" t="n"/>
      <c r="L1117" s="18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Row],[fecha_inicio]]="","",tblOrdenes[[#This Row],[anio]]&amp;"-"&amp;TEXT(tblOrdenes[[#This Row],[mes]],"00"))</f>
        <v/>
      </c>
      <c r="S1117" s="5">
        <f>IF(tblOrdenes[[#This Row],[fecha_inicio]]="","",INDEX(lista_dias,WEEKDAY(tblOrdenes[[#This Row],[fecha_inicio]],2)))</f>
        <v/>
      </c>
      <c r="T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5">
        <f>IF(tblOrdenes[[#This Row],[tipo_ot]]="","",_xlfn.XLOOKUP(tblOrdenes[[#This Row],[tipo_ot]],tblTiposOT[codigo],tblTiposOT[clasificacion],"sin_clasificar"))</f>
        <v/>
      </c>
      <c r="V1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5">
        <f>IF(tblOrdenes[[#This Row],[centro_costo]]="","",_xlfn.XLOOKUP(tblOrdenes[[#This Row],[centro_costo]],tblCECO[codigo],tblCECO[linea],"(sin catálogo)"))</f>
        <v/>
      </c>
      <c r="Y1117" s="5">
        <f>IF(tblOrdenes[[#This Row],[centro_costo]]="","",_xlfn.XLOOKUP(tblOrdenes[[#This Row],[centro_costo]],tblCECO[codigo],tblCECO[area],"(sin catálogo)"))</f>
        <v/>
      </c>
      <c r="Z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5">
        <f>IF(tblOrdenes[[#This Row],[centro_costo]]="","",_xlfn.XLOOKUP(tblOrdenes[[#This Row],[centro_costo]],tblCECO[codigo],tblCECO[coordinador],"(sin catálogo)"))</f>
        <v/>
      </c>
      <c r="AB1117" s="5">
        <f>IF(tblOrdenes[[#This Row],[puesto_trabajo]]="","",_xlfn.XLOOKUP(tblOrdenes[[#This Row],[puesto_trabajo]],tblPuestos[codigo],tblPuestos[especialidad],"(sin catálogo)"))</f>
        <v/>
      </c>
      <c r="AC1117" s="5">
        <f>IF(tblOrdenes[[#This Row],[cod_actividad]]="","",_xlfn.XLOOKUP(tblOrdenes[[#This Row],[cod_actividad]],tblActividades[codigo],tblActividades[descripcion],"(sin catálogo)"))</f>
        <v/>
      </c>
      <c r="AD1117" s="23">
        <f>IF(tblOrdenes[[#This Row],[fecha_inicio]]="","",TODAY()-tblOrdenes[[#This Row],[fecha_inicio]])</f>
        <v/>
      </c>
      <c r="AE11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5">
        <f>IF(tblOrdenes[[#This Row],[backlog_habiles]]="","",IF(tblOrdenes[[#This Row],[backlog_habiles]]&lt;0,"FUTURO",IF(tblOrdenes[[#This Row],[backlog_habiles]]&gt;p_dias_backlog_max,"BACKLOG","MES CORRIENTE")))</f>
        <v/>
      </c>
      <c r="AG1117" s="5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18">
        <f>IF(tblOrdenes[[#This Row],[orden]]="","",_xlfn.XLOOKUP(tblOrdenes[[#This Row],[id_operacion]],tblEjecucion[id_operacion],tblEjecucion[precio],0))</f>
        <v/>
      </c>
      <c r="AM1117" s="18">
        <f>IF(tblOrdenes[[#This Row],[orden]]="","",MAX(0,_xlfn.XLOOKUP(tblOrdenes[[#This Row],[id_operacion]],tblEjecucion[id_operacion],tblEjecucion[costo_plan_total],0)-tblOrdenes[[#This Row],[costo_servicio]]))</f>
        <v/>
      </c>
      <c r="AN1117" s="18">
        <f>IF(tblOrdenes[[#This Row],[orden]]="","",tblOrdenes[[#This Row],[costo_servicio]]+tblOrdenes[[#This Row],[costo_materiales]])</f>
        <v/>
      </c>
      <c r="AO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5">
        <f>IF(tblOrdenes[[#This Row],[link_checklist]]="","",HYPERLINK(p_ruta_base_checklists&amp;tblOrdenes[[#This Row],[link_checklist]],"abrir"))</f>
        <v/>
      </c>
      <c r="AT1117" s="4" t="n"/>
      <c r="AU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5" t="n"/>
      <c r="K1118" s="5" t="n"/>
      <c r="L1118" s="18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Row],[fecha_inicio]]="","",tblOrdenes[[#This Row],[anio]]&amp;"-"&amp;TEXT(tblOrdenes[[#This Row],[mes]],"00"))</f>
        <v/>
      </c>
      <c r="S1118" s="5">
        <f>IF(tblOrdenes[[#This Row],[fecha_inicio]]="","",INDEX(lista_dias,WEEKDAY(tblOrdenes[[#This Row],[fecha_inicio]],2)))</f>
        <v/>
      </c>
      <c r="T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5">
        <f>IF(tblOrdenes[[#This Row],[tipo_ot]]="","",_xlfn.XLOOKUP(tblOrdenes[[#This Row],[tipo_ot]],tblTiposOT[codigo],tblTiposOT[clasificacion],"sin_clasificar"))</f>
        <v/>
      </c>
      <c r="V1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5">
        <f>IF(tblOrdenes[[#This Row],[centro_costo]]="","",_xlfn.XLOOKUP(tblOrdenes[[#This Row],[centro_costo]],tblCECO[codigo],tblCECO[linea],"(sin catálogo)"))</f>
        <v/>
      </c>
      <c r="Y1118" s="5">
        <f>IF(tblOrdenes[[#This Row],[centro_costo]]="","",_xlfn.XLOOKUP(tblOrdenes[[#This Row],[centro_costo]],tblCECO[codigo],tblCECO[area],"(sin catálogo)"))</f>
        <v/>
      </c>
      <c r="Z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5">
        <f>IF(tblOrdenes[[#This Row],[centro_costo]]="","",_xlfn.XLOOKUP(tblOrdenes[[#This Row],[centro_costo]],tblCECO[codigo],tblCECO[coordinador],"(sin catálogo)"))</f>
        <v/>
      </c>
      <c r="AB1118" s="5">
        <f>IF(tblOrdenes[[#This Row],[puesto_trabajo]]="","",_xlfn.XLOOKUP(tblOrdenes[[#This Row],[puesto_trabajo]],tblPuestos[codigo],tblPuestos[especialidad],"(sin catálogo)"))</f>
        <v/>
      </c>
      <c r="AC1118" s="5">
        <f>IF(tblOrdenes[[#This Row],[cod_actividad]]="","",_xlfn.XLOOKUP(tblOrdenes[[#This Row],[cod_actividad]],tblActividades[codigo],tblActividades[descripcion],"(sin catálogo)"))</f>
        <v/>
      </c>
      <c r="AD1118" s="23">
        <f>IF(tblOrdenes[[#This Row],[fecha_inicio]]="","",TODAY()-tblOrdenes[[#This Row],[fecha_inicio]])</f>
        <v/>
      </c>
      <c r="AE11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5">
        <f>IF(tblOrdenes[[#This Row],[backlog_habiles]]="","",IF(tblOrdenes[[#This Row],[backlog_habiles]]&lt;0,"FUTURO",IF(tblOrdenes[[#This Row],[backlog_habiles]]&gt;p_dias_backlog_max,"BACKLOG","MES CORRIENTE")))</f>
        <v/>
      </c>
      <c r="AG1118" s="5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18">
        <f>IF(tblOrdenes[[#This Row],[orden]]="","",_xlfn.XLOOKUP(tblOrdenes[[#This Row],[id_operacion]],tblEjecucion[id_operacion],tblEjecucion[precio],0))</f>
        <v/>
      </c>
      <c r="AM1118" s="18">
        <f>IF(tblOrdenes[[#This Row],[orden]]="","",MAX(0,_xlfn.XLOOKUP(tblOrdenes[[#This Row],[id_operacion]],tblEjecucion[id_operacion],tblEjecucion[costo_plan_total],0)-tblOrdenes[[#This Row],[costo_servicio]]))</f>
        <v/>
      </c>
      <c r="AN1118" s="18">
        <f>IF(tblOrdenes[[#This Row],[orden]]="","",tblOrdenes[[#This Row],[costo_servicio]]+tblOrdenes[[#This Row],[costo_materiales]])</f>
        <v/>
      </c>
      <c r="AO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5">
        <f>IF(tblOrdenes[[#This Row],[link_checklist]]="","",HYPERLINK(p_ruta_base_checklists&amp;tblOrdenes[[#This Row],[link_checklist]],"abrir"))</f>
        <v/>
      </c>
      <c r="AT1118" s="4" t="n"/>
      <c r="AU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5" t="n"/>
      <c r="K1119" s="5" t="n"/>
      <c r="L1119" s="18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Row],[fecha_inicio]]="","",tblOrdenes[[#This Row],[anio]]&amp;"-"&amp;TEXT(tblOrdenes[[#This Row],[mes]],"00"))</f>
        <v/>
      </c>
      <c r="S1119" s="5">
        <f>IF(tblOrdenes[[#This Row],[fecha_inicio]]="","",INDEX(lista_dias,WEEKDAY(tblOrdenes[[#This Row],[fecha_inicio]],2)))</f>
        <v/>
      </c>
      <c r="T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5">
        <f>IF(tblOrdenes[[#This Row],[tipo_ot]]="","",_xlfn.XLOOKUP(tblOrdenes[[#This Row],[tipo_ot]],tblTiposOT[codigo],tblTiposOT[clasificacion],"sin_clasificar"))</f>
        <v/>
      </c>
      <c r="V1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5">
        <f>IF(tblOrdenes[[#This Row],[centro_costo]]="","",_xlfn.XLOOKUP(tblOrdenes[[#This Row],[centro_costo]],tblCECO[codigo],tblCECO[linea],"(sin catálogo)"))</f>
        <v/>
      </c>
      <c r="Y1119" s="5">
        <f>IF(tblOrdenes[[#This Row],[centro_costo]]="","",_xlfn.XLOOKUP(tblOrdenes[[#This Row],[centro_costo]],tblCECO[codigo],tblCECO[area],"(sin catálogo)"))</f>
        <v/>
      </c>
      <c r="Z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5">
        <f>IF(tblOrdenes[[#This Row],[centro_costo]]="","",_xlfn.XLOOKUP(tblOrdenes[[#This Row],[centro_costo]],tblCECO[codigo],tblCECO[coordinador],"(sin catálogo)"))</f>
        <v/>
      </c>
      <c r="AB1119" s="5">
        <f>IF(tblOrdenes[[#This Row],[puesto_trabajo]]="","",_xlfn.XLOOKUP(tblOrdenes[[#This Row],[puesto_trabajo]],tblPuestos[codigo],tblPuestos[especialidad],"(sin catálogo)"))</f>
        <v/>
      </c>
      <c r="AC1119" s="5">
        <f>IF(tblOrdenes[[#This Row],[cod_actividad]]="","",_xlfn.XLOOKUP(tblOrdenes[[#This Row],[cod_actividad]],tblActividades[codigo],tblActividades[descripcion],"(sin catálogo)"))</f>
        <v/>
      </c>
      <c r="AD1119" s="23">
        <f>IF(tblOrdenes[[#This Row],[fecha_inicio]]="","",TODAY()-tblOrdenes[[#This Row],[fecha_inicio]])</f>
        <v/>
      </c>
      <c r="AE11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5">
        <f>IF(tblOrdenes[[#This Row],[backlog_habiles]]="","",IF(tblOrdenes[[#This Row],[backlog_habiles]]&lt;0,"FUTURO",IF(tblOrdenes[[#This Row],[backlog_habiles]]&gt;p_dias_backlog_max,"BACKLOG","MES CORRIENTE")))</f>
        <v/>
      </c>
      <c r="AG1119" s="5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18">
        <f>IF(tblOrdenes[[#This Row],[orden]]="","",_xlfn.XLOOKUP(tblOrdenes[[#This Row],[id_operacion]],tblEjecucion[id_operacion],tblEjecucion[precio],0))</f>
        <v/>
      </c>
      <c r="AM1119" s="18">
        <f>IF(tblOrdenes[[#This Row],[orden]]="","",MAX(0,_xlfn.XLOOKUP(tblOrdenes[[#This Row],[id_operacion]],tblEjecucion[id_operacion],tblEjecucion[costo_plan_total],0)-tblOrdenes[[#This Row],[costo_servicio]]))</f>
        <v/>
      </c>
      <c r="AN1119" s="18">
        <f>IF(tblOrdenes[[#This Row],[orden]]="","",tblOrdenes[[#This Row],[costo_servicio]]+tblOrdenes[[#This Row],[costo_materiales]])</f>
        <v/>
      </c>
      <c r="AO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5">
        <f>IF(tblOrdenes[[#This Row],[link_checklist]]="","",HYPERLINK(p_ruta_base_checklists&amp;tblOrdenes[[#This Row],[link_checklist]],"abrir"))</f>
        <v/>
      </c>
      <c r="AT1119" s="4" t="n"/>
      <c r="AU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5" t="n"/>
      <c r="K1120" s="5" t="n"/>
      <c r="L1120" s="18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Row],[fecha_inicio]]="","",tblOrdenes[[#This Row],[anio]]&amp;"-"&amp;TEXT(tblOrdenes[[#This Row],[mes]],"00"))</f>
        <v/>
      </c>
      <c r="S1120" s="5">
        <f>IF(tblOrdenes[[#This Row],[fecha_inicio]]="","",INDEX(lista_dias,WEEKDAY(tblOrdenes[[#This Row],[fecha_inicio]],2)))</f>
        <v/>
      </c>
      <c r="T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5">
        <f>IF(tblOrdenes[[#This Row],[tipo_ot]]="","",_xlfn.XLOOKUP(tblOrdenes[[#This Row],[tipo_ot]],tblTiposOT[codigo],tblTiposOT[clasificacion],"sin_clasificar"))</f>
        <v/>
      </c>
      <c r="V1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5">
        <f>IF(tblOrdenes[[#This Row],[centro_costo]]="","",_xlfn.XLOOKUP(tblOrdenes[[#This Row],[centro_costo]],tblCECO[codigo],tblCECO[linea],"(sin catálogo)"))</f>
        <v/>
      </c>
      <c r="Y1120" s="5">
        <f>IF(tblOrdenes[[#This Row],[centro_costo]]="","",_xlfn.XLOOKUP(tblOrdenes[[#This Row],[centro_costo]],tblCECO[codigo],tblCECO[area],"(sin catálogo)"))</f>
        <v/>
      </c>
      <c r="Z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5">
        <f>IF(tblOrdenes[[#This Row],[centro_costo]]="","",_xlfn.XLOOKUP(tblOrdenes[[#This Row],[centro_costo]],tblCECO[codigo],tblCECO[coordinador],"(sin catálogo)"))</f>
        <v/>
      </c>
      <c r="AB1120" s="5">
        <f>IF(tblOrdenes[[#This Row],[puesto_trabajo]]="","",_xlfn.XLOOKUP(tblOrdenes[[#This Row],[puesto_trabajo]],tblPuestos[codigo],tblPuestos[especialidad],"(sin catálogo)"))</f>
        <v/>
      </c>
      <c r="AC1120" s="5">
        <f>IF(tblOrdenes[[#This Row],[cod_actividad]]="","",_xlfn.XLOOKUP(tblOrdenes[[#This Row],[cod_actividad]],tblActividades[codigo],tblActividades[descripcion],"(sin catálogo)"))</f>
        <v/>
      </c>
      <c r="AD1120" s="23">
        <f>IF(tblOrdenes[[#This Row],[fecha_inicio]]="","",TODAY()-tblOrdenes[[#This Row],[fecha_inicio]])</f>
        <v/>
      </c>
      <c r="AE11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5">
        <f>IF(tblOrdenes[[#This Row],[backlog_habiles]]="","",IF(tblOrdenes[[#This Row],[backlog_habiles]]&lt;0,"FUTURO",IF(tblOrdenes[[#This Row],[backlog_habiles]]&gt;p_dias_backlog_max,"BACKLOG","MES CORRIENTE")))</f>
        <v/>
      </c>
      <c r="AG1120" s="5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18">
        <f>IF(tblOrdenes[[#This Row],[orden]]="","",_xlfn.XLOOKUP(tblOrdenes[[#This Row],[id_operacion]],tblEjecucion[id_operacion],tblEjecucion[precio],0))</f>
        <v/>
      </c>
      <c r="AM1120" s="18">
        <f>IF(tblOrdenes[[#This Row],[orden]]="","",MAX(0,_xlfn.XLOOKUP(tblOrdenes[[#This Row],[id_operacion]],tblEjecucion[id_operacion],tblEjecucion[costo_plan_total],0)-tblOrdenes[[#This Row],[costo_servicio]]))</f>
        <v/>
      </c>
      <c r="AN1120" s="18">
        <f>IF(tblOrdenes[[#This Row],[orden]]="","",tblOrdenes[[#This Row],[costo_servicio]]+tblOrdenes[[#This Row],[costo_materiales]])</f>
        <v/>
      </c>
      <c r="AO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5">
        <f>IF(tblOrdenes[[#This Row],[link_checklist]]="","",HYPERLINK(p_ruta_base_checklists&amp;tblOrdenes[[#This Row],[link_checklist]],"abrir"))</f>
        <v/>
      </c>
      <c r="AT1120" s="4" t="n"/>
      <c r="AU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5" t="n"/>
      <c r="K1121" s="5" t="n"/>
      <c r="L1121" s="18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Row],[fecha_inicio]]="","",tblOrdenes[[#This Row],[anio]]&amp;"-"&amp;TEXT(tblOrdenes[[#This Row],[mes]],"00"))</f>
        <v/>
      </c>
      <c r="S1121" s="5">
        <f>IF(tblOrdenes[[#This Row],[fecha_inicio]]="","",INDEX(lista_dias,WEEKDAY(tblOrdenes[[#This Row],[fecha_inicio]],2)))</f>
        <v/>
      </c>
      <c r="T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5">
        <f>IF(tblOrdenes[[#This Row],[tipo_ot]]="","",_xlfn.XLOOKUP(tblOrdenes[[#This Row],[tipo_ot]],tblTiposOT[codigo],tblTiposOT[clasificacion],"sin_clasificar"))</f>
        <v/>
      </c>
      <c r="V1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5">
        <f>IF(tblOrdenes[[#This Row],[centro_costo]]="","",_xlfn.XLOOKUP(tblOrdenes[[#This Row],[centro_costo]],tblCECO[codigo],tblCECO[linea],"(sin catálogo)"))</f>
        <v/>
      </c>
      <c r="Y1121" s="5">
        <f>IF(tblOrdenes[[#This Row],[centro_costo]]="","",_xlfn.XLOOKUP(tblOrdenes[[#This Row],[centro_costo]],tblCECO[codigo],tblCECO[area],"(sin catálogo)"))</f>
        <v/>
      </c>
      <c r="Z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5">
        <f>IF(tblOrdenes[[#This Row],[centro_costo]]="","",_xlfn.XLOOKUP(tblOrdenes[[#This Row],[centro_costo]],tblCECO[codigo],tblCECO[coordinador],"(sin catálogo)"))</f>
        <v/>
      </c>
      <c r="AB1121" s="5">
        <f>IF(tblOrdenes[[#This Row],[puesto_trabajo]]="","",_xlfn.XLOOKUP(tblOrdenes[[#This Row],[puesto_trabajo]],tblPuestos[codigo],tblPuestos[especialidad],"(sin catálogo)"))</f>
        <v/>
      </c>
      <c r="AC1121" s="5">
        <f>IF(tblOrdenes[[#This Row],[cod_actividad]]="","",_xlfn.XLOOKUP(tblOrdenes[[#This Row],[cod_actividad]],tblActividades[codigo],tblActividades[descripcion],"(sin catálogo)"))</f>
        <v/>
      </c>
      <c r="AD1121" s="23">
        <f>IF(tblOrdenes[[#This Row],[fecha_inicio]]="","",TODAY()-tblOrdenes[[#This Row],[fecha_inicio]])</f>
        <v/>
      </c>
      <c r="AE11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5">
        <f>IF(tblOrdenes[[#This Row],[backlog_habiles]]="","",IF(tblOrdenes[[#This Row],[backlog_habiles]]&lt;0,"FUTURO",IF(tblOrdenes[[#This Row],[backlog_habiles]]&gt;p_dias_backlog_max,"BACKLOG","MES CORRIENTE")))</f>
        <v/>
      </c>
      <c r="AG1121" s="5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18">
        <f>IF(tblOrdenes[[#This Row],[orden]]="","",_xlfn.XLOOKUP(tblOrdenes[[#This Row],[id_operacion]],tblEjecucion[id_operacion],tblEjecucion[precio],0))</f>
        <v/>
      </c>
      <c r="AM1121" s="18">
        <f>IF(tblOrdenes[[#This Row],[orden]]="","",MAX(0,_xlfn.XLOOKUP(tblOrdenes[[#This Row],[id_operacion]],tblEjecucion[id_operacion],tblEjecucion[costo_plan_total],0)-tblOrdenes[[#This Row],[costo_servicio]]))</f>
        <v/>
      </c>
      <c r="AN1121" s="18">
        <f>IF(tblOrdenes[[#This Row],[orden]]="","",tblOrdenes[[#This Row],[costo_servicio]]+tblOrdenes[[#This Row],[costo_materiales]])</f>
        <v/>
      </c>
      <c r="AO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5">
        <f>IF(tblOrdenes[[#This Row],[link_checklist]]="","",HYPERLINK(p_ruta_base_checklists&amp;tblOrdenes[[#This Row],[link_checklist]],"abrir"))</f>
        <v/>
      </c>
      <c r="AT1121" s="4" t="n"/>
      <c r="AU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5" t="n"/>
      <c r="K1122" s="5" t="n"/>
      <c r="L1122" s="18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Row],[fecha_inicio]]="","",tblOrdenes[[#This Row],[anio]]&amp;"-"&amp;TEXT(tblOrdenes[[#This Row],[mes]],"00"))</f>
        <v/>
      </c>
      <c r="S1122" s="5">
        <f>IF(tblOrdenes[[#This Row],[fecha_inicio]]="","",INDEX(lista_dias,WEEKDAY(tblOrdenes[[#This Row],[fecha_inicio]],2)))</f>
        <v/>
      </c>
      <c r="T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5">
        <f>IF(tblOrdenes[[#This Row],[tipo_ot]]="","",_xlfn.XLOOKUP(tblOrdenes[[#This Row],[tipo_ot]],tblTiposOT[codigo],tblTiposOT[clasificacion],"sin_clasificar"))</f>
        <v/>
      </c>
      <c r="V1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5">
        <f>IF(tblOrdenes[[#This Row],[centro_costo]]="","",_xlfn.XLOOKUP(tblOrdenes[[#This Row],[centro_costo]],tblCECO[codigo],tblCECO[linea],"(sin catálogo)"))</f>
        <v/>
      </c>
      <c r="Y1122" s="5">
        <f>IF(tblOrdenes[[#This Row],[centro_costo]]="","",_xlfn.XLOOKUP(tblOrdenes[[#This Row],[centro_costo]],tblCECO[codigo],tblCECO[area],"(sin catálogo)"))</f>
        <v/>
      </c>
      <c r="Z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5">
        <f>IF(tblOrdenes[[#This Row],[centro_costo]]="","",_xlfn.XLOOKUP(tblOrdenes[[#This Row],[centro_costo]],tblCECO[codigo],tblCECO[coordinador],"(sin catálogo)"))</f>
        <v/>
      </c>
      <c r="AB1122" s="5">
        <f>IF(tblOrdenes[[#This Row],[puesto_trabajo]]="","",_xlfn.XLOOKUP(tblOrdenes[[#This Row],[puesto_trabajo]],tblPuestos[codigo],tblPuestos[especialidad],"(sin catálogo)"))</f>
        <v/>
      </c>
      <c r="AC1122" s="5">
        <f>IF(tblOrdenes[[#This Row],[cod_actividad]]="","",_xlfn.XLOOKUP(tblOrdenes[[#This Row],[cod_actividad]],tblActividades[codigo],tblActividades[descripcion],"(sin catálogo)"))</f>
        <v/>
      </c>
      <c r="AD1122" s="23">
        <f>IF(tblOrdenes[[#This Row],[fecha_inicio]]="","",TODAY()-tblOrdenes[[#This Row],[fecha_inicio]])</f>
        <v/>
      </c>
      <c r="AE11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5">
        <f>IF(tblOrdenes[[#This Row],[backlog_habiles]]="","",IF(tblOrdenes[[#This Row],[backlog_habiles]]&lt;0,"FUTURO",IF(tblOrdenes[[#This Row],[backlog_habiles]]&gt;p_dias_backlog_max,"BACKLOG","MES CORRIENTE")))</f>
        <v/>
      </c>
      <c r="AG1122" s="5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18">
        <f>IF(tblOrdenes[[#This Row],[orden]]="","",_xlfn.XLOOKUP(tblOrdenes[[#This Row],[id_operacion]],tblEjecucion[id_operacion],tblEjecucion[precio],0))</f>
        <v/>
      </c>
      <c r="AM1122" s="18">
        <f>IF(tblOrdenes[[#This Row],[orden]]="","",MAX(0,_xlfn.XLOOKUP(tblOrdenes[[#This Row],[id_operacion]],tblEjecucion[id_operacion],tblEjecucion[costo_plan_total],0)-tblOrdenes[[#This Row],[costo_servicio]]))</f>
        <v/>
      </c>
      <c r="AN1122" s="18">
        <f>IF(tblOrdenes[[#This Row],[orden]]="","",tblOrdenes[[#This Row],[costo_servicio]]+tblOrdenes[[#This Row],[costo_materiales]])</f>
        <v/>
      </c>
      <c r="AO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5">
        <f>IF(tblOrdenes[[#This Row],[link_checklist]]="","",HYPERLINK(p_ruta_base_checklists&amp;tblOrdenes[[#This Row],[link_checklist]],"abrir"))</f>
        <v/>
      </c>
      <c r="AT1122" s="4" t="n"/>
      <c r="AU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5" t="n"/>
      <c r="K1123" s="5" t="n"/>
      <c r="L1123" s="18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Row],[fecha_inicio]]="","",tblOrdenes[[#This Row],[anio]]&amp;"-"&amp;TEXT(tblOrdenes[[#This Row],[mes]],"00"))</f>
        <v/>
      </c>
      <c r="S1123" s="5">
        <f>IF(tblOrdenes[[#This Row],[fecha_inicio]]="","",INDEX(lista_dias,WEEKDAY(tblOrdenes[[#This Row],[fecha_inicio]],2)))</f>
        <v/>
      </c>
      <c r="T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5">
        <f>IF(tblOrdenes[[#This Row],[tipo_ot]]="","",_xlfn.XLOOKUP(tblOrdenes[[#This Row],[tipo_ot]],tblTiposOT[codigo],tblTiposOT[clasificacion],"sin_clasificar"))</f>
        <v/>
      </c>
      <c r="V1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5">
        <f>IF(tblOrdenes[[#This Row],[centro_costo]]="","",_xlfn.XLOOKUP(tblOrdenes[[#This Row],[centro_costo]],tblCECO[codigo],tblCECO[linea],"(sin catálogo)"))</f>
        <v/>
      </c>
      <c r="Y1123" s="5">
        <f>IF(tblOrdenes[[#This Row],[centro_costo]]="","",_xlfn.XLOOKUP(tblOrdenes[[#This Row],[centro_costo]],tblCECO[codigo],tblCECO[area],"(sin catálogo)"))</f>
        <v/>
      </c>
      <c r="Z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5">
        <f>IF(tblOrdenes[[#This Row],[centro_costo]]="","",_xlfn.XLOOKUP(tblOrdenes[[#This Row],[centro_costo]],tblCECO[codigo],tblCECO[coordinador],"(sin catálogo)"))</f>
        <v/>
      </c>
      <c r="AB1123" s="5">
        <f>IF(tblOrdenes[[#This Row],[puesto_trabajo]]="","",_xlfn.XLOOKUP(tblOrdenes[[#This Row],[puesto_trabajo]],tblPuestos[codigo],tblPuestos[especialidad],"(sin catálogo)"))</f>
        <v/>
      </c>
      <c r="AC1123" s="5">
        <f>IF(tblOrdenes[[#This Row],[cod_actividad]]="","",_xlfn.XLOOKUP(tblOrdenes[[#This Row],[cod_actividad]],tblActividades[codigo],tblActividades[descripcion],"(sin catálogo)"))</f>
        <v/>
      </c>
      <c r="AD1123" s="23">
        <f>IF(tblOrdenes[[#This Row],[fecha_inicio]]="","",TODAY()-tblOrdenes[[#This Row],[fecha_inicio]])</f>
        <v/>
      </c>
      <c r="AE11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5">
        <f>IF(tblOrdenes[[#This Row],[backlog_habiles]]="","",IF(tblOrdenes[[#This Row],[backlog_habiles]]&lt;0,"FUTURO",IF(tblOrdenes[[#This Row],[backlog_habiles]]&gt;p_dias_backlog_max,"BACKLOG","MES CORRIENTE")))</f>
        <v/>
      </c>
      <c r="AG1123" s="5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18">
        <f>IF(tblOrdenes[[#This Row],[orden]]="","",_xlfn.XLOOKUP(tblOrdenes[[#This Row],[id_operacion]],tblEjecucion[id_operacion],tblEjecucion[precio],0))</f>
        <v/>
      </c>
      <c r="AM1123" s="18">
        <f>IF(tblOrdenes[[#This Row],[orden]]="","",MAX(0,_xlfn.XLOOKUP(tblOrdenes[[#This Row],[id_operacion]],tblEjecucion[id_operacion],tblEjecucion[costo_plan_total],0)-tblOrdenes[[#This Row],[costo_servicio]]))</f>
        <v/>
      </c>
      <c r="AN1123" s="18">
        <f>IF(tblOrdenes[[#This Row],[orden]]="","",tblOrdenes[[#This Row],[costo_servicio]]+tblOrdenes[[#This Row],[costo_materiales]])</f>
        <v/>
      </c>
      <c r="AO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5">
        <f>IF(tblOrdenes[[#This Row],[link_checklist]]="","",HYPERLINK(p_ruta_base_checklists&amp;tblOrdenes[[#This Row],[link_checklist]],"abrir"))</f>
        <v/>
      </c>
      <c r="AT1123" s="4" t="n"/>
      <c r="AU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5" t="n"/>
      <c r="K1124" s="5" t="n"/>
      <c r="L1124" s="18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Row],[fecha_inicio]]="","",tblOrdenes[[#This Row],[anio]]&amp;"-"&amp;TEXT(tblOrdenes[[#This Row],[mes]],"00"))</f>
        <v/>
      </c>
      <c r="S1124" s="5">
        <f>IF(tblOrdenes[[#This Row],[fecha_inicio]]="","",INDEX(lista_dias,WEEKDAY(tblOrdenes[[#This Row],[fecha_inicio]],2)))</f>
        <v/>
      </c>
      <c r="T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5">
        <f>IF(tblOrdenes[[#This Row],[tipo_ot]]="","",_xlfn.XLOOKUP(tblOrdenes[[#This Row],[tipo_ot]],tblTiposOT[codigo],tblTiposOT[clasificacion],"sin_clasificar"))</f>
        <v/>
      </c>
      <c r="V1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5">
        <f>IF(tblOrdenes[[#This Row],[centro_costo]]="","",_xlfn.XLOOKUP(tblOrdenes[[#This Row],[centro_costo]],tblCECO[codigo],tblCECO[linea],"(sin catálogo)"))</f>
        <v/>
      </c>
      <c r="Y1124" s="5">
        <f>IF(tblOrdenes[[#This Row],[centro_costo]]="","",_xlfn.XLOOKUP(tblOrdenes[[#This Row],[centro_costo]],tblCECO[codigo],tblCECO[area],"(sin catálogo)"))</f>
        <v/>
      </c>
      <c r="Z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5">
        <f>IF(tblOrdenes[[#This Row],[centro_costo]]="","",_xlfn.XLOOKUP(tblOrdenes[[#This Row],[centro_costo]],tblCECO[codigo],tblCECO[coordinador],"(sin catálogo)"))</f>
        <v/>
      </c>
      <c r="AB1124" s="5">
        <f>IF(tblOrdenes[[#This Row],[puesto_trabajo]]="","",_xlfn.XLOOKUP(tblOrdenes[[#This Row],[puesto_trabajo]],tblPuestos[codigo],tblPuestos[especialidad],"(sin catálogo)"))</f>
        <v/>
      </c>
      <c r="AC1124" s="5">
        <f>IF(tblOrdenes[[#This Row],[cod_actividad]]="","",_xlfn.XLOOKUP(tblOrdenes[[#This Row],[cod_actividad]],tblActividades[codigo],tblActividades[descripcion],"(sin catálogo)"))</f>
        <v/>
      </c>
      <c r="AD1124" s="23">
        <f>IF(tblOrdenes[[#This Row],[fecha_inicio]]="","",TODAY()-tblOrdenes[[#This Row],[fecha_inicio]])</f>
        <v/>
      </c>
      <c r="AE11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5">
        <f>IF(tblOrdenes[[#This Row],[backlog_habiles]]="","",IF(tblOrdenes[[#This Row],[backlog_habiles]]&lt;0,"FUTURO",IF(tblOrdenes[[#This Row],[backlog_habiles]]&gt;p_dias_backlog_max,"BACKLOG","MES CORRIENTE")))</f>
        <v/>
      </c>
      <c r="AG1124" s="5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18">
        <f>IF(tblOrdenes[[#This Row],[orden]]="","",_xlfn.XLOOKUP(tblOrdenes[[#This Row],[id_operacion]],tblEjecucion[id_operacion],tblEjecucion[precio],0))</f>
        <v/>
      </c>
      <c r="AM1124" s="18">
        <f>IF(tblOrdenes[[#This Row],[orden]]="","",MAX(0,_xlfn.XLOOKUP(tblOrdenes[[#This Row],[id_operacion]],tblEjecucion[id_operacion],tblEjecucion[costo_plan_total],0)-tblOrdenes[[#This Row],[costo_servicio]]))</f>
        <v/>
      </c>
      <c r="AN1124" s="18">
        <f>IF(tblOrdenes[[#This Row],[orden]]="","",tblOrdenes[[#This Row],[costo_servicio]]+tblOrdenes[[#This Row],[costo_materiales]])</f>
        <v/>
      </c>
      <c r="AO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5">
        <f>IF(tblOrdenes[[#This Row],[link_checklist]]="","",HYPERLINK(p_ruta_base_checklists&amp;tblOrdenes[[#This Row],[link_checklist]],"abrir"))</f>
        <v/>
      </c>
      <c r="AT1124" s="4" t="n"/>
      <c r="AU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5" t="n"/>
      <c r="K1125" s="5" t="n"/>
      <c r="L1125" s="18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Row],[fecha_inicio]]="","",tblOrdenes[[#This Row],[anio]]&amp;"-"&amp;TEXT(tblOrdenes[[#This Row],[mes]],"00"))</f>
        <v/>
      </c>
      <c r="S1125" s="5">
        <f>IF(tblOrdenes[[#This Row],[fecha_inicio]]="","",INDEX(lista_dias,WEEKDAY(tblOrdenes[[#This Row],[fecha_inicio]],2)))</f>
        <v/>
      </c>
      <c r="T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5">
        <f>IF(tblOrdenes[[#This Row],[tipo_ot]]="","",_xlfn.XLOOKUP(tblOrdenes[[#This Row],[tipo_ot]],tblTiposOT[codigo],tblTiposOT[clasificacion],"sin_clasificar"))</f>
        <v/>
      </c>
      <c r="V1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5">
        <f>IF(tblOrdenes[[#This Row],[centro_costo]]="","",_xlfn.XLOOKUP(tblOrdenes[[#This Row],[centro_costo]],tblCECO[codigo],tblCECO[linea],"(sin catálogo)"))</f>
        <v/>
      </c>
      <c r="Y1125" s="5">
        <f>IF(tblOrdenes[[#This Row],[centro_costo]]="","",_xlfn.XLOOKUP(tblOrdenes[[#This Row],[centro_costo]],tblCECO[codigo],tblCECO[area],"(sin catálogo)"))</f>
        <v/>
      </c>
      <c r="Z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5">
        <f>IF(tblOrdenes[[#This Row],[centro_costo]]="","",_xlfn.XLOOKUP(tblOrdenes[[#This Row],[centro_costo]],tblCECO[codigo],tblCECO[coordinador],"(sin catálogo)"))</f>
        <v/>
      </c>
      <c r="AB1125" s="5">
        <f>IF(tblOrdenes[[#This Row],[puesto_trabajo]]="","",_xlfn.XLOOKUP(tblOrdenes[[#This Row],[puesto_trabajo]],tblPuestos[codigo],tblPuestos[especialidad],"(sin catálogo)"))</f>
        <v/>
      </c>
      <c r="AC1125" s="5">
        <f>IF(tblOrdenes[[#This Row],[cod_actividad]]="","",_xlfn.XLOOKUP(tblOrdenes[[#This Row],[cod_actividad]],tblActividades[codigo],tblActividades[descripcion],"(sin catálogo)"))</f>
        <v/>
      </c>
      <c r="AD1125" s="23">
        <f>IF(tblOrdenes[[#This Row],[fecha_inicio]]="","",TODAY()-tblOrdenes[[#This Row],[fecha_inicio]])</f>
        <v/>
      </c>
      <c r="AE11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5">
        <f>IF(tblOrdenes[[#This Row],[backlog_habiles]]="","",IF(tblOrdenes[[#This Row],[backlog_habiles]]&lt;0,"FUTURO",IF(tblOrdenes[[#This Row],[backlog_habiles]]&gt;p_dias_backlog_max,"BACKLOG","MES CORRIENTE")))</f>
        <v/>
      </c>
      <c r="AG1125" s="5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18">
        <f>IF(tblOrdenes[[#This Row],[orden]]="","",_xlfn.XLOOKUP(tblOrdenes[[#This Row],[id_operacion]],tblEjecucion[id_operacion],tblEjecucion[precio],0))</f>
        <v/>
      </c>
      <c r="AM1125" s="18">
        <f>IF(tblOrdenes[[#This Row],[orden]]="","",MAX(0,_xlfn.XLOOKUP(tblOrdenes[[#This Row],[id_operacion]],tblEjecucion[id_operacion],tblEjecucion[costo_plan_total],0)-tblOrdenes[[#This Row],[costo_servicio]]))</f>
        <v/>
      </c>
      <c r="AN1125" s="18">
        <f>IF(tblOrdenes[[#This Row],[orden]]="","",tblOrdenes[[#This Row],[costo_servicio]]+tblOrdenes[[#This Row],[costo_materiales]])</f>
        <v/>
      </c>
      <c r="AO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5">
        <f>IF(tblOrdenes[[#This Row],[link_checklist]]="","",HYPERLINK(p_ruta_base_checklists&amp;tblOrdenes[[#This Row],[link_checklist]],"abrir"))</f>
        <v/>
      </c>
      <c r="AT1125" s="4" t="n"/>
      <c r="AU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5" t="n"/>
      <c r="K1126" s="5" t="n"/>
      <c r="L1126" s="18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Row],[fecha_inicio]]="","",tblOrdenes[[#This Row],[anio]]&amp;"-"&amp;TEXT(tblOrdenes[[#This Row],[mes]],"00"))</f>
        <v/>
      </c>
      <c r="S1126" s="5">
        <f>IF(tblOrdenes[[#This Row],[fecha_inicio]]="","",INDEX(lista_dias,WEEKDAY(tblOrdenes[[#This Row],[fecha_inicio]],2)))</f>
        <v/>
      </c>
      <c r="T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5">
        <f>IF(tblOrdenes[[#This Row],[tipo_ot]]="","",_xlfn.XLOOKUP(tblOrdenes[[#This Row],[tipo_ot]],tblTiposOT[codigo],tblTiposOT[clasificacion],"sin_clasificar"))</f>
        <v/>
      </c>
      <c r="V1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5">
        <f>IF(tblOrdenes[[#This Row],[centro_costo]]="","",_xlfn.XLOOKUP(tblOrdenes[[#This Row],[centro_costo]],tblCECO[codigo],tblCECO[linea],"(sin catálogo)"))</f>
        <v/>
      </c>
      <c r="Y1126" s="5">
        <f>IF(tblOrdenes[[#This Row],[centro_costo]]="","",_xlfn.XLOOKUP(tblOrdenes[[#This Row],[centro_costo]],tblCECO[codigo],tblCECO[area],"(sin catálogo)"))</f>
        <v/>
      </c>
      <c r="Z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5">
        <f>IF(tblOrdenes[[#This Row],[centro_costo]]="","",_xlfn.XLOOKUP(tblOrdenes[[#This Row],[centro_costo]],tblCECO[codigo],tblCECO[coordinador],"(sin catálogo)"))</f>
        <v/>
      </c>
      <c r="AB1126" s="5">
        <f>IF(tblOrdenes[[#This Row],[puesto_trabajo]]="","",_xlfn.XLOOKUP(tblOrdenes[[#This Row],[puesto_trabajo]],tblPuestos[codigo],tblPuestos[especialidad],"(sin catálogo)"))</f>
        <v/>
      </c>
      <c r="AC1126" s="5">
        <f>IF(tblOrdenes[[#This Row],[cod_actividad]]="","",_xlfn.XLOOKUP(tblOrdenes[[#This Row],[cod_actividad]],tblActividades[codigo],tblActividades[descripcion],"(sin catálogo)"))</f>
        <v/>
      </c>
      <c r="AD1126" s="23">
        <f>IF(tblOrdenes[[#This Row],[fecha_inicio]]="","",TODAY()-tblOrdenes[[#This Row],[fecha_inicio]])</f>
        <v/>
      </c>
      <c r="AE11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5">
        <f>IF(tblOrdenes[[#This Row],[backlog_habiles]]="","",IF(tblOrdenes[[#This Row],[backlog_habiles]]&lt;0,"FUTURO",IF(tblOrdenes[[#This Row],[backlog_habiles]]&gt;p_dias_backlog_max,"BACKLOG","MES CORRIENTE")))</f>
        <v/>
      </c>
      <c r="AG1126" s="5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18">
        <f>IF(tblOrdenes[[#This Row],[orden]]="","",_xlfn.XLOOKUP(tblOrdenes[[#This Row],[id_operacion]],tblEjecucion[id_operacion],tblEjecucion[precio],0))</f>
        <v/>
      </c>
      <c r="AM1126" s="18">
        <f>IF(tblOrdenes[[#This Row],[orden]]="","",MAX(0,_xlfn.XLOOKUP(tblOrdenes[[#This Row],[id_operacion]],tblEjecucion[id_operacion],tblEjecucion[costo_plan_total],0)-tblOrdenes[[#This Row],[costo_servicio]]))</f>
        <v/>
      </c>
      <c r="AN1126" s="18">
        <f>IF(tblOrdenes[[#This Row],[orden]]="","",tblOrdenes[[#This Row],[costo_servicio]]+tblOrdenes[[#This Row],[costo_materiales]])</f>
        <v/>
      </c>
      <c r="AO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5">
        <f>IF(tblOrdenes[[#This Row],[link_checklist]]="","",HYPERLINK(p_ruta_base_checklists&amp;tblOrdenes[[#This Row],[link_checklist]],"abrir"))</f>
        <v/>
      </c>
      <c r="AT1126" s="4" t="n"/>
      <c r="AU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5" t="n"/>
      <c r="K1127" s="5" t="n"/>
      <c r="L1127" s="18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Row],[fecha_inicio]]="","",tblOrdenes[[#This Row],[anio]]&amp;"-"&amp;TEXT(tblOrdenes[[#This Row],[mes]],"00"))</f>
        <v/>
      </c>
      <c r="S1127" s="5">
        <f>IF(tblOrdenes[[#This Row],[fecha_inicio]]="","",INDEX(lista_dias,WEEKDAY(tblOrdenes[[#This Row],[fecha_inicio]],2)))</f>
        <v/>
      </c>
      <c r="T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5">
        <f>IF(tblOrdenes[[#This Row],[tipo_ot]]="","",_xlfn.XLOOKUP(tblOrdenes[[#This Row],[tipo_ot]],tblTiposOT[codigo],tblTiposOT[clasificacion],"sin_clasificar"))</f>
        <v/>
      </c>
      <c r="V1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5">
        <f>IF(tblOrdenes[[#This Row],[centro_costo]]="","",_xlfn.XLOOKUP(tblOrdenes[[#This Row],[centro_costo]],tblCECO[codigo],tblCECO[linea],"(sin catálogo)"))</f>
        <v/>
      </c>
      <c r="Y1127" s="5">
        <f>IF(tblOrdenes[[#This Row],[centro_costo]]="","",_xlfn.XLOOKUP(tblOrdenes[[#This Row],[centro_costo]],tblCECO[codigo],tblCECO[area],"(sin catálogo)"))</f>
        <v/>
      </c>
      <c r="Z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5">
        <f>IF(tblOrdenes[[#This Row],[centro_costo]]="","",_xlfn.XLOOKUP(tblOrdenes[[#This Row],[centro_costo]],tblCECO[codigo],tblCECO[coordinador],"(sin catálogo)"))</f>
        <v/>
      </c>
      <c r="AB1127" s="5">
        <f>IF(tblOrdenes[[#This Row],[puesto_trabajo]]="","",_xlfn.XLOOKUP(tblOrdenes[[#This Row],[puesto_trabajo]],tblPuestos[codigo],tblPuestos[especialidad],"(sin catálogo)"))</f>
        <v/>
      </c>
      <c r="AC1127" s="5">
        <f>IF(tblOrdenes[[#This Row],[cod_actividad]]="","",_xlfn.XLOOKUP(tblOrdenes[[#This Row],[cod_actividad]],tblActividades[codigo],tblActividades[descripcion],"(sin catálogo)"))</f>
        <v/>
      </c>
      <c r="AD1127" s="23">
        <f>IF(tblOrdenes[[#This Row],[fecha_inicio]]="","",TODAY()-tblOrdenes[[#This Row],[fecha_inicio]])</f>
        <v/>
      </c>
      <c r="AE11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5">
        <f>IF(tblOrdenes[[#This Row],[backlog_habiles]]="","",IF(tblOrdenes[[#This Row],[backlog_habiles]]&lt;0,"FUTURO",IF(tblOrdenes[[#This Row],[backlog_habiles]]&gt;p_dias_backlog_max,"BACKLOG","MES CORRIENTE")))</f>
        <v/>
      </c>
      <c r="AG1127" s="5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18">
        <f>IF(tblOrdenes[[#This Row],[orden]]="","",_xlfn.XLOOKUP(tblOrdenes[[#This Row],[id_operacion]],tblEjecucion[id_operacion],tblEjecucion[precio],0))</f>
        <v/>
      </c>
      <c r="AM1127" s="18">
        <f>IF(tblOrdenes[[#This Row],[orden]]="","",MAX(0,_xlfn.XLOOKUP(tblOrdenes[[#This Row],[id_operacion]],tblEjecucion[id_operacion],tblEjecucion[costo_plan_total],0)-tblOrdenes[[#This Row],[costo_servicio]]))</f>
        <v/>
      </c>
      <c r="AN1127" s="18">
        <f>IF(tblOrdenes[[#This Row],[orden]]="","",tblOrdenes[[#This Row],[costo_servicio]]+tblOrdenes[[#This Row],[costo_materiales]])</f>
        <v/>
      </c>
      <c r="AO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5">
        <f>IF(tblOrdenes[[#This Row],[link_checklist]]="","",HYPERLINK(p_ruta_base_checklists&amp;tblOrdenes[[#This Row],[link_checklist]],"abrir"))</f>
        <v/>
      </c>
      <c r="AT1127" s="4" t="n"/>
      <c r="AU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5" t="n"/>
      <c r="K1128" s="5" t="n"/>
      <c r="L1128" s="18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Row],[fecha_inicio]]="","",tblOrdenes[[#This Row],[anio]]&amp;"-"&amp;TEXT(tblOrdenes[[#This Row],[mes]],"00"))</f>
        <v/>
      </c>
      <c r="S1128" s="5">
        <f>IF(tblOrdenes[[#This Row],[fecha_inicio]]="","",INDEX(lista_dias,WEEKDAY(tblOrdenes[[#This Row],[fecha_inicio]],2)))</f>
        <v/>
      </c>
      <c r="T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5">
        <f>IF(tblOrdenes[[#This Row],[tipo_ot]]="","",_xlfn.XLOOKUP(tblOrdenes[[#This Row],[tipo_ot]],tblTiposOT[codigo],tblTiposOT[clasificacion],"sin_clasificar"))</f>
        <v/>
      </c>
      <c r="V1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5">
        <f>IF(tblOrdenes[[#This Row],[centro_costo]]="","",_xlfn.XLOOKUP(tblOrdenes[[#This Row],[centro_costo]],tblCECO[codigo],tblCECO[linea],"(sin catálogo)"))</f>
        <v/>
      </c>
      <c r="Y1128" s="5">
        <f>IF(tblOrdenes[[#This Row],[centro_costo]]="","",_xlfn.XLOOKUP(tblOrdenes[[#This Row],[centro_costo]],tblCECO[codigo],tblCECO[area],"(sin catálogo)"))</f>
        <v/>
      </c>
      <c r="Z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5">
        <f>IF(tblOrdenes[[#This Row],[centro_costo]]="","",_xlfn.XLOOKUP(tblOrdenes[[#This Row],[centro_costo]],tblCECO[codigo],tblCECO[coordinador],"(sin catálogo)"))</f>
        <v/>
      </c>
      <c r="AB1128" s="5">
        <f>IF(tblOrdenes[[#This Row],[puesto_trabajo]]="","",_xlfn.XLOOKUP(tblOrdenes[[#This Row],[puesto_trabajo]],tblPuestos[codigo],tblPuestos[especialidad],"(sin catálogo)"))</f>
        <v/>
      </c>
      <c r="AC1128" s="5">
        <f>IF(tblOrdenes[[#This Row],[cod_actividad]]="","",_xlfn.XLOOKUP(tblOrdenes[[#This Row],[cod_actividad]],tblActividades[codigo],tblActividades[descripcion],"(sin catálogo)"))</f>
        <v/>
      </c>
      <c r="AD1128" s="23">
        <f>IF(tblOrdenes[[#This Row],[fecha_inicio]]="","",TODAY()-tblOrdenes[[#This Row],[fecha_inicio]])</f>
        <v/>
      </c>
      <c r="AE11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5">
        <f>IF(tblOrdenes[[#This Row],[backlog_habiles]]="","",IF(tblOrdenes[[#This Row],[backlog_habiles]]&lt;0,"FUTURO",IF(tblOrdenes[[#This Row],[backlog_habiles]]&gt;p_dias_backlog_max,"BACKLOG","MES CORRIENTE")))</f>
        <v/>
      </c>
      <c r="AG1128" s="5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18">
        <f>IF(tblOrdenes[[#This Row],[orden]]="","",_xlfn.XLOOKUP(tblOrdenes[[#This Row],[id_operacion]],tblEjecucion[id_operacion],tblEjecucion[precio],0))</f>
        <v/>
      </c>
      <c r="AM1128" s="18">
        <f>IF(tblOrdenes[[#This Row],[orden]]="","",MAX(0,_xlfn.XLOOKUP(tblOrdenes[[#This Row],[id_operacion]],tblEjecucion[id_operacion],tblEjecucion[costo_plan_total],0)-tblOrdenes[[#This Row],[costo_servicio]]))</f>
        <v/>
      </c>
      <c r="AN1128" s="18">
        <f>IF(tblOrdenes[[#This Row],[orden]]="","",tblOrdenes[[#This Row],[costo_servicio]]+tblOrdenes[[#This Row],[costo_materiales]])</f>
        <v/>
      </c>
      <c r="AO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5">
        <f>IF(tblOrdenes[[#This Row],[link_checklist]]="","",HYPERLINK(p_ruta_base_checklists&amp;tblOrdenes[[#This Row],[link_checklist]],"abrir"))</f>
        <v/>
      </c>
      <c r="AT1128" s="4" t="n"/>
      <c r="AU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5" t="n"/>
      <c r="K1129" s="5" t="n"/>
      <c r="L1129" s="18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Row],[fecha_inicio]]="","",tblOrdenes[[#This Row],[anio]]&amp;"-"&amp;TEXT(tblOrdenes[[#This Row],[mes]],"00"))</f>
        <v/>
      </c>
      <c r="S1129" s="5">
        <f>IF(tblOrdenes[[#This Row],[fecha_inicio]]="","",INDEX(lista_dias,WEEKDAY(tblOrdenes[[#This Row],[fecha_inicio]],2)))</f>
        <v/>
      </c>
      <c r="T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5">
        <f>IF(tblOrdenes[[#This Row],[tipo_ot]]="","",_xlfn.XLOOKUP(tblOrdenes[[#This Row],[tipo_ot]],tblTiposOT[codigo],tblTiposOT[clasificacion],"sin_clasificar"))</f>
        <v/>
      </c>
      <c r="V1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5">
        <f>IF(tblOrdenes[[#This Row],[centro_costo]]="","",_xlfn.XLOOKUP(tblOrdenes[[#This Row],[centro_costo]],tblCECO[codigo],tblCECO[linea],"(sin catálogo)"))</f>
        <v/>
      </c>
      <c r="Y1129" s="5">
        <f>IF(tblOrdenes[[#This Row],[centro_costo]]="","",_xlfn.XLOOKUP(tblOrdenes[[#This Row],[centro_costo]],tblCECO[codigo],tblCECO[area],"(sin catálogo)"))</f>
        <v/>
      </c>
      <c r="Z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5">
        <f>IF(tblOrdenes[[#This Row],[centro_costo]]="","",_xlfn.XLOOKUP(tblOrdenes[[#This Row],[centro_costo]],tblCECO[codigo],tblCECO[coordinador],"(sin catálogo)"))</f>
        <v/>
      </c>
      <c r="AB1129" s="5">
        <f>IF(tblOrdenes[[#This Row],[puesto_trabajo]]="","",_xlfn.XLOOKUP(tblOrdenes[[#This Row],[puesto_trabajo]],tblPuestos[codigo],tblPuestos[especialidad],"(sin catálogo)"))</f>
        <v/>
      </c>
      <c r="AC1129" s="5">
        <f>IF(tblOrdenes[[#This Row],[cod_actividad]]="","",_xlfn.XLOOKUP(tblOrdenes[[#This Row],[cod_actividad]],tblActividades[codigo],tblActividades[descripcion],"(sin catálogo)"))</f>
        <v/>
      </c>
      <c r="AD1129" s="23">
        <f>IF(tblOrdenes[[#This Row],[fecha_inicio]]="","",TODAY()-tblOrdenes[[#This Row],[fecha_inicio]])</f>
        <v/>
      </c>
      <c r="AE11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5">
        <f>IF(tblOrdenes[[#This Row],[backlog_habiles]]="","",IF(tblOrdenes[[#This Row],[backlog_habiles]]&lt;0,"FUTURO",IF(tblOrdenes[[#This Row],[backlog_habiles]]&gt;p_dias_backlog_max,"BACKLOG","MES CORRIENTE")))</f>
        <v/>
      </c>
      <c r="AG1129" s="5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18">
        <f>IF(tblOrdenes[[#This Row],[orden]]="","",_xlfn.XLOOKUP(tblOrdenes[[#This Row],[id_operacion]],tblEjecucion[id_operacion],tblEjecucion[precio],0))</f>
        <v/>
      </c>
      <c r="AM1129" s="18">
        <f>IF(tblOrdenes[[#This Row],[orden]]="","",MAX(0,_xlfn.XLOOKUP(tblOrdenes[[#This Row],[id_operacion]],tblEjecucion[id_operacion],tblEjecucion[costo_plan_total],0)-tblOrdenes[[#This Row],[costo_servicio]]))</f>
        <v/>
      </c>
      <c r="AN1129" s="18">
        <f>IF(tblOrdenes[[#This Row],[orden]]="","",tblOrdenes[[#This Row],[costo_servicio]]+tblOrdenes[[#This Row],[costo_materiales]])</f>
        <v/>
      </c>
      <c r="AO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5">
        <f>IF(tblOrdenes[[#This Row],[link_checklist]]="","",HYPERLINK(p_ruta_base_checklists&amp;tblOrdenes[[#This Row],[link_checklist]],"abrir"))</f>
        <v/>
      </c>
      <c r="AT1129" s="4" t="n"/>
      <c r="AU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5" t="n"/>
      <c r="K1130" s="5" t="n"/>
      <c r="L1130" s="18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Row],[fecha_inicio]]="","",tblOrdenes[[#This Row],[anio]]&amp;"-"&amp;TEXT(tblOrdenes[[#This Row],[mes]],"00"))</f>
        <v/>
      </c>
      <c r="S1130" s="5">
        <f>IF(tblOrdenes[[#This Row],[fecha_inicio]]="","",INDEX(lista_dias,WEEKDAY(tblOrdenes[[#This Row],[fecha_inicio]],2)))</f>
        <v/>
      </c>
      <c r="T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5">
        <f>IF(tblOrdenes[[#This Row],[tipo_ot]]="","",_xlfn.XLOOKUP(tblOrdenes[[#This Row],[tipo_ot]],tblTiposOT[codigo],tblTiposOT[clasificacion],"sin_clasificar"))</f>
        <v/>
      </c>
      <c r="V1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5">
        <f>IF(tblOrdenes[[#This Row],[centro_costo]]="","",_xlfn.XLOOKUP(tblOrdenes[[#This Row],[centro_costo]],tblCECO[codigo],tblCECO[linea],"(sin catálogo)"))</f>
        <v/>
      </c>
      <c r="Y1130" s="5">
        <f>IF(tblOrdenes[[#This Row],[centro_costo]]="","",_xlfn.XLOOKUP(tblOrdenes[[#This Row],[centro_costo]],tblCECO[codigo],tblCECO[area],"(sin catálogo)"))</f>
        <v/>
      </c>
      <c r="Z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5">
        <f>IF(tblOrdenes[[#This Row],[centro_costo]]="","",_xlfn.XLOOKUP(tblOrdenes[[#This Row],[centro_costo]],tblCECO[codigo],tblCECO[coordinador],"(sin catálogo)"))</f>
        <v/>
      </c>
      <c r="AB1130" s="5">
        <f>IF(tblOrdenes[[#This Row],[puesto_trabajo]]="","",_xlfn.XLOOKUP(tblOrdenes[[#This Row],[puesto_trabajo]],tblPuestos[codigo],tblPuestos[especialidad],"(sin catálogo)"))</f>
        <v/>
      </c>
      <c r="AC1130" s="5">
        <f>IF(tblOrdenes[[#This Row],[cod_actividad]]="","",_xlfn.XLOOKUP(tblOrdenes[[#This Row],[cod_actividad]],tblActividades[codigo],tblActividades[descripcion],"(sin catálogo)"))</f>
        <v/>
      </c>
      <c r="AD1130" s="23">
        <f>IF(tblOrdenes[[#This Row],[fecha_inicio]]="","",TODAY()-tblOrdenes[[#This Row],[fecha_inicio]])</f>
        <v/>
      </c>
      <c r="AE11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5">
        <f>IF(tblOrdenes[[#This Row],[backlog_habiles]]="","",IF(tblOrdenes[[#This Row],[backlog_habiles]]&lt;0,"FUTURO",IF(tblOrdenes[[#This Row],[backlog_habiles]]&gt;p_dias_backlog_max,"BACKLOG","MES CORRIENTE")))</f>
        <v/>
      </c>
      <c r="AG1130" s="5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18">
        <f>IF(tblOrdenes[[#This Row],[orden]]="","",_xlfn.XLOOKUP(tblOrdenes[[#This Row],[id_operacion]],tblEjecucion[id_operacion],tblEjecucion[precio],0))</f>
        <v/>
      </c>
      <c r="AM1130" s="18">
        <f>IF(tblOrdenes[[#This Row],[orden]]="","",MAX(0,_xlfn.XLOOKUP(tblOrdenes[[#This Row],[id_operacion]],tblEjecucion[id_operacion],tblEjecucion[costo_plan_total],0)-tblOrdenes[[#This Row],[costo_servicio]]))</f>
        <v/>
      </c>
      <c r="AN1130" s="18">
        <f>IF(tblOrdenes[[#This Row],[orden]]="","",tblOrdenes[[#This Row],[costo_servicio]]+tblOrdenes[[#This Row],[costo_materiales]])</f>
        <v/>
      </c>
      <c r="AO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5">
        <f>IF(tblOrdenes[[#This Row],[link_checklist]]="","",HYPERLINK(p_ruta_base_checklists&amp;tblOrdenes[[#This Row],[link_checklist]],"abrir"))</f>
        <v/>
      </c>
      <c r="AT1130" s="4" t="n"/>
      <c r="AU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5" t="n"/>
      <c r="K1131" s="5" t="n"/>
      <c r="L1131" s="18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Row],[fecha_inicio]]="","",tblOrdenes[[#This Row],[anio]]&amp;"-"&amp;TEXT(tblOrdenes[[#This Row],[mes]],"00"))</f>
        <v/>
      </c>
      <c r="S1131" s="5">
        <f>IF(tblOrdenes[[#This Row],[fecha_inicio]]="","",INDEX(lista_dias,WEEKDAY(tblOrdenes[[#This Row],[fecha_inicio]],2)))</f>
        <v/>
      </c>
      <c r="T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5">
        <f>IF(tblOrdenes[[#This Row],[tipo_ot]]="","",_xlfn.XLOOKUP(tblOrdenes[[#This Row],[tipo_ot]],tblTiposOT[codigo],tblTiposOT[clasificacion],"sin_clasificar"))</f>
        <v/>
      </c>
      <c r="V1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5">
        <f>IF(tblOrdenes[[#This Row],[centro_costo]]="","",_xlfn.XLOOKUP(tblOrdenes[[#This Row],[centro_costo]],tblCECO[codigo],tblCECO[linea],"(sin catálogo)"))</f>
        <v/>
      </c>
      <c r="Y1131" s="5">
        <f>IF(tblOrdenes[[#This Row],[centro_costo]]="","",_xlfn.XLOOKUP(tblOrdenes[[#This Row],[centro_costo]],tblCECO[codigo],tblCECO[area],"(sin catálogo)"))</f>
        <v/>
      </c>
      <c r="Z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5">
        <f>IF(tblOrdenes[[#This Row],[centro_costo]]="","",_xlfn.XLOOKUP(tblOrdenes[[#This Row],[centro_costo]],tblCECO[codigo],tblCECO[coordinador],"(sin catálogo)"))</f>
        <v/>
      </c>
      <c r="AB1131" s="5">
        <f>IF(tblOrdenes[[#This Row],[puesto_trabajo]]="","",_xlfn.XLOOKUP(tblOrdenes[[#This Row],[puesto_trabajo]],tblPuestos[codigo],tblPuestos[especialidad],"(sin catálogo)"))</f>
        <v/>
      </c>
      <c r="AC1131" s="5">
        <f>IF(tblOrdenes[[#This Row],[cod_actividad]]="","",_xlfn.XLOOKUP(tblOrdenes[[#This Row],[cod_actividad]],tblActividades[codigo],tblActividades[descripcion],"(sin catálogo)"))</f>
        <v/>
      </c>
      <c r="AD1131" s="23">
        <f>IF(tblOrdenes[[#This Row],[fecha_inicio]]="","",TODAY()-tblOrdenes[[#This Row],[fecha_inicio]])</f>
        <v/>
      </c>
      <c r="AE11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5">
        <f>IF(tblOrdenes[[#This Row],[backlog_habiles]]="","",IF(tblOrdenes[[#This Row],[backlog_habiles]]&lt;0,"FUTURO",IF(tblOrdenes[[#This Row],[backlog_habiles]]&gt;p_dias_backlog_max,"BACKLOG","MES CORRIENTE")))</f>
        <v/>
      </c>
      <c r="AG1131" s="5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18">
        <f>IF(tblOrdenes[[#This Row],[orden]]="","",_xlfn.XLOOKUP(tblOrdenes[[#This Row],[id_operacion]],tblEjecucion[id_operacion],tblEjecucion[precio],0))</f>
        <v/>
      </c>
      <c r="AM1131" s="18">
        <f>IF(tblOrdenes[[#This Row],[orden]]="","",MAX(0,_xlfn.XLOOKUP(tblOrdenes[[#This Row],[id_operacion]],tblEjecucion[id_operacion],tblEjecucion[costo_plan_total],0)-tblOrdenes[[#This Row],[costo_servicio]]))</f>
        <v/>
      </c>
      <c r="AN1131" s="18">
        <f>IF(tblOrdenes[[#This Row],[orden]]="","",tblOrdenes[[#This Row],[costo_servicio]]+tblOrdenes[[#This Row],[costo_materiales]])</f>
        <v/>
      </c>
      <c r="AO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5">
        <f>IF(tblOrdenes[[#This Row],[link_checklist]]="","",HYPERLINK(p_ruta_base_checklists&amp;tblOrdenes[[#This Row],[link_checklist]],"abrir"))</f>
        <v/>
      </c>
      <c r="AT1131" s="4" t="n"/>
      <c r="AU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5" t="n"/>
      <c r="K1132" s="5" t="n"/>
      <c r="L1132" s="18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Row],[fecha_inicio]]="","",tblOrdenes[[#This Row],[anio]]&amp;"-"&amp;TEXT(tblOrdenes[[#This Row],[mes]],"00"))</f>
        <v/>
      </c>
      <c r="S1132" s="5">
        <f>IF(tblOrdenes[[#This Row],[fecha_inicio]]="","",INDEX(lista_dias,WEEKDAY(tblOrdenes[[#This Row],[fecha_inicio]],2)))</f>
        <v/>
      </c>
      <c r="T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5">
        <f>IF(tblOrdenes[[#This Row],[tipo_ot]]="","",_xlfn.XLOOKUP(tblOrdenes[[#This Row],[tipo_ot]],tblTiposOT[codigo],tblTiposOT[clasificacion],"sin_clasificar"))</f>
        <v/>
      </c>
      <c r="V1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5">
        <f>IF(tblOrdenes[[#This Row],[centro_costo]]="","",_xlfn.XLOOKUP(tblOrdenes[[#This Row],[centro_costo]],tblCECO[codigo],tblCECO[linea],"(sin catálogo)"))</f>
        <v/>
      </c>
      <c r="Y1132" s="5">
        <f>IF(tblOrdenes[[#This Row],[centro_costo]]="","",_xlfn.XLOOKUP(tblOrdenes[[#This Row],[centro_costo]],tblCECO[codigo],tblCECO[area],"(sin catálogo)"))</f>
        <v/>
      </c>
      <c r="Z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5">
        <f>IF(tblOrdenes[[#This Row],[centro_costo]]="","",_xlfn.XLOOKUP(tblOrdenes[[#This Row],[centro_costo]],tblCECO[codigo],tblCECO[coordinador],"(sin catálogo)"))</f>
        <v/>
      </c>
      <c r="AB1132" s="5">
        <f>IF(tblOrdenes[[#This Row],[puesto_trabajo]]="","",_xlfn.XLOOKUP(tblOrdenes[[#This Row],[puesto_trabajo]],tblPuestos[codigo],tblPuestos[especialidad],"(sin catálogo)"))</f>
        <v/>
      </c>
      <c r="AC1132" s="5">
        <f>IF(tblOrdenes[[#This Row],[cod_actividad]]="","",_xlfn.XLOOKUP(tblOrdenes[[#This Row],[cod_actividad]],tblActividades[codigo],tblActividades[descripcion],"(sin catálogo)"))</f>
        <v/>
      </c>
      <c r="AD1132" s="23">
        <f>IF(tblOrdenes[[#This Row],[fecha_inicio]]="","",TODAY()-tblOrdenes[[#This Row],[fecha_inicio]])</f>
        <v/>
      </c>
      <c r="AE11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5">
        <f>IF(tblOrdenes[[#This Row],[backlog_habiles]]="","",IF(tblOrdenes[[#This Row],[backlog_habiles]]&lt;0,"FUTURO",IF(tblOrdenes[[#This Row],[backlog_habiles]]&gt;p_dias_backlog_max,"BACKLOG","MES CORRIENTE")))</f>
        <v/>
      </c>
      <c r="AG1132" s="5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18">
        <f>IF(tblOrdenes[[#This Row],[orden]]="","",_xlfn.XLOOKUP(tblOrdenes[[#This Row],[id_operacion]],tblEjecucion[id_operacion],tblEjecucion[precio],0))</f>
        <v/>
      </c>
      <c r="AM1132" s="18">
        <f>IF(tblOrdenes[[#This Row],[orden]]="","",MAX(0,_xlfn.XLOOKUP(tblOrdenes[[#This Row],[id_operacion]],tblEjecucion[id_operacion],tblEjecucion[costo_plan_total],0)-tblOrdenes[[#This Row],[costo_servicio]]))</f>
        <v/>
      </c>
      <c r="AN1132" s="18">
        <f>IF(tblOrdenes[[#This Row],[orden]]="","",tblOrdenes[[#This Row],[costo_servicio]]+tblOrdenes[[#This Row],[costo_materiales]])</f>
        <v/>
      </c>
      <c r="AO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5">
        <f>IF(tblOrdenes[[#This Row],[link_checklist]]="","",HYPERLINK(p_ruta_base_checklists&amp;tblOrdenes[[#This Row],[link_checklist]],"abrir"))</f>
        <v/>
      </c>
      <c r="AT1132" s="4" t="n"/>
      <c r="AU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5" t="n"/>
      <c r="K1133" s="5" t="n"/>
      <c r="L1133" s="18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Row],[fecha_inicio]]="","",tblOrdenes[[#This Row],[anio]]&amp;"-"&amp;TEXT(tblOrdenes[[#This Row],[mes]],"00"))</f>
        <v/>
      </c>
      <c r="S1133" s="5">
        <f>IF(tblOrdenes[[#This Row],[fecha_inicio]]="","",INDEX(lista_dias,WEEKDAY(tblOrdenes[[#This Row],[fecha_inicio]],2)))</f>
        <v/>
      </c>
      <c r="T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5">
        <f>IF(tblOrdenes[[#This Row],[tipo_ot]]="","",_xlfn.XLOOKUP(tblOrdenes[[#This Row],[tipo_ot]],tblTiposOT[codigo],tblTiposOT[clasificacion],"sin_clasificar"))</f>
        <v/>
      </c>
      <c r="V1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5">
        <f>IF(tblOrdenes[[#This Row],[centro_costo]]="","",_xlfn.XLOOKUP(tblOrdenes[[#This Row],[centro_costo]],tblCECO[codigo],tblCECO[linea],"(sin catálogo)"))</f>
        <v/>
      </c>
      <c r="Y1133" s="5">
        <f>IF(tblOrdenes[[#This Row],[centro_costo]]="","",_xlfn.XLOOKUP(tblOrdenes[[#This Row],[centro_costo]],tblCECO[codigo],tblCECO[area],"(sin catálogo)"))</f>
        <v/>
      </c>
      <c r="Z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5">
        <f>IF(tblOrdenes[[#This Row],[centro_costo]]="","",_xlfn.XLOOKUP(tblOrdenes[[#This Row],[centro_costo]],tblCECO[codigo],tblCECO[coordinador],"(sin catálogo)"))</f>
        <v/>
      </c>
      <c r="AB1133" s="5">
        <f>IF(tblOrdenes[[#This Row],[puesto_trabajo]]="","",_xlfn.XLOOKUP(tblOrdenes[[#This Row],[puesto_trabajo]],tblPuestos[codigo],tblPuestos[especialidad],"(sin catálogo)"))</f>
        <v/>
      </c>
      <c r="AC1133" s="5">
        <f>IF(tblOrdenes[[#This Row],[cod_actividad]]="","",_xlfn.XLOOKUP(tblOrdenes[[#This Row],[cod_actividad]],tblActividades[codigo],tblActividades[descripcion],"(sin catálogo)"))</f>
        <v/>
      </c>
      <c r="AD1133" s="23">
        <f>IF(tblOrdenes[[#This Row],[fecha_inicio]]="","",TODAY()-tblOrdenes[[#This Row],[fecha_inicio]])</f>
        <v/>
      </c>
      <c r="AE11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5">
        <f>IF(tblOrdenes[[#This Row],[backlog_habiles]]="","",IF(tblOrdenes[[#This Row],[backlog_habiles]]&lt;0,"FUTURO",IF(tblOrdenes[[#This Row],[backlog_habiles]]&gt;p_dias_backlog_max,"BACKLOG","MES CORRIENTE")))</f>
        <v/>
      </c>
      <c r="AG1133" s="5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18">
        <f>IF(tblOrdenes[[#This Row],[orden]]="","",_xlfn.XLOOKUP(tblOrdenes[[#This Row],[id_operacion]],tblEjecucion[id_operacion],tblEjecucion[precio],0))</f>
        <v/>
      </c>
      <c r="AM1133" s="18">
        <f>IF(tblOrdenes[[#This Row],[orden]]="","",MAX(0,_xlfn.XLOOKUP(tblOrdenes[[#This Row],[id_operacion]],tblEjecucion[id_operacion],tblEjecucion[costo_plan_total],0)-tblOrdenes[[#This Row],[costo_servicio]]))</f>
        <v/>
      </c>
      <c r="AN1133" s="18">
        <f>IF(tblOrdenes[[#This Row],[orden]]="","",tblOrdenes[[#This Row],[costo_servicio]]+tblOrdenes[[#This Row],[costo_materiales]])</f>
        <v/>
      </c>
      <c r="AO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5">
        <f>IF(tblOrdenes[[#This Row],[link_checklist]]="","",HYPERLINK(p_ruta_base_checklists&amp;tblOrdenes[[#This Row],[link_checklist]],"abrir"))</f>
        <v/>
      </c>
      <c r="AT1133" s="4" t="n"/>
      <c r="AU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5" t="n"/>
      <c r="K1134" s="5" t="n"/>
      <c r="L1134" s="18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Row],[fecha_inicio]]="","",tblOrdenes[[#This Row],[anio]]&amp;"-"&amp;TEXT(tblOrdenes[[#This Row],[mes]],"00"))</f>
        <v/>
      </c>
      <c r="S1134" s="5">
        <f>IF(tblOrdenes[[#This Row],[fecha_inicio]]="","",INDEX(lista_dias,WEEKDAY(tblOrdenes[[#This Row],[fecha_inicio]],2)))</f>
        <v/>
      </c>
      <c r="T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5">
        <f>IF(tblOrdenes[[#This Row],[tipo_ot]]="","",_xlfn.XLOOKUP(tblOrdenes[[#This Row],[tipo_ot]],tblTiposOT[codigo],tblTiposOT[clasificacion],"sin_clasificar"))</f>
        <v/>
      </c>
      <c r="V1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5">
        <f>IF(tblOrdenes[[#This Row],[centro_costo]]="","",_xlfn.XLOOKUP(tblOrdenes[[#This Row],[centro_costo]],tblCECO[codigo],tblCECO[linea],"(sin catálogo)"))</f>
        <v/>
      </c>
      <c r="Y1134" s="5">
        <f>IF(tblOrdenes[[#This Row],[centro_costo]]="","",_xlfn.XLOOKUP(tblOrdenes[[#This Row],[centro_costo]],tblCECO[codigo],tblCECO[area],"(sin catálogo)"))</f>
        <v/>
      </c>
      <c r="Z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5">
        <f>IF(tblOrdenes[[#This Row],[centro_costo]]="","",_xlfn.XLOOKUP(tblOrdenes[[#This Row],[centro_costo]],tblCECO[codigo],tblCECO[coordinador],"(sin catálogo)"))</f>
        <v/>
      </c>
      <c r="AB1134" s="5">
        <f>IF(tblOrdenes[[#This Row],[puesto_trabajo]]="","",_xlfn.XLOOKUP(tblOrdenes[[#This Row],[puesto_trabajo]],tblPuestos[codigo],tblPuestos[especialidad],"(sin catálogo)"))</f>
        <v/>
      </c>
      <c r="AC1134" s="5">
        <f>IF(tblOrdenes[[#This Row],[cod_actividad]]="","",_xlfn.XLOOKUP(tblOrdenes[[#This Row],[cod_actividad]],tblActividades[codigo],tblActividades[descripcion],"(sin catálogo)"))</f>
        <v/>
      </c>
      <c r="AD1134" s="23">
        <f>IF(tblOrdenes[[#This Row],[fecha_inicio]]="","",TODAY()-tblOrdenes[[#This Row],[fecha_inicio]])</f>
        <v/>
      </c>
      <c r="AE11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5">
        <f>IF(tblOrdenes[[#This Row],[backlog_habiles]]="","",IF(tblOrdenes[[#This Row],[backlog_habiles]]&lt;0,"FUTURO",IF(tblOrdenes[[#This Row],[backlog_habiles]]&gt;p_dias_backlog_max,"BACKLOG","MES CORRIENTE")))</f>
        <v/>
      </c>
      <c r="AG1134" s="5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18">
        <f>IF(tblOrdenes[[#This Row],[orden]]="","",_xlfn.XLOOKUP(tblOrdenes[[#This Row],[id_operacion]],tblEjecucion[id_operacion],tblEjecucion[precio],0))</f>
        <v/>
      </c>
      <c r="AM1134" s="18">
        <f>IF(tblOrdenes[[#This Row],[orden]]="","",MAX(0,_xlfn.XLOOKUP(tblOrdenes[[#This Row],[id_operacion]],tblEjecucion[id_operacion],tblEjecucion[costo_plan_total],0)-tblOrdenes[[#This Row],[costo_servicio]]))</f>
        <v/>
      </c>
      <c r="AN1134" s="18">
        <f>IF(tblOrdenes[[#This Row],[orden]]="","",tblOrdenes[[#This Row],[costo_servicio]]+tblOrdenes[[#This Row],[costo_materiales]])</f>
        <v/>
      </c>
      <c r="AO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5">
        <f>IF(tblOrdenes[[#This Row],[link_checklist]]="","",HYPERLINK(p_ruta_base_checklists&amp;tblOrdenes[[#This Row],[link_checklist]],"abrir"))</f>
        <v/>
      </c>
      <c r="AT1134" s="4" t="n"/>
      <c r="AU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5" t="n"/>
      <c r="K1135" s="5" t="n"/>
      <c r="L1135" s="18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Row],[fecha_inicio]]="","",tblOrdenes[[#This Row],[anio]]&amp;"-"&amp;TEXT(tblOrdenes[[#This Row],[mes]],"00"))</f>
        <v/>
      </c>
      <c r="S1135" s="5">
        <f>IF(tblOrdenes[[#This Row],[fecha_inicio]]="","",INDEX(lista_dias,WEEKDAY(tblOrdenes[[#This Row],[fecha_inicio]],2)))</f>
        <v/>
      </c>
      <c r="T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5">
        <f>IF(tblOrdenes[[#This Row],[tipo_ot]]="","",_xlfn.XLOOKUP(tblOrdenes[[#This Row],[tipo_ot]],tblTiposOT[codigo],tblTiposOT[clasificacion],"sin_clasificar"))</f>
        <v/>
      </c>
      <c r="V1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5">
        <f>IF(tblOrdenes[[#This Row],[centro_costo]]="","",_xlfn.XLOOKUP(tblOrdenes[[#This Row],[centro_costo]],tblCECO[codigo],tblCECO[linea],"(sin catálogo)"))</f>
        <v/>
      </c>
      <c r="Y1135" s="5">
        <f>IF(tblOrdenes[[#This Row],[centro_costo]]="","",_xlfn.XLOOKUP(tblOrdenes[[#This Row],[centro_costo]],tblCECO[codigo],tblCECO[area],"(sin catálogo)"))</f>
        <v/>
      </c>
      <c r="Z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5">
        <f>IF(tblOrdenes[[#This Row],[centro_costo]]="","",_xlfn.XLOOKUP(tblOrdenes[[#This Row],[centro_costo]],tblCECO[codigo],tblCECO[coordinador],"(sin catálogo)"))</f>
        <v/>
      </c>
      <c r="AB1135" s="5">
        <f>IF(tblOrdenes[[#This Row],[puesto_trabajo]]="","",_xlfn.XLOOKUP(tblOrdenes[[#This Row],[puesto_trabajo]],tblPuestos[codigo],tblPuestos[especialidad],"(sin catálogo)"))</f>
        <v/>
      </c>
      <c r="AC1135" s="5">
        <f>IF(tblOrdenes[[#This Row],[cod_actividad]]="","",_xlfn.XLOOKUP(tblOrdenes[[#This Row],[cod_actividad]],tblActividades[codigo],tblActividades[descripcion],"(sin catálogo)"))</f>
        <v/>
      </c>
      <c r="AD1135" s="23">
        <f>IF(tblOrdenes[[#This Row],[fecha_inicio]]="","",TODAY()-tblOrdenes[[#This Row],[fecha_inicio]])</f>
        <v/>
      </c>
      <c r="AE11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5">
        <f>IF(tblOrdenes[[#This Row],[backlog_habiles]]="","",IF(tblOrdenes[[#This Row],[backlog_habiles]]&lt;0,"FUTURO",IF(tblOrdenes[[#This Row],[backlog_habiles]]&gt;p_dias_backlog_max,"BACKLOG","MES CORRIENTE")))</f>
        <v/>
      </c>
      <c r="AG1135" s="5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18">
        <f>IF(tblOrdenes[[#This Row],[orden]]="","",_xlfn.XLOOKUP(tblOrdenes[[#This Row],[id_operacion]],tblEjecucion[id_operacion],tblEjecucion[precio],0))</f>
        <v/>
      </c>
      <c r="AM1135" s="18">
        <f>IF(tblOrdenes[[#This Row],[orden]]="","",MAX(0,_xlfn.XLOOKUP(tblOrdenes[[#This Row],[id_operacion]],tblEjecucion[id_operacion],tblEjecucion[costo_plan_total],0)-tblOrdenes[[#This Row],[costo_servicio]]))</f>
        <v/>
      </c>
      <c r="AN1135" s="18">
        <f>IF(tblOrdenes[[#This Row],[orden]]="","",tblOrdenes[[#This Row],[costo_servicio]]+tblOrdenes[[#This Row],[costo_materiales]])</f>
        <v/>
      </c>
      <c r="AO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5">
        <f>IF(tblOrdenes[[#This Row],[link_checklist]]="","",HYPERLINK(p_ruta_base_checklists&amp;tblOrdenes[[#This Row],[link_checklist]],"abrir"))</f>
        <v/>
      </c>
      <c r="AT1135" s="4" t="n"/>
      <c r="AU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5" t="n"/>
      <c r="K1136" s="5" t="n"/>
      <c r="L1136" s="18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Row],[fecha_inicio]]="","",tblOrdenes[[#This Row],[anio]]&amp;"-"&amp;TEXT(tblOrdenes[[#This Row],[mes]],"00"))</f>
        <v/>
      </c>
      <c r="S1136" s="5">
        <f>IF(tblOrdenes[[#This Row],[fecha_inicio]]="","",INDEX(lista_dias,WEEKDAY(tblOrdenes[[#This Row],[fecha_inicio]],2)))</f>
        <v/>
      </c>
      <c r="T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5">
        <f>IF(tblOrdenes[[#This Row],[tipo_ot]]="","",_xlfn.XLOOKUP(tblOrdenes[[#This Row],[tipo_ot]],tblTiposOT[codigo],tblTiposOT[clasificacion],"sin_clasificar"))</f>
        <v/>
      </c>
      <c r="V1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5">
        <f>IF(tblOrdenes[[#This Row],[centro_costo]]="","",_xlfn.XLOOKUP(tblOrdenes[[#This Row],[centro_costo]],tblCECO[codigo],tblCECO[linea],"(sin catálogo)"))</f>
        <v/>
      </c>
      <c r="Y1136" s="5">
        <f>IF(tblOrdenes[[#This Row],[centro_costo]]="","",_xlfn.XLOOKUP(tblOrdenes[[#This Row],[centro_costo]],tblCECO[codigo],tblCECO[area],"(sin catálogo)"))</f>
        <v/>
      </c>
      <c r="Z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5">
        <f>IF(tblOrdenes[[#This Row],[centro_costo]]="","",_xlfn.XLOOKUP(tblOrdenes[[#This Row],[centro_costo]],tblCECO[codigo],tblCECO[coordinador],"(sin catálogo)"))</f>
        <v/>
      </c>
      <c r="AB1136" s="5">
        <f>IF(tblOrdenes[[#This Row],[puesto_trabajo]]="","",_xlfn.XLOOKUP(tblOrdenes[[#This Row],[puesto_trabajo]],tblPuestos[codigo],tblPuestos[especialidad],"(sin catálogo)"))</f>
        <v/>
      </c>
      <c r="AC1136" s="5">
        <f>IF(tblOrdenes[[#This Row],[cod_actividad]]="","",_xlfn.XLOOKUP(tblOrdenes[[#This Row],[cod_actividad]],tblActividades[codigo],tblActividades[descripcion],"(sin catálogo)"))</f>
        <v/>
      </c>
      <c r="AD1136" s="23">
        <f>IF(tblOrdenes[[#This Row],[fecha_inicio]]="","",TODAY()-tblOrdenes[[#This Row],[fecha_inicio]])</f>
        <v/>
      </c>
      <c r="AE11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5">
        <f>IF(tblOrdenes[[#This Row],[backlog_habiles]]="","",IF(tblOrdenes[[#This Row],[backlog_habiles]]&lt;0,"FUTURO",IF(tblOrdenes[[#This Row],[backlog_habiles]]&gt;p_dias_backlog_max,"BACKLOG","MES CORRIENTE")))</f>
        <v/>
      </c>
      <c r="AG1136" s="5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18">
        <f>IF(tblOrdenes[[#This Row],[orden]]="","",_xlfn.XLOOKUP(tblOrdenes[[#This Row],[id_operacion]],tblEjecucion[id_operacion],tblEjecucion[precio],0))</f>
        <v/>
      </c>
      <c r="AM1136" s="18">
        <f>IF(tblOrdenes[[#This Row],[orden]]="","",MAX(0,_xlfn.XLOOKUP(tblOrdenes[[#This Row],[id_operacion]],tblEjecucion[id_operacion],tblEjecucion[costo_plan_total],0)-tblOrdenes[[#This Row],[costo_servicio]]))</f>
        <v/>
      </c>
      <c r="AN1136" s="18">
        <f>IF(tblOrdenes[[#This Row],[orden]]="","",tblOrdenes[[#This Row],[costo_servicio]]+tblOrdenes[[#This Row],[costo_materiales]])</f>
        <v/>
      </c>
      <c r="AO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5">
        <f>IF(tblOrdenes[[#This Row],[link_checklist]]="","",HYPERLINK(p_ruta_base_checklists&amp;tblOrdenes[[#This Row],[link_checklist]],"abrir"))</f>
        <v/>
      </c>
      <c r="AT1136" s="4" t="n"/>
      <c r="AU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5" t="n"/>
      <c r="K1137" s="5" t="n"/>
      <c r="L1137" s="18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Row],[fecha_inicio]]="","",tblOrdenes[[#This Row],[anio]]&amp;"-"&amp;TEXT(tblOrdenes[[#This Row],[mes]],"00"))</f>
        <v/>
      </c>
      <c r="S1137" s="5">
        <f>IF(tblOrdenes[[#This Row],[fecha_inicio]]="","",INDEX(lista_dias,WEEKDAY(tblOrdenes[[#This Row],[fecha_inicio]],2)))</f>
        <v/>
      </c>
      <c r="T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5">
        <f>IF(tblOrdenes[[#This Row],[tipo_ot]]="","",_xlfn.XLOOKUP(tblOrdenes[[#This Row],[tipo_ot]],tblTiposOT[codigo],tblTiposOT[clasificacion],"sin_clasificar"))</f>
        <v/>
      </c>
      <c r="V1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5">
        <f>IF(tblOrdenes[[#This Row],[centro_costo]]="","",_xlfn.XLOOKUP(tblOrdenes[[#This Row],[centro_costo]],tblCECO[codigo],tblCECO[linea],"(sin catálogo)"))</f>
        <v/>
      </c>
      <c r="Y1137" s="5">
        <f>IF(tblOrdenes[[#This Row],[centro_costo]]="","",_xlfn.XLOOKUP(tblOrdenes[[#This Row],[centro_costo]],tblCECO[codigo],tblCECO[area],"(sin catálogo)"))</f>
        <v/>
      </c>
      <c r="Z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5">
        <f>IF(tblOrdenes[[#This Row],[centro_costo]]="","",_xlfn.XLOOKUP(tblOrdenes[[#This Row],[centro_costo]],tblCECO[codigo],tblCECO[coordinador],"(sin catálogo)"))</f>
        <v/>
      </c>
      <c r="AB1137" s="5">
        <f>IF(tblOrdenes[[#This Row],[puesto_trabajo]]="","",_xlfn.XLOOKUP(tblOrdenes[[#This Row],[puesto_trabajo]],tblPuestos[codigo],tblPuestos[especialidad],"(sin catálogo)"))</f>
        <v/>
      </c>
      <c r="AC1137" s="5">
        <f>IF(tblOrdenes[[#This Row],[cod_actividad]]="","",_xlfn.XLOOKUP(tblOrdenes[[#This Row],[cod_actividad]],tblActividades[codigo],tblActividades[descripcion],"(sin catálogo)"))</f>
        <v/>
      </c>
      <c r="AD1137" s="23">
        <f>IF(tblOrdenes[[#This Row],[fecha_inicio]]="","",TODAY()-tblOrdenes[[#This Row],[fecha_inicio]])</f>
        <v/>
      </c>
      <c r="AE11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5">
        <f>IF(tblOrdenes[[#This Row],[backlog_habiles]]="","",IF(tblOrdenes[[#This Row],[backlog_habiles]]&lt;0,"FUTURO",IF(tblOrdenes[[#This Row],[backlog_habiles]]&gt;p_dias_backlog_max,"BACKLOG","MES CORRIENTE")))</f>
        <v/>
      </c>
      <c r="AG1137" s="5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18">
        <f>IF(tblOrdenes[[#This Row],[orden]]="","",_xlfn.XLOOKUP(tblOrdenes[[#This Row],[id_operacion]],tblEjecucion[id_operacion],tblEjecucion[precio],0))</f>
        <v/>
      </c>
      <c r="AM1137" s="18">
        <f>IF(tblOrdenes[[#This Row],[orden]]="","",MAX(0,_xlfn.XLOOKUP(tblOrdenes[[#This Row],[id_operacion]],tblEjecucion[id_operacion],tblEjecucion[costo_plan_total],0)-tblOrdenes[[#This Row],[costo_servicio]]))</f>
        <v/>
      </c>
      <c r="AN1137" s="18">
        <f>IF(tblOrdenes[[#This Row],[orden]]="","",tblOrdenes[[#This Row],[costo_servicio]]+tblOrdenes[[#This Row],[costo_materiales]])</f>
        <v/>
      </c>
      <c r="AO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5">
        <f>IF(tblOrdenes[[#This Row],[link_checklist]]="","",HYPERLINK(p_ruta_base_checklists&amp;tblOrdenes[[#This Row],[link_checklist]],"abrir"))</f>
        <v/>
      </c>
      <c r="AT1137" s="4" t="n"/>
      <c r="AU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5" t="n"/>
      <c r="K1138" s="5" t="n"/>
      <c r="L1138" s="18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Row],[fecha_inicio]]="","",tblOrdenes[[#This Row],[anio]]&amp;"-"&amp;TEXT(tblOrdenes[[#This Row],[mes]],"00"))</f>
        <v/>
      </c>
      <c r="S1138" s="5">
        <f>IF(tblOrdenes[[#This Row],[fecha_inicio]]="","",INDEX(lista_dias,WEEKDAY(tblOrdenes[[#This Row],[fecha_inicio]],2)))</f>
        <v/>
      </c>
      <c r="T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5">
        <f>IF(tblOrdenes[[#This Row],[tipo_ot]]="","",_xlfn.XLOOKUP(tblOrdenes[[#This Row],[tipo_ot]],tblTiposOT[codigo],tblTiposOT[clasificacion],"sin_clasificar"))</f>
        <v/>
      </c>
      <c r="V1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5">
        <f>IF(tblOrdenes[[#This Row],[centro_costo]]="","",_xlfn.XLOOKUP(tblOrdenes[[#This Row],[centro_costo]],tblCECO[codigo],tblCECO[linea],"(sin catálogo)"))</f>
        <v/>
      </c>
      <c r="Y1138" s="5">
        <f>IF(tblOrdenes[[#This Row],[centro_costo]]="","",_xlfn.XLOOKUP(tblOrdenes[[#This Row],[centro_costo]],tblCECO[codigo],tblCECO[area],"(sin catálogo)"))</f>
        <v/>
      </c>
      <c r="Z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5">
        <f>IF(tblOrdenes[[#This Row],[centro_costo]]="","",_xlfn.XLOOKUP(tblOrdenes[[#This Row],[centro_costo]],tblCECO[codigo],tblCECO[coordinador],"(sin catálogo)"))</f>
        <v/>
      </c>
      <c r="AB1138" s="5">
        <f>IF(tblOrdenes[[#This Row],[puesto_trabajo]]="","",_xlfn.XLOOKUP(tblOrdenes[[#This Row],[puesto_trabajo]],tblPuestos[codigo],tblPuestos[especialidad],"(sin catálogo)"))</f>
        <v/>
      </c>
      <c r="AC1138" s="5">
        <f>IF(tblOrdenes[[#This Row],[cod_actividad]]="","",_xlfn.XLOOKUP(tblOrdenes[[#This Row],[cod_actividad]],tblActividades[codigo],tblActividades[descripcion],"(sin catálogo)"))</f>
        <v/>
      </c>
      <c r="AD1138" s="23">
        <f>IF(tblOrdenes[[#This Row],[fecha_inicio]]="","",TODAY()-tblOrdenes[[#This Row],[fecha_inicio]])</f>
        <v/>
      </c>
      <c r="AE11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5">
        <f>IF(tblOrdenes[[#This Row],[backlog_habiles]]="","",IF(tblOrdenes[[#This Row],[backlog_habiles]]&lt;0,"FUTURO",IF(tblOrdenes[[#This Row],[backlog_habiles]]&gt;p_dias_backlog_max,"BACKLOG","MES CORRIENTE")))</f>
        <v/>
      </c>
      <c r="AG1138" s="5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18">
        <f>IF(tblOrdenes[[#This Row],[orden]]="","",_xlfn.XLOOKUP(tblOrdenes[[#This Row],[id_operacion]],tblEjecucion[id_operacion],tblEjecucion[precio],0))</f>
        <v/>
      </c>
      <c r="AM1138" s="18">
        <f>IF(tblOrdenes[[#This Row],[orden]]="","",MAX(0,_xlfn.XLOOKUP(tblOrdenes[[#This Row],[id_operacion]],tblEjecucion[id_operacion],tblEjecucion[costo_plan_total],0)-tblOrdenes[[#This Row],[costo_servicio]]))</f>
        <v/>
      </c>
      <c r="AN1138" s="18">
        <f>IF(tblOrdenes[[#This Row],[orden]]="","",tblOrdenes[[#This Row],[costo_servicio]]+tblOrdenes[[#This Row],[costo_materiales]])</f>
        <v/>
      </c>
      <c r="AO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5">
        <f>IF(tblOrdenes[[#This Row],[link_checklist]]="","",HYPERLINK(p_ruta_base_checklists&amp;tblOrdenes[[#This Row],[link_checklist]],"abrir"))</f>
        <v/>
      </c>
      <c r="AT1138" s="4" t="n"/>
      <c r="AU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5" t="n"/>
      <c r="K1139" s="5" t="n"/>
      <c r="L1139" s="18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Row],[fecha_inicio]]="","",tblOrdenes[[#This Row],[anio]]&amp;"-"&amp;TEXT(tblOrdenes[[#This Row],[mes]],"00"))</f>
        <v/>
      </c>
      <c r="S1139" s="5">
        <f>IF(tblOrdenes[[#This Row],[fecha_inicio]]="","",INDEX(lista_dias,WEEKDAY(tblOrdenes[[#This Row],[fecha_inicio]],2)))</f>
        <v/>
      </c>
      <c r="T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5">
        <f>IF(tblOrdenes[[#This Row],[tipo_ot]]="","",_xlfn.XLOOKUP(tblOrdenes[[#This Row],[tipo_ot]],tblTiposOT[codigo],tblTiposOT[clasificacion],"sin_clasificar"))</f>
        <v/>
      </c>
      <c r="V1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5">
        <f>IF(tblOrdenes[[#This Row],[centro_costo]]="","",_xlfn.XLOOKUP(tblOrdenes[[#This Row],[centro_costo]],tblCECO[codigo],tblCECO[linea],"(sin catálogo)"))</f>
        <v/>
      </c>
      <c r="Y1139" s="5">
        <f>IF(tblOrdenes[[#This Row],[centro_costo]]="","",_xlfn.XLOOKUP(tblOrdenes[[#This Row],[centro_costo]],tblCECO[codigo],tblCECO[area],"(sin catálogo)"))</f>
        <v/>
      </c>
      <c r="Z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5">
        <f>IF(tblOrdenes[[#This Row],[centro_costo]]="","",_xlfn.XLOOKUP(tblOrdenes[[#This Row],[centro_costo]],tblCECO[codigo],tblCECO[coordinador],"(sin catálogo)"))</f>
        <v/>
      </c>
      <c r="AB1139" s="5">
        <f>IF(tblOrdenes[[#This Row],[puesto_trabajo]]="","",_xlfn.XLOOKUP(tblOrdenes[[#This Row],[puesto_trabajo]],tblPuestos[codigo],tblPuestos[especialidad],"(sin catálogo)"))</f>
        <v/>
      </c>
      <c r="AC1139" s="5">
        <f>IF(tblOrdenes[[#This Row],[cod_actividad]]="","",_xlfn.XLOOKUP(tblOrdenes[[#This Row],[cod_actividad]],tblActividades[codigo],tblActividades[descripcion],"(sin catálogo)"))</f>
        <v/>
      </c>
      <c r="AD1139" s="23">
        <f>IF(tblOrdenes[[#This Row],[fecha_inicio]]="","",TODAY()-tblOrdenes[[#This Row],[fecha_inicio]])</f>
        <v/>
      </c>
      <c r="AE11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5">
        <f>IF(tblOrdenes[[#This Row],[backlog_habiles]]="","",IF(tblOrdenes[[#This Row],[backlog_habiles]]&lt;0,"FUTURO",IF(tblOrdenes[[#This Row],[backlog_habiles]]&gt;p_dias_backlog_max,"BACKLOG","MES CORRIENTE")))</f>
        <v/>
      </c>
      <c r="AG1139" s="5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18">
        <f>IF(tblOrdenes[[#This Row],[orden]]="","",_xlfn.XLOOKUP(tblOrdenes[[#This Row],[id_operacion]],tblEjecucion[id_operacion],tblEjecucion[precio],0))</f>
        <v/>
      </c>
      <c r="AM1139" s="18">
        <f>IF(tblOrdenes[[#This Row],[orden]]="","",MAX(0,_xlfn.XLOOKUP(tblOrdenes[[#This Row],[id_operacion]],tblEjecucion[id_operacion],tblEjecucion[costo_plan_total],0)-tblOrdenes[[#This Row],[costo_servicio]]))</f>
        <v/>
      </c>
      <c r="AN1139" s="18">
        <f>IF(tblOrdenes[[#This Row],[orden]]="","",tblOrdenes[[#This Row],[costo_servicio]]+tblOrdenes[[#This Row],[costo_materiales]])</f>
        <v/>
      </c>
      <c r="AO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5">
        <f>IF(tblOrdenes[[#This Row],[link_checklist]]="","",HYPERLINK(p_ruta_base_checklists&amp;tblOrdenes[[#This Row],[link_checklist]],"abrir"))</f>
        <v/>
      </c>
      <c r="AT1139" s="4" t="n"/>
      <c r="AU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5" t="n"/>
      <c r="K1140" s="5" t="n"/>
      <c r="L1140" s="18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Row],[fecha_inicio]]="","",tblOrdenes[[#This Row],[anio]]&amp;"-"&amp;TEXT(tblOrdenes[[#This Row],[mes]],"00"))</f>
        <v/>
      </c>
      <c r="S1140" s="5">
        <f>IF(tblOrdenes[[#This Row],[fecha_inicio]]="","",INDEX(lista_dias,WEEKDAY(tblOrdenes[[#This Row],[fecha_inicio]],2)))</f>
        <v/>
      </c>
      <c r="T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5">
        <f>IF(tblOrdenes[[#This Row],[tipo_ot]]="","",_xlfn.XLOOKUP(tblOrdenes[[#This Row],[tipo_ot]],tblTiposOT[codigo],tblTiposOT[clasificacion],"sin_clasificar"))</f>
        <v/>
      </c>
      <c r="V1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5">
        <f>IF(tblOrdenes[[#This Row],[centro_costo]]="","",_xlfn.XLOOKUP(tblOrdenes[[#This Row],[centro_costo]],tblCECO[codigo],tblCECO[linea],"(sin catálogo)"))</f>
        <v/>
      </c>
      <c r="Y1140" s="5">
        <f>IF(tblOrdenes[[#This Row],[centro_costo]]="","",_xlfn.XLOOKUP(tblOrdenes[[#This Row],[centro_costo]],tblCECO[codigo],tblCECO[area],"(sin catálogo)"))</f>
        <v/>
      </c>
      <c r="Z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5">
        <f>IF(tblOrdenes[[#This Row],[centro_costo]]="","",_xlfn.XLOOKUP(tblOrdenes[[#This Row],[centro_costo]],tblCECO[codigo],tblCECO[coordinador],"(sin catálogo)"))</f>
        <v/>
      </c>
      <c r="AB1140" s="5">
        <f>IF(tblOrdenes[[#This Row],[puesto_trabajo]]="","",_xlfn.XLOOKUP(tblOrdenes[[#This Row],[puesto_trabajo]],tblPuestos[codigo],tblPuestos[especialidad],"(sin catálogo)"))</f>
        <v/>
      </c>
      <c r="AC1140" s="5">
        <f>IF(tblOrdenes[[#This Row],[cod_actividad]]="","",_xlfn.XLOOKUP(tblOrdenes[[#This Row],[cod_actividad]],tblActividades[codigo],tblActividades[descripcion],"(sin catálogo)"))</f>
        <v/>
      </c>
      <c r="AD1140" s="23">
        <f>IF(tblOrdenes[[#This Row],[fecha_inicio]]="","",TODAY()-tblOrdenes[[#This Row],[fecha_inicio]])</f>
        <v/>
      </c>
      <c r="AE11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5">
        <f>IF(tblOrdenes[[#This Row],[backlog_habiles]]="","",IF(tblOrdenes[[#This Row],[backlog_habiles]]&lt;0,"FUTURO",IF(tblOrdenes[[#This Row],[backlog_habiles]]&gt;p_dias_backlog_max,"BACKLOG","MES CORRIENTE")))</f>
        <v/>
      </c>
      <c r="AG1140" s="5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18">
        <f>IF(tblOrdenes[[#This Row],[orden]]="","",_xlfn.XLOOKUP(tblOrdenes[[#This Row],[id_operacion]],tblEjecucion[id_operacion],tblEjecucion[precio],0))</f>
        <v/>
      </c>
      <c r="AM1140" s="18">
        <f>IF(tblOrdenes[[#This Row],[orden]]="","",MAX(0,_xlfn.XLOOKUP(tblOrdenes[[#This Row],[id_operacion]],tblEjecucion[id_operacion],tblEjecucion[costo_plan_total],0)-tblOrdenes[[#This Row],[costo_servicio]]))</f>
        <v/>
      </c>
      <c r="AN1140" s="18">
        <f>IF(tblOrdenes[[#This Row],[orden]]="","",tblOrdenes[[#This Row],[costo_servicio]]+tblOrdenes[[#This Row],[costo_materiales]])</f>
        <v/>
      </c>
      <c r="AO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5">
        <f>IF(tblOrdenes[[#This Row],[link_checklist]]="","",HYPERLINK(p_ruta_base_checklists&amp;tblOrdenes[[#This Row],[link_checklist]],"abrir"))</f>
        <v/>
      </c>
      <c r="AT1140" s="4" t="n"/>
      <c r="AU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5" t="n"/>
      <c r="K1141" s="5" t="n"/>
      <c r="L1141" s="18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Row],[fecha_inicio]]="","",tblOrdenes[[#This Row],[anio]]&amp;"-"&amp;TEXT(tblOrdenes[[#This Row],[mes]],"00"))</f>
        <v/>
      </c>
      <c r="S1141" s="5">
        <f>IF(tblOrdenes[[#This Row],[fecha_inicio]]="","",INDEX(lista_dias,WEEKDAY(tblOrdenes[[#This Row],[fecha_inicio]],2)))</f>
        <v/>
      </c>
      <c r="T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5">
        <f>IF(tblOrdenes[[#This Row],[tipo_ot]]="","",_xlfn.XLOOKUP(tblOrdenes[[#This Row],[tipo_ot]],tblTiposOT[codigo],tblTiposOT[clasificacion],"sin_clasificar"))</f>
        <v/>
      </c>
      <c r="V1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5">
        <f>IF(tblOrdenes[[#This Row],[centro_costo]]="","",_xlfn.XLOOKUP(tblOrdenes[[#This Row],[centro_costo]],tblCECO[codigo],tblCECO[linea],"(sin catálogo)"))</f>
        <v/>
      </c>
      <c r="Y1141" s="5">
        <f>IF(tblOrdenes[[#This Row],[centro_costo]]="","",_xlfn.XLOOKUP(tblOrdenes[[#This Row],[centro_costo]],tblCECO[codigo],tblCECO[area],"(sin catálogo)"))</f>
        <v/>
      </c>
      <c r="Z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5">
        <f>IF(tblOrdenes[[#This Row],[centro_costo]]="","",_xlfn.XLOOKUP(tblOrdenes[[#This Row],[centro_costo]],tblCECO[codigo],tblCECO[coordinador],"(sin catálogo)"))</f>
        <v/>
      </c>
      <c r="AB1141" s="5">
        <f>IF(tblOrdenes[[#This Row],[puesto_trabajo]]="","",_xlfn.XLOOKUP(tblOrdenes[[#This Row],[puesto_trabajo]],tblPuestos[codigo],tblPuestos[especialidad],"(sin catálogo)"))</f>
        <v/>
      </c>
      <c r="AC1141" s="5">
        <f>IF(tblOrdenes[[#This Row],[cod_actividad]]="","",_xlfn.XLOOKUP(tblOrdenes[[#This Row],[cod_actividad]],tblActividades[codigo],tblActividades[descripcion],"(sin catálogo)"))</f>
        <v/>
      </c>
      <c r="AD1141" s="23">
        <f>IF(tblOrdenes[[#This Row],[fecha_inicio]]="","",TODAY()-tblOrdenes[[#This Row],[fecha_inicio]])</f>
        <v/>
      </c>
      <c r="AE11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5">
        <f>IF(tblOrdenes[[#This Row],[backlog_habiles]]="","",IF(tblOrdenes[[#This Row],[backlog_habiles]]&lt;0,"FUTURO",IF(tblOrdenes[[#This Row],[backlog_habiles]]&gt;p_dias_backlog_max,"BACKLOG","MES CORRIENTE")))</f>
        <v/>
      </c>
      <c r="AG1141" s="5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18">
        <f>IF(tblOrdenes[[#This Row],[orden]]="","",_xlfn.XLOOKUP(tblOrdenes[[#This Row],[id_operacion]],tblEjecucion[id_operacion],tblEjecucion[precio],0))</f>
        <v/>
      </c>
      <c r="AM1141" s="18">
        <f>IF(tblOrdenes[[#This Row],[orden]]="","",MAX(0,_xlfn.XLOOKUP(tblOrdenes[[#This Row],[id_operacion]],tblEjecucion[id_operacion],tblEjecucion[costo_plan_total],0)-tblOrdenes[[#This Row],[costo_servicio]]))</f>
        <v/>
      </c>
      <c r="AN1141" s="18">
        <f>IF(tblOrdenes[[#This Row],[orden]]="","",tblOrdenes[[#This Row],[costo_servicio]]+tblOrdenes[[#This Row],[costo_materiales]])</f>
        <v/>
      </c>
      <c r="AO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5">
        <f>IF(tblOrdenes[[#This Row],[link_checklist]]="","",HYPERLINK(p_ruta_base_checklists&amp;tblOrdenes[[#This Row],[link_checklist]],"abrir"))</f>
        <v/>
      </c>
      <c r="AT1141" s="4" t="n"/>
      <c r="AU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5" t="n"/>
      <c r="K1142" s="5" t="n"/>
      <c r="L1142" s="18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Row],[fecha_inicio]]="","",tblOrdenes[[#This Row],[anio]]&amp;"-"&amp;TEXT(tblOrdenes[[#This Row],[mes]],"00"))</f>
        <v/>
      </c>
      <c r="S1142" s="5">
        <f>IF(tblOrdenes[[#This Row],[fecha_inicio]]="","",INDEX(lista_dias,WEEKDAY(tblOrdenes[[#This Row],[fecha_inicio]],2)))</f>
        <v/>
      </c>
      <c r="T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5">
        <f>IF(tblOrdenes[[#This Row],[tipo_ot]]="","",_xlfn.XLOOKUP(tblOrdenes[[#This Row],[tipo_ot]],tblTiposOT[codigo],tblTiposOT[clasificacion],"sin_clasificar"))</f>
        <v/>
      </c>
      <c r="V1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5">
        <f>IF(tblOrdenes[[#This Row],[centro_costo]]="","",_xlfn.XLOOKUP(tblOrdenes[[#This Row],[centro_costo]],tblCECO[codigo],tblCECO[linea],"(sin catálogo)"))</f>
        <v/>
      </c>
      <c r="Y1142" s="5">
        <f>IF(tblOrdenes[[#This Row],[centro_costo]]="","",_xlfn.XLOOKUP(tblOrdenes[[#This Row],[centro_costo]],tblCECO[codigo],tblCECO[area],"(sin catálogo)"))</f>
        <v/>
      </c>
      <c r="Z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5">
        <f>IF(tblOrdenes[[#This Row],[centro_costo]]="","",_xlfn.XLOOKUP(tblOrdenes[[#This Row],[centro_costo]],tblCECO[codigo],tblCECO[coordinador],"(sin catálogo)"))</f>
        <v/>
      </c>
      <c r="AB1142" s="5">
        <f>IF(tblOrdenes[[#This Row],[puesto_trabajo]]="","",_xlfn.XLOOKUP(tblOrdenes[[#This Row],[puesto_trabajo]],tblPuestos[codigo],tblPuestos[especialidad],"(sin catálogo)"))</f>
        <v/>
      </c>
      <c r="AC1142" s="5">
        <f>IF(tblOrdenes[[#This Row],[cod_actividad]]="","",_xlfn.XLOOKUP(tblOrdenes[[#This Row],[cod_actividad]],tblActividades[codigo],tblActividades[descripcion],"(sin catálogo)"))</f>
        <v/>
      </c>
      <c r="AD1142" s="23">
        <f>IF(tblOrdenes[[#This Row],[fecha_inicio]]="","",TODAY()-tblOrdenes[[#This Row],[fecha_inicio]])</f>
        <v/>
      </c>
      <c r="AE11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5">
        <f>IF(tblOrdenes[[#This Row],[backlog_habiles]]="","",IF(tblOrdenes[[#This Row],[backlog_habiles]]&lt;0,"FUTURO",IF(tblOrdenes[[#This Row],[backlog_habiles]]&gt;p_dias_backlog_max,"BACKLOG","MES CORRIENTE")))</f>
        <v/>
      </c>
      <c r="AG1142" s="5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18">
        <f>IF(tblOrdenes[[#This Row],[orden]]="","",_xlfn.XLOOKUP(tblOrdenes[[#This Row],[id_operacion]],tblEjecucion[id_operacion],tblEjecucion[precio],0))</f>
        <v/>
      </c>
      <c r="AM1142" s="18">
        <f>IF(tblOrdenes[[#This Row],[orden]]="","",MAX(0,_xlfn.XLOOKUP(tblOrdenes[[#This Row],[id_operacion]],tblEjecucion[id_operacion],tblEjecucion[costo_plan_total],0)-tblOrdenes[[#This Row],[costo_servicio]]))</f>
        <v/>
      </c>
      <c r="AN1142" s="18">
        <f>IF(tblOrdenes[[#This Row],[orden]]="","",tblOrdenes[[#This Row],[costo_servicio]]+tblOrdenes[[#This Row],[costo_materiales]])</f>
        <v/>
      </c>
      <c r="AO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5">
        <f>IF(tblOrdenes[[#This Row],[link_checklist]]="","",HYPERLINK(p_ruta_base_checklists&amp;tblOrdenes[[#This Row],[link_checklist]],"abrir"))</f>
        <v/>
      </c>
      <c r="AT1142" s="4" t="n"/>
      <c r="AU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5" t="n"/>
      <c r="K1143" s="5" t="n"/>
      <c r="L1143" s="18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Row],[fecha_inicio]]="","",tblOrdenes[[#This Row],[anio]]&amp;"-"&amp;TEXT(tblOrdenes[[#This Row],[mes]],"00"))</f>
        <v/>
      </c>
      <c r="S1143" s="5">
        <f>IF(tblOrdenes[[#This Row],[fecha_inicio]]="","",INDEX(lista_dias,WEEKDAY(tblOrdenes[[#This Row],[fecha_inicio]],2)))</f>
        <v/>
      </c>
      <c r="T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5">
        <f>IF(tblOrdenes[[#This Row],[tipo_ot]]="","",_xlfn.XLOOKUP(tblOrdenes[[#This Row],[tipo_ot]],tblTiposOT[codigo],tblTiposOT[clasificacion],"sin_clasificar"))</f>
        <v/>
      </c>
      <c r="V1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5">
        <f>IF(tblOrdenes[[#This Row],[centro_costo]]="","",_xlfn.XLOOKUP(tblOrdenes[[#This Row],[centro_costo]],tblCECO[codigo],tblCECO[linea],"(sin catálogo)"))</f>
        <v/>
      </c>
      <c r="Y1143" s="5">
        <f>IF(tblOrdenes[[#This Row],[centro_costo]]="","",_xlfn.XLOOKUP(tblOrdenes[[#This Row],[centro_costo]],tblCECO[codigo],tblCECO[area],"(sin catálogo)"))</f>
        <v/>
      </c>
      <c r="Z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5">
        <f>IF(tblOrdenes[[#This Row],[centro_costo]]="","",_xlfn.XLOOKUP(tblOrdenes[[#This Row],[centro_costo]],tblCECO[codigo],tblCECO[coordinador],"(sin catálogo)"))</f>
        <v/>
      </c>
      <c r="AB1143" s="5">
        <f>IF(tblOrdenes[[#This Row],[puesto_trabajo]]="","",_xlfn.XLOOKUP(tblOrdenes[[#This Row],[puesto_trabajo]],tblPuestos[codigo],tblPuestos[especialidad],"(sin catálogo)"))</f>
        <v/>
      </c>
      <c r="AC1143" s="5">
        <f>IF(tblOrdenes[[#This Row],[cod_actividad]]="","",_xlfn.XLOOKUP(tblOrdenes[[#This Row],[cod_actividad]],tblActividades[codigo],tblActividades[descripcion],"(sin catálogo)"))</f>
        <v/>
      </c>
      <c r="AD1143" s="23">
        <f>IF(tblOrdenes[[#This Row],[fecha_inicio]]="","",TODAY()-tblOrdenes[[#This Row],[fecha_inicio]])</f>
        <v/>
      </c>
      <c r="AE11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5">
        <f>IF(tblOrdenes[[#This Row],[backlog_habiles]]="","",IF(tblOrdenes[[#This Row],[backlog_habiles]]&lt;0,"FUTURO",IF(tblOrdenes[[#This Row],[backlog_habiles]]&gt;p_dias_backlog_max,"BACKLOG","MES CORRIENTE")))</f>
        <v/>
      </c>
      <c r="AG1143" s="5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18">
        <f>IF(tblOrdenes[[#This Row],[orden]]="","",_xlfn.XLOOKUP(tblOrdenes[[#This Row],[id_operacion]],tblEjecucion[id_operacion],tblEjecucion[precio],0))</f>
        <v/>
      </c>
      <c r="AM1143" s="18">
        <f>IF(tblOrdenes[[#This Row],[orden]]="","",MAX(0,_xlfn.XLOOKUP(tblOrdenes[[#This Row],[id_operacion]],tblEjecucion[id_operacion],tblEjecucion[costo_plan_total],0)-tblOrdenes[[#This Row],[costo_servicio]]))</f>
        <v/>
      </c>
      <c r="AN1143" s="18">
        <f>IF(tblOrdenes[[#This Row],[orden]]="","",tblOrdenes[[#This Row],[costo_servicio]]+tblOrdenes[[#This Row],[costo_materiales]])</f>
        <v/>
      </c>
      <c r="AO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5">
        <f>IF(tblOrdenes[[#This Row],[link_checklist]]="","",HYPERLINK(p_ruta_base_checklists&amp;tblOrdenes[[#This Row],[link_checklist]],"abrir"))</f>
        <v/>
      </c>
      <c r="AT1143" s="4" t="n"/>
      <c r="AU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5" t="n"/>
      <c r="K1144" s="5" t="n"/>
      <c r="L1144" s="18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Row],[fecha_inicio]]="","",tblOrdenes[[#This Row],[anio]]&amp;"-"&amp;TEXT(tblOrdenes[[#This Row],[mes]],"00"))</f>
        <v/>
      </c>
      <c r="S1144" s="5">
        <f>IF(tblOrdenes[[#This Row],[fecha_inicio]]="","",INDEX(lista_dias,WEEKDAY(tblOrdenes[[#This Row],[fecha_inicio]],2)))</f>
        <v/>
      </c>
      <c r="T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5">
        <f>IF(tblOrdenes[[#This Row],[tipo_ot]]="","",_xlfn.XLOOKUP(tblOrdenes[[#This Row],[tipo_ot]],tblTiposOT[codigo],tblTiposOT[clasificacion],"sin_clasificar"))</f>
        <v/>
      </c>
      <c r="V1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5">
        <f>IF(tblOrdenes[[#This Row],[centro_costo]]="","",_xlfn.XLOOKUP(tblOrdenes[[#This Row],[centro_costo]],tblCECO[codigo],tblCECO[linea],"(sin catálogo)"))</f>
        <v/>
      </c>
      <c r="Y1144" s="5">
        <f>IF(tblOrdenes[[#This Row],[centro_costo]]="","",_xlfn.XLOOKUP(tblOrdenes[[#This Row],[centro_costo]],tblCECO[codigo],tblCECO[area],"(sin catálogo)"))</f>
        <v/>
      </c>
      <c r="Z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5">
        <f>IF(tblOrdenes[[#This Row],[centro_costo]]="","",_xlfn.XLOOKUP(tblOrdenes[[#This Row],[centro_costo]],tblCECO[codigo],tblCECO[coordinador],"(sin catálogo)"))</f>
        <v/>
      </c>
      <c r="AB1144" s="5">
        <f>IF(tblOrdenes[[#This Row],[puesto_trabajo]]="","",_xlfn.XLOOKUP(tblOrdenes[[#This Row],[puesto_trabajo]],tblPuestos[codigo],tblPuestos[especialidad],"(sin catálogo)"))</f>
        <v/>
      </c>
      <c r="AC1144" s="5">
        <f>IF(tblOrdenes[[#This Row],[cod_actividad]]="","",_xlfn.XLOOKUP(tblOrdenes[[#This Row],[cod_actividad]],tblActividades[codigo],tblActividades[descripcion],"(sin catálogo)"))</f>
        <v/>
      </c>
      <c r="AD1144" s="23">
        <f>IF(tblOrdenes[[#This Row],[fecha_inicio]]="","",TODAY()-tblOrdenes[[#This Row],[fecha_inicio]])</f>
        <v/>
      </c>
      <c r="AE11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5">
        <f>IF(tblOrdenes[[#This Row],[backlog_habiles]]="","",IF(tblOrdenes[[#This Row],[backlog_habiles]]&lt;0,"FUTURO",IF(tblOrdenes[[#This Row],[backlog_habiles]]&gt;p_dias_backlog_max,"BACKLOG","MES CORRIENTE")))</f>
        <v/>
      </c>
      <c r="AG1144" s="5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18">
        <f>IF(tblOrdenes[[#This Row],[orden]]="","",_xlfn.XLOOKUP(tblOrdenes[[#This Row],[id_operacion]],tblEjecucion[id_operacion],tblEjecucion[precio],0))</f>
        <v/>
      </c>
      <c r="AM1144" s="18">
        <f>IF(tblOrdenes[[#This Row],[orden]]="","",MAX(0,_xlfn.XLOOKUP(tblOrdenes[[#This Row],[id_operacion]],tblEjecucion[id_operacion],tblEjecucion[costo_plan_total],0)-tblOrdenes[[#This Row],[costo_servicio]]))</f>
        <v/>
      </c>
      <c r="AN1144" s="18">
        <f>IF(tblOrdenes[[#This Row],[orden]]="","",tblOrdenes[[#This Row],[costo_servicio]]+tblOrdenes[[#This Row],[costo_materiales]])</f>
        <v/>
      </c>
      <c r="AO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5">
        <f>IF(tblOrdenes[[#This Row],[link_checklist]]="","",HYPERLINK(p_ruta_base_checklists&amp;tblOrdenes[[#This Row],[link_checklist]],"abrir"))</f>
        <v/>
      </c>
      <c r="AT1144" s="4" t="n"/>
      <c r="AU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5" t="n"/>
      <c r="K1145" s="5" t="n"/>
      <c r="L1145" s="18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Row],[fecha_inicio]]="","",tblOrdenes[[#This Row],[anio]]&amp;"-"&amp;TEXT(tblOrdenes[[#This Row],[mes]],"00"))</f>
        <v/>
      </c>
      <c r="S1145" s="5">
        <f>IF(tblOrdenes[[#This Row],[fecha_inicio]]="","",INDEX(lista_dias,WEEKDAY(tblOrdenes[[#This Row],[fecha_inicio]],2)))</f>
        <v/>
      </c>
      <c r="T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5">
        <f>IF(tblOrdenes[[#This Row],[tipo_ot]]="","",_xlfn.XLOOKUP(tblOrdenes[[#This Row],[tipo_ot]],tblTiposOT[codigo],tblTiposOT[clasificacion],"sin_clasificar"))</f>
        <v/>
      </c>
      <c r="V1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5">
        <f>IF(tblOrdenes[[#This Row],[centro_costo]]="","",_xlfn.XLOOKUP(tblOrdenes[[#This Row],[centro_costo]],tblCECO[codigo],tblCECO[linea],"(sin catálogo)"))</f>
        <v/>
      </c>
      <c r="Y1145" s="5">
        <f>IF(tblOrdenes[[#This Row],[centro_costo]]="","",_xlfn.XLOOKUP(tblOrdenes[[#This Row],[centro_costo]],tblCECO[codigo],tblCECO[area],"(sin catálogo)"))</f>
        <v/>
      </c>
      <c r="Z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5">
        <f>IF(tblOrdenes[[#This Row],[centro_costo]]="","",_xlfn.XLOOKUP(tblOrdenes[[#This Row],[centro_costo]],tblCECO[codigo],tblCECO[coordinador],"(sin catálogo)"))</f>
        <v/>
      </c>
      <c r="AB1145" s="5">
        <f>IF(tblOrdenes[[#This Row],[puesto_trabajo]]="","",_xlfn.XLOOKUP(tblOrdenes[[#This Row],[puesto_trabajo]],tblPuestos[codigo],tblPuestos[especialidad],"(sin catálogo)"))</f>
        <v/>
      </c>
      <c r="AC1145" s="5">
        <f>IF(tblOrdenes[[#This Row],[cod_actividad]]="","",_xlfn.XLOOKUP(tblOrdenes[[#This Row],[cod_actividad]],tblActividades[codigo],tblActividades[descripcion],"(sin catálogo)"))</f>
        <v/>
      </c>
      <c r="AD1145" s="23">
        <f>IF(tblOrdenes[[#This Row],[fecha_inicio]]="","",TODAY()-tblOrdenes[[#This Row],[fecha_inicio]])</f>
        <v/>
      </c>
      <c r="AE11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5">
        <f>IF(tblOrdenes[[#This Row],[backlog_habiles]]="","",IF(tblOrdenes[[#This Row],[backlog_habiles]]&lt;0,"FUTURO",IF(tblOrdenes[[#This Row],[backlog_habiles]]&gt;p_dias_backlog_max,"BACKLOG","MES CORRIENTE")))</f>
        <v/>
      </c>
      <c r="AG1145" s="5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18">
        <f>IF(tblOrdenes[[#This Row],[orden]]="","",_xlfn.XLOOKUP(tblOrdenes[[#This Row],[id_operacion]],tblEjecucion[id_operacion],tblEjecucion[precio],0))</f>
        <v/>
      </c>
      <c r="AM1145" s="18">
        <f>IF(tblOrdenes[[#This Row],[orden]]="","",MAX(0,_xlfn.XLOOKUP(tblOrdenes[[#This Row],[id_operacion]],tblEjecucion[id_operacion],tblEjecucion[costo_plan_total],0)-tblOrdenes[[#This Row],[costo_servicio]]))</f>
        <v/>
      </c>
      <c r="AN1145" s="18">
        <f>IF(tblOrdenes[[#This Row],[orden]]="","",tblOrdenes[[#This Row],[costo_servicio]]+tblOrdenes[[#This Row],[costo_materiales]])</f>
        <v/>
      </c>
      <c r="AO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5">
        <f>IF(tblOrdenes[[#This Row],[link_checklist]]="","",HYPERLINK(p_ruta_base_checklists&amp;tblOrdenes[[#This Row],[link_checklist]],"abrir"))</f>
        <v/>
      </c>
      <c r="AT1145" s="4" t="n"/>
      <c r="AU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5" t="n"/>
      <c r="K1146" s="5" t="n"/>
      <c r="L1146" s="18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Row],[fecha_inicio]]="","",tblOrdenes[[#This Row],[anio]]&amp;"-"&amp;TEXT(tblOrdenes[[#This Row],[mes]],"00"))</f>
        <v/>
      </c>
      <c r="S1146" s="5">
        <f>IF(tblOrdenes[[#This Row],[fecha_inicio]]="","",INDEX(lista_dias,WEEKDAY(tblOrdenes[[#This Row],[fecha_inicio]],2)))</f>
        <v/>
      </c>
      <c r="T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5">
        <f>IF(tblOrdenes[[#This Row],[tipo_ot]]="","",_xlfn.XLOOKUP(tblOrdenes[[#This Row],[tipo_ot]],tblTiposOT[codigo],tblTiposOT[clasificacion],"sin_clasificar"))</f>
        <v/>
      </c>
      <c r="V1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5">
        <f>IF(tblOrdenes[[#This Row],[centro_costo]]="","",_xlfn.XLOOKUP(tblOrdenes[[#This Row],[centro_costo]],tblCECO[codigo],tblCECO[linea],"(sin catálogo)"))</f>
        <v/>
      </c>
      <c r="Y1146" s="5">
        <f>IF(tblOrdenes[[#This Row],[centro_costo]]="","",_xlfn.XLOOKUP(tblOrdenes[[#This Row],[centro_costo]],tblCECO[codigo],tblCECO[area],"(sin catálogo)"))</f>
        <v/>
      </c>
      <c r="Z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5">
        <f>IF(tblOrdenes[[#This Row],[centro_costo]]="","",_xlfn.XLOOKUP(tblOrdenes[[#This Row],[centro_costo]],tblCECO[codigo],tblCECO[coordinador],"(sin catálogo)"))</f>
        <v/>
      </c>
      <c r="AB1146" s="5">
        <f>IF(tblOrdenes[[#This Row],[puesto_trabajo]]="","",_xlfn.XLOOKUP(tblOrdenes[[#This Row],[puesto_trabajo]],tblPuestos[codigo],tblPuestos[especialidad],"(sin catálogo)"))</f>
        <v/>
      </c>
      <c r="AC1146" s="5">
        <f>IF(tblOrdenes[[#This Row],[cod_actividad]]="","",_xlfn.XLOOKUP(tblOrdenes[[#This Row],[cod_actividad]],tblActividades[codigo],tblActividades[descripcion],"(sin catálogo)"))</f>
        <v/>
      </c>
      <c r="AD1146" s="23">
        <f>IF(tblOrdenes[[#This Row],[fecha_inicio]]="","",TODAY()-tblOrdenes[[#This Row],[fecha_inicio]])</f>
        <v/>
      </c>
      <c r="AE11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5">
        <f>IF(tblOrdenes[[#This Row],[backlog_habiles]]="","",IF(tblOrdenes[[#This Row],[backlog_habiles]]&lt;0,"FUTURO",IF(tblOrdenes[[#This Row],[backlog_habiles]]&gt;p_dias_backlog_max,"BACKLOG","MES CORRIENTE")))</f>
        <v/>
      </c>
      <c r="AG1146" s="5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18">
        <f>IF(tblOrdenes[[#This Row],[orden]]="","",_xlfn.XLOOKUP(tblOrdenes[[#This Row],[id_operacion]],tblEjecucion[id_operacion],tblEjecucion[precio],0))</f>
        <v/>
      </c>
      <c r="AM1146" s="18">
        <f>IF(tblOrdenes[[#This Row],[orden]]="","",MAX(0,_xlfn.XLOOKUP(tblOrdenes[[#This Row],[id_operacion]],tblEjecucion[id_operacion],tblEjecucion[costo_plan_total],0)-tblOrdenes[[#This Row],[costo_servicio]]))</f>
        <v/>
      </c>
      <c r="AN1146" s="18">
        <f>IF(tblOrdenes[[#This Row],[orden]]="","",tblOrdenes[[#This Row],[costo_servicio]]+tblOrdenes[[#This Row],[costo_materiales]])</f>
        <v/>
      </c>
      <c r="AO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5">
        <f>IF(tblOrdenes[[#This Row],[link_checklist]]="","",HYPERLINK(p_ruta_base_checklists&amp;tblOrdenes[[#This Row],[link_checklist]],"abrir"))</f>
        <v/>
      </c>
      <c r="AT1146" s="4" t="n"/>
      <c r="AU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5" t="n"/>
      <c r="K1147" s="5" t="n"/>
      <c r="L1147" s="18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Row],[fecha_inicio]]="","",tblOrdenes[[#This Row],[anio]]&amp;"-"&amp;TEXT(tblOrdenes[[#This Row],[mes]],"00"))</f>
        <v/>
      </c>
      <c r="S1147" s="5">
        <f>IF(tblOrdenes[[#This Row],[fecha_inicio]]="","",INDEX(lista_dias,WEEKDAY(tblOrdenes[[#This Row],[fecha_inicio]],2)))</f>
        <v/>
      </c>
      <c r="T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5">
        <f>IF(tblOrdenes[[#This Row],[tipo_ot]]="","",_xlfn.XLOOKUP(tblOrdenes[[#This Row],[tipo_ot]],tblTiposOT[codigo],tblTiposOT[clasificacion],"sin_clasificar"))</f>
        <v/>
      </c>
      <c r="V1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5">
        <f>IF(tblOrdenes[[#This Row],[centro_costo]]="","",_xlfn.XLOOKUP(tblOrdenes[[#This Row],[centro_costo]],tblCECO[codigo],tblCECO[linea],"(sin catálogo)"))</f>
        <v/>
      </c>
      <c r="Y1147" s="5">
        <f>IF(tblOrdenes[[#This Row],[centro_costo]]="","",_xlfn.XLOOKUP(tblOrdenes[[#This Row],[centro_costo]],tblCECO[codigo],tblCECO[area],"(sin catálogo)"))</f>
        <v/>
      </c>
      <c r="Z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5">
        <f>IF(tblOrdenes[[#This Row],[centro_costo]]="","",_xlfn.XLOOKUP(tblOrdenes[[#This Row],[centro_costo]],tblCECO[codigo],tblCECO[coordinador],"(sin catálogo)"))</f>
        <v/>
      </c>
      <c r="AB1147" s="5">
        <f>IF(tblOrdenes[[#This Row],[puesto_trabajo]]="","",_xlfn.XLOOKUP(tblOrdenes[[#This Row],[puesto_trabajo]],tblPuestos[codigo],tblPuestos[especialidad],"(sin catálogo)"))</f>
        <v/>
      </c>
      <c r="AC1147" s="5">
        <f>IF(tblOrdenes[[#This Row],[cod_actividad]]="","",_xlfn.XLOOKUP(tblOrdenes[[#This Row],[cod_actividad]],tblActividades[codigo],tblActividades[descripcion],"(sin catálogo)"))</f>
        <v/>
      </c>
      <c r="AD1147" s="23">
        <f>IF(tblOrdenes[[#This Row],[fecha_inicio]]="","",TODAY()-tblOrdenes[[#This Row],[fecha_inicio]])</f>
        <v/>
      </c>
      <c r="AE11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5">
        <f>IF(tblOrdenes[[#This Row],[backlog_habiles]]="","",IF(tblOrdenes[[#This Row],[backlog_habiles]]&lt;0,"FUTURO",IF(tblOrdenes[[#This Row],[backlog_habiles]]&gt;p_dias_backlog_max,"BACKLOG","MES CORRIENTE")))</f>
        <v/>
      </c>
      <c r="AG1147" s="5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18">
        <f>IF(tblOrdenes[[#This Row],[orden]]="","",_xlfn.XLOOKUP(tblOrdenes[[#This Row],[id_operacion]],tblEjecucion[id_operacion],tblEjecucion[precio],0))</f>
        <v/>
      </c>
      <c r="AM1147" s="18">
        <f>IF(tblOrdenes[[#This Row],[orden]]="","",MAX(0,_xlfn.XLOOKUP(tblOrdenes[[#This Row],[id_operacion]],tblEjecucion[id_operacion],tblEjecucion[costo_plan_total],0)-tblOrdenes[[#This Row],[costo_servicio]]))</f>
        <v/>
      </c>
      <c r="AN1147" s="18">
        <f>IF(tblOrdenes[[#This Row],[orden]]="","",tblOrdenes[[#This Row],[costo_servicio]]+tblOrdenes[[#This Row],[costo_materiales]])</f>
        <v/>
      </c>
      <c r="AO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5">
        <f>IF(tblOrdenes[[#This Row],[link_checklist]]="","",HYPERLINK(p_ruta_base_checklists&amp;tblOrdenes[[#This Row],[link_checklist]],"abrir"))</f>
        <v/>
      </c>
      <c r="AT1147" s="4" t="n"/>
      <c r="AU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5" t="n"/>
      <c r="K1148" s="5" t="n"/>
      <c r="L1148" s="18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Row],[fecha_inicio]]="","",tblOrdenes[[#This Row],[anio]]&amp;"-"&amp;TEXT(tblOrdenes[[#This Row],[mes]],"00"))</f>
        <v/>
      </c>
      <c r="S1148" s="5">
        <f>IF(tblOrdenes[[#This Row],[fecha_inicio]]="","",INDEX(lista_dias,WEEKDAY(tblOrdenes[[#This Row],[fecha_inicio]],2)))</f>
        <v/>
      </c>
      <c r="T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5">
        <f>IF(tblOrdenes[[#This Row],[tipo_ot]]="","",_xlfn.XLOOKUP(tblOrdenes[[#This Row],[tipo_ot]],tblTiposOT[codigo],tblTiposOT[clasificacion],"sin_clasificar"))</f>
        <v/>
      </c>
      <c r="V1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5">
        <f>IF(tblOrdenes[[#This Row],[centro_costo]]="","",_xlfn.XLOOKUP(tblOrdenes[[#This Row],[centro_costo]],tblCECO[codigo],tblCECO[linea],"(sin catálogo)"))</f>
        <v/>
      </c>
      <c r="Y1148" s="5">
        <f>IF(tblOrdenes[[#This Row],[centro_costo]]="","",_xlfn.XLOOKUP(tblOrdenes[[#This Row],[centro_costo]],tblCECO[codigo],tblCECO[area],"(sin catálogo)"))</f>
        <v/>
      </c>
      <c r="Z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5">
        <f>IF(tblOrdenes[[#This Row],[centro_costo]]="","",_xlfn.XLOOKUP(tblOrdenes[[#This Row],[centro_costo]],tblCECO[codigo],tblCECO[coordinador],"(sin catálogo)"))</f>
        <v/>
      </c>
      <c r="AB1148" s="5">
        <f>IF(tblOrdenes[[#This Row],[puesto_trabajo]]="","",_xlfn.XLOOKUP(tblOrdenes[[#This Row],[puesto_trabajo]],tblPuestos[codigo],tblPuestos[especialidad],"(sin catálogo)"))</f>
        <v/>
      </c>
      <c r="AC1148" s="5">
        <f>IF(tblOrdenes[[#This Row],[cod_actividad]]="","",_xlfn.XLOOKUP(tblOrdenes[[#This Row],[cod_actividad]],tblActividades[codigo],tblActividades[descripcion],"(sin catálogo)"))</f>
        <v/>
      </c>
      <c r="AD1148" s="23">
        <f>IF(tblOrdenes[[#This Row],[fecha_inicio]]="","",TODAY()-tblOrdenes[[#This Row],[fecha_inicio]])</f>
        <v/>
      </c>
      <c r="AE11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5">
        <f>IF(tblOrdenes[[#This Row],[backlog_habiles]]="","",IF(tblOrdenes[[#This Row],[backlog_habiles]]&lt;0,"FUTURO",IF(tblOrdenes[[#This Row],[backlog_habiles]]&gt;p_dias_backlog_max,"BACKLOG","MES CORRIENTE")))</f>
        <v/>
      </c>
      <c r="AG1148" s="5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18">
        <f>IF(tblOrdenes[[#This Row],[orden]]="","",_xlfn.XLOOKUP(tblOrdenes[[#This Row],[id_operacion]],tblEjecucion[id_operacion],tblEjecucion[precio],0))</f>
        <v/>
      </c>
      <c r="AM1148" s="18">
        <f>IF(tblOrdenes[[#This Row],[orden]]="","",MAX(0,_xlfn.XLOOKUP(tblOrdenes[[#This Row],[id_operacion]],tblEjecucion[id_operacion],tblEjecucion[costo_plan_total],0)-tblOrdenes[[#This Row],[costo_servicio]]))</f>
        <v/>
      </c>
      <c r="AN1148" s="18">
        <f>IF(tblOrdenes[[#This Row],[orden]]="","",tblOrdenes[[#This Row],[costo_servicio]]+tblOrdenes[[#This Row],[costo_materiales]])</f>
        <v/>
      </c>
      <c r="AO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5">
        <f>IF(tblOrdenes[[#This Row],[link_checklist]]="","",HYPERLINK(p_ruta_base_checklists&amp;tblOrdenes[[#This Row],[link_checklist]],"abrir"))</f>
        <v/>
      </c>
      <c r="AT1148" s="4" t="n"/>
      <c r="AU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5" t="n"/>
      <c r="K1149" s="5" t="n"/>
      <c r="L1149" s="18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Row],[fecha_inicio]]="","",tblOrdenes[[#This Row],[anio]]&amp;"-"&amp;TEXT(tblOrdenes[[#This Row],[mes]],"00"))</f>
        <v/>
      </c>
      <c r="S1149" s="5">
        <f>IF(tblOrdenes[[#This Row],[fecha_inicio]]="","",INDEX(lista_dias,WEEKDAY(tblOrdenes[[#This Row],[fecha_inicio]],2)))</f>
        <v/>
      </c>
      <c r="T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5">
        <f>IF(tblOrdenes[[#This Row],[tipo_ot]]="","",_xlfn.XLOOKUP(tblOrdenes[[#This Row],[tipo_ot]],tblTiposOT[codigo],tblTiposOT[clasificacion],"sin_clasificar"))</f>
        <v/>
      </c>
      <c r="V1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5">
        <f>IF(tblOrdenes[[#This Row],[centro_costo]]="","",_xlfn.XLOOKUP(tblOrdenes[[#This Row],[centro_costo]],tblCECO[codigo],tblCECO[linea],"(sin catálogo)"))</f>
        <v/>
      </c>
      <c r="Y1149" s="5">
        <f>IF(tblOrdenes[[#This Row],[centro_costo]]="","",_xlfn.XLOOKUP(tblOrdenes[[#This Row],[centro_costo]],tblCECO[codigo],tblCECO[area],"(sin catálogo)"))</f>
        <v/>
      </c>
      <c r="Z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5">
        <f>IF(tblOrdenes[[#This Row],[centro_costo]]="","",_xlfn.XLOOKUP(tblOrdenes[[#This Row],[centro_costo]],tblCECO[codigo],tblCECO[coordinador],"(sin catálogo)"))</f>
        <v/>
      </c>
      <c r="AB1149" s="5">
        <f>IF(tblOrdenes[[#This Row],[puesto_trabajo]]="","",_xlfn.XLOOKUP(tblOrdenes[[#This Row],[puesto_trabajo]],tblPuestos[codigo],tblPuestos[especialidad],"(sin catálogo)"))</f>
        <v/>
      </c>
      <c r="AC1149" s="5">
        <f>IF(tblOrdenes[[#This Row],[cod_actividad]]="","",_xlfn.XLOOKUP(tblOrdenes[[#This Row],[cod_actividad]],tblActividades[codigo],tblActividades[descripcion],"(sin catálogo)"))</f>
        <v/>
      </c>
      <c r="AD1149" s="23">
        <f>IF(tblOrdenes[[#This Row],[fecha_inicio]]="","",TODAY()-tblOrdenes[[#This Row],[fecha_inicio]])</f>
        <v/>
      </c>
      <c r="AE11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5">
        <f>IF(tblOrdenes[[#This Row],[backlog_habiles]]="","",IF(tblOrdenes[[#This Row],[backlog_habiles]]&lt;0,"FUTURO",IF(tblOrdenes[[#This Row],[backlog_habiles]]&gt;p_dias_backlog_max,"BACKLOG","MES CORRIENTE")))</f>
        <v/>
      </c>
      <c r="AG1149" s="5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18">
        <f>IF(tblOrdenes[[#This Row],[orden]]="","",_xlfn.XLOOKUP(tblOrdenes[[#This Row],[id_operacion]],tblEjecucion[id_operacion],tblEjecucion[precio],0))</f>
        <v/>
      </c>
      <c r="AM1149" s="18">
        <f>IF(tblOrdenes[[#This Row],[orden]]="","",MAX(0,_xlfn.XLOOKUP(tblOrdenes[[#This Row],[id_operacion]],tblEjecucion[id_operacion],tblEjecucion[costo_plan_total],0)-tblOrdenes[[#This Row],[costo_servicio]]))</f>
        <v/>
      </c>
      <c r="AN1149" s="18">
        <f>IF(tblOrdenes[[#This Row],[orden]]="","",tblOrdenes[[#This Row],[costo_servicio]]+tblOrdenes[[#This Row],[costo_materiales]])</f>
        <v/>
      </c>
      <c r="AO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5">
        <f>IF(tblOrdenes[[#This Row],[link_checklist]]="","",HYPERLINK(p_ruta_base_checklists&amp;tblOrdenes[[#This Row],[link_checklist]],"abrir"))</f>
        <v/>
      </c>
      <c r="AT1149" s="4" t="n"/>
      <c r="AU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5" t="n"/>
      <c r="K1150" s="5" t="n"/>
      <c r="L1150" s="18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Row],[fecha_inicio]]="","",tblOrdenes[[#This Row],[anio]]&amp;"-"&amp;TEXT(tblOrdenes[[#This Row],[mes]],"00"))</f>
        <v/>
      </c>
      <c r="S1150" s="5">
        <f>IF(tblOrdenes[[#This Row],[fecha_inicio]]="","",INDEX(lista_dias,WEEKDAY(tblOrdenes[[#This Row],[fecha_inicio]],2)))</f>
        <v/>
      </c>
      <c r="T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5">
        <f>IF(tblOrdenes[[#This Row],[tipo_ot]]="","",_xlfn.XLOOKUP(tblOrdenes[[#This Row],[tipo_ot]],tblTiposOT[codigo],tblTiposOT[clasificacion],"sin_clasificar"))</f>
        <v/>
      </c>
      <c r="V1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5">
        <f>IF(tblOrdenes[[#This Row],[centro_costo]]="","",_xlfn.XLOOKUP(tblOrdenes[[#This Row],[centro_costo]],tblCECO[codigo],tblCECO[linea],"(sin catálogo)"))</f>
        <v/>
      </c>
      <c r="Y1150" s="5">
        <f>IF(tblOrdenes[[#This Row],[centro_costo]]="","",_xlfn.XLOOKUP(tblOrdenes[[#This Row],[centro_costo]],tblCECO[codigo],tblCECO[area],"(sin catálogo)"))</f>
        <v/>
      </c>
      <c r="Z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5">
        <f>IF(tblOrdenes[[#This Row],[centro_costo]]="","",_xlfn.XLOOKUP(tblOrdenes[[#This Row],[centro_costo]],tblCECO[codigo],tblCECO[coordinador],"(sin catálogo)"))</f>
        <v/>
      </c>
      <c r="AB1150" s="5">
        <f>IF(tblOrdenes[[#This Row],[puesto_trabajo]]="","",_xlfn.XLOOKUP(tblOrdenes[[#This Row],[puesto_trabajo]],tblPuestos[codigo],tblPuestos[especialidad],"(sin catálogo)"))</f>
        <v/>
      </c>
      <c r="AC1150" s="5">
        <f>IF(tblOrdenes[[#This Row],[cod_actividad]]="","",_xlfn.XLOOKUP(tblOrdenes[[#This Row],[cod_actividad]],tblActividades[codigo],tblActividades[descripcion],"(sin catálogo)"))</f>
        <v/>
      </c>
      <c r="AD1150" s="23">
        <f>IF(tblOrdenes[[#This Row],[fecha_inicio]]="","",TODAY()-tblOrdenes[[#This Row],[fecha_inicio]])</f>
        <v/>
      </c>
      <c r="AE11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5">
        <f>IF(tblOrdenes[[#This Row],[backlog_habiles]]="","",IF(tblOrdenes[[#This Row],[backlog_habiles]]&lt;0,"FUTURO",IF(tblOrdenes[[#This Row],[backlog_habiles]]&gt;p_dias_backlog_max,"BACKLOG","MES CORRIENTE")))</f>
        <v/>
      </c>
      <c r="AG1150" s="5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18">
        <f>IF(tblOrdenes[[#This Row],[orden]]="","",_xlfn.XLOOKUP(tblOrdenes[[#This Row],[id_operacion]],tblEjecucion[id_operacion],tblEjecucion[precio],0))</f>
        <v/>
      </c>
      <c r="AM1150" s="18">
        <f>IF(tblOrdenes[[#This Row],[orden]]="","",MAX(0,_xlfn.XLOOKUP(tblOrdenes[[#This Row],[id_operacion]],tblEjecucion[id_operacion],tblEjecucion[costo_plan_total],0)-tblOrdenes[[#This Row],[costo_servicio]]))</f>
        <v/>
      </c>
      <c r="AN1150" s="18">
        <f>IF(tblOrdenes[[#This Row],[orden]]="","",tblOrdenes[[#This Row],[costo_servicio]]+tblOrdenes[[#This Row],[costo_materiales]])</f>
        <v/>
      </c>
      <c r="AO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5">
        <f>IF(tblOrdenes[[#This Row],[link_checklist]]="","",HYPERLINK(p_ruta_base_checklists&amp;tblOrdenes[[#This Row],[link_checklist]],"abrir"))</f>
        <v/>
      </c>
      <c r="AT1150" s="4" t="n"/>
      <c r="AU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5" t="n"/>
      <c r="K1151" s="5" t="n"/>
      <c r="L1151" s="18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Row],[fecha_inicio]]="","",tblOrdenes[[#This Row],[anio]]&amp;"-"&amp;TEXT(tblOrdenes[[#This Row],[mes]],"00"))</f>
        <v/>
      </c>
      <c r="S1151" s="5">
        <f>IF(tblOrdenes[[#This Row],[fecha_inicio]]="","",INDEX(lista_dias,WEEKDAY(tblOrdenes[[#This Row],[fecha_inicio]],2)))</f>
        <v/>
      </c>
      <c r="T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5">
        <f>IF(tblOrdenes[[#This Row],[tipo_ot]]="","",_xlfn.XLOOKUP(tblOrdenes[[#This Row],[tipo_ot]],tblTiposOT[codigo],tblTiposOT[clasificacion],"sin_clasificar"))</f>
        <v/>
      </c>
      <c r="V1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5">
        <f>IF(tblOrdenes[[#This Row],[centro_costo]]="","",_xlfn.XLOOKUP(tblOrdenes[[#This Row],[centro_costo]],tblCECO[codigo],tblCECO[linea],"(sin catálogo)"))</f>
        <v/>
      </c>
      <c r="Y1151" s="5">
        <f>IF(tblOrdenes[[#This Row],[centro_costo]]="","",_xlfn.XLOOKUP(tblOrdenes[[#This Row],[centro_costo]],tblCECO[codigo],tblCECO[area],"(sin catálogo)"))</f>
        <v/>
      </c>
      <c r="Z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5">
        <f>IF(tblOrdenes[[#This Row],[centro_costo]]="","",_xlfn.XLOOKUP(tblOrdenes[[#This Row],[centro_costo]],tblCECO[codigo],tblCECO[coordinador],"(sin catálogo)"))</f>
        <v/>
      </c>
      <c r="AB1151" s="5">
        <f>IF(tblOrdenes[[#This Row],[puesto_trabajo]]="","",_xlfn.XLOOKUP(tblOrdenes[[#This Row],[puesto_trabajo]],tblPuestos[codigo],tblPuestos[especialidad],"(sin catálogo)"))</f>
        <v/>
      </c>
      <c r="AC1151" s="5">
        <f>IF(tblOrdenes[[#This Row],[cod_actividad]]="","",_xlfn.XLOOKUP(tblOrdenes[[#This Row],[cod_actividad]],tblActividades[codigo],tblActividades[descripcion],"(sin catálogo)"))</f>
        <v/>
      </c>
      <c r="AD1151" s="23">
        <f>IF(tblOrdenes[[#This Row],[fecha_inicio]]="","",TODAY()-tblOrdenes[[#This Row],[fecha_inicio]])</f>
        <v/>
      </c>
      <c r="AE11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5">
        <f>IF(tblOrdenes[[#This Row],[backlog_habiles]]="","",IF(tblOrdenes[[#This Row],[backlog_habiles]]&lt;0,"FUTURO",IF(tblOrdenes[[#This Row],[backlog_habiles]]&gt;p_dias_backlog_max,"BACKLOG","MES CORRIENTE")))</f>
        <v/>
      </c>
      <c r="AG1151" s="5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18">
        <f>IF(tblOrdenes[[#This Row],[orden]]="","",_xlfn.XLOOKUP(tblOrdenes[[#This Row],[id_operacion]],tblEjecucion[id_operacion],tblEjecucion[precio],0))</f>
        <v/>
      </c>
      <c r="AM1151" s="18">
        <f>IF(tblOrdenes[[#This Row],[orden]]="","",MAX(0,_xlfn.XLOOKUP(tblOrdenes[[#This Row],[id_operacion]],tblEjecucion[id_operacion],tblEjecucion[costo_plan_total],0)-tblOrdenes[[#This Row],[costo_servicio]]))</f>
        <v/>
      </c>
      <c r="AN1151" s="18">
        <f>IF(tblOrdenes[[#This Row],[orden]]="","",tblOrdenes[[#This Row],[costo_servicio]]+tblOrdenes[[#This Row],[costo_materiales]])</f>
        <v/>
      </c>
      <c r="AO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5">
        <f>IF(tblOrdenes[[#This Row],[link_checklist]]="","",HYPERLINK(p_ruta_base_checklists&amp;tblOrdenes[[#This Row],[link_checklist]],"abrir"))</f>
        <v/>
      </c>
      <c r="AT1151" s="4" t="n"/>
      <c r="AU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5" t="n"/>
      <c r="K1152" s="5" t="n"/>
      <c r="L1152" s="18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Row],[fecha_inicio]]="","",tblOrdenes[[#This Row],[anio]]&amp;"-"&amp;TEXT(tblOrdenes[[#This Row],[mes]],"00"))</f>
        <v/>
      </c>
      <c r="S1152" s="5">
        <f>IF(tblOrdenes[[#This Row],[fecha_inicio]]="","",INDEX(lista_dias,WEEKDAY(tblOrdenes[[#This Row],[fecha_inicio]],2)))</f>
        <v/>
      </c>
      <c r="T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5">
        <f>IF(tblOrdenes[[#This Row],[tipo_ot]]="","",_xlfn.XLOOKUP(tblOrdenes[[#This Row],[tipo_ot]],tblTiposOT[codigo],tblTiposOT[clasificacion],"sin_clasificar"))</f>
        <v/>
      </c>
      <c r="V1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5">
        <f>IF(tblOrdenes[[#This Row],[centro_costo]]="","",_xlfn.XLOOKUP(tblOrdenes[[#This Row],[centro_costo]],tblCECO[codigo],tblCECO[linea],"(sin catálogo)"))</f>
        <v/>
      </c>
      <c r="Y1152" s="5">
        <f>IF(tblOrdenes[[#This Row],[centro_costo]]="","",_xlfn.XLOOKUP(tblOrdenes[[#This Row],[centro_costo]],tblCECO[codigo],tblCECO[area],"(sin catálogo)"))</f>
        <v/>
      </c>
      <c r="Z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5">
        <f>IF(tblOrdenes[[#This Row],[centro_costo]]="","",_xlfn.XLOOKUP(tblOrdenes[[#This Row],[centro_costo]],tblCECO[codigo],tblCECO[coordinador],"(sin catálogo)"))</f>
        <v/>
      </c>
      <c r="AB1152" s="5">
        <f>IF(tblOrdenes[[#This Row],[puesto_trabajo]]="","",_xlfn.XLOOKUP(tblOrdenes[[#This Row],[puesto_trabajo]],tblPuestos[codigo],tblPuestos[especialidad],"(sin catálogo)"))</f>
        <v/>
      </c>
      <c r="AC1152" s="5">
        <f>IF(tblOrdenes[[#This Row],[cod_actividad]]="","",_xlfn.XLOOKUP(tblOrdenes[[#This Row],[cod_actividad]],tblActividades[codigo],tblActividades[descripcion],"(sin catálogo)"))</f>
        <v/>
      </c>
      <c r="AD1152" s="23">
        <f>IF(tblOrdenes[[#This Row],[fecha_inicio]]="","",TODAY()-tblOrdenes[[#This Row],[fecha_inicio]])</f>
        <v/>
      </c>
      <c r="AE11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5">
        <f>IF(tblOrdenes[[#This Row],[backlog_habiles]]="","",IF(tblOrdenes[[#This Row],[backlog_habiles]]&lt;0,"FUTURO",IF(tblOrdenes[[#This Row],[backlog_habiles]]&gt;p_dias_backlog_max,"BACKLOG","MES CORRIENTE")))</f>
        <v/>
      </c>
      <c r="AG1152" s="5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18">
        <f>IF(tblOrdenes[[#This Row],[orden]]="","",_xlfn.XLOOKUP(tblOrdenes[[#This Row],[id_operacion]],tblEjecucion[id_operacion],tblEjecucion[precio],0))</f>
        <v/>
      </c>
      <c r="AM1152" s="18">
        <f>IF(tblOrdenes[[#This Row],[orden]]="","",MAX(0,_xlfn.XLOOKUP(tblOrdenes[[#This Row],[id_operacion]],tblEjecucion[id_operacion],tblEjecucion[costo_plan_total],0)-tblOrdenes[[#This Row],[costo_servicio]]))</f>
        <v/>
      </c>
      <c r="AN1152" s="18">
        <f>IF(tblOrdenes[[#This Row],[orden]]="","",tblOrdenes[[#This Row],[costo_servicio]]+tblOrdenes[[#This Row],[costo_materiales]])</f>
        <v/>
      </c>
      <c r="AO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5">
        <f>IF(tblOrdenes[[#This Row],[link_checklist]]="","",HYPERLINK(p_ruta_base_checklists&amp;tblOrdenes[[#This Row],[link_checklist]],"abrir"))</f>
        <v/>
      </c>
      <c r="AT1152" s="4" t="n"/>
      <c r="AU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5" t="n"/>
      <c r="K1153" s="5" t="n"/>
      <c r="L1153" s="18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Row],[fecha_inicio]]="","",tblOrdenes[[#This Row],[anio]]&amp;"-"&amp;TEXT(tblOrdenes[[#This Row],[mes]],"00"))</f>
        <v/>
      </c>
      <c r="S1153" s="5">
        <f>IF(tblOrdenes[[#This Row],[fecha_inicio]]="","",INDEX(lista_dias,WEEKDAY(tblOrdenes[[#This Row],[fecha_inicio]],2)))</f>
        <v/>
      </c>
      <c r="T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5">
        <f>IF(tblOrdenes[[#This Row],[tipo_ot]]="","",_xlfn.XLOOKUP(tblOrdenes[[#This Row],[tipo_ot]],tblTiposOT[codigo],tblTiposOT[clasificacion],"sin_clasificar"))</f>
        <v/>
      </c>
      <c r="V1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5">
        <f>IF(tblOrdenes[[#This Row],[centro_costo]]="","",_xlfn.XLOOKUP(tblOrdenes[[#This Row],[centro_costo]],tblCECO[codigo],tblCECO[linea],"(sin catálogo)"))</f>
        <v/>
      </c>
      <c r="Y1153" s="5">
        <f>IF(tblOrdenes[[#This Row],[centro_costo]]="","",_xlfn.XLOOKUP(tblOrdenes[[#This Row],[centro_costo]],tblCECO[codigo],tblCECO[area],"(sin catálogo)"))</f>
        <v/>
      </c>
      <c r="Z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5">
        <f>IF(tblOrdenes[[#This Row],[centro_costo]]="","",_xlfn.XLOOKUP(tblOrdenes[[#This Row],[centro_costo]],tblCECO[codigo],tblCECO[coordinador],"(sin catálogo)"))</f>
        <v/>
      </c>
      <c r="AB1153" s="5">
        <f>IF(tblOrdenes[[#This Row],[puesto_trabajo]]="","",_xlfn.XLOOKUP(tblOrdenes[[#This Row],[puesto_trabajo]],tblPuestos[codigo],tblPuestos[especialidad],"(sin catálogo)"))</f>
        <v/>
      </c>
      <c r="AC1153" s="5">
        <f>IF(tblOrdenes[[#This Row],[cod_actividad]]="","",_xlfn.XLOOKUP(tblOrdenes[[#This Row],[cod_actividad]],tblActividades[codigo],tblActividades[descripcion],"(sin catálogo)"))</f>
        <v/>
      </c>
      <c r="AD1153" s="23">
        <f>IF(tblOrdenes[[#This Row],[fecha_inicio]]="","",TODAY()-tblOrdenes[[#This Row],[fecha_inicio]])</f>
        <v/>
      </c>
      <c r="AE11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5">
        <f>IF(tblOrdenes[[#This Row],[backlog_habiles]]="","",IF(tblOrdenes[[#This Row],[backlog_habiles]]&lt;0,"FUTURO",IF(tblOrdenes[[#This Row],[backlog_habiles]]&gt;p_dias_backlog_max,"BACKLOG","MES CORRIENTE")))</f>
        <v/>
      </c>
      <c r="AG1153" s="5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18">
        <f>IF(tblOrdenes[[#This Row],[orden]]="","",_xlfn.XLOOKUP(tblOrdenes[[#This Row],[id_operacion]],tblEjecucion[id_operacion],tblEjecucion[precio],0))</f>
        <v/>
      </c>
      <c r="AM1153" s="18">
        <f>IF(tblOrdenes[[#This Row],[orden]]="","",MAX(0,_xlfn.XLOOKUP(tblOrdenes[[#This Row],[id_operacion]],tblEjecucion[id_operacion],tblEjecucion[costo_plan_total],0)-tblOrdenes[[#This Row],[costo_servicio]]))</f>
        <v/>
      </c>
      <c r="AN1153" s="18">
        <f>IF(tblOrdenes[[#This Row],[orden]]="","",tblOrdenes[[#This Row],[costo_servicio]]+tblOrdenes[[#This Row],[costo_materiales]])</f>
        <v/>
      </c>
      <c r="AO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5">
        <f>IF(tblOrdenes[[#This Row],[link_checklist]]="","",HYPERLINK(p_ruta_base_checklists&amp;tblOrdenes[[#This Row],[link_checklist]],"abrir"))</f>
        <v/>
      </c>
      <c r="AT1153" s="4" t="n"/>
      <c r="AU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5" t="n"/>
      <c r="K1154" s="5" t="n"/>
      <c r="L1154" s="18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Row],[fecha_inicio]]="","",tblOrdenes[[#This Row],[anio]]&amp;"-"&amp;TEXT(tblOrdenes[[#This Row],[mes]],"00"))</f>
        <v/>
      </c>
      <c r="S1154" s="5">
        <f>IF(tblOrdenes[[#This Row],[fecha_inicio]]="","",INDEX(lista_dias,WEEKDAY(tblOrdenes[[#This Row],[fecha_inicio]],2)))</f>
        <v/>
      </c>
      <c r="T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5">
        <f>IF(tblOrdenes[[#This Row],[tipo_ot]]="","",_xlfn.XLOOKUP(tblOrdenes[[#This Row],[tipo_ot]],tblTiposOT[codigo],tblTiposOT[clasificacion],"sin_clasificar"))</f>
        <v/>
      </c>
      <c r="V1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5">
        <f>IF(tblOrdenes[[#This Row],[centro_costo]]="","",_xlfn.XLOOKUP(tblOrdenes[[#This Row],[centro_costo]],tblCECO[codigo],tblCECO[linea],"(sin catálogo)"))</f>
        <v/>
      </c>
      <c r="Y1154" s="5">
        <f>IF(tblOrdenes[[#This Row],[centro_costo]]="","",_xlfn.XLOOKUP(tblOrdenes[[#This Row],[centro_costo]],tblCECO[codigo],tblCECO[area],"(sin catálogo)"))</f>
        <v/>
      </c>
      <c r="Z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5">
        <f>IF(tblOrdenes[[#This Row],[centro_costo]]="","",_xlfn.XLOOKUP(tblOrdenes[[#This Row],[centro_costo]],tblCECO[codigo],tblCECO[coordinador],"(sin catálogo)"))</f>
        <v/>
      </c>
      <c r="AB1154" s="5">
        <f>IF(tblOrdenes[[#This Row],[puesto_trabajo]]="","",_xlfn.XLOOKUP(tblOrdenes[[#This Row],[puesto_trabajo]],tblPuestos[codigo],tblPuestos[especialidad],"(sin catálogo)"))</f>
        <v/>
      </c>
      <c r="AC1154" s="5">
        <f>IF(tblOrdenes[[#This Row],[cod_actividad]]="","",_xlfn.XLOOKUP(tblOrdenes[[#This Row],[cod_actividad]],tblActividades[codigo],tblActividades[descripcion],"(sin catálogo)"))</f>
        <v/>
      </c>
      <c r="AD1154" s="23">
        <f>IF(tblOrdenes[[#This Row],[fecha_inicio]]="","",TODAY()-tblOrdenes[[#This Row],[fecha_inicio]])</f>
        <v/>
      </c>
      <c r="AE11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5">
        <f>IF(tblOrdenes[[#This Row],[backlog_habiles]]="","",IF(tblOrdenes[[#This Row],[backlog_habiles]]&lt;0,"FUTURO",IF(tblOrdenes[[#This Row],[backlog_habiles]]&gt;p_dias_backlog_max,"BACKLOG","MES CORRIENTE")))</f>
        <v/>
      </c>
      <c r="AG1154" s="5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18">
        <f>IF(tblOrdenes[[#This Row],[orden]]="","",_xlfn.XLOOKUP(tblOrdenes[[#This Row],[id_operacion]],tblEjecucion[id_operacion],tblEjecucion[precio],0))</f>
        <v/>
      </c>
      <c r="AM1154" s="18">
        <f>IF(tblOrdenes[[#This Row],[orden]]="","",MAX(0,_xlfn.XLOOKUP(tblOrdenes[[#This Row],[id_operacion]],tblEjecucion[id_operacion],tblEjecucion[costo_plan_total],0)-tblOrdenes[[#This Row],[costo_servicio]]))</f>
        <v/>
      </c>
      <c r="AN1154" s="18">
        <f>IF(tblOrdenes[[#This Row],[orden]]="","",tblOrdenes[[#This Row],[costo_servicio]]+tblOrdenes[[#This Row],[costo_materiales]])</f>
        <v/>
      </c>
      <c r="AO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5">
        <f>IF(tblOrdenes[[#This Row],[link_checklist]]="","",HYPERLINK(p_ruta_base_checklists&amp;tblOrdenes[[#This Row],[link_checklist]],"abrir"))</f>
        <v/>
      </c>
      <c r="AT1154" s="4" t="n"/>
      <c r="AU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5" t="n"/>
      <c r="K1155" s="5" t="n"/>
      <c r="L1155" s="18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Row],[fecha_inicio]]="","",tblOrdenes[[#This Row],[anio]]&amp;"-"&amp;TEXT(tblOrdenes[[#This Row],[mes]],"00"))</f>
        <v/>
      </c>
      <c r="S1155" s="5">
        <f>IF(tblOrdenes[[#This Row],[fecha_inicio]]="","",INDEX(lista_dias,WEEKDAY(tblOrdenes[[#This Row],[fecha_inicio]],2)))</f>
        <v/>
      </c>
      <c r="T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5">
        <f>IF(tblOrdenes[[#This Row],[tipo_ot]]="","",_xlfn.XLOOKUP(tblOrdenes[[#This Row],[tipo_ot]],tblTiposOT[codigo],tblTiposOT[clasificacion],"sin_clasificar"))</f>
        <v/>
      </c>
      <c r="V1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5">
        <f>IF(tblOrdenes[[#This Row],[centro_costo]]="","",_xlfn.XLOOKUP(tblOrdenes[[#This Row],[centro_costo]],tblCECO[codigo],tblCECO[linea],"(sin catálogo)"))</f>
        <v/>
      </c>
      <c r="Y1155" s="5">
        <f>IF(tblOrdenes[[#This Row],[centro_costo]]="","",_xlfn.XLOOKUP(tblOrdenes[[#This Row],[centro_costo]],tblCECO[codigo],tblCECO[area],"(sin catálogo)"))</f>
        <v/>
      </c>
      <c r="Z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5">
        <f>IF(tblOrdenes[[#This Row],[centro_costo]]="","",_xlfn.XLOOKUP(tblOrdenes[[#This Row],[centro_costo]],tblCECO[codigo],tblCECO[coordinador],"(sin catálogo)"))</f>
        <v/>
      </c>
      <c r="AB1155" s="5">
        <f>IF(tblOrdenes[[#This Row],[puesto_trabajo]]="","",_xlfn.XLOOKUP(tblOrdenes[[#This Row],[puesto_trabajo]],tblPuestos[codigo],tblPuestos[especialidad],"(sin catálogo)"))</f>
        <v/>
      </c>
      <c r="AC1155" s="5">
        <f>IF(tblOrdenes[[#This Row],[cod_actividad]]="","",_xlfn.XLOOKUP(tblOrdenes[[#This Row],[cod_actividad]],tblActividades[codigo],tblActividades[descripcion],"(sin catálogo)"))</f>
        <v/>
      </c>
      <c r="AD1155" s="23">
        <f>IF(tblOrdenes[[#This Row],[fecha_inicio]]="","",TODAY()-tblOrdenes[[#This Row],[fecha_inicio]])</f>
        <v/>
      </c>
      <c r="AE11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5">
        <f>IF(tblOrdenes[[#This Row],[backlog_habiles]]="","",IF(tblOrdenes[[#This Row],[backlog_habiles]]&lt;0,"FUTURO",IF(tblOrdenes[[#This Row],[backlog_habiles]]&gt;p_dias_backlog_max,"BACKLOG","MES CORRIENTE")))</f>
        <v/>
      </c>
      <c r="AG1155" s="5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18">
        <f>IF(tblOrdenes[[#This Row],[orden]]="","",_xlfn.XLOOKUP(tblOrdenes[[#This Row],[id_operacion]],tblEjecucion[id_operacion],tblEjecucion[precio],0))</f>
        <v/>
      </c>
      <c r="AM1155" s="18">
        <f>IF(tblOrdenes[[#This Row],[orden]]="","",MAX(0,_xlfn.XLOOKUP(tblOrdenes[[#This Row],[id_operacion]],tblEjecucion[id_operacion],tblEjecucion[costo_plan_total],0)-tblOrdenes[[#This Row],[costo_servicio]]))</f>
        <v/>
      </c>
      <c r="AN1155" s="18">
        <f>IF(tblOrdenes[[#This Row],[orden]]="","",tblOrdenes[[#This Row],[costo_servicio]]+tblOrdenes[[#This Row],[costo_materiales]])</f>
        <v/>
      </c>
      <c r="AO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5">
        <f>IF(tblOrdenes[[#This Row],[link_checklist]]="","",HYPERLINK(p_ruta_base_checklists&amp;tblOrdenes[[#This Row],[link_checklist]],"abrir"))</f>
        <v/>
      </c>
      <c r="AT1155" s="4" t="n"/>
      <c r="AU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5" t="n"/>
      <c r="K1156" s="5" t="n"/>
      <c r="L1156" s="18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Row],[fecha_inicio]]="","",tblOrdenes[[#This Row],[anio]]&amp;"-"&amp;TEXT(tblOrdenes[[#This Row],[mes]],"00"))</f>
        <v/>
      </c>
      <c r="S1156" s="5">
        <f>IF(tblOrdenes[[#This Row],[fecha_inicio]]="","",INDEX(lista_dias,WEEKDAY(tblOrdenes[[#This Row],[fecha_inicio]],2)))</f>
        <v/>
      </c>
      <c r="T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5">
        <f>IF(tblOrdenes[[#This Row],[tipo_ot]]="","",_xlfn.XLOOKUP(tblOrdenes[[#This Row],[tipo_ot]],tblTiposOT[codigo],tblTiposOT[clasificacion],"sin_clasificar"))</f>
        <v/>
      </c>
      <c r="V1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5">
        <f>IF(tblOrdenes[[#This Row],[centro_costo]]="","",_xlfn.XLOOKUP(tblOrdenes[[#This Row],[centro_costo]],tblCECO[codigo],tblCECO[linea],"(sin catálogo)"))</f>
        <v/>
      </c>
      <c r="Y1156" s="5">
        <f>IF(tblOrdenes[[#This Row],[centro_costo]]="","",_xlfn.XLOOKUP(tblOrdenes[[#This Row],[centro_costo]],tblCECO[codigo],tblCECO[area],"(sin catálogo)"))</f>
        <v/>
      </c>
      <c r="Z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5">
        <f>IF(tblOrdenes[[#This Row],[centro_costo]]="","",_xlfn.XLOOKUP(tblOrdenes[[#This Row],[centro_costo]],tblCECO[codigo],tblCECO[coordinador],"(sin catálogo)"))</f>
        <v/>
      </c>
      <c r="AB1156" s="5">
        <f>IF(tblOrdenes[[#This Row],[puesto_trabajo]]="","",_xlfn.XLOOKUP(tblOrdenes[[#This Row],[puesto_trabajo]],tblPuestos[codigo],tblPuestos[especialidad],"(sin catálogo)"))</f>
        <v/>
      </c>
      <c r="AC1156" s="5">
        <f>IF(tblOrdenes[[#This Row],[cod_actividad]]="","",_xlfn.XLOOKUP(tblOrdenes[[#This Row],[cod_actividad]],tblActividades[codigo],tblActividades[descripcion],"(sin catálogo)"))</f>
        <v/>
      </c>
      <c r="AD1156" s="23">
        <f>IF(tblOrdenes[[#This Row],[fecha_inicio]]="","",TODAY()-tblOrdenes[[#This Row],[fecha_inicio]])</f>
        <v/>
      </c>
      <c r="AE11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5">
        <f>IF(tblOrdenes[[#This Row],[backlog_habiles]]="","",IF(tblOrdenes[[#This Row],[backlog_habiles]]&lt;0,"FUTURO",IF(tblOrdenes[[#This Row],[backlog_habiles]]&gt;p_dias_backlog_max,"BACKLOG","MES CORRIENTE")))</f>
        <v/>
      </c>
      <c r="AG1156" s="5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18">
        <f>IF(tblOrdenes[[#This Row],[orden]]="","",_xlfn.XLOOKUP(tblOrdenes[[#This Row],[id_operacion]],tblEjecucion[id_operacion],tblEjecucion[precio],0))</f>
        <v/>
      </c>
      <c r="AM1156" s="18">
        <f>IF(tblOrdenes[[#This Row],[orden]]="","",MAX(0,_xlfn.XLOOKUP(tblOrdenes[[#This Row],[id_operacion]],tblEjecucion[id_operacion],tblEjecucion[costo_plan_total],0)-tblOrdenes[[#This Row],[costo_servicio]]))</f>
        <v/>
      </c>
      <c r="AN1156" s="18">
        <f>IF(tblOrdenes[[#This Row],[orden]]="","",tblOrdenes[[#This Row],[costo_servicio]]+tblOrdenes[[#This Row],[costo_materiales]])</f>
        <v/>
      </c>
      <c r="AO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5">
        <f>IF(tblOrdenes[[#This Row],[link_checklist]]="","",HYPERLINK(p_ruta_base_checklists&amp;tblOrdenes[[#This Row],[link_checklist]],"abrir"))</f>
        <v/>
      </c>
      <c r="AT1156" s="4" t="n"/>
      <c r="AU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5" t="n"/>
      <c r="K1157" s="5" t="n"/>
      <c r="L1157" s="18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Row],[fecha_inicio]]="","",tblOrdenes[[#This Row],[anio]]&amp;"-"&amp;TEXT(tblOrdenes[[#This Row],[mes]],"00"))</f>
        <v/>
      </c>
      <c r="S1157" s="5">
        <f>IF(tblOrdenes[[#This Row],[fecha_inicio]]="","",INDEX(lista_dias,WEEKDAY(tblOrdenes[[#This Row],[fecha_inicio]],2)))</f>
        <v/>
      </c>
      <c r="T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5">
        <f>IF(tblOrdenes[[#This Row],[tipo_ot]]="","",_xlfn.XLOOKUP(tblOrdenes[[#This Row],[tipo_ot]],tblTiposOT[codigo],tblTiposOT[clasificacion],"sin_clasificar"))</f>
        <v/>
      </c>
      <c r="V1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5">
        <f>IF(tblOrdenes[[#This Row],[centro_costo]]="","",_xlfn.XLOOKUP(tblOrdenes[[#This Row],[centro_costo]],tblCECO[codigo],tblCECO[linea],"(sin catálogo)"))</f>
        <v/>
      </c>
      <c r="Y1157" s="5">
        <f>IF(tblOrdenes[[#This Row],[centro_costo]]="","",_xlfn.XLOOKUP(tblOrdenes[[#This Row],[centro_costo]],tblCECO[codigo],tblCECO[area],"(sin catálogo)"))</f>
        <v/>
      </c>
      <c r="Z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5">
        <f>IF(tblOrdenes[[#This Row],[centro_costo]]="","",_xlfn.XLOOKUP(tblOrdenes[[#This Row],[centro_costo]],tblCECO[codigo],tblCECO[coordinador],"(sin catálogo)"))</f>
        <v/>
      </c>
      <c r="AB1157" s="5">
        <f>IF(tblOrdenes[[#This Row],[puesto_trabajo]]="","",_xlfn.XLOOKUP(tblOrdenes[[#This Row],[puesto_trabajo]],tblPuestos[codigo],tblPuestos[especialidad],"(sin catálogo)"))</f>
        <v/>
      </c>
      <c r="AC1157" s="5">
        <f>IF(tblOrdenes[[#This Row],[cod_actividad]]="","",_xlfn.XLOOKUP(tblOrdenes[[#This Row],[cod_actividad]],tblActividades[codigo],tblActividades[descripcion],"(sin catálogo)"))</f>
        <v/>
      </c>
      <c r="AD1157" s="23">
        <f>IF(tblOrdenes[[#This Row],[fecha_inicio]]="","",TODAY()-tblOrdenes[[#This Row],[fecha_inicio]])</f>
        <v/>
      </c>
      <c r="AE11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5">
        <f>IF(tblOrdenes[[#This Row],[backlog_habiles]]="","",IF(tblOrdenes[[#This Row],[backlog_habiles]]&lt;0,"FUTURO",IF(tblOrdenes[[#This Row],[backlog_habiles]]&gt;p_dias_backlog_max,"BACKLOG","MES CORRIENTE")))</f>
        <v/>
      </c>
      <c r="AG1157" s="5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18">
        <f>IF(tblOrdenes[[#This Row],[orden]]="","",_xlfn.XLOOKUP(tblOrdenes[[#This Row],[id_operacion]],tblEjecucion[id_operacion],tblEjecucion[precio],0))</f>
        <v/>
      </c>
      <c r="AM1157" s="18">
        <f>IF(tblOrdenes[[#This Row],[orden]]="","",MAX(0,_xlfn.XLOOKUP(tblOrdenes[[#This Row],[id_operacion]],tblEjecucion[id_operacion],tblEjecucion[costo_plan_total],0)-tblOrdenes[[#This Row],[costo_servicio]]))</f>
        <v/>
      </c>
      <c r="AN1157" s="18">
        <f>IF(tblOrdenes[[#This Row],[orden]]="","",tblOrdenes[[#This Row],[costo_servicio]]+tblOrdenes[[#This Row],[costo_materiales]])</f>
        <v/>
      </c>
      <c r="AO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5">
        <f>IF(tblOrdenes[[#This Row],[link_checklist]]="","",HYPERLINK(p_ruta_base_checklists&amp;tblOrdenes[[#This Row],[link_checklist]],"abrir"))</f>
        <v/>
      </c>
      <c r="AT1157" s="4" t="n"/>
      <c r="AU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5" t="n"/>
      <c r="K1158" s="5" t="n"/>
      <c r="L1158" s="18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Row],[fecha_inicio]]="","",tblOrdenes[[#This Row],[anio]]&amp;"-"&amp;TEXT(tblOrdenes[[#This Row],[mes]],"00"))</f>
        <v/>
      </c>
      <c r="S1158" s="5">
        <f>IF(tblOrdenes[[#This Row],[fecha_inicio]]="","",INDEX(lista_dias,WEEKDAY(tblOrdenes[[#This Row],[fecha_inicio]],2)))</f>
        <v/>
      </c>
      <c r="T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5">
        <f>IF(tblOrdenes[[#This Row],[tipo_ot]]="","",_xlfn.XLOOKUP(tblOrdenes[[#This Row],[tipo_ot]],tblTiposOT[codigo],tblTiposOT[clasificacion],"sin_clasificar"))</f>
        <v/>
      </c>
      <c r="V1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5">
        <f>IF(tblOrdenes[[#This Row],[centro_costo]]="","",_xlfn.XLOOKUP(tblOrdenes[[#This Row],[centro_costo]],tblCECO[codigo],tblCECO[linea],"(sin catálogo)"))</f>
        <v/>
      </c>
      <c r="Y1158" s="5">
        <f>IF(tblOrdenes[[#This Row],[centro_costo]]="","",_xlfn.XLOOKUP(tblOrdenes[[#This Row],[centro_costo]],tblCECO[codigo],tblCECO[area],"(sin catálogo)"))</f>
        <v/>
      </c>
      <c r="Z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5">
        <f>IF(tblOrdenes[[#This Row],[centro_costo]]="","",_xlfn.XLOOKUP(tblOrdenes[[#This Row],[centro_costo]],tblCECO[codigo],tblCECO[coordinador],"(sin catálogo)"))</f>
        <v/>
      </c>
      <c r="AB1158" s="5">
        <f>IF(tblOrdenes[[#This Row],[puesto_trabajo]]="","",_xlfn.XLOOKUP(tblOrdenes[[#This Row],[puesto_trabajo]],tblPuestos[codigo],tblPuestos[especialidad],"(sin catálogo)"))</f>
        <v/>
      </c>
      <c r="AC1158" s="5">
        <f>IF(tblOrdenes[[#This Row],[cod_actividad]]="","",_xlfn.XLOOKUP(tblOrdenes[[#This Row],[cod_actividad]],tblActividades[codigo],tblActividades[descripcion],"(sin catálogo)"))</f>
        <v/>
      </c>
      <c r="AD1158" s="23">
        <f>IF(tblOrdenes[[#This Row],[fecha_inicio]]="","",TODAY()-tblOrdenes[[#This Row],[fecha_inicio]])</f>
        <v/>
      </c>
      <c r="AE11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5">
        <f>IF(tblOrdenes[[#This Row],[backlog_habiles]]="","",IF(tblOrdenes[[#This Row],[backlog_habiles]]&lt;0,"FUTURO",IF(tblOrdenes[[#This Row],[backlog_habiles]]&gt;p_dias_backlog_max,"BACKLOG","MES CORRIENTE")))</f>
        <v/>
      </c>
      <c r="AG1158" s="5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18">
        <f>IF(tblOrdenes[[#This Row],[orden]]="","",_xlfn.XLOOKUP(tblOrdenes[[#This Row],[id_operacion]],tblEjecucion[id_operacion],tblEjecucion[precio],0))</f>
        <v/>
      </c>
      <c r="AM1158" s="18">
        <f>IF(tblOrdenes[[#This Row],[orden]]="","",MAX(0,_xlfn.XLOOKUP(tblOrdenes[[#This Row],[id_operacion]],tblEjecucion[id_operacion],tblEjecucion[costo_plan_total],0)-tblOrdenes[[#This Row],[costo_servicio]]))</f>
        <v/>
      </c>
      <c r="AN1158" s="18">
        <f>IF(tblOrdenes[[#This Row],[orden]]="","",tblOrdenes[[#This Row],[costo_servicio]]+tblOrdenes[[#This Row],[costo_materiales]])</f>
        <v/>
      </c>
      <c r="AO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5">
        <f>IF(tblOrdenes[[#This Row],[link_checklist]]="","",HYPERLINK(p_ruta_base_checklists&amp;tblOrdenes[[#This Row],[link_checklist]],"abrir"))</f>
        <v/>
      </c>
      <c r="AT1158" s="4" t="n"/>
      <c r="AU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5" t="n"/>
      <c r="K1159" s="5" t="n"/>
      <c r="L1159" s="18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Row],[fecha_inicio]]="","",tblOrdenes[[#This Row],[anio]]&amp;"-"&amp;TEXT(tblOrdenes[[#This Row],[mes]],"00"))</f>
        <v/>
      </c>
      <c r="S1159" s="5">
        <f>IF(tblOrdenes[[#This Row],[fecha_inicio]]="","",INDEX(lista_dias,WEEKDAY(tblOrdenes[[#This Row],[fecha_inicio]],2)))</f>
        <v/>
      </c>
      <c r="T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5">
        <f>IF(tblOrdenes[[#This Row],[tipo_ot]]="","",_xlfn.XLOOKUP(tblOrdenes[[#This Row],[tipo_ot]],tblTiposOT[codigo],tblTiposOT[clasificacion],"sin_clasificar"))</f>
        <v/>
      </c>
      <c r="V1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5">
        <f>IF(tblOrdenes[[#This Row],[centro_costo]]="","",_xlfn.XLOOKUP(tblOrdenes[[#This Row],[centro_costo]],tblCECO[codigo],tblCECO[linea],"(sin catálogo)"))</f>
        <v/>
      </c>
      <c r="Y1159" s="5">
        <f>IF(tblOrdenes[[#This Row],[centro_costo]]="","",_xlfn.XLOOKUP(tblOrdenes[[#This Row],[centro_costo]],tblCECO[codigo],tblCECO[area],"(sin catálogo)"))</f>
        <v/>
      </c>
      <c r="Z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5">
        <f>IF(tblOrdenes[[#This Row],[centro_costo]]="","",_xlfn.XLOOKUP(tblOrdenes[[#This Row],[centro_costo]],tblCECO[codigo],tblCECO[coordinador],"(sin catálogo)"))</f>
        <v/>
      </c>
      <c r="AB1159" s="5">
        <f>IF(tblOrdenes[[#This Row],[puesto_trabajo]]="","",_xlfn.XLOOKUP(tblOrdenes[[#This Row],[puesto_trabajo]],tblPuestos[codigo],tblPuestos[especialidad],"(sin catálogo)"))</f>
        <v/>
      </c>
      <c r="AC1159" s="5">
        <f>IF(tblOrdenes[[#This Row],[cod_actividad]]="","",_xlfn.XLOOKUP(tblOrdenes[[#This Row],[cod_actividad]],tblActividades[codigo],tblActividades[descripcion],"(sin catálogo)"))</f>
        <v/>
      </c>
      <c r="AD1159" s="23">
        <f>IF(tblOrdenes[[#This Row],[fecha_inicio]]="","",TODAY()-tblOrdenes[[#This Row],[fecha_inicio]])</f>
        <v/>
      </c>
      <c r="AE11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5">
        <f>IF(tblOrdenes[[#This Row],[backlog_habiles]]="","",IF(tblOrdenes[[#This Row],[backlog_habiles]]&lt;0,"FUTURO",IF(tblOrdenes[[#This Row],[backlog_habiles]]&gt;p_dias_backlog_max,"BACKLOG","MES CORRIENTE")))</f>
        <v/>
      </c>
      <c r="AG1159" s="5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18">
        <f>IF(tblOrdenes[[#This Row],[orden]]="","",_xlfn.XLOOKUP(tblOrdenes[[#This Row],[id_operacion]],tblEjecucion[id_operacion],tblEjecucion[precio],0))</f>
        <v/>
      </c>
      <c r="AM1159" s="18">
        <f>IF(tblOrdenes[[#This Row],[orden]]="","",MAX(0,_xlfn.XLOOKUP(tblOrdenes[[#This Row],[id_operacion]],tblEjecucion[id_operacion],tblEjecucion[costo_plan_total],0)-tblOrdenes[[#This Row],[costo_servicio]]))</f>
        <v/>
      </c>
      <c r="AN1159" s="18">
        <f>IF(tblOrdenes[[#This Row],[orden]]="","",tblOrdenes[[#This Row],[costo_servicio]]+tblOrdenes[[#This Row],[costo_materiales]])</f>
        <v/>
      </c>
      <c r="AO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5">
        <f>IF(tblOrdenes[[#This Row],[link_checklist]]="","",HYPERLINK(p_ruta_base_checklists&amp;tblOrdenes[[#This Row],[link_checklist]],"abrir"))</f>
        <v/>
      </c>
      <c r="AT1159" s="4" t="n"/>
      <c r="AU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5" t="n"/>
      <c r="K1160" s="5" t="n"/>
      <c r="L1160" s="18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Row],[fecha_inicio]]="","",tblOrdenes[[#This Row],[anio]]&amp;"-"&amp;TEXT(tblOrdenes[[#This Row],[mes]],"00"))</f>
        <v/>
      </c>
      <c r="S1160" s="5">
        <f>IF(tblOrdenes[[#This Row],[fecha_inicio]]="","",INDEX(lista_dias,WEEKDAY(tblOrdenes[[#This Row],[fecha_inicio]],2)))</f>
        <v/>
      </c>
      <c r="T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5">
        <f>IF(tblOrdenes[[#This Row],[tipo_ot]]="","",_xlfn.XLOOKUP(tblOrdenes[[#This Row],[tipo_ot]],tblTiposOT[codigo],tblTiposOT[clasificacion],"sin_clasificar"))</f>
        <v/>
      </c>
      <c r="V1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5">
        <f>IF(tblOrdenes[[#This Row],[centro_costo]]="","",_xlfn.XLOOKUP(tblOrdenes[[#This Row],[centro_costo]],tblCECO[codigo],tblCECO[linea],"(sin catálogo)"))</f>
        <v/>
      </c>
      <c r="Y1160" s="5">
        <f>IF(tblOrdenes[[#This Row],[centro_costo]]="","",_xlfn.XLOOKUP(tblOrdenes[[#This Row],[centro_costo]],tblCECO[codigo],tblCECO[area],"(sin catálogo)"))</f>
        <v/>
      </c>
      <c r="Z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5">
        <f>IF(tblOrdenes[[#This Row],[centro_costo]]="","",_xlfn.XLOOKUP(tblOrdenes[[#This Row],[centro_costo]],tblCECO[codigo],tblCECO[coordinador],"(sin catálogo)"))</f>
        <v/>
      </c>
      <c r="AB1160" s="5">
        <f>IF(tblOrdenes[[#This Row],[puesto_trabajo]]="","",_xlfn.XLOOKUP(tblOrdenes[[#This Row],[puesto_trabajo]],tblPuestos[codigo],tblPuestos[especialidad],"(sin catálogo)"))</f>
        <v/>
      </c>
      <c r="AC1160" s="5">
        <f>IF(tblOrdenes[[#This Row],[cod_actividad]]="","",_xlfn.XLOOKUP(tblOrdenes[[#This Row],[cod_actividad]],tblActividades[codigo],tblActividades[descripcion],"(sin catálogo)"))</f>
        <v/>
      </c>
      <c r="AD1160" s="23">
        <f>IF(tblOrdenes[[#This Row],[fecha_inicio]]="","",TODAY()-tblOrdenes[[#This Row],[fecha_inicio]])</f>
        <v/>
      </c>
      <c r="AE11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5">
        <f>IF(tblOrdenes[[#This Row],[backlog_habiles]]="","",IF(tblOrdenes[[#This Row],[backlog_habiles]]&lt;0,"FUTURO",IF(tblOrdenes[[#This Row],[backlog_habiles]]&gt;p_dias_backlog_max,"BACKLOG","MES CORRIENTE")))</f>
        <v/>
      </c>
      <c r="AG1160" s="5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18">
        <f>IF(tblOrdenes[[#This Row],[orden]]="","",_xlfn.XLOOKUP(tblOrdenes[[#This Row],[id_operacion]],tblEjecucion[id_operacion],tblEjecucion[precio],0))</f>
        <v/>
      </c>
      <c r="AM1160" s="18">
        <f>IF(tblOrdenes[[#This Row],[orden]]="","",MAX(0,_xlfn.XLOOKUP(tblOrdenes[[#This Row],[id_operacion]],tblEjecucion[id_operacion],tblEjecucion[costo_plan_total],0)-tblOrdenes[[#This Row],[costo_servicio]]))</f>
        <v/>
      </c>
      <c r="AN1160" s="18">
        <f>IF(tblOrdenes[[#This Row],[orden]]="","",tblOrdenes[[#This Row],[costo_servicio]]+tblOrdenes[[#This Row],[costo_materiales]])</f>
        <v/>
      </c>
      <c r="AO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5">
        <f>IF(tblOrdenes[[#This Row],[link_checklist]]="","",HYPERLINK(p_ruta_base_checklists&amp;tblOrdenes[[#This Row],[link_checklist]],"abrir"))</f>
        <v/>
      </c>
      <c r="AT1160" s="4" t="n"/>
      <c r="AU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5" t="n"/>
      <c r="K1161" s="5" t="n"/>
      <c r="L1161" s="18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Row],[fecha_inicio]]="","",tblOrdenes[[#This Row],[anio]]&amp;"-"&amp;TEXT(tblOrdenes[[#This Row],[mes]],"00"))</f>
        <v/>
      </c>
      <c r="S1161" s="5">
        <f>IF(tblOrdenes[[#This Row],[fecha_inicio]]="","",INDEX(lista_dias,WEEKDAY(tblOrdenes[[#This Row],[fecha_inicio]],2)))</f>
        <v/>
      </c>
      <c r="T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5">
        <f>IF(tblOrdenes[[#This Row],[tipo_ot]]="","",_xlfn.XLOOKUP(tblOrdenes[[#This Row],[tipo_ot]],tblTiposOT[codigo],tblTiposOT[clasificacion],"sin_clasificar"))</f>
        <v/>
      </c>
      <c r="V1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5">
        <f>IF(tblOrdenes[[#This Row],[centro_costo]]="","",_xlfn.XLOOKUP(tblOrdenes[[#This Row],[centro_costo]],tblCECO[codigo],tblCECO[linea],"(sin catálogo)"))</f>
        <v/>
      </c>
      <c r="Y1161" s="5">
        <f>IF(tblOrdenes[[#This Row],[centro_costo]]="","",_xlfn.XLOOKUP(tblOrdenes[[#This Row],[centro_costo]],tblCECO[codigo],tblCECO[area],"(sin catálogo)"))</f>
        <v/>
      </c>
      <c r="Z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5">
        <f>IF(tblOrdenes[[#This Row],[centro_costo]]="","",_xlfn.XLOOKUP(tblOrdenes[[#This Row],[centro_costo]],tblCECO[codigo],tblCECO[coordinador],"(sin catálogo)"))</f>
        <v/>
      </c>
      <c r="AB1161" s="5">
        <f>IF(tblOrdenes[[#This Row],[puesto_trabajo]]="","",_xlfn.XLOOKUP(tblOrdenes[[#This Row],[puesto_trabajo]],tblPuestos[codigo],tblPuestos[especialidad],"(sin catálogo)"))</f>
        <v/>
      </c>
      <c r="AC1161" s="5">
        <f>IF(tblOrdenes[[#This Row],[cod_actividad]]="","",_xlfn.XLOOKUP(tblOrdenes[[#This Row],[cod_actividad]],tblActividades[codigo],tblActividades[descripcion],"(sin catálogo)"))</f>
        <v/>
      </c>
      <c r="AD1161" s="23">
        <f>IF(tblOrdenes[[#This Row],[fecha_inicio]]="","",TODAY()-tblOrdenes[[#This Row],[fecha_inicio]])</f>
        <v/>
      </c>
      <c r="AE11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5">
        <f>IF(tblOrdenes[[#This Row],[backlog_habiles]]="","",IF(tblOrdenes[[#This Row],[backlog_habiles]]&lt;0,"FUTURO",IF(tblOrdenes[[#This Row],[backlog_habiles]]&gt;p_dias_backlog_max,"BACKLOG","MES CORRIENTE")))</f>
        <v/>
      </c>
      <c r="AG1161" s="5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18">
        <f>IF(tblOrdenes[[#This Row],[orden]]="","",_xlfn.XLOOKUP(tblOrdenes[[#This Row],[id_operacion]],tblEjecucion[id_operacion],tblEjecucion[precio],0))</f>
        <v/>
      </c>
      <c r="AM1161" s="18">
        <f>IF(tblOrdenes[[#This Row],[orden]]="","",MAX(0,_xlfn.XLOOKUP(tblOrdenes[[#This Row],[id_operacion]],tblEjecucion[id_operacion],tblEjecucion[costo_plan_total],0)-tblOrdenes[[#This Row],[costo_servicio]]))</f>
        <v/>
      </c>
      <c r="AN1161" s="18">
        <f>IF(tblOrdenes[[#This Row],[orden]]="","",tblOrdenes[[#This Row],[costo_servicio]]+tblOrdenes[[#This Row],[costo_materiales]])</f>
        <v/>
      </c>
      <c r="AO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5">
        <f>IF(tblOrdenes[[#This Row],[link_checklist]]="","",HYPERLINK(p_ruta_base_checklists&amp;tblOrdenes[[#This Row],[link_checklist]],"abrir"))</f>
        <v/>
      </c>
      <c r="AT1161" s="4" t="n"/>
      <c r="AU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5" t="n"/>
      <c r="K1162" s="5" t="n"/>
      <c r="L1162" s="18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Row],[fecha_inicio]]="","",tblOrdenes[[#This Row],[anio]]&amp;"-"&amp;TEXT(tblOrdenes[[#This Row],[mes]],"00"))</f>
        <v/>
      </c>
      <c r="S1162" s="5">
        <f>IF(tblOrdenes[[#This Row],[fecha_inicio]]="","",INDEX(lista_dias,WEEKDAY(tblOrdenes[[#This Row],[fecha_inicio]],2)))</f>
        <v/>
      </c>
      <c r="T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5">
        <f>IF(tblOrdenes[[#This Row],[tipo_ot]]="","",_xlfn.XLOOKUP(tblOrdenes[[#This Row],[tipo_ot]],tblTiposOT[codigo],tblTiposOT[clasificacion],"sin_clasificar"))</f>
        <v/>
      </c>
      <c r="V1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5">
        <f>IF(tblOrdenes[[#This Row],[centro_costo]]="","",_xlfn.XLOOKUP(tblOrdenes[[#This Row],[centro_costo]],tblCECO[codigo],tblCECO[linea],"(sin catálogo)"))</f>
        <v/>
      </c>
      <c r="Y1162" s="5">
        <f>IF(tblOrdenes[[#This Row],[centro_costo]]="","",_xlfn.XLOOKUP(tblOrdenes[[#This Row],[centro_costo]],tblCECO[codigo],tblCECO[area],"(sin catálogo)"))</f>
        <v/>
      </c>
      <c r="Z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5">
        <f>IF(tblOrdenes[[#This Row],[centro_costo]]="","",_xlfn.XLOOKUP(tblOrdenes[[#This Row],[centro_costo]],tblCECO[codigo],tblCECO[coordinador],"(sin catálogo)"))</f>
        <v/>
      </c>
      <c r="AB1162" s="5">
        <f>IF(tblOrdenes[[#This Row],[puesto_trabajo]]="","",_xlfn.XLOOKUP(tblOrdenes[[#This Row],[puesto_trabajo]],tblPuestos[codigo],tblPuestos[especialidad],"(sin catálogo)"))</f>
        <v/>
      </c>
      <c r="AC1162" s="5">
        <f>IF(tblOrdenes[[#This Row],[cod_actividad]]="","",_xlfn.XLOOKUP(tblOrdenes[[#This Row],[cod_actividad]],tblActividades[codigo],tblActividades[descripcion],"(sin catálogo)"))</f>
        <v/>
      </c>
      <c r="AD1162" s="23">
        <f>IF(tblOrdenes[[#This Row],[fecha_inicio]]="","",TODAY()-tblOrdenes[[#This Row],[fecha_inicio]])</f>
        <v/>
      </c>
      <c r="AE11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5">
        <f>IF(tblOrdenes[[#This Row],[backlog_habiles]]="","",IF(tblOrdenes[[#This Row],[backlog_habiles]]&lt;0,"FUTURO",IF(tblOrdenes[[#This Row],[backlog_habiles]]&gt;p_dias_backlog_max,"BACKLOG","MES CORRIENTE")))</f>
        <v/>
      </c>
      <c r="AG1162" s="5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18">
        <f>IF(tblOrdenes[[#This Row],[orden]]="","",_xlfn.XLOOKUP(tblOrdenes[[#This Row],[id_operacion]],tblEjecucion[id_operacion],tblEjecucion[precio],0))</f>
        <v/>
      </c>
      <c r="AM1162" s="18">
        <f>IF(tblOrdenes[[#This Row],[orden]]="","",MAX(0,_xlfn.XLOOKUP(tblOrdenes[[#This Row],[id_operacion]],tblEjecucion[id_operacion],tblEjecucion[costo_plan_total],0)-tblOrdenes[[#This Row],[costo_servicio]]))</f>
        <v/>
      </c>
      <c r="AN1162" s="18">
        <f>IF(tblOrdenes[[#This Row],[orden]]="","",tblOrdenes[[#This Row],[costo_servicio]]+tblOrdenes[[#This Row],[costo_materiales]])</f>
        <v/>
      </c>
      <c r="AO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5">
        <f>IF(tblOrdenes[[#This Row],[link_checklist]]="","",HYPERLINK(p_ruta_base_checklists&amp;tblOrdenes[[#This Row],[link_checklist]],"abrir"))</f>
        <v/>
      </c>
      <c r="AT1162" s="4" t="n"/>
      <c r="AU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5" t="n"/>
      <c r="K1163" s="5" t="n"/>
      <c r="L1163" s="18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Row],[fecha_inicio]]="","",tblOrdenes[[#This Row],[anio]]&amp;"-"&amp;TEXT(tblOrdenes[[#This Row],[mes]],"00"))</f>
        <v/>
      </c>
      <c r="S1163" s="5">
        <f>IF(tblOrdenes[[#This Row],[fecha_inicio]]="","",INDEX(lista_dias,WEEKDAY(tblOrdenes[[#This Row],[fecha_inicio]],2)))</f>
        <v/>
      </c>
      <c r="T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5">
        <f>IF(tblOrdenes[[#This Row],[tipo_ot]]="","",_xlfn.XLOOKUP(tblOrdenes[[#This Row],[tipo_ot]],tblTiposOT[codigo],tblTiposOT[clasificacion],"sin_clasificar"))</f>
        <v/>
      </c>
      <c r="V1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5">
        <f>IF(tblOrdenes[[#This Row],[centro_costo]]="","",_xlfn.XLOOKUP(tblOrdenes[[#This Row],[centro_costo]],tblCECO[codigo],tblCECO[linea],"(sin catálogo)"))</f>
        <v/>
      </c>
      <c r="Y1163" s="5">
        <f>IF(tblOrdenes[[#This Row],[centro_costo]]="","",_xlfn.XLOOKUP(tblOrdenes[[#This Row],[centro_costo]],tblCECO[codigo],tblCECO[area],"(sin catálogo)"))</f>
        <v/>
      </c>
      <c r="Z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5">
        <f>IF(tblOrdenes[[#This Row],[centro_costo]]="","",_xlfn.XLOOKUP(tblOrdenes[[#This Row],[centro_costo]],tblCECO[codigo],tblCECO[coordinador],"(sin catálogo)"))</f>
        <v/>
      </c>
      <c r="AB1163" s="5">
        <f>IF(tblOrdenes[[#This Row],[puesto_trabajo]]="","",_xlfn.XLOOKUP(tblOrdenes[[#This Row],[puesto_trabajo]],tblPuestos[codigo],tblPuestos[especialidad],"(sin catálogo)"))</f>
        <v/>
      </c>
      <c r="AC1163" s="5">
        <f>IF(tblOrdenes[[#This Row],[cod_actividad]]="","",_xlfn.XLOOKUP(tblOrdenes[[#This Row],[cod_actividad]],tblActividades[codigo],tblActividades[descripcion],"(sin catálogo)"))</f>
        <v/>
      </c>
      <c r="AD1163" s="23">
        <f>IF(tblOrdenes[[#This Row],[fecha_inicio]]="","",TODAY()-tblOrdenes[[#This Row],[fecha_inicio]])</f>
        <v/>
      </c>
      <c r="AE11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5">
        <f>IF(tblOrdenes[[#This Row],[backlog_habiles]]="","",IF(tblOrdenes[[#This Row],[backlog_habiles]]&lt;0,"FUTURO",IF(tblOrdenes[[#This Row],[backlog_habiles]]&gt;p_dias_backlog_max,"BACKLOG","MES CORRIENTE")))</f>
        <v/>
      </c>
      <c r="AG1163" s="5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18">
        <f>IF(tblOrdenes[[#This Row],[orden]]="","",_xlfn.XLOOKUP(tblOrdenes[[#This Row],[id_operacion]],tblEjecucion[id_operacion],tblEjecucion[precio],0))</f>
        <v/>
      </c>
      <c r="AM1163" s="18">
        <f>IF(tblOrdenes[[#This Row],[orden]]="","",MAX(0,_xlfn.XLOOKUP(tblOrdenes[[#This Row],[id_operacion]],tblEjecucion[id_operacion],tblEjecucion[costo_plan_total],0)-tblOrdenes[[#This Row],[costo_servicio]]))</f>
        <v/>
      </c>
      <c r="AN1163" s="18">
        <f>IF(tblOrdenes[[#This Row],[orden]]="","",tblOrdenes[[#This Row],[costo_servicio]]+tblOrdenes[[#This Row],[costo_materiales]])</f>
        <v/>
      </c>
      <c r="AO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5">
        <f>IF(tblOrdenes[[#This Row],[link_checklist]]="","",HYPERLINK(p_ruta_base_checklists&amp;tblOrdenes[[#This Row],[link_checklist]],"abrir"))</f>
        <v/>
      </c>
      <c r="AT1163" s="4" t="n"/>
      <c r="AU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5" t="n"/>
      <c r="K1164" s="5" t="n"/>
      <c r="L1164" s="18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Row],[fecha_inicio]]="","",tblOrdenes[[#This Row],[anio]]&amp;"-"&amp;TEXT(tblOrdenes[[#This Row],[mes]],"00"))</f>
        <v/>
      </c>
      <c r="S1164" s="5">
        <f>IF(tblOrdenes[[#This Row],[fecha_inicio]]="","",INDEX(lista_dias,WEEKDAY(tblOrdenes[[#This Row],[fecha_inicio]],2)))</f>
        <v/>
      </c>
      <c r="T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5">
        <f>IF(tblOrdenes[[#This Row],[tipo_ot]]="","",_xlfn.XLOOKUP(tblOrdenes[[#This Row],[tipo_ot]],tblTiposOT[codigo],tblTiposOT[clasificacion],"sin_clasificar"))</f>
        <v/>
      </c>
      <c r="V1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5">
        <f>IF(tblOrdenes[[#This Row],[centro_costo]]="","",_xlfn.XLOOKUP(tblOrdenes[[#This Row],[centro_costo]],tblCECO[codigo],tblCECO[linea],"(sin catálogo)"))</f>
        <v/>
      </c>
      <c r="Y1164" s="5">
        <f>IF(tblOrdenes[[#This Row],[centro_costo]]="","",_xlfn.XLOOKUP(tblOrdenes[[#This Row],[centro_costo]],tblCECO[codigo],tblCECO[area],"(sin catálogo)"))</f>
        <v/>
      </c>
      <c r="Z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5">
        <f>IF(tblOrdenes[[#This Row],[centro_costo]]="","",_xlfn.XLOOKUP(tblOrdenes[[#This Row],[centro_costo]],tblCECO[codigo],tblCECO[coordinador],"(sin catálogo)"))</f>
        <v/>
      </c>
      <c r="AB1164" s="5">
        <f>IF(tblOrdenes[[#This Row],[puesto_trabajo]]="","",_xlfn.XLOOKUP(tblOrdenes[[#This Row],[puesto_trabajo]],tblPuestos[codigo],tblPuestos[especialidad],"(sin catálogo)"))</f>
        <v/>
      </c>
      <c r="AC1164" s="5">
        <f>IF(tblOrdenes[[#This Row],[cod_actividad]]="","",_xlfn.XLOOKUP(tblOrdenes[[#This Row],[cod_actividad]],tblActividades[codigo],tblActividades[descripcion],"(sin catálogo)"))</f>
        <v/>
      </c>
      <c r="AD1164" s="23">
        <f>IF(tblOrdenes[[#This Row],[fecha_inicio]]="","",TODAY()-tblOrdenes[[#This Row],[fecha_inicio]])</f>
        <v/>
      </c>
      <c r="AE11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5">
        <f>IF(tblOrdenes[[#This Row],[backlog_habiles]]="","",IF(tblOrdenes[[#This Row],[backlog_habiles]]&lt;0,"FUTURO",IF(tblOrdenes[[#This Row],[backlog_habiles]]&gt;p_dias_backlog_max,"BACKLOG","MES CORRIENTE")))</f>
        <v/>
      </c>
      <c r="AG1164" s="5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18">
        <f>IF(tblOrdenes[[#This Row],[orden]]="","",_xlfn.XLOOKUP(tblOrdenes[[#This Row],[id_operacion]],tblEjecucion[id_operacion],tblEjecucion[precio],0))</f>
        <v/>
      </c>
      <c r="AM1164" s="18">
        <f>IF(tblOrdenes[[#This Row],[orden]]="","",MAX(0,_xlfn.XLOOKUP(tblOrdenes[[#This Row],[id_operacion]],tblEjecucion[id_operacion],tblEjecucion[costo_plan_total],0)-tblOrdenes[[#This Row],[costo_servicio]]))</f>
        <v/>
      </c>
      <c r="AN1164" s="18">
        <f>IF(tblOrdenes[[#This Row],[orden]]="","",tblOrdenes[[#This Row],[costo_servicio]]+tblOrdenes[[#This Row],[costo_materiales]])</f>
        <v/>
      </c>
      <c r="AO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5">
        <f>IF(tblOrdenes[[#This Row],[link_checklist]]="","",HYPERLINK(p_ruta_base_checklists&amp;tblOrdenes[[#This Row],[link_checklist]],"abrir"))</f>
        <v/>
      </c>
      <c r="AT1164" s="4" t="n"/>
      <c r="AU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5" t="n"/>
      <c r="K1165" s="5" t="n"/>
      <c r="L1165" s="18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Row],[fecha_inicio]]="","",tblOrdenes[[#This Row],[anio]]&amp;"-"&amp;TEXT(tblOrdenes[[#This Row],[mes]],"00"))</f>
        <v/>
      </c>
      <c r="S1165" s="5">
        <f>IF(tblOrdenes[[#This Row],[fecha_inicio]]="","",INDEX(lista_dias,WEEKDAY(tblOrdenes[[#This Row],[fecha_inicio]],2)))</f>
        <v/>
      </c>
      <c r="T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5">
        <f>IF(tblOrdenes[[#This Row],[tipo_ot]]="","",_xlfn.XLOOKUP(tblOrdenes[[#This Row],[tipo_ot]],tblTiposOT[codigo],tblTiposOT[clasificacion],"sin_clasificar"))</f>
        <v/>
      </c>
      <c r="V1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5">
        <f>IF(tblOrdenes[[#This Row],[centro_costo]]="","",_xlfn.XLOOKUP(tblOrdenes[[#This Row],[centro_costo]],tblCECO[codigo],tblCECO[linea],"(sin catálogo)"))</f>
        <v/>
      </c>
      <c r="Y1165" s="5">
        <f>IF(tblOrdenes[[#This Row],[centro_costo]]="","",_xlfn.XLOOKUP(tblOrdenes[[#This Row],[centro_costo]],tblCECO[codigo],tblCECO[area],"(sin catálogo)"))</f>
        <v/>
      </c>
      <c r="Z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5">
        <f>IF(tblOrdenes[[#This Row],[centro_costo]]="","",_xlfn.XLOOKUP(tblOrdenes[[#This Row],[centro_costo]],tblCECO[codigo],tblCECO[coordinador],"(sin catálogo)"))</f>
        <v/>
      </c>
      <c r="AB1165" s="5">
        <f>IF(tblOrdenes[[#This Row],[puesto_trabajo]]="","",_xlfn.XLOOKUP(tblOrdenes[[#This Row],[puesto_trabajo]],tblPuestos[codigo],tblPuestos[especialidad],"(sin catálogo)"))</f>
        <v/>
      </c>
      <c r="AC1165" s="5">
        <f>IF(tblOrdenes[[#This Row],[cod_actividad]]="","",_xlfn.XLOOKUP(tblOrdenes[[#This Row],[cod_actividad]],tblActividades[codigo],tblActividades[descripcion],"(sin catálogo)"))</f>
        <v/>
      </c>
      <c r="AD1165" s="23">
        <f>IF(tblOrdenes[[#This Row],[fecha_inicio]]="","",TODAY()-tblOrdenes[[#This Row],[fecha_inicio]])</f>
        <v/>
      </c>
      <c r="AE11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5">
        <f>IF(tblOrdenes[[#This Row],[backlog_habiles]]="","",IF(tblOrdenes[[#This Row],[backlog_habiles]]&lt;0,"FUTURO",IF(tblOrdenes[[#This Row],[backlog_habiles]]&gt;p_dias_backlog_max,"BACKLOG","MES CORRIENTE")))</f>
        <v/>
      </c>
      <c r="AG1165" s="5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18">
        <f>IF(tblOrdenes[[#This Row],[orden]]="","",_xlfn.XLOOKUP(tblOrdenes[[#This Row],[id_operacion]],tblEjecucion[id_operacion],tblEjecucion[precio],0))</f>
        <v/>
      </c>
      <c r="AM1165" s="18">
        <f>IF(tblOrdenes[[#This Row],[orden]]="","",MAX(0,_xlfn.XLOOKUP(tblOrdenes[[#This Row],[id_operacion]],tblEjecucion[id_operacion],tblEjecucion[costo_plan_total],0)-tblOrdenes[[#This Row],[costo_servicio]]))</f>
        <v/>
      </c>
      <c r="AN1165" s="18">
        <f>IF(tblOrdenes[[#This Row],[orden]]="","",tblOrdenes[[#This Row],[costo_servicio]]+tblOrdenes[[#This Row],[costo_materiales]])</f>
        <v/>
      </c>
      <c r="AO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5">
        <f>IF(tblOrdenes[[#This Row],[link_checklist]]="","",HYPERLINK(p_ruta_base_checklists&amp;tblOrdenes[[#This Row],[link_checklist]],"abrir"))</f>
        <v/>
      </c>
      <c r="AT1165" s="4" t="n"/>
      <c r="AU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5" t="n"/>
      <c r="K1166" s="5" t="n"/>
      <c r="L1166" s="18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Row],[fecha_inicio]]="","",tblOrdenes[[#This Row],[anio]]&amp;"-"&amp;TEXT(tblOrdenes[[#This Row],[mes]],"00"))</f>
        <v/>
      </c>
      <c r="S1166" s="5">
        <f>IF(tblOrdenes[[#This Row],[fecha_inicio]]="","",INDEX(lista_dias,WEEKDAY(tblOrdenes[[#This Row],[fecha_inicio]],2)))</f>
        <v/>
      </c>
      <c r="T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5">
        <f>IF(tblOrdenes[[#This Row],[tipo_ot]]="","",_xlfn.XLOOKUP(tblOrdenes[[#This Row],[tipo_ot]],tblTiposOT[codigo],tblTiposOT[clasificacion],"sin_clasificar"))</f>
        <v/>
      </c>
      <c r="V1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5">
        <f>IF(tblOrdenes[[#This Row],[centro_costo]]="","",_xlfn.XLOOKUP(tblOrdenes[[#This Row],[centro_costo]],tblCECO[codigo],tblCECO[linea],"(sin catálogo)"))</f>
        <v/>
      </c>
      <c r="Y1166" s="5">
        <f>IF(tblOrdenes[[#This Row],[centro_costo]]="","",_xlfn.XLOOKUP(tblOrdenes[[#This Row],[centro_costo]],tblCECO[codigo],tblCECO[area],"(sin catálogo)"))</f>
        <v/>
      </c>
      <c r="Z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5">
        <f>IF(tblOrdenes[[#This Row],[centro_costo]]="","",_xlfn.XLOOKUP(tblOrdenes[[#This Row],[centro_costo]],tblCECO[codigo],tblCECO[coordinador],"(sin catálogo)"))</f>
        <v/>
      </c>
      <c r="AB1166" s="5">
        <f>IF(tblOrdenes[[#This Row],[puesto_trabajo]]="","",_xlfn.XLOOKUP(tblOrdenes[[#This Row],[puesto_trabajo]],tblPuestos[codigo],tblPuestos[especialidad],"(sin catálogo)"))</f>
        <v/>
      </c>
      <c r="AC1166" s="5">
        <f>IF(tblOrdenes[[#This Row],[cod_actividad]]="","",_xlfn.XLOOKUP(tblOrdenes[[#This Row],[cod_actividad]],tblActividades[codigo],tblActividades[descripcion],"(sin catálogo)"))</f>
        <v/>
      </c>
      <c r="AD1166" s="23">
        <f>IF(tblOrdenes[[#This Row],[fecha_inicio]]="","",TODAY()-tblOrdenes[[#This Row],[fecha_inicio]])</f>
        <v/>
      </c>
      <c r="AE11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5">
        <f>IF(tblOrdenes[[#This Row],[backlog_habiles]]="","",IF(tblOrdenes[[#This Row],[backlog_habiles]]&lt;0,"FUTURO",IF(tblOrdenes[[#This Row],[backlog_habiles]]&gt;p_dias_backlog_max,"BACKLOG","MES CORRIENTE")))</f>
        <v/>
      </c>
      <c r="AG1166" s="5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18">
        <f>IF(tblOrdenes[[#This Row],[orden]]="","",_xlfn.XLOOKUP(tblOrdenes[[#This Row],[id_operacion]],tblEjecucion[id_operacion],tblEjecucion[precio],0))</f>
        <v/>
      </c>
      <c r="AM1166" s="18">
        <f>IF(tblOrdenes[[#This Row],[orden]]="","",MAX(0,_xlfn.XLOOKUP(tblOrdenes[[#This Row],[id_operacion]],tblEjecucion[id_operacion],tblEjecucion[costo_plan_total],0)-tblOrdenes[[#This Row],[costo_servicio]]))</f>
        <v/>
      </c>
      <c r="AN1166" s="18">
        <f>IF(tblOrdenes[[#This Row],[orden]]="","",tblOrdenes[[#This Row],[costo_servicio]]+tblOrdenes[[#This Row],[costo_materiales]])</f>
        <v/>
      </c>
      <c r="AO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5">
        <f>IF(tblOrdenes[[#This Row],[link_checklist]]="","",HYPERLINK(p_ruta_base_checklists&amp;tblOrdenes[[#This Row],[link_checklist]],"abrir"))</f>
        <v/>
      </c>
      <c r="AT1166" s="4" t="n"/>
      <c r="AU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5" t="n"/>
      <c r="K1167" s="5" t="n"/>
      <c r="L1167" s="18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Row],[fecha_inicio]]="","",tblOrdenes[[#This Row],[anio]]&amp;"-"&amp;TEXT(tblOrdenes[[#This Row],[mes]],"00"))</f>
        <v/>
      </c>
      <c r="S1167" s="5">
        <f>IF(tblOrdenes[[#This Row],[fecha_inicio]]="","",INDEX(lista_dias,WEEKDAY(tblOrdenes[[#This Row],[fecha_inicio]],2)))</f>
        <v/>
      </c>
      <c r="T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5">
        <f>IF(tblOrdenes[[#This Row],[tipo_ot]]="","",_xlfn.XLOOKUP(tblOrdenes[[#This Row],[tipo_ot]],tblTiposOT[codigo],tblTiposOT[clasificacion],"sin_clasificar"))</f>
        <v/>
      </c>
      <c r="V1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5">
        <f>IF(tblOrdenes[[#This Row],[centro_costo]]="","",_xlfn.XLOOKUP(tblOrdenes[[#This Row],[centro_costo]],tblCECO[codigo],tblCECO[linea],"(sin catálogo)"))</f>
        <v/>
      </c>
      <c r="Y1167" s="5">
        <f>IF(tblOrdenes[[#This Row],[centro_costo]]="","",_xlfn.XLOOKUP(tblOrdenes[[#This Row],[centro_costo]],tblCECO[codigo],tblCECO[area],"(sin catálogo)"))</f>
        <v/>
      </c>
      <c r="Z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5">
        <f>IF(tblOrdenes[[#This Row],[centro_costo]]="","",_xlfn.XLOOKUP(tblOrdenes[[#This Row],[centro_costo]],tblCECO[codigo],tblCECO[coordinador],"(sin catálogo)"))</f>
        <v/>
      </c>
      <c r="AB1167" s="5">
        <f>IF(tblOrdenes[[#This Row],[puesto_trabajo]]="","",_xlfn.XLOOKUP(tblOrdenes[[#This Row],[puesto_trabajo]],tblPuestos[codigo],tblPuestos[especialidad],"(sin catálogo)"))</f>
        <v/>
      </c>
      <c r="AC1167" s="5">
        <f>IF(tblOrdenes[[#This Row],[cod_actividad]]="","",_xlfn.XLOOKUP(tblOrdenes[[#This Row],[cod_actividad]],tblActividades[codigo],tblActividades[descripcion],"(sin catálogo)"))</f>
        <v/>
      </c>
      <c r="AD1167" s="23">
        <f>IF(tblOrdenes[[#This Row],[fecha_inicio]]="","",TODAY()-tblOrdenes[[#This Row],[fecha_inicio]])</f>
        <v/>
      </c>
      <c r="AE11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5">
        <f>IF(tblOrdenes[[#This Row],[backlog_habiles]]="","",IF(tblOrdenes[[#This Row],[backlog_habiles]]&lt;0,"FUTURO",IF(tblOrdenes[[#This Row],[backlog_habiles]]&gt;p_dias_backlog_max,"BACKLOG","MES CORRIENTE")))</f>
        <v/>
      </c>
      <c r="AG1167" s="5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18">
        <f>IF(tblOrdenes[[#This Row],[orden]]="","",_xlfn.XLOOKUP(tblOrdenes[[#This Row],[id_operacion]],tblEjecucion[id_operacion],tblEjecucion[precio],0))</f>
        <v/>
      </c>
      <c r="AM1167" s="18">
        <f>IF(tblOrdenes[[#This Row],[orden]]="","",MAX(0,_xlfn.XLOOKUP(tblOrdenes[[#This Row],[id_operacion]],tblEjecucion[id_operacion],tblEjecucion[costo_plan_total],0)-tblOrdenes[[#This Row],[costo_servicio]]))</f>
        <v/>
      </c>
      <c r="AN1167" s="18">
        <f>IF(tblOrdenes[[#This Row],[orden]]="","",tblOrdenes[[#This Row],[costo_servicio]]+tblOrdenes[[#This Row],[costo_materiales]])</f>
        <v/>
      </c>
      <c r="AO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5">
        <f>IF(tblOrdenes[[#This Row],[link_checklist]]="","",HYPERLINK(p_ruta_base_checklists&amp;tblOrdenes[[#This Row],[link_checklist]],"abrir"))</f>
        <v/>
      </c>
      <c r="AT1167" s="4" t="n"/>
      <c r="AU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5" t="n"/>
      <c r="K1168" s="5" t="n"/>
      <c r="L1168" s="18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Row],[fecha_inicio]]="","",tblOrdenes[[#This Row],[anio]]&amp;"-"&amp;TEXT(tblOrdenes[[#This Row],[mes]],"00"))</f>
        <v/>
      </c>
      <c r="S1168" s="5">
        <f>IF(tblOrdenes[[#This Row],[fecha_inicio]]="","",INDEX(lista_dias,WEEKDAY(tblOrdenes[[#This Row],[fecha_inicio]],2)))</f>
        <v/>
      </c>
      <c r="T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5">
        <f>IF(tblOrdenes[[#This Row],[tipo_ot]]="","",_xlfn.XLOOKUP(tblOrdenes[[#This Row],[tipo_ot]],tblTiposOT[codigo],tblTiposOT[clasificacion],"sin_clasificar"))</f>
        <v/>
      </c>
      <c r="V1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5">
        <f>IF(tblOrdenes[[#This Row],[centro_costo]]="","",_xlfn.XLOOKUP(tblOrdenes[[#This Row],[centro_costo]],tblCECO[codigo],tblCECO[linea],"(sin catálogo)"))</f>
        <v/>
      </c>
      <c r="Y1168" s="5">
        <f>IF(tblOrdenes[[#This Row],[centro_costo]]="","",_xlfn.XLOOKUP(tblOrdenes[[#This Row],[centro_costo]],tblCECO[codigo],tblCECO[area],"(sin catálogo)"))</f>
        <v/>
      </c>
      <c r="Z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5">
        <f>IF(tblOrdenes[[#This Row],[centro_costo]]="","",_xlfn.XLOOKUP(tblOrdenes[[#This Row],[centro_costo]],tblCECO[codigo],tblCECO[coordinador],"(sin catálogo)"))</f>
        <v/>
      </c>
      <c r="AB1168" s="5">
        <f>IF(tblOrdenes[[#This Row],[puesto_trabajo]]="","",_xlfn.XLOOKUP(tblOrdenes[[#This Row],[puesto_trabajo]],tblPuestos[codigo],tblPuestos[especialidad],"(sin catálogo)"))</f>
        <v/>
      </c>
      <c r="AC1168" s="5">
        <f>IF(tblOrdenes[[#This Row],[cod_actividad]]="","",_xlfn.XLOOKUP(tblOrdenes[[#This Row],[cod_actividad]],tblActividades[codigo],tblActividades[descripcion],"(sin catálogo)"))</f>
        <v/>
      </c>
      <c r="AD1168" s="23">
        <f>IF(tblOrdenes[[#This Row],[fecha_inicio]]="","",TODAY()-tblOrdenes[[#This Row],[fecha_inicio]])</f>
        <v/>
      </c>
      <c r="AE11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5">
        <f>IF(tblOrdenes[[#This Row],[backlog_habiles]]="","",IF(tblOrdenes[[#This Row],[backlog_habiles]]&lt;0,"FUTURO",IF(tblOrdenes[[#This Row],[backlog_habiles]]&gt;p_dias_backlog_max,"BACKLOG","MES CORRIENTE")))</f>
        <v/>
      </c>
      <c r="AG1168" s="5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18">
        <f>IF(tblOrdenes[[#This Row],[orden]]="","",_xlfn.XLOOKUP(tblOrdenes[[#This Row],[id_operacion]],tblEjecucion[id_operacion],tblEjecucion[precio],0))</f>
        <v/>
      </c>
      <c r="AM1168" s="18">
        <f>IF(tblOrdenes[[#This Row],[orden]]="","",MAX(0,_xlfn.XLOOKUP(tblOrdenes[[#This Row],[id_operacion]],tblEjecucion[id_operacion],tblEjecucion[costo_plan_total],0)-tblOrdenes[[#This Row],[costo_servicio]]))</f>
        <v/>
      </c>
      <c r="AN1168" s="18">
        <f>IF(tblOrdenes[[#This Row],[orden]]="","",tblOrdenes[[#This Row],[costo_servicio]]+tblOrdenes[[#This Row],[costo_materiales]])</f>
        <v/>
      </c>
      <c r="AO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5">
        <f>IF(tblOrdenes[[#This Row],[link_checklist]]="","",HYPERLINK(p_ruta_base_checklists&amp;tblOrdenes[[#This Row],[link_checklist]],"abrir"))</f>
        <v/>
      </c>
      <c r="AT1168" s="4" t="n"/>
      <c r="AU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5" t="n"/>
      <c r="K1169" s="5" t="n"/>
      <c r="L1169" s="18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Row],[fecha_inicio]]="","",tblOrdenes[[#This Row],[anio]]&amp;"-"&amp;TEXT(tblOrdenes[[#This Row],[mes]],"00"))</f>
        <v/>
      </c>
      <c r="S1169" s="5">
        <f>IF(tblOrdenes[[#This Row],[fecha_inicio]]="","",INDEX(lista_dias,WEEKDAY(tblOrdenes[[#This Row],[fecha_inicio]],2)))</f>
        <v/>
      </c>
      <c r="T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5">
        <f>IF(tblOrdenes[[#This Row],[tipo_ot]]="","",_xlfn.XLOOKUP(tblOrdenes[[#This Row],[tipo_ot]],tblTiposOT[codigo],tblTiposOT[clasificacion],"sin_clasificar"))</f>
        <v/>
      </c>
      <c r="V1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5">
        <f>IF(tblOrdenes[[#This Row],[centro_costo]]="","",_xlfn.XLOOKUP(tblOrdenes[[#This Row],[centro_costo]],tblCECO[codigo],tblCECO[linea],"(sin catálogo)"))</f>
        <v/>
      </c>
      <c r="Y1169" s="5">
        <f>IF(tblOrdenes[[#This Row],[centro_costo]]="","",_xlfn.XLOOKUP(tblOrdenes[[#This Row],[centro_costo]],tblCECO[codigo],tblCECO[area],"(sin catálogo)"))</f>
        <v/>
      </c>
      <c r="Z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5">
        <f>IF(tblOrdenes[[#This Row],[centro_costo]]="","",_xlfn.XLOOKUP(tblOrdenes[[#This Row],[centro_costo]],tblCECO[codigo],tblCECO[coordinador],"(sin catálogo)"))</f>
        <v/>
      </c>
      <c r="AB1169" s="5">
        <f>IF(tblOrdenes[[#This Row],[puesto_trabajo]]="","",_xlfn.XLOOKUP(tblOrdenes[[#This Row],[puesto_trabajo]],tblPuestos[codigo],tblPuestos[especialidad],"(sin catálogo)"))</f>
        <v/>
      </c>
      <c r="AC1169" s="5">
        <f>IF(tblOrdenes[[#This Row],[cod_actividad]]="","",_xlfn.XLOOKUP(tblOrdenes[[#This Row],[cod_actividad]],tblActividades[codigo],tblActividades[descripcion],"(sin catálogo)"))</f>
        <v/>
      </c>
      <c r="AD1169" s="23">
        <f>IF(tblOrdenes[[#This Row],[fecha_inicio]]="","",TODAY()-tblOrdenes[[#This Row],[fecha_inicio]])</f>
        <v/>
      </c>
      <c r="AE11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5">
        <f>IF(tblOrdenes[[#This Row],[backlog_habiles]]="","",IF(tblOrdenes[[#This Row],[backlog_habiles]]&lt;0,"FUTURO",IF(tblOrdenes[[#This Row],[backlog_habiles]]&gt;p_dias_backlog_max,"BACKLOG","MES CORRIENTE")))</f>
        <v/>
      </c>
      <c r="AG1169" s="5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18">
        <f>IF(tblOrdenes[[#This Row],[orden]]="","",_xlfn.XLOOKUP(tblOrdenes[[#This Row],[id_operacion]],tblEjecucion[id_operacion],tblEjecucion[precio],0))</f>
        <v/>
      </c>
      <c r="AM1169" s="18">
        <f>IF(tblOrdenes[[#This Row],[orden]]="","",MAX(0,_xlfn.XLOOKUP(tblOrdenes[[#This Row],[id_operacion]],tblEjecucion[id_operacion],tblEjecucion[costo_plan_total],0)-tblOrdenes[[#This Row],[costo_servicio]]))</f>
        <v/>
      </c>
      <c r="AN1169" s="18">
        <f>IF(tblOrdenes[[#This Row],[orden]]="","",tblOrdenes[[#This Row],[costo_servicio]]+tblOrdenes[[#This Row],[costo_materiales]])</f>
        <v/>
      </c>
      <c r="AO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5">
        <f>IF(tblOrdenes[[#This Row],[link_checklist]]="","",HYPERLINK(p_ruta_base_checklists&amp;tblOrdenes[[#This Row],[link_checklist]],"abrir"))</f>
        <v/>
      </c>
      <c r="AT1169" s="4" t="n"/>
      <c r="AU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5" t="n"/>
      <c r="K1170" s="5" t="n"/>
      <c r="L1170" s="18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Row],[fecha_inicio]]="","",tblOrdenes[[#This Row],[anio]]&amp;"-"&amp;TEXT(tblOrdenes[[#This Row],[mes]],"00"))</f>
        <v/>
      </c>
      <c r="S1170" s="5">
        <f>IF(tblOrdenes[[#This Row],[fecha_inicio]]="","",INDEX(lista_dias,WEEKDAY(tblOrdenes[[#This Row],[fecha_inicio]],2)))</f>
        <v/>
      </c>
      <c r="T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5">
        <f>IF(tblOrdenes[[#This Row],[tipo_ot]]="","",_xlfn.XLOOKUP(tblOrdenes[[#This Row],[tipo_ot]],tblTiposOT[codigo],tblTiposOT[clasificacion],"sin_clasificar"))</f>
        <v/>
      </c>
      <c r="V1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5">
        <f>IF(tblOrdenes[[#This Row],[centro_costo]]="","",_xlfn.XLOOKUP(tblOrdenes[[#This Row],[centro_costo]],tblCECO[codigo],tblCECO[linea],"(sin catálogo)"))</f>
        <v/>
      </c>
      <c r="Y1170" s="5">
        <f>IF(tblOrdenes[[#This Row],[centro_costo]]="","",_xlfn.XLOOKUP(tblOrdenes[[#This Row],[centro_costo]],tblCECO[codigo],tblCECO[area],"(sin catálogo)"))</f>
        <v/>
      </c>
      <c r="Z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5">
        <f>IF(tblOrdenes[[#This Row],[centro_costo]]="","",_xlfn.XLOOKUP(tblOrdenes[[#This Row],[centro_costo]],tblCECO[codigo],tblCECO[coordinador],"(sin catálogo)"))</f>
        <v/>
      </c>
      <c r="AB1170" s="5">
        <f>IF(tblOrdenes[[#This Row],[puesto_trabajo]]="","",_xlfn.XLOOKUP(tblOrdenes[[#This Row],[puesto_trabajo]],tblPuestos[codigo],tblPuestos[especialidad],"(sin catálogo)"))</f>
        <v/>
      </c>
      <c r="AC1170" s="5">
        <f>IF(tblOrdenes[[#This Row],[cod_actividad]]="","",_xlfn.XLOOKUP(tblOrdenes[[#This Row],[cod_actividad]],tblActividades[codigo],tblActividades[descripcion],"(sin catálogo)"))</f>
        <v/>
      </c>
      <c r="AD1170" s="23">
        <f>IF(tblOrdenes[[#This Row],[fecha_inicio]]="","",TODAY()-tblOrdenes[[#This Row],[fecha_inicio]])</f>
        <v/>
      </c>
      <c r="AE11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5">
        <f>IF(tblOrdenes[[#This Row],[backlog_habiles]]="","",IF(tblOrdenes[[#This Row],[backlog_habiles]]&lt;0,"FUTURO",IF(tblOrdenes[[#This Row],[backlog_habiles]]&gt;p_dias_backlog_max,"BACKLOG","MES CORRIENTE")))</f>
        <v/>
      </c>
      <c r="AG1170" s="5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18">
        <f>IF(tblOrdenes[[#This Row],[orden]]="","",_xlfn.XLOOKUP(tblOrdenes[[#This Row],[id_operacion]],tblEjecucion[id_operacion],tblEjecucion[precio],0))</f>
        <v/>
      </c>
      <c r="AM1170" s="18">
        <f>IF(tblOrdenes[[#This Row],[orden]]="","",MAX(0,_xlfn.XLOOKUP(tblOrdenes[[#This Row],[id_operacion]],tblEjecucion[id_operacion],tblEjecucion[costo_plan_total],0)-tblOrdenes[[#This Row],[costo_servicio]]))</f>
        <v/>
      </c>
      <c r="AN1170" s="18">
        <f>IF(tblOrdenes[[#This Row],[orden]]="","",tblOrdenes[[#This Row],[costo_servicio]]+tblOrdenes[[#This Row],[costo_materiales]])</f>
        <v/>
      </c>
      <c r="AO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5">
        <f>IF(tblOrdenes[[#This Row],[link_checklist]]="","",HYPERLINK(p_ruta_base_checklists&amp;tblOrdenes[[#This Row],[link_checklist]],"abrir"))</f>
        <v/>
      </c>
      <c r="AT1170" s="4" t="n"/>
      <c r="AU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5" t="n"/>
      <c r="K1171" s="5" t="n"/>
      <c r="L1171" s="18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Row],[fecha_inicio]]="","",tblOrdenes[[#This Row],[anio]]&amp;"-"&amp;TEXT(tblOrdenes[[#This Row],[mes]],"00"))</f>
        <v/>
      </c>
      <c r="S1171" s="5">
        <f>IF(tblOrdenes[[#This Row],[fecha_inicio]]="","",INDEX(lista_dias,WEEKDAY(tblOrdenes[[#This Row],[fecha_inicio]],2)))</f>
        <v/>
      </c>
      <c r="T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5">
        <f>IF(tblOrdenes[[#This Row],[tipo_ot]]="","",_xlfn.XLOOKUP(tblOrdenes[[#This Row],[tipo_ot]],tblTiposOT[codigo],tblTiposOT[clasificacion],"sin_clasificar"))</f>
        <v/>
      </c>
      <c r="V1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5">
        <f>IF(tblOrdenes[[#This Row],[centro_costo]]="","",_xlfn.XLOOKUP(tblOrdenes[[#This Row],[centro_costo]],tblCECO[codigo],tblCECO[linea],"(sin catálogo)"))</f>
        <v/>
      </c>
      <c r="Y1171" s="5">
        <f>IF(tblOrdenes[[#This Row],[centro_costo]]="","",_xlfn.XLOOKUP(tblOrdenes[[#This Row],[centro_costo]],tblCECO[codigo],tblCECO[area],"(sin catálogo)"))</f>
        <v/>
      </c>
      <c r="Z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5">
        <f>IF(tblOrdenes[[#This Row],[centro_costo]]="","",_xlfn.XLOOKUP(tblOrdenes[[#This Row],[centro_costo]],tblCECO[codigo],tblCECO[coordinador],"(sin catálogo)"))</f>
        <v/>
      </c>
      <c r="AB1171" s="5">
        <f>IF(tblOrdenes[[#This Row],[puesto_trabajo]]="","",_xlfn.XLOOKUP(tblOrdenes[[#This Row],[puesto_trabajo]],tblPuestos[codigo],tblPuestos[especialidad],"(sin catálogo)"))</f>
        <v/>
      </c>
      <c r="AC1171" s="5">
        <f>IF(tblOrdenes[[#This Row],[cod_actividad]]="","",_xlfn.XLOOKUP(tblOrdenes[[#This Row],[cod_actividad]],tblActividades[codigo],tblActividades[descripcion],"(sin catálogo)"))</f>
        <v/>
      </c>
      <c r="AD1171" s="23">
        <f>IF(tblOrdenes[[#This Row],[fecha_inicio]]="","",TODAY()-tblOrdenes[[#This Row],[fecha_inicio]])</f>
        <v/>
      </c>
      <c r="AE11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5">
        <f>IF(tblOrdenes[[#This Row],[backlog_habiles]]="","",IF(tblOrdenes[[#This Row],[backlog_habiles]]&lt;0,"FUTURO",IF(tblOrdenes[[#This Row],[backlog_habiles]]&gt;p_dias_backlog_max,"BACKLOG","MES CORRIENTE")))</f>
        <v/>
      </c>
      <c r="AG1171" s="5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18">
        <f>IF(tblOrdenes[[#This Row],[orden]]="","",_xlfn.XLOOKUP(tblOrdenes[[#This Row],[id_operacion]],tblEjecucion[id_operacion],tblEjecucion[precio],0))</f>
        <v/>
      </c>
      <c r="AM1171" s="18">
        <f>IF(tblOrdenes[[#This Row],[orden]]="","",MAX(0,_xlfn.XLOOKUP(tblOrdenes[[#This Row],[id_operacion]],tblEjecucion[id_operacion],tblEjecucion[costo_plan_total],0)-tblOrdenes[[#This Row],[costo_servicio]]))</f>
        <v/>
      </c>
      <c r="AN1171" s="18">
        <f>IF(tblOrdenes[[#This Row],[orden]]="","",tblOrdenes[[#This Row],[costo_servicio]]+tblOrdenes[[#This Row],[costo_materiales]])</f>
        <v/>
      </c>
      <c r="AO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5">
        <f>IF(tblOrdenes[[#This Row],[link_checklist]]="","",HYPERLINK(p_ruta_base_checklists&amp;tblOrdenes[[#This Row],[link_checklist]],"abrir"))</f>
        <v/>
      </c>
      <c r="AT1171" s="4" t="n"/>
      <c r="AU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5" t="n"/>
      <c r="K1172" s="5" t="n"/>
      <c r="L1172" s="18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Row],[fecha_inicio]]="","",tblOrdenes[[#This Row],[anio]]&amp;"-"&amp;TEXT(tblOrdenes[[#This Row],[mes]],"00"))</f>
        <v/>
      </c>
      <c r="S1172" s="5">
        <f>IF(tblOrdenes[[#This Row],[fecha_inicio]]="","",INDEX(lista_dias,WEEKDAY(tblOrdenes[[#This Row],[fecha_inicio]],2)))</f>
        <v/>
      </c>
      <c r="T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5">
        <f>IF(tblOrdenes[[#This Row],[tipo_ot]]="","",_xlfn.XLOOKUP(tblOrdenes[[#This Row],[tipo_ot]],tblTiposOT[codigo],tblTiposOT[clasificacion],"sin_clasificar"))</f>
        <v/>
      </c>
      <c r="V1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5">
        <f>IF(tblOrdenes[[#This Row],[centro_costo]]="","",_xlfn.XLOOKUP(tblOrdenes[[#This Row],[centro_costo]],tblCECO[codigo],tblCECO[linea],"(sin catálogo)"))</f>
        <v/>
      </c>
      <c r="Y1172" s="5">
        <f>IF(tblOrdenes[[#This Row],[centro_costo]]="","",_xlfn.XLOOKUP(tblOrdenes[[#This Row],[centro_costo]],tblCECO[codigo],tblCECO[area],"(sin catálogo)"))</f>
        <v/>
      </c>
      <c r="Z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5">
        <f>IF(tblOrdenes[[#This Row],[centro_costo]]="","",_xlfn.XLOOKUP(tblOrdenes[[#This Row],[centro_costo]],tblCECO[codigo],tblCECO[coordinador],"(sin catálogo)"))</f>
        <v/>
      </c>
      <c r="AB1172" s="5">
        <f>IF(tblOrdenes[[#This Row],[puesto_trabajo]]="","",_xlfn.XLOOKUP(tblOrdenes[[#This Row],[puesto_trabajo]],tblPuestos[codigo],tblPuestos[especialidad],"(sin catálogo)"))</f>
        <v/>
      </c>
      <c r="AC1172" s="5">
        <f>IF(tblOrdenes[[#This Row],[cod_actividad]]="","",_xlfn.XLOOKUP(tblOrdenes[[#This Row],[cod_actividad]],tblActividades[codigo],tblActividades[descripcion],"(sin catálogo)"))</f>
        <v/>
      </c>
      <c r="AD1172" s="23">
        <f>IF(tblOrdenes[[#This Row],[fecha_inicio]]="","",TODAY()-tblOrdenes[[#This Row],[fecha_inicio]])</f>
        <v/>
      </c>
      <c r="AE11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5">
        <f>IF(tblOrdenes[[#This Row],[backlog_habiles]]="","",IF(tblOrdenes[[#This Row],[backlog_habiles]]&lt;0,"FUTURO",IF(tblOrdenes[[#This Row],[backlog_habiles]]&gt;p_dias_backlog_max,"BACKLOG","MES CORRIENTE")))</f>
        <v/>
      </c>
      <c r="AG1172" s="5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18">
        <f>IF(tblOrdenes[[#This Row],[orden]]="","",_xlfn.XLOOKUP(tblOrdenes[[#This Row],[id_operacion]],tblEjecucion[id_operacion],tblEjecucion[precio],0))</f>
        <v/>
      </c>
      <c r="AM1172" s="18">
        <f>IF(tblOrdenes[[#This Row],[orden]]="","",MAX(0,_xlfn.XLOOKUP(tblOrdenes[[#This Row],[id_operacion]],tblEjecucion[id_operacion],tblEjecucion[costo_plan_total],0)-tblOrdenes[[#This Row],[costo_servicio]]))</f>
        <v/>
      </c>
      <c r="AN1172" s="18">
        <f>IF(tblOrdenes[[#This Row],[orden]]="","",tblOrdenes[[#This Row],[costo_servicio]]+tblOrdenes[[#This Row],[costo_materiales]])</f>
        <v/>
      </c>
      <c r="AO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5">
        <f>IF(tblOrdenes[[#This Row],[link_checklist]]="","",HYPERLINK(p_ruta_base_checklists&amp;tblOrdenes[[#This Row],[link_checklist]],"abrir"))</f>
        <v/>
      </c>
      <c r="AT1172" s="4" t="n"/>
      <c r="AU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5" t="n"/>
      <c r="K1173" s="5" t="n"/>
      <c r="L1173" s="18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Row],[fecha_inicio]]="","",tblOrdenes[[#This Row],[anio]]&amp;"-"&amp;TEXT(tblOrdenes[[#This Row],[mes]],"00"))</f>
        <v/>
      </c>
      <c r="S1173" s="5">
        <f>IF(tblOrdenes[[#This Row],[fecha_inicio]]="","",INDEX(lista_dias,WEEKDAY(tblOrdenes[[#This Row],[fecha_inicio]],2)))</f>
        <v/>
      </c>
      <c r="T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5">
        <f>IF(tblOrdenes[[#This Row],[tipo_ot]]="","",_xlfn.XLOOKUP(tblOrdenes[[#This Row],[tipo_ot]],tblTiposOT[codigo],tblTiposOT[clasificacion],"sin_clasificar"))</f>
        <v/>
      </c>
      <c r="V1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5">
        <f>IF(tblOrdenes[[#This Row],[centro_costo]]="","",_xlfn.XLOOKUP(tblOrdenes[[#This Row],[centro_costo]],tblCECO[codigo],tblCECO[linea],"(sin catálogo)"))</f>
        <v/>
      </c>
      <c r="Y1173" s="5">
        <f>IF(tblOrdenes[[#This Row],[centro_costo]]="","",_xlfn.XLOOKUP(tblOrdenes[[#This Row],[centro_costo]],tblCECO[codigo],tblCECO[area],"(sin catálogo)"))</f>
        <v/>
      </c>
      <c r="Z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5">
        <f>IF(tblOrdenes[[#This Row],[centro_costo]]="","",_xlfn.XLOOKUP(tblOrdenes[[#This Row],[centro_costo]],tblCECO[codigo],tblCECO[coordinador],"(sin catálogo)"))</f>
        <v/>
      </c>
      <c r="AB1173" s="5">
        <f>IF(tblOrdenes[[#This Row],[puesto_trabajo]]="","",_xlfn.XLOOKUP(tblOrdenes[[#This Row],[puesto_trabajo]],tblPuestos[codigo],tblPuestos[especialidad],"(sin catálogo)"))</f>
        <v/>
      </c>
      <c r="AC1173" s="5">
        <f>IF(tblOrdenes[[#This Row],[cod_actividad]]="","",_xlfn.XLOOKUP(tblOrdenes[[#This Row],[cod_actividad]],tblActividades[codigo],tblActividades[descripcion],"(sin catálogo)"))</f>
        <v/>
      </c>
      <c r="AD1173" s="23">
        <f>IF(tblOrdenes[[#This Row],[fecha_inicio]]="","",TODAY()-tblOrdenes[[#This Row],[fecha_inicio]])</f>
        <v/>
      </c>
      <c r="AE11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5">
        <f>IF(tblOrdenes[[#This Row],[backlog_habiles]]="","",IF(tblOrdenes[[#This Row],[backlog_habiles]]&lt;0,"FUTURO",IF(tblOrdenes[[#This Row],[backlog_habiles]]&gt;p_dias_backlog_max,"BACKLOG","MES CORRIENTE")))</f>
        <v/>
      </c>
      <c r="AG1173" s="5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18">
        <f>IF(tblOrdenes[[#This Row],[orden]]="","",_xlfn.XLOOKUP(tblOrdenes[[#This Row],[id_operacion]],tblEjecucion[id_operacion],tblEjecucion[precio],0))</f>
        <v/>
      </c>
      <c r="AM1173" s="18">
        <f>IF(tblOrdenes[[#This Row],[orden]]="","",MAX(0,_xlfn.XLOOKUP(tblOrdenes[[#This Row],[id_operacion]],tblEjecucion[id_operacion],tblEjecucion[costo_plan_total],0)-tblOrdenes[[#This Row],[costo_servicio]]))</f>
        <v/>
      </c>
      <c r="AN1173" s="18">
        <f>IF(tblOrdenes[[#This Row],[orden]]="","",tblOrdenes[[#This Row],[costo_servicio]]+tblOrdenes[[#This Row],[costo_materiales]])</f>
        <v/>
      </c>
      <c r="AO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5">
        <f>IF(tblOrdenes[[#This Row],[link_checklist]]="","",HYPERLINK(p_ruta_base_checklists&amp;tblOrdenes[[#This Row],[link_checklist]],"abrir"))</f>
        <v/>
      </c>
      <c r="AT1173" s="4" t="n"/>
      <c r="AU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5" t="n"/>
      <c r="K1174" s="5" t="n"/>
      <c r="L1174" s="18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Row],[fecha_inicio]]="","",tblOrdenes[[#This Row],[anio]]&amp;"-"&amp;TEXT(tblOrdenes[[#This Row],[mes]],"00"))</f>
        <v/>
      </c>
      <c r="S1174" s="5">
        <f>IF(tblOrdenes[[#This Row],[fecha_inicio]]="","",INDEX(lista_dias,WEEKDAY(tblOrdenes[[#This Row],[fecha_inicio]],2)))</f>
        <v/>
      </c>
      <c r="T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5">
        <f>IF(tblOrdenes[[#This Row],[tipo_ot]]="","",_xlfn.XLOOKUP(tblOrdenes[[#This Row],[tipo_ot]],tblTiposOT[codigo],tblTiposOT[clasificacion],"sin_clasificar"))</f>
        <v/>
      </c>
      <c r="V1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5">
        <f>IF(tblOrdenes[[#This Row],[centro_costo]]="","",_xlfn.XLOOKUP(tblOrdenes[[#This Row],[centro_costo]],tblCECO[codigo],tblCECO[linea],"(sin catálogo)"))</f>
        <v/>
      </c>
      <c r="Y1174" s="5">
        <f>IF(tblOrdenes[[#This Row],[centro_costo]]="","",_xlfn.XLOOKUP(tblOrdenes[[#This Row],[centro_costo]],tblCECO[codigo],tblCECO[area],"(sin catálogo)"))</f>
        <v/>
      </c>
      <c r="Z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5">
        <f>IF(tblOrdenes[[#This Row],[centro_costo]]="","",_xlfn.XLOOKUP(tblOrdenes[[#This Row],[centro_costo]],tblCECO[codigo],tblCECO[coordinador],"(sin catálogo)"))</f>
        <v/>
      </c>
      <c r="AB1174" s="5">
        <f>IF(tblOrdenes[[#This Row],[puesto_trabajo]]="","",_xlfn.XLOOKUP(tblOrdenes[[#This Row],[puesto_trabajo]],tblPuestos[codigo],tblPuestos[especialidad],"(sin catálogo)"))</f>
        <v/>
      </c>
      <c r="AC1174" s="5">
        <f>IF(tblOrdenes[[#This Row],[cod_actividad]]="","",_xlfn.XLOOKUP(tblOrdenes[[#This Row],[cod_actividad]],tblActividades[codigo],tblActividades[descripcion],"(sin catálogo)"))</f>
        <v/>
      </c>
      <c r="AD1174" s="23">
        <f>IF(tblOrdenes[[#This Row],[fecha_inicio]]="","",TODAY()-tblOrdenes[[#This Row],[fecha_inicio]])</f>
        <v/>
      </c>
      <c r="AE11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5">
        <f>IF(tblOrdenes[[#This Row],[backlog_habiles]]="","",IF(tblOrdenes[[#This Row],[backlog_habiles]]&lt;0,"FUTURO",IF(tblOrdenes[[#This Row],[backlog_habiles]]&gt;p_dias_backlog_max,"BACKLOG","MES CORRIENTE")))</f>
        <v/>
      </c>
      <c r="AG1174" s="5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18">
        <f>IF(tblOrdenes[[#This Row],[orden]]="","",_xlfn.XLOOKUP(tblOrdenes[[#This Row],[id_operacion]],tblEjecucion[id_operacion],tblEjecucion[precio],0))</f>
        <v/>
      </c>
      <c r="AM1174" s="18">
        <f>IF(tblOrdenes[[#This Row],[orden]]="","",MAX(0,_xlfn.XLOOKUP(tblOrdenes[[#This Row],[id_operacion]],tblEjecucion[id_operacion],tblEjecucion[costo_plan_total],0)-tblOrdenes[[#This Row],[costo_servicio]]))</f>
        <v/>
      </c>
      <c r="AN1174" s="18">
        <f>IF(tblOrdenes[[#This Row],[orden]]="","",tblOrdenes[[#This Row],[costo_servicio]]+tblOrdenes[[#This Row],[costo_materiales]])</f>
        <v/>
      </c>
      <c r="AO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5">
        <f>IF(tblOrdenes[[#This Row],[link_checklist]]="","",HYPERLINK(p_ruta_base_checklists&amp;tblOrdenes[[#This Row],[link_checklist]],"abrir"))</f>
        <v/>
      </c>
      <c r="AT1174" s="4" t="n"/>
      <c r="AU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5" t="n"/>
      <c r="K1175" s="5" t="n"/>
      <c r="L1175" s="18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Row],[fecha_inicio]]="","",tblOrdenes[[#This Row],[anio]]&amp;"-"&amp;TEXT(tblOrdenes[[#This Row],[mes]],"00"))</f>
        <v/>
      </c>
      <c r="S1175" s="5">
        <f>IF(tblOrdenes[[#This Row],[fecha_inicio]]="","",INDEX(lista_dias,WEEKDAY(tblOrdenes[[#This Row],[fecha_inicio]],2)))</f>
        <v/>
      </c>
      <c r="T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5">
        <f>IF(tblOrdenes[[#This Row],[tipo_ot]]="","",_xlfn.XLOOKUP(tblOrdenes[[#This Row],[tipo_ot]],tblTiposOT[codigo],tblTiposOT[clasificacion],"sin_clasificar"))</f>
        <v/>
      </c>
      <c r="V1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5">
        <f>IF(tblOrdenes[[#This Row],[centro_costo]]="","",_xlfn.XLOOKUP(tblOrdenes[[#This Row],[centro_costo]],tblCECO[codigo],tblCECO[linea],"(sin catálogo)"))</f>
        <v/>
      </c>
      <c r="Y1175" s="5">
        <f>IF(tblOrdenes[[#This Row],[centro_costo]]="","",_xlfn.XLOOKUP(tblOrdenes[[#This Row],[centro_costo]],tblCECO[codigo],tblCECO[area],"(sin catálogo)"))</f>
        <v/>
      </c>
      <c r="Z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5">
        <f>IF(tblOrdenes[[#This Row],[centro_costo]]="","",_xlfn.XLOOKUP(tblOrdenes[[#This Row],[centro_costo]],tblCECO[codigo],tblCECO[coordinador],"(sin catálogo)"))</f>
        <v/>
      </c>
      <c r="AB1175" s="5">
        <f>IF(tblOrdenes[[#This Row],[puesto_trabajo]]="","",_xlfn.XLOOKUP(tblOrdenes[[#This Row],[puesto_trabajo]],tblPuestos[codigo],tblPuestos[especialidad],"(sin catálogo)"))</f>
        <v/>
      </c>
      <c r="AC1175" s="5">
        <f>IF(tblOrdenes[[#This Row],[cod_actividad]]="","",_xlfn.XLOOKUP(tblOrdenes[[#This Row],[cod_actividad]],tblActividades[codigo],tblActividades[descripcion],"(sin catálogo)"))</f>
        <v/>
      </c>
      <c r="AD1175" s="23">
        <f>IF(tblOrdenes[[#This Row],[fecha_inicio]]="","",TODAY()-tblOrdenes[[#This Row],[fecha_inicio]])</f>
        <v/>
      </c>
      <c r="AE11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5">
        <f>IF(tblOrdenes[[#This Row],[backlog_habiles]]="","",IF(tblOrdenes[[#This Row],[backlog_habiles]]&lt;0,"FUTURO",IF(tblOrdenes[[#This Row],[backlog_habiles]]&gt;p_dias_backlog_max,"BACKLOG","MES CORRIENTE")))</f>
        <v/>
      </c>
      <c r="AG1175" s="5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18">
        <f>IF(tblOrdenes[[#This Row],[orden]]="","",_xlfn.XLOOKUP(tblOrdenes[[#This Row],[id_operacion]],tblEjecucion[id_operacion],tblEjecucion[precio],0))</f>
        <v/>
      </c>
      <c r="AM1175" s="18">
        <f>IF(tblOrdenes[[#This Row],[orden]]="","",MAX(0,_xlfn.XLOOKUP(tblOrdenes[[#This Row],[id_operacion]],tblEjecucion[id_operacion],tblEjecucion[costo_plan_total],0)-tblOrdenes[[#This Row],[costo_servicio]]))</f>
        <v/>
      </c>
      <c r="AN1175" s="18">
        <f>IF(tblOrdenes[[#This Row],[orden]]="","",tblOrdenes[[#This Row],[costo_servicio]]+tblOrdenes[[#This Row],[costo_materiales]])</f>
        <v/>
      </c>
      <c r="AO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5">
        <f>IF(tblOrdenes[[#This Row],[link_checklist]]="","",HYPERLINK(p_ruta_base_checklists&amp;tblOrdenes[[#This Row],[link_checklist]],"abrir"))</f>
        <v/>
      </c>
      <c r="AT1175" s="4" t="n"/>
      <c r="AU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5" t="n"/>
      <c r="K1176" s="5" t="n"/>
      <c r="L1176" s="18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Row],[fecha_inicio]]="","",tblOrdenes[[#This Row],[anio]]&amp;"-"&amp;TEXT(tblOrdenes[[#This Row],[mes]],"00"))</f>
        <v/>
      </c>
      <c r="S1176" s="5">
        <f>IF(tblOrdenes[[#This Row],[fecha_inicio]]="","",INDEX(lista_dias,WEEKDAY(tblOrdenes[[#This Row],[fecha_inicio]],2)))</f>
        <v/>
      </c>
      <c r="T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5">
        <f>IF(tblOrdenes[[#This Row],[tipo_ot]]="","",_xlfn.XLOOKUP(tblOrdenes[[#This Row],[tipo_ot]],tblTiposOT[codigo],tblTiposOT[clasificacion],"sin_clasificar"))</f>
        <v/>
      </c>
      <c r="V1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5">
        <f>IF(tblOrdenes[[#This Row],[centro_costo]]="","",_xlfn.XLOOKUP(tblOrdenes[[#This Row],[centro_costo]],tblCECO[codigo],tblCECO[linea],"(sin catálogo)"))</f>
        <v/>
      </c>
      <c r="Y1176" s="5">
        <f>IF(tblOrdenes[[#This Row],[centro_costo]]="","",_xlfn.XLOOKUP(tblOrdenes[[#This Row],[centro_costo]],tblCECO[codigo],tblCECO[area],"(sin catálogo)"))</f>
        <v/>
      </c>
      <c r="Z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5">
        <f>IF(tblOrdenes[[#This Row],[centro_costo]]="","",_xlfn.XLOOKUP(tblOrdenes[[#This Row],[centro_costo]],tblCECO[codigo],tblCECO[coordinador],"(sin catálogo)"))</f>
        <v/>
      </c>
      <c r="AB1176" s="5">
        <f>IF(tblOrdenes[[#This Row],[puesto_trabajo]]="","",_xlfn.XLOOKUP(tblOrdenes[[#This Row],[puesto_trabajo]],tblPuestos[codigo],tblPuestos[especialidad],"(sin catálogo)"))</f>
        <v/>
      </c>
      <c r="AC1176" s="5">
        <f>IF(tblOrdenes[[#This Row],[cod_actividad]]="","",_xlfn.XLOOKUP(tblOrdenes[[#This Row],[cod_actividad]],tblActividades[codigo],tblActividades[descripcion],"(sin catálogo)"))</f>
        <v/>
      </c>
      <c r="AD1176" s="23">
        <f>IF(tblOrdenes[[#This Row],[fecha_inicio]]="","",TODAY()-tblOrdenes[[#This Row],[fecha_inicio]])</f>
        <v/>
      </c>
      <c r="AE11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5">
        <f>IF(tblOrdenes[[#This Row],[backlog_habiles]]="","",IF(tblOrdenes[[#This Row],[backlog_habiles]]&lt;0,"FUTURO",IF(tblOrdenes[[#This Row],[backlog_habiles]]&gt;p_dias_backlog_max,"BACKLOG","MES CORRIENTE")))</f>
        <v/>
      </c>
      <c r="AG1176" s="5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18">
        <f>IF(tblOrdenes[[#This Row],[orden]]="","",_xlfn.XLOOKUP(tblOrdenes[[#This Row],[id_operacion]],tblEjecucion[id_operacion],tblEjecucion[precio],0))</f>
        <v/>
      </c>
      <c r="AM1176" s="18">
        <f>IF(tblOrdenes[[#This Row],[orden]]="","",MAX(0,_xlfn.XLOOKUP(tblOrdenes[[#This Row],[id_operacion]],tblEjecucion[id_operacion],tblEjecucion[costo_plan_total],0)-tblOrdenes[[#This Row],[costo_servicio]]))</f>
        <v/>
      </c>
      <c r="AN1176" s="18">
        <f>IF(tblOrdenes[[#This Row],[orden]]="","",tblOrdenes[[#This Row],[costo_servicio]]+tblOrdenes[[#This Row],[costo_materiales]])</f>
        <v/>
      </c>
      <c r="AO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5">
        <f>IF(tblOrdenes[[#This Row],[link_checklist]]="","",HYPERLINK(p_ruta_base_checklists&amp;tblOrdenes[[#This Row],[link_checklist]],"abrir"))</f>
        <v/>
      </c>
      <c r="AT1176" s="4" t="n"/>
      <c r="AU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5" t="n"/>
      <c r="K1177" s="5" t="n"/>
      <c r="L1177" s="18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Row],[fecha_inicio]]="","",tblOrdenes[[#This Row],[anio]]&amp;"-"&amp;TEXT(tblOrdenes[[#This Row],[mes]],"00"))</f>
        <v/>
      </c>
      <c r="S1177" s="5">
        <f>IF(tblOrdenes[[#This Row],[fecha_inicio]]="","",INDEX(lista_dias,WEEKDAY(tblOrdenes[[#This Row],[fecha_inicio]],2)))</f>
        <v/>
      </c>
      <c r="T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5">
        <f>IF(tblOrdenes[[#This Row],[tipo_ot]]="","",_xlfn.XLOOKUP(tblOrdenes[[#This Row],[tipo_ot]],tblTiposOT[codigo],tblTiposOT[clasificacion],"sin_clasificar"))</f>
        <v/>
      </c>
      <c r="V1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5">
        <f>IF(tblOrdenes[[#This Row],[centro_costo]]="","",_xlfn.XLOOKUP(tblOrdenes[[#This Row],[centro_costo]],tblCECO[codigo],tblCECO[linea],"(sin catálogo)"))</f>
        <v/>
      </c>
      <c r="Y1177" s="5">
        <f>IF(tblOrdenes[[#This Row],[centro_costo]]="","",_xlfn.XLOOKUP(tblOrdenes[[#This Row],[centro_costo]],tblCECO[codigo],tblCECO[area],"(sin catálogo)"))</f>
        <v/>
      </c>
      <c r="Z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5">
        <f>IF(tblOrdenes[[#This Row],[centro_costo]]="","",_xlfn.XLOOKUP(tblOrdenes[[#This Row],[centro_costo]],tblCECO[codigo],tblCECO[coordinador],"(sin catálogo)"))</f>
        <v/>
      </c>
      <c r="AB1177" s="5">
        <f>IF(tblOrdenes[[#This Row],[puesto_trabajo]]="","",_xlfn.XLOOKUP(tblOrdenes[[#This Row],[puesto_trabajo]],tblPuestos[codigo],tblPuestos[especialidad],"(sin catálogo)"))</f>
        <v/>
      </c>
      <c r="AC1177" s="5">
        <f>IF(tblOrdenes[[#This Row],[cod_actividad]]="","",_xlfn.XLOOKUP(tblOrdenes[[#This Row],[cod_actividad]],tblActividades[codigo],tblActividades[descripcion],"(sin catálogo)"))</f>
        <v/>
      </c>
      <c r="AD1177" s="23">
        <f>IF(tblOrdenes[[#This Row],[fecha_inicio]]="","",TODAY()-tblOrdenes[[#This Row],[fecha_inicio]])</f>
        <v/>
      </c>
      <c r="AE11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5">
        <f>IF(tblOrdenes[[#This Row],[backlog_habiles]]="","",IF(tblOrdenes[[#This Row],[backlog_habiles]]&lt;0,"FUTURO",IF(tblOrdenes[[#This Row],[backlog_habiles]]&gt;p_dias_backlog_max,"BACKLOG","MES CORRIENTE")))</f>
        <v/>
      </c>
      <c r="AG1177" s="5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18">
        <f>IF(tblOrdenes[[#This Row],[orden]]="","",_xlfn.XLOOKUP(tblOrdenes[[#This Row],[id_operacion]],tblEjecucion[id_operacion],tblEjecucion[precio],0))</f>
        <v/>
      </c>
      <c r="AM1177" s="18">
        <f>IF(tblOrdenes[[#This Row],[orden]]="","",MAX(0,_xlfn.XLOOKUP(tblOrdenes[[#This Row],[id_operacion]],tblEjecucion[id_operacion],tblEjecucion[costo_plan_total],0)-tblOrdenes[[#This Row],[costo_servicio]]))</f>
        <v/>
      </c>
      <c r="AN1177" s="18">
        <f>IF(tblOrdenes[[#This Row],[orden]]="","",tblOrdenes[[#This Row],[costo_servicio]]+tblOrdenes[[#This Row],[costo_materiales]])</f>
        <v/>
      </c>
      <c r="AO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5">
        <f>IF(tblOrdenes[[#This Row],[link_checklist]]="","",HYPERLINK(p_ruta_base_checklists&amp;tblOrdenes[[#This Row],[link_checklist]],"abrir"))</f>
        <v/>
      </c>
      <c r="AT1177" s="4" t="n"/>
      <c r="AU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5" t="n"/>
      <c r="K1178" s="5" t="n"/>
      <c r="L1178" s="18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Row],[fecha_inicio]]="","",tblOrdenes[[#This Row],[anio]]&amp;"-"&amp;TEXT(tblOrdenes[[#This Row],[mes]],"00"))</f>
        <v/>
      </c>
      <c r="S1178" s="5">
        <f>IF(tblOrdenes[[#This Row],[fecha_inicio]]="","",INDEX(lista_dias,WEEKDAY(tblOrdenes[[#This Row],[fecha_inicio]],2)))</f>
        <v/>
      </c>
      <c r="T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5">
        <f>IF(tblOrdenes[[#This Row],[tipo_ot]]="","",_xlfn.XLOOKUP(tblOrdenes[[#This Row],[tipo_ot]],tblTiposOT[codigo],tblTiposOT[clasificacion],"sin_clasificar"))</f>
        <v/>
      </c>
      <c r="V1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5">
        <f>IF(tblOrdenes[[#This Row],[centro_costo]]="","",_xlfn.XLOOKUP(tblOrdenes[[#This Row],[centro_costo]],tblCECO[codigo],tblCECO[linea],"(sin catálogo)"))</f>
        <v/>
      </c>
      <c r="Y1178" s="5">
        <f>IF(tblOrdenes[[#This Row],[centro_costo]]="","",_xlfn.XLOOKUP(tblOrdenes[[#This Row],[centro_costo]],tblCECO[codigo],tblCECO[area],"(sin catálogo)"))</f>
        <v/>
      </c>
      <c r="Z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5">
        <f>IF(tblOrdenes[[#This Row],[centro_costo]]="","",_xlfn.XLOOKUP(tblOrdenes[[#This Row],[centro_costo]],tblCECO[codigo],tblCECO[coordinador],"(sin catálogo)"))</f>
        <v/>
      </c>
      <c r="AB1178" s="5">
        <f>IF(tblOrdenes[[#This Row],[puesto_trabajo]]="","",_xlfn.XLOOKUP(tblOrdenes[[#This Row],[puesto_trabajo]],tblPuestos[codigo],tblPuestos[especialidad],"(sin catálogo)"))</f>
        <v/>
      </c>
      <c r="AC1178" s="5">
        <f>IF(tblOrdenes[[#This Row],[cod_actividad]]="","",_xlfn.XLOOKUP(tblOrdenes[[#This Row],[cod_actividad]],tblActividades[codigo],tblActividades[descripcion],"(sin catálogo)"))</f>
        <v/>
      </c>
      <c r="AD1178" s="23">
        <f>IF(tblOrdenes[[#This Row],[fecha_inicio]]="","",TODAY()-tblOrdenes[[#This Row],[fecha_inicio]])</f>
        <v/>
      </c>
      <c r="AE11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5">
        <f>IF(tblOrdenes[[#This Row],[backlog_habiles]]="","",IF(tblOrdenes[[#This Row],[backlog_habiles]]&lt;0,"FUTURO",IF(tblOrdenes[[#This Row],[backlog_habiles]]&gt;p_dias_backlog_max,"BACKLOG","MES CORRIENTE")))</f>
        <v/>
      </c>
      <c r="AG1178" s="5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18">
        <f>IF(tblOrdenes[[#This Row],[orden]]="","",_xlfn.XLOOKUP(tblOrdenes[[#This Row],[id_operacion]],tblEjecucion[id_operacion],tblEjecucion[precio],0))</f>
        <v/>
      </c>
      <c r="AM1178" s="18">
        <f>IF(tblOrdenes[[#This Row],[orden]]="","",MAX(0,_xlfn.XLOOKUP(tblOrdenes[[#This Row],[id_operacion]],tblEjecucion[id_operacion],tblEjecucion[costo_plan_total],0)-tblOrdenes[[#This Row],[costo_servicio]]))</f>
        <v/>
      </c>
      <c r="AN1178" s="18">
        <f>IF(tblOrdenes[[#This Row],[orden]]="","",tblOrdenes[[#This Row],[costo_servicio]]+tblOrdenes[[#This Row],[costo_materiales]])</f>
        <v/>
      </c>
      <c r="AO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5">
        <f>IF(tblOrdenes[[#This Row],[link_checklist]]="","",HYPERLINK(p_ruta_base_checklists&amp;tblOrdenes[[#This Row],[link_checklist]],"abrir"))</f>
        <v/>
      </c>
      <c r="AT1178" s="4" t="n"/>
      <c r="AU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5" t="n"/>
      <c r="K1179" s="5" t="n"/>
      <c r="L1179" s="18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Row],[fecha_inicio]]="","",tblOrdenes[[#This Row],[anio]]&amp;"-"&amp;TEXT(tblOrdenes[[#This Row],[mes]],"00"))</f>
        <v/>
      </c>
      <c r="S1179" s="5">
        <f>IF(tblOrdenes[[#This Row],[fecha_inicio]]="","",INDEX(lista_dias,WEEKDAY(tblOrdenes[[#This Row],[fecha_inicio]],2)))</f>
        <v/>
      </c>
      <c r="T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5">
        <f>IF(tblOrdenes[[#This Row],[tipo_ot]]="","",_xlfn.XLOOKUP(tblOrdenes[[#This Row],[tipo_ot]],tblTiposOT[codigo],tblTiposOT[clasificacion],"sin_clasificar"))</f>
        <v/>
      </c>
      <c r="V1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5">
        <f>IF(tblOrdenes[[#This Row],[centro_costo]]="","",_xlfn.XLOOKUP(tblOrdenes[[#This Row],[centro_costo]],tblCECO[codigo],tblCECO[linea],"(sin catálogo)"))</f>
        <v/>
      </c>
      <c r="Y1179" s="5">
        <f>IF(tblOrdenes[[#This Row],[centro_costo]]="","",_xlfn.XLOOKUP(tblOrdenes[[#This Row],[centro_costo]],tblCECO[codigo],tblCECO[area],"(sin catálogo)"))</f>
        <v/>
      </c>
      <c r="Z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5">
        <f>IF(tblOrdenes[[#This Row],[centro_costo]]="","",_xlfn.XLOOKUP(tblOrdenes[[#This Row],[centro_costo]],tblCECO[codigo],tblCECO[coordinador],"(sin catálogo)"))</f>
        <v/>
      </c>
      <c r="AB1179" s="5">
        <f>IF(tblOrdenes[[#This Row],[puesto_trabajo]]="","",_xlfn.XLOOKUP(tblOrdenes[[#This Row],[puesto_trabajo]],tblPuestos[codigo],tblPuestos[especialidad],"(sin catálogo)"))</f>
        <v/>
      </c>
      <c r="AC1179" s="5">
        <f>IF(tblOrdenes[[#This Row],[cod_actividad]]="","",_xlfn.XLOOKUP(tblOrdenes[[#This Row],[cod_actividad]],tblActividades[codigo],tblActividades[descripcion],"(sin catálogo)"))</f>
        <v/>
      </c>
      <c r="AD1179" s="23">
        <f>IF(tblOrdenes[[#This Row],[fecha_inicio]]="","",TODAY()-tblOrdenes[[#This Row],[fecha_inicio]])</f>
        <v/>
      </c>
      <c r="AE11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5">
        <f>IF(tblOrdenes[[#This Row],[backlog_habiles]]="","",IF(tblOrdenes[[#This Row],[backlog_habiles]]&lt;0,"FUTURO",IF(tblOrdenes[[#This Row],[backlog_habiles]]&gt;p_dias_backlog_max,"BACKLOG","MES CORRIENTE")))</f>
        <v/>
      </c>
      <c r="AG1179" s="5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18">
        <f>IF(tblOrdenes[[#This Row],[orden]]="","",_xlfn.XLOOKUP(tblOrdenes[[#This Row],[id_operacion]],tblEjecucion[id_operacion],tblEjecucion[precio],0))</f>
        <v/>
      </c>
      <c r="AM1179" s="18">
        <f>IF(tblOrdenes[[#This Row],[orden]]="","",MAX(0,_xlfn.XLOOKUP(tblOrdenes[[#This Row],[id_operacion]],tblEjecucion[id_operacion],tblEjecucion[costo_plan_total],0)-tblOrdenes[[#This Row],[costo_servicio]]))</f>
        <v/>
      </c>
      <c r="AN1179" s="18">
        <f>IF(tblOrdenes[[#This Row],[orden]]="","",tblOrdenes[[#This Row],[costo_servicio]]+tblOrdenes[[#This Row],[costo_materiales]])</f>
        <v/>
      </c>
      <c r="AO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5">
        <f>IF(tblOrdenes[[#This Row],[link_checklist]]="","",HYPERLINK(p_ruta_base_checklists&amp;tblOrdenes[[#This Row],[link_checklist]],"abrir"))</f>
        <v/>
      </c>
      <c r="AT1179" s="4" t="n"/>
      <c r="AU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5" t="n"/>
      <c r="K1180" s="5" t="n"/>
      <c r="L1180" s="18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Row],[fecha_inicio]]="","",tblOrdenes[[#This Row],[anio]]&amp;"-"&amp;TEXT(tblOrdenes[[#This Row],[mes]],"00"))</f>
        <v/>
      </c>
      <c r="S1180" s="5">
        <f>IF(tblOrdenes[[#This Row],[fecha_inicio]]="","",INDEX(lista_dias,WEEKDAY(tblOrdenes[[#This Row],[fecha_inicio]],2)))</f>
        <v/>
      </c>
      <c r="T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5">
        <f>IF(tblOrdenes[[#This Row],[tipo_ot]]="","",_xlfn.XLOOKUP(tblOrdenes[[#This Row],[tipo_ot]],tblTiposOT[codigo],tblTiposOT[clasificacion],"sin_clasificar"))</f>
        <v/>
      </c>
      <c r="V1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5">
        <f>IF(tblOrdenes[[#This Row],[centro_costo]]="","",_xlfn.XLOOKUP(tblOrdenes[[#This Row],[centro_costo]],tblCECO[codigo],tblCECO[linea],"(sin catálogo)"))</f>
        <v/>
      </c>
      <c r="Y1180" s="5">
        <f>IF(tblOrdenes[[#This Row],[centro_costo]]="","",_xlfn.XLOOKUP(tblOrdenes[[#This Row],[centro_costo]],tblCECO[codigo],tblCECO[area],"(sin catálogo)"))</f>
        <v/>
      </c>
      <c r="Z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5">
        <f>IF(tblOrdenes[[#This Row],[centro_costo]]="","",_xlfn.XLOOKUP(tblOrdenes[[#This Row],[centro_costo]],tblCECO[codigo],tblCECO[coordinador],"(sin catálogo)"))</f>
        <v/>
      </c>
      <c r="AB1180" s="5">
        <f>IF(tblOrdenes[[#This Row],[puesto_trabajo]]="","",_xlfn.XLOOKUP(tblOrdenes[[#This Row],[puesto_trabajo]],tblPuestos[codigo],tblPuestos[especialidad],"(sin catálogo)"))</f>
        <v/>
      </c>
      <c r="AC1180" s="5">
        <f>IF(tblOrdenes[[#This Row],[cod_actividad]]="","",_xlfn.XLOOKUP(tblOrdenes[[#This Row],[cod_actividad]],tblActividades[codigo],tblActividades[descripcion],"(sin catálogo)"))</f>
        <v/>
      </c>
      <c r="AD1180" s="23">
        <f>IF(tblOrdenes[[#This Row],[fecha_inicio]]="","",TODAY()-tblOrdenes[[#This Row],[fecha_inicio]])</f>
        <v/>
      </c>
      <c r="AE11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5">
        <f>IF(tblOrdenes[[#This Row],[backlog_habiles]]="","",IF(tblOrdenes[[#This Row],[backlog_habiles]]&lt;0,"FUTURO",IF(tblOrdenes[[#This Row],[backlog_habiles]]&gt;p_dias_backlog_max,"BACKLOG","MES CORRIENTE")))</f>
        <v/>
      </c>
      <c r="AG1180" s="5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18">
        <f>IF(tblOrdenes[[#This Row],[orden]]="","",_xlfn.XLOOKUP(tblOrdenes[[#This Row],[id_operacion]],tblEjecucion[id_operacion],tblEjecucion[precio],0))</f>
        <v/>
      </c>
      <c r="AM1180" s="18">
        <f>IF(tblOrdenes[[#This Row],[orden]]="","",MAX(0,_xlfn.XLOOKUP(tblOrdenes[[#This Row],[id_operacion]],tblEjecucion[id_operacion],tblEjecucion[costo_plan_total],0)-tblOrdenes[[#This Row],[costo_servicio]]))</f>
        <v/>
      </c>
      <c r="AN1180" s="18">
        <f>IF(tblOrdenes[[#This Row],[orden]]="","",tblOrdenes[[#This Row],[costo_servicio]]+tblOrdenes[[#This Row],[costo_materiales]])</f>
        <v/>
      </c>
      <c r="AO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5">
        <f>IF(tblOrdenes[[#This Row],[link_checklist]]="","",HYPERLINK(p_ruta_base_checklists&amp;tblOrdenes[[#This Row],[link_checklist]],"abrir"))</f>
        <v/>
      </c>
      <c r="AT1180" s="4" t="n"/>
      <c r="AU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5" t="n"/>
      <c r="K1181" s="5" t="n"/>
      <c r="L1181" s="18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Row],[fecha_inicio]]="","",tblOrdenes[[#This Row],[anio]]&amp;"-"&amp;TEXT(tblOrdenes[[#This Row],[mes]],"00"))</f>
        <v/>
      </c>
      <c r="S1181" s="5">
        <f>IF(tblOrdenes[[#This Row],[fecha_inicio]]="","",INDEX(lista_dias,WEEKDAY(tblOrdenes[[#This Row],[fecha_inicio]],2)))</f>
        <v/>
      </c>
      <c r="T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5">
        <f>IF(tblOrdenes[[#This Row],[tipo_ot]]="","",_xlfn.XLOOKUP(tblOrdenes[[#This Row],[tipo_ot]],tblTiposOT[codigo],tblTiposOT[clasificacion],"sin_clasificar"))</f>
        <v/>
      </c>
      <c r="V1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5">
        <f>IF(tblOrdenes[[#This Row],[centro_costo]]="","",_xlfn.XLOOKUP(tblOrdenes[[#This Row],[centro_costo]],tblCECO[codigo],tblCECO[linea],"(sin catálogo)"))</f>
        <v/>
      </c>
      <c r="Y1181" s="5">
        <f>IF(tblOrdenes[[#This Row],[centro_costo]]="","",_xlfn.XLOOKUP(tblOrdenes[[#This Row],[centro_costo]],tblCECO[codigo],tblCECO[area],"(sin catálogo)"))</f>
        <v/>
      </c>
      <c r="Z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5">
        <f>IF(tblOrdenes[[#This Row],[centro_costo]]="","",_xlfn.XLOOKUP(tblOrdenes[[#This Row],[centro_costo]],tblCECO[codigo],tblCECO[coordinador],"(sin catálogo)"))</f>
        <v/>
      </c>
      <c r="AB1181" s="5">
        <f>IF(tblOrdenes[[#This Row],[puesto_trabajo]]="","",_xlfn.XLOOKUP(tblOrdenes[[#This Row],[puesto_trabajo]],tblPuestos[codigo],tblPuestos[especialidad],"(sin catálogo)"))</f>
        <v/>
      </c>
      <c r="AC1181" s="5">
        <f>IF(tblOrdenes[[#This Row],[cod_actividad]]="","",_xlfn.XLOOKUP(tblOrdenes[[#This Row],[cod_actividad]],tblActividades[codigo],tblActividades[descripcion],"(sin catálogo)"))</f>
        <v/>
      </c>
      <c r="AD1181" s="23">
        <f>IF(tblOrdenes[[#This Row],[fecha_inicio]]="","",TODAY()-tblOrdenes[[#This Row],[fecha_inicio]])</f>
        <v/>
      </c>
      <c r="AE11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5">
        <f>IF(tblOrdenes[[#This Row],[backlog_habiles]]="","",IF(tblOrdenes[[#This Row],[backlog_habiles]]&lt;0,"FUTURO",IF(tblOrdenes[[#This Row],[backlog_habiles]]&gt;p_dias_backlog_max,"BACKLOG","MES CORRIENTE")))</f>
        <v/>
      </c>
      <c r="AG1181" s="5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18">
        <f>IF(tblOrdenes[[#This Row],[orden]]="","",_xlfn.XLOOKUP(tblOrdenes[[#This Row],[id_operacion]],tblEjecucion[id_operacion],tblEjecucion[precio],0))</f>
        <v/>
      </c>
      <c r="AM1181" s="18">
        <f>IF(tblOrdenes[[#This Row],[orden]]="","",MAX(0,_xlfn.XLOOKUP(tblOrdenes[[#This Row],[id_operacion]],tblEjecucion[id_operacion],tblEjecucion[costo_plan_total],0)-tblOrdenes[[#This Row],[costo_servicio]]))</f>
        <v/>
      </c>
      <c r="AN1181" s="18">
        <f>IF(tblOrdenes[[#This Row],[orden]]="","",tblOrdenes[[#This Row],[costo_servicio]]+tblOrdenes[[#This Row],[costo_materiales]])</f>
        <v/>
      </c>
      <c r="AO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5">
        <f>IF(tblOrdenes[[#This Row],[link_checklist]]="","",HYPERLINK(p_ruta_base_checklists&amp;tblOrdenes[[#This Row],[link_checklist]],"abrir"))</f>
        <v/>
      </c>
      <c r="AT1181" s="4" t="n"/>
      <c r="AU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5" t="n"/>
      <c r="K1182" s="5" t="n"/>
      <c r="L1182" s="18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Row],[fecha_inicio]]="","",tblOrdenes[[#This Row],[anio]]&amp;"-"&amp;TEXT(tblOrdenes[[#This Row],[mes]],"00"))</f>
        <v/>
      </c>
      <c r="S1182" s="5">
        <f>IF(tblOrdenes[[#This Row],[fecha_inicio]]="","",INDEX(lista_dias,WEEKDAY(tblOrdenes[[#This Row],[fecha_inicio]],2)))</f>
        <v/>
      </c>
      <c r="T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5">
        <f>IF(tblOrdenes[[#This Row],[tipo_ot]]="","",_xlfn.XLOOKUP(tblOrdenes[[#This Row],[tipo_ot]],tblTiposOT[codigo],tblTiposOT[clasificacion],"sin_clasificar"))</f>
        <v/>
      </c>
      <c r="V1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5">
        <f>IF(tblOrdenes[[#This Row],[centro_costo]]="","",_xlfn.XLOOKUP(tblOrdenes[[#This Row],[centro_costo]],tblCECO[codigo],tblCECO[linea],"(sin catálogo)"))</f>
        <v/>
      </c>
      <c r="Y1182" s="5">
        <f>IF(tblOrdenes[[#This Row],[centro_costo]]="","",_xlfn.XLOOKUP(tblOrdenes[[#This Row],[centro_costo]],tblCECO[codigo],tblCECO[area],"(sin catálogo)"))</f>
        <v/>
      </c>
      <c r="Z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5">
        <f>IF(tblOrdenes[[#This Row],[centro_costo]]="","",_xlfn.XLOOKUP(tblOrdenes[[#This Row],[centro_costo]],tblCECO[codigo],tblCECO[coordinador],"(sin catálogo)"))</f>
        <v/>
      </c>
      <c r="AB1182" s="5">
        <f>IF(tblOrdenes[[#This Row],[puesto_trabajo]]="","",_xlfn.XLOOKUP(tblOrdenes[[#This Row],[puesto_trabajo]],tblPuestos[codigo],tblPuestos[especialidad],"(sin catálogo)"))</f>
        <v/>
      </c>
      <c r="AC1182" s="5">
        <f>IF(tblOrdenes[[#This Row],[cod_actividad]]="","",_xlfn.XLOOKUP(tblOrdenes[[#This Row],[cod_actividad]],tblActividades[codigo],tblActividades[descripcion],"(sin catálogo)"))</f>
        <v/>
      </c>
      <c r="AD1182" s="23">
        <f>IF(tblOrdenes[[#This Row],[fecha_inicio]]="","",TODAY()-tblOrdenes[[#This Row],[fecha_inicio]])</f>
        <v/>
      </c>
      <c r="AE11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5">
        <f>IF(tblOrdenes[[#This Row],[backlog_habiles]]="","",IF(tblOrdenes[[#This Row],[backlog_habiles]]&lt;0,"FUTURO",IF(tblOrdenes[[#This Row],[backlog_habiles]]&gt;p_dias_backlog_max,"BACKLOG","MES CORRIENTE")))</f>
        <v/>
      </c>
      <c r="AG1182" s="5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18">
        <f>IF(tblOrdenes[[#This Row],[orden]]="","",_xlfn.XLOOKUP(tblOrdenes[[#This Row],[id_operacion]],tblEjecucion[id_operacion],tblEjecucion[precio],0))</f>
        <v/>
      </c>
      <c r="AM1182" s="18">
        <f>IF(tblOrdenes[[#This Row],[orden]]="","",MAX(0,_xlfn.XLOOKUP(tblOrdenes[[#This Row],[id_operacion]],tblEjecucion[id_operacion],tblEjecucion[costo_plan_total],0)-tblOrdenes[[#This Row],[costo_servicio]]))</f>
        <v/>
      </c>
      <c r="AN1182" s="18">
        <f>IF(tblOrdenes[[#This Row],[orden]]="","",tblOrdenes[[#This Row],[costo_servicio]]+tblOrdenes[[#This Row],[costo_materiales]])</f>
        <v/>
      </c>
      <c r="AO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5">
        <f>IF(tblOrdenes[[#This Row],[link_checklist]]="","",HYPERLINK(p_ruta_base_checklists&amp;tblOrdenes[[#This Row],[link_checklist]],"abrir"))</f>
        <v/>
      </c>
      <c r="AT1182" s="4" t="n"/>
      <c r="AU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5" t="n"/>
      <c r="K1183" s="5" t="n"/>
      <c r="L1183" s="18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Row],[fecha_inicio]]="","",tblOrdenes[[#This Row],[anio]]&amp;"-"&amp;TEXT(tblOrdenes[[#This Row],[mes]],"00"))</f>
        <v/>
      </c>
      <c r="S1183" s="5">
        <f>IF(tblOrdenes[[#This Row],[fecha_inicio]]="","",INDEX(lista_dias,WEEKDAY(tblOrdenes[[#This Row],[fecha_inicio]],2)))</f>
        <v/>
      </c>
      <c r="T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5">
        <f>IF(tblOrdenes[[#This Row],[tipo_ot]]="","",_xlfn.XLOOKUP(tblOrdenes[[#This Row],[tipo_ot]],tblTiposOT[codigo],tblTiposOT[clasificacion],"sin_clasificar"))</f>
        <v/>
      </c>
      <c r="V1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5">
        <f>IF(tblOrdenes[[#This Row],[centro_costo]]="","",_xlfn.XLOOKUP(tblOrdenes[[#This Row],[centro_costo]],tblCECO[codigo],tblCECO[linea],"(sin catálogo)"))</f>
        <v/>
      </c>
      <c r="Y1183" s="5">
        <f>IF(tblOrdenes[[#This Row],[centro_costo]]="","",_xlfn.XLOOKUP(tblOrdenes[[#This Row],[centro_costo]],tblCECO[codigo],tblCECO[area],"(sin catálogo)"))</f>
        <v/>
      </c>
      <c r="Z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5">
        <f>IF(tblOrdenes[[#This Row],[centro_costo]]="","",_xlfn.XLOOKUP(tblOrdenes[[#This Row],[centro_costo]],tblCECO[codigo],tblCECO[coordinador],"(sin catálogo)"))</f>
        <v/>
      </c>
      <c r="AB1183" s="5">
        <f>IF(tblOrdenes[[#This Row],[puesto_trabajo]]="","",_xlfn.XLOOKUP(tblOrdenes[[#This Row],[puesto_trabajo]],tblPuestos[codigo],tblPuestos[especialidad],"(sin catálogo)"))</f>
        <v/>
      </c>
      <c r="AC1183" s="5">
        <f>IF(tblOrdenes[[#This Row],[cod_actividad]]="","",_xlfn.XLOOKUP(tblOrdenes[[#This Row],[cod_actividad]],tblActividades[codigo],tblActividades[descripcion],"(sin catálogo)"))</f>
        <v/>
      </c>
      <c r="AD1183" s="23">
        <f>IF(tblOrdenes[[#This Row],[fecha_inicio]]="","",TODAY()-tblOrdenes[[#This Row],[fecha_inicio]])</f>
        <v/>
      </c>
      <c r="AE11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5">
        <f>IF(tblOrdenes[[#This Row],[backlog_habiles]]="","",IF(tblOrdenes[[#This Row],[backlog_habiles]]&lt;0,"FUTURO",IF(tblOrdenes[[#This Row],[backlog_habiles]]&gt;p_dias_backlog_max,"BACKLOG","MES CORRIENTE")))</f>
        <v/>
      </c>
      <c r="AG1183" s="5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18">
        <f>IF(tblOrdenes[[#This Row],[orden]]="","",_xlfn.XLOOKUP(tblOrdenes[[#This Row],[id_operacion]],tblEjecucion[id_operacion],tblEjecucion[precio],0))</f>
        <v/>
      </c>
      <c r="AM1183" s="18">
        <f>IF(tblOrdenes[[#This Row],[orden]]="","",MAX(0,_xlfn.XLOOKUP(tblOrdenes[[#This Row],[id_operacion]],tblEjecucion[id_operacion],tblEjecucion[costo_plan_total],0)-tblOrdenes[[#This Row],[costo_servicio]]))</f>
        <v/>
      </c>
      <c r="AN1183" s="18">
        <f>IF(tblOrdenes[[#This Row],[orden]]="","",tblOrdenes[[#This Row],[costo_servicio]]+tblOrdenes[[#This Row],[costo_materiales]])</f>
        <v/>
      </c>
      <c r="AO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5">
        <f>IF(tblOrdenes[[#This Row],[link_checklist]]="","",HYPERLINK(p_ruta_base_checklists&amp;tblOrdenes[[#This Row],[link_checklist]],"abrir"))</f>
        <v/>
      </c>
      <c r="AT1183" s="4" t="n"/>
      <c r="AU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5" t="n"/>
      <c r="K1184" s="5" t="n"/>
      <c r="L1184" s="18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Row],[fecha_inicio]]="","",tblOrdenes[[#This Row],[anio]]&amp;"-"&amp;TEXT(tblOrdenes[[#This Row],[mes]],"00"))</f>
        <v/>
      </c>
      <c r="S1184" s="5">
        <f>IF(tblOrdenes[[#This Row],[fecha_inicio]]="","",INDEX(lista_dias,WEEKDAY(tblOrdenes[[#This Row],[fecha_inicio]],2)))</f>
        <v/>
      </c>
      <c r="T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5">
        <f>IF(tblOrdenes[[#This Row],[tipo_ot]]="","",_xlfn.XLOOKUP(tblOrdenes[[#This Row],[tipo_ot]],tblTiposOT[codigo],tblTiposOT[clasificacion],"sin_clasificar"))</f>
        <v/>
      </c>
      <c r="V1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5">
        <f>IF(tblOrdenes[[#This Row],[centro_costo]]="","",_xlfn.XLOOKUP(tblOrdenes[[#This Row],[centro_costo]],tblCECO[codigo],tblCECO[linea],"(sin catálogo)"))</f>
        <v/>
      </c>
      <c r="Y1184" s="5">
        <f>IF(tblOrdenes[[#This Row],[centro_costo]]="","",_xlfn.XLOOKUP(tblOrdenes[[#This Row],[centro_costo]],tblCECO[codigo],tblCECO[area],"(sin catálogo)"))</f>
        <v/>
      </c>
      <c r="Z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5">
        <f>IF(tblOrdenes[[#This Row],[centro_costo]]="","",_xlfn.XLOOKUP(tblOrdenes[[#This Row],[centro_costo]],tblCECO[codigo],tblCECO[coordinador],"(sin catálogo)"))</f>
        <v/>
      </c>
      <c r="AB1184" s="5">
        <f>IF(tblOrdenes[[#This Row],[puesto_trabajo]]="","",_xlfn.XLOOKUP(tblOrdenes[[#This Row],[puesto_trabajo]],tblPuestos[codigo],tblPuestos[especialidad],"(sin catálogo)"))</f>
        <v/>
      </c>
      <c r="AC1184" s="5">
        <f>IF(tblOrdenes[[#This Row],[cod_actividad]]="","",_xlfn.XLOOKUP(tblOrdenes[[#This Row],[cod_actividad]],tblActividades[codigo],tblActividades[descripcion],"(sin catálogo)"))</f>
        <v/>
      </c>
      <c r="AD1184" s="23">
        <f>IF(tblOrdenes[[#This Row],[fecha_inicio]]="","",TODAY()-tblOrdenes[[#This Row],[fecha_inicio]])</f>
        <v/>
      </c>
      <c r="AE11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5">
        <f>IF(tblOrdenes[[#This Row],[backlog_habiles]]="","",IF(tblOrdenes[[#This Row],[backlog_habiles]]&lt;0,"FUTURO",IF(tblOrdenes[[#This Row],[backlog_habiles]]&gt;p_dias_backlog_max,"BACKLOG","MES CORRIENTE")))</f>
        <v/>
      </c>
      <c r="AG1184" s="5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18">
        <f>IF(tblOrdenes[[#This Row],[orden]]="","",_xlfn.XLOOKUP(tblOrdenes[[#This Row],[id_operacion]],tblEjecucion[id_operacion],tblEjecucion[precio],0))</f>
        <v/>
      </c>
      <c r="AM1184" s="18">
        <f>IF(tblOrdenes[[#This Row],[orden]]="","",MAX(0,_xlfn.XLOOKUP(tblOrdenes[[#This Row],[id_operacion]],tblEjecucion[id_operacion],tblEjecucion[costo_plan_total],0)-tblOrdenes[[#This Row],[costo_servicio]]))</f>
        <v/>
      </c>
      <c r="AN1184" s="18">
        <f>IF(tblOrdenes[[#This Row],[orden]]="","",tblOrdenes[[#This Row],[costo_servicio]]+tblOrdenes[[#This Row],[costo_materiales]])</f>
        <v/>
      </c>
      <c r="AO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5">
        <f>IF(tblOrdenes[[#This Row],[link_checklist]]="","",HYPERLINK(p_ruta_base_checklists&amp;tblOrdenes[[#This Row],[link_checklist]],"abrir"))</f>
        <v/>
      </c>
      <c r="AT1184" s="4" t="n"/>
      <c r="AU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5" t="n"/>
      <c r="K1185" s="5" t="n"/>
      <c r="L1185" s="18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Row],[fecha_inicio]]="","",tblOrdenes[[#This Row],[anio]]&amp;"-"&amp;TEXT(tblOrdenes[[#This Row],[mes]],"00"))</f>
        <v/>
      </c>
      <c r="S1185" s="5">
        <f>IF(tblOrdenes[[#This Row],[fecha_inicio]]="","",INDEX(lista_dias,WEEKDAY(tblOrdenes[[#This Row],[fecha_inicio]],2)))</f>
        <v/>
      </c>
      <c r="T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5">
        <f>IF(tblOrdenes[[#This Row],[tipo_ot]]="","",_xlfn.XLOOKUP(tblOrdenes[[#This Row],[tipo_ot]],tblTiposOT[codigo],tblTiposOT[clasificacion],"sin_clasificar"))</f>
        <v/>
      </c>
      <c r="V1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5">
        <f>IF(tblOrdenes[[#This Row],[centro_costo]]="","",_xlfn.XLOOKUP(tblOrdenes[[#This Row],[centro_costo]],tblCECO[codigo],tblCECO[linea],"(sin catálogo)"))</f>
        <v/>
      </c>
      <c r="Y1185" s="5">
        <f>IF(tblOrdenes[[#This Row],[centro_costo]]="","",_xlfn.XLOOKUP(tblOrdenes[[#This Row],[centro_costo]],tblCECO[codigo],tblCECO[area],"(sin catálogo)"))</f>
        <v/>
      </c>
      <c r="Z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5">
        <f>IF(tblOrdenes[[#This Row],[centro_costo]]="","",_xlfn.XLOOKUP(tblOrdenes[[#This Row],[centro_costo]],tblCECO[codigo],tblCECO[coordinador],"(sin catálogo)"))</f>
        <v/>
      </c>
      <c r="AB1185" s="5">
        <f>IF(tblOrdenes[[#This Row],[puesto_trabajo]]="","",_xlfn.XLOOKUP(tblOrdenes[[#This Row],[puesto_trabajo]],tblPuestos[codigo],tblPuestos[especialidad],"(sin catálogo)"))</f>
        <v/>
      </c>
      <c r="AC1185" s="5">
        <f>IF(tblOrdenes[[#This Row],[cod_actividad]]="","",_xlfn.XLOOKUP(tblOrdenes[[#This Row],[cod_actividad]],tblActividades[codigo],tblActividades[descripcion],"(sin catálogo)"))</f>
        <v/>
      </c>
      <c r="AD1185" s="23">
        <f>IF(tblOrdenes[[#This Row],[fecha_inicio]]="","",TODAY()-tblOrdenes[[#This Row],[fecha_inicio]])</f>
        <v/>
      </c>
      <c r="AE11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5">
        <f>IF(tblOrdenes[[#This Row],[backlog_habiles]]="","",IF(tblOrdenes[[#This Row],[backlog_habiles]]&lt;0,"FUTURO",IF(tblOrdenes[[#This Row],[backlog_habiles]]&gt;p_dias_backlog_max,"BACKLOG","MES CORRIENTE")))</f>
        <v/>
      </c>
      <c r="AG1185" s="5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18">
        <f>IF(tblOrdenes[[#This Row],[orden]]="","",_xlfn.XLOOKUP(tblOrdenes[[#This Row],[id_operacion]],tblEjecucion[id_operacion],tblEjecucion[precio],0))</f>
        <v/>
      </c>
      <c r="AM1185" s="18">
        <f>IF(tblOrdenes[[#This Row],[orden]]="","",MAX(0,_xlfn.XLOOKUP(tblOrdenes[[#This Row],[id_operacion]],tblEjecucion[id_operacion],tblEjecucion[costo_plan_total],0)-tblOrdenes[[#This Row],[costo_servicio]]))</f>
        <v/>
      </c>
      <c r="AN1185" s="18">
        <f>IF(tblOrdenes[[#This Row],[orden]]="","",tblOrdenes[[#This Row],[costo_servicio]]+tblOrdenes[[#This Row],[costo_materiales]])</f>
        <v/>
      </c>
      <c r="AO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5">
        <f>IF(tblOrdenes[[#This Row],[link_checklist]]="","",HYPERLINK(p_ruta_base_checklists&amp;tblOrdenes[[#This Row],[link_checklist]],"abrir"))</f>
        <v/>
      </c>
      <c r="AT1185" s="4" t="n"/>
      <c r="AU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5" t="n"/>
      <c r="K1186" s="5" t="n"/>
      <c r="L1186" s="18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Row],[fecha_inicio]]="","",tblOrdenes[[#This Row],[anio]]&amp;"-"&amp;TEXT(tblOrdenes[[#This Row],[mes]],"00"))</f>
        <v/>
      </c>
      <c r="S1186" s="5">
        <f>IF(tblOrdenes[[#This Row],[fecha_inicio]]="","",INDEX(lista_dias,WEEKDAY(tblOrdenes[[#This Row],[fecha_inicio]],2)))</f>
        <v/>
      </c>
      <c r="T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5">
        <f>IF(tblOrdenes[[#This Row],[tipo_ot]]="","",_xlfn.XLOOKUP(tblOrdenes[[#This Row],[tipo_ot]],tblTiposOT[codigo],tblTiposOT[clasificacion],"sin_clasificar"))</f>
        <v/>
      </c>
      <c r="V1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5">
        <f>IF(tblOrdenes[[#This Row],[centro_costo]]="","",_xlfn.XLOOKUP(tblOrdenes[[#This Row],[centro_costo]],tblCECO[codigo],tblCECO[linea],"(sin catálogo)"))</f>
        <v/>
      </c>
      <c r="Y1186" s="5">
        <f>IF(tblOrdenes[[#This Row],[centro_costo]]="","",_xlfn.XLOOKUP(tblOrdenes[[#This Row],[centro_costo]],tblCECO[codigo],tblCECO[area],"(sin catálogo)"))</f>
        <v/>
      </c>
      <c r="Z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5">
        <f>IF(tblOrdenes[[#This Row],[centro_costo]]="","",_xlfn.XLOOKUP(tblOrdenes[[#This Row],[centro_costo]],tblCECO[codigo],tblCECO[coordinador],"(sin catálogo)"))</f>
        <v/>
      </c>
      <c r="AB1186" s="5">
        <f>IF(tblOrdenes[[#This Row],[puesto_trabajo]]="","",_xlfn.XLOOKUP(tblOrdenes[[#This Row],[puesto_trabajo]],tblPuestos[codigo],tblPuestos[especialidad],"(sin catálogo)"))</f>
        <v/>
      </c>
      <c r="AC1186" s="5">
        <f>IF(tblOrdenes[[#This Row],[cod_actividad]]="","",_xlfn.XLOOKUP(tblOrdenes[[#This Row],[cod_actividad]],tblActividades[codigo],tblActividades[descripcion],"(sin catálogo)"))</f>
        <v/>
      </c>
      <c r="AD1186" s="23">
        <f>IF(tblOrdenes[[#This Row],[fecha_inicio]]="","",TODAY()-tblOrdenes[[#This Row],[fecha_inicio]])</f>
        <v/>
      </c>
      <c r="AE11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5">
        <f>IF(tblOrdenes[[#This Row],[backlog_habiles]]="","",IF(tblOrdenes[[#This Row],[backlog_habiles]]&lt;0,"FUTURO",IF(tblOrdenes[[#This Row],[backlog_habiles]]&gt;p_dias_backlog_max,"BACKLOG","MES CORRIENTE")))</f>
        <v/>
      </c>
      <c r="AG1186" s="5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18">
        <f>IF(tblOrdenes[[#This Row],[orden]]="","",_xlfn.XLOOKUP(tblOrdenes[[#This Row],[id_operacion]],tblEjecucion[id_operacion],tblEjecucion[precio],0))</f>
        <v/>
      </c>
      <c r="AM1186" s="18">
        <f>IF(tblOrdenes[[#This Row],[orden]]="","",MAX(0,_xlfn.XLOOKUP(tblOrdenes[[#This Row],[id_operacion]],tblEjecucion[id_operacion],tblEjecucion[costo_plan_total],0)-tblOrdenes[[#This Row],[costo_servicio]]))</f>
        <v/>
      </c>
      <c r="AN1186" s="18">
        <f>IF(tblOrdenes[[#This Row],[orden]]="","",tblOrdenes[[#This Row],[costo_servicio]]+tblOrdenes[[#This Row],[costo_materiales]])</f>
        <v/>
      </c>
      <c r="AO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5">
        <f>IF(tblOrdenes[[#This Row],[link_checklist]]="","",HYPERLINK(p_ruta_base_checklists&amp;tblOrdenes[[#This Row],[link_checklist]],"abrir"))</f>
        <v/>
      </c>
      <c r="AT1186" s="4" t="n"/>
      <c r="AU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5" t="n"/>
      <c r="K1187" s="5" t="n"/>
      <c r="L1187" s="18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Row],[fecha_inicio]]="","",tblOrdenes[[#This Row],[anio]]&amp;"-"&amp;TEXT(tblOrdenes[[#This Row],[mes]],"00"))</f>
        <v/>
      </c>
      <c r="S1187" s="5">
        <f>IF(tblOrdenes[[#This Row],[fecha_inicio]]="","",INDEX(lista_dias,WEEKDAY(tblOrdenes[[#This Row],[fecha_inicio]],2)))</f>
        <v/>
      </c>
      <c r="T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5">
        <f>IF(tblOrdenes[[#This Row],[tipo_ot]]="","",_xlfn.XLOOKUP(tblOrdenes[[#This Row],[tipo_ot]],tblTiposOT[codigo],tblTiposOT[clasificacion],"sin_clasificar"))</f>
        <v/>
      </c>
      <c r="V1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5">
        <f>IF(tblOrdenes[[#This Row],[centro_costo]]="","",_xlfn.XLOOKUP(tblOrdenes[[#This Row],[centro_costo]],tblCECO[codigo],tblCECO[linea],"(sin catálogo)"))</f>
        <v/>
      </c>
      <c r="Y1187" s="5">
        <f>IF(tblOrdenes[[#This Row],[centro_costo]]="","",_xlfn.XLOOKUP(tblOrdenes[[#This Row],[centro_costo]],tblCECO[codigo],tblCECO[area],"(sin catálogo)"))</f>
        <v/>
      </c>
      <c r="Z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5">
        <f>IF(tblOrdenes[[#This Row],[centro_costo]]="","",_xlfn.XLOOKUP(tblOrdenes[[#This Row],[centro_costo]],tblCECO[codigo],tblCECO[coordinador],"(sin catálogo)"))</f>
        <v/>
      </c>
      <c r="AB1187" s="5">
        <f>IF(tblOrdenes[[#This Row],[puesto_trabajo]]="","",_xlfn.XLOOKUP(tblOrdenes[[#This Row],[puesto_trabajo]],tblPuestos[codigo],tblPuestos[especialidad],"(sin catálogo)"))</f>
        <v/>
      </c>
      <c r="AC1187" s="5">
        <f>IF(tblOrdenes[[#This Row],[cod_actividad]]="","",_xlfn.XLOOKUP(tblOrdenes[[#This Row],[cod_actividad]],tblActividades[codigo],tblActividades[descripcion],"(sin catálogo)"))</f>
        <v/>
      </c>
      <c r="AD1187" s="23">
        <f>IF(tblOrdenes[[#This Row],[fecha_inicio]]="","",TODAY()-tblOrdenes[[#This Row],[fecha_inicio]])</f>
        <v/>
      </c>
      <c r="AE11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5">
        <f>IF(tblOrdenes[[#This Row],[backlog_habiles]]="","",IF(tblOrdenes[[#This Row],[backlog_habiles]]&lt;0,"FUTURO",IF(tblOrdenes[[#This Row],[backlog_habiles]]&gt;p_dias_backlog_max,"BACKLOG","MES CORRIENTE")))</f>
        <v/>
      </c>
      <c r="AG1187" s="5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18">
        <f>IF(tblOrdenes[[#This Row],[orden]]="","",_xlfn.XLOOKUP(tblOrdenes[[#This Row],[id_operacion]],tblEjecucion[id_operacion],tblEjecucion[precio],0))</f>
        <v/>
      </c>
      <c r="AM1187" s="18">
        <f>IF(tblOrdenes[[#This Row],[orden]]="","",MAX(0,_xlfn.XLOOKUP(tblOrdenes[[#This Row],[id_operacion]],tblEjecucion[id_operacion],tblEjecucion[costo_plan_total],0)-tblOrdenes[[#This Row],[costo_servicio]]))</f>
        <v/>
      </c>
      <c r="AN1187" s="18">
        <f>IF(tblOrdenes[[#This Row],[orden]]="","",tblOrdenes[[#This Row],[costo_servicio]]+tblOrdenes[[#This Row],[costo_materiales]])</f>
        <v/>
      </c>
      <c r="AO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5">
        <f>IF(tblOrdenes[[#This Row],[link_checklist]]="","",HYPERLINK(p_ruta_base_checklists&amp;tblOrdenes[[#This Row],[link_checklist]],"abrir"))</f>
        <v/>
      </c>
      <c r="AT1187" s="4" t="n"/>
      <c r="AU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5" t="n"/>
      <c r="K1188" s="5" t="n"/>
      <c r="L1188" s="18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Row],[fecha_inicio]]="","",tblOrdenes[[#This Row],[anio]]&amp;"-"&amp;TEXT(tblOrdenes[[#This Row],[mes]],"00"))</f>
        <v/>
      </c>
      <c r="S1188" s="5">
        <f>IF(tblOrdenes[[#This Row],[fecha_inicio]]="","",INDEX(lista_dias,WEEKDAY(tblOrdenes[[#This Row],[fecha_inicio]],2)))</f>
        <v/>
      </c>
      <c r="T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5">
        <f>IF(tblOrdenes[[#This Row],[tipo_ot]]="","",_xlfn.XLOOKUP(tblOrdenes[[#This Row],[tipo_ot]],tblTiposOT[codigo],tblTiposOT[clasificacion],"sin_clasificar"))</f>
        <v/>
      </c>
      <c r="V1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5">
        <f>IF(tblOrdenes[[#This Row],[centro_costo]]="","",_xlfn.XLOOKUP(tblOrdenes[[#This Row],[centro_costo]],tblCECO[codigo],tblCECO[linea],"(sin catálogo)"))</f>
        <v/>
      </c>
      <c r="Y1188" s="5">
        <f>IF(tblOrdenes[[#This Row],[centro_costo]]="","",_xlfn.XLOOKUP(tblOrdenes[[#This Row],[centro_costo]],tblCECO[codigo],tblCECO[area],"(sin catálogo)"))</f>
        <v/>
      </c>
      <c r="Z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5">
        <f>IF(tblOrdenes[[#This Row],[centro_costo]]="","",_xlfn.XLOOKUP(tblOrdenes[[#This Row],[centro_costo]],tblCECO[codigo],tblCECO[coordinador],"(sin catálogo)"))</f>
        <v/>
      </c>
      <c r="AB1188" s="5">
        <f>IF(tblOrdenes[[#This Row],[puesto_trabajo]]="","",_xlfn.XLOOKUP(tblOrdenes[[#This Row],[puesto_trabajo]],tblPuestos[codigo],tblPuestos[especialidad],"(sin catálogo)"))</f>
        <v/>
      </c>
      <c r="AC1188" s="5">
        <f>IF(tblOrdenes[[#This Row],[cod_actividad]]="","",_xlfn.XLOOKUP(tblOrdenes[[#This Row],[cod_actividad]],tblActividades[codigo],tblActividades[descripcion],"(sin catálogo)"))</f>
        <v/>
      </c>
      <c r="AD1188" s="23">
        <f>IF(tblOrdenes[[#This Row],[fecha_inicio]]="","",TODAY()-tblOrdenes[[#This Row],[fecha_inicio]])</f>
        <v/>
      </c>
      <c r="AE11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5">
        <f>IF(tblOrdenes[[#This Row],[backlog_habiles]]="","",IF(tblOrdenes[[#This Row],[backlog_habiles]]&lt;0,"FUTURO",IF(tblOrdenes[[#This Row],[backlog_habiles]]&gt;p_dias_backlog_max,"BACKLOG","MES CORRIENTE")))</f>
        <v/>
      </c>
      <c r="AG1188" s="5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18">
        <f>IF(tblOrdenes[[#This Row],[orden]]="","",_xlfn.XLOOKUP(tblOrdenes[[#This Row],[id_operacion]],tblEjecucion[id_operacion],tblEjecucion[precio],0))</f>
        <v/>
      </c>
      <c r="AM1188" s="18">
        <f>IF(tblOrdenes[[#This Row],[orden]]="","",MAX(0,_xlfn.XLOOKUP(tblOrdenes[[#This Row],[id_operacion]],tblEjecucion[id_operacion],tblEjecucion[costo_plan_total],0)-tblOrdenes[[#This Row],[costo_servicio]]))</f>
        <v/>
      </c>
      <c r="AN1188" s="18">
        <f>IF(tblOrdenes[[#This Row],[orden]]="","",tblOrdenes[[#This Row],[costo_servicio]]+tblOrdenes[[#This Row],[costo_materiales]])</f>
        <v/>
      </c>
      <c r="AO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5">
        <f>IF(tblOrdenes[[#This Row],[link_checklist]]="","",HYPERLINK(p_ruta_base_checklists&amp;tblOrdenes[[#This Row],[link_checklist]],"abrir"))</f>
        <v/>
      </c>
      <c r="AT1188" s="4" t="n"/>
      <c r="AU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5" t="n"/>
      <c r="K1189" s="5" t="n"/>
      <c r="L1189" s="18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Row],[fecha_inicio]]="","",tblOrdenes[[#This Row],[anio]]&amp;"-"&amp;TEXT(tblOrdenes[[#This Row],[mes]],"00"))</f>
        <v/>
      </c>
      <c r="S1189" s="5">
        <f>IF(tblOrdenes[[#This Row],[fecha_inicio]]="","",INDEX(lista_dias,WEEKDAY(tblOrdenes[[#This Row],[fecha_inicio]],2)))</f>
        <v/>
      </c>
      <c r="T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5">
        <f>IF(tblOrdenes[[#This Row],[tipo_ot]]="","",_xlfn.XLOOKUP(tblOrdenes[[#This Row],[tipo_ot]],tblTiposOT[codigo],tblTiposOT[clasificacion],"sin_clasificar"))</f>
        <v/>
      </c>
      <c r="V1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5">
        <f>IF(tblOrdenes[[#This Row],[centro_costo]]="","",_xlfn.XLOOKUP(tblOrdenes[[#This Row],[centro_costo]],tblCECO[codigo],tblCECO[linea],"(sin catálogo)"))</f>
        <v/>
      </c>
      <c r="Y1189" s="5">
        <f>IF(tblOrdenes[[#This Row],[centro_costo]]="","",_xlfn.XLOOKUP(tblOrdenes[[#This Row],[centro_costo]],tblCECO[codigo],tblCECO[area],"(sin catálogo)"))</f>
        <v/>
      </c>
      <c r="Z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5">
        <f>IF(tblOrdenes[[#This Row],[centro_costo]]="","",_xlfn.XLOOKUP(tblOrdenes[[#This Row],[centro_costo]],tblCECO[codigo],tblCECO[coordinador],"(sin catálogo)"))</f>
        <v/>
      </c>
      <c r="AB1189" s="5">
        <f>IF(tblOrdenes[[#This Row],[puesto_trabajo]]="","",_xlfn.XLOOKUP(tblOrdenes[[#This Row],[puesto_trabajo]],tblPuestos[codigo],tblPuestos[especialidad],"(sin catálogo)"))</f>
        <v/>
      </c>
      <c r="AC1189" s="5">
        <f>IF(tblOrdenes[[#This Row],[cod_actividad]]="","",_xlfn.XLOOKUP(tblOrdenes[[#This Row],[cod_actividad]],tblActividades[codigo],tblActividades[descripcion],"(sin catálogo)"))</f>
        <v/>
      </c>
      <c r="AD1189" s="23">
        <f>IF(tblOrdenes[[#This Row],[fecha_inicio]]="","",TODAY()-tblOrdenes[[#This Row],[fecha_inicio]])</f>
        <v/>
      </c>
      <c r="AE11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5">
        <f>IF(tblOrdenes[[#This Row],[backlog_habiles]]="","",IF(tblOrdenes[[#This Row],[backlog_habiles]]&lt;0,"FUTURO",IF(tblOrdenes[[#This Row],[backlog_habiles]]&gt;p_dias_backlog_max,"BACKLOG","MES CORRIENTE")))</f>
        <v/>
      </c>
      <c r="AG1189" s="5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18">
        <f>IF(tblOrdenes[[#This Row],[orden]]="","",_xlfn.XLOOKUP(tblOrdenes[[#This Row],[id_operacion]],tblEjecucion[id_operacion],tblEjecucion[precio],0))</f>
        <v/>
      </c>
      <c r="AM1189" s="18">
        <f>IF(tblOrdenes[[#This Row],[orden]]="","",MAX(0,_xlfn.XLOOKUP(tblOrdenes[[#This Row],[id_operacion]],tblEjecucion[id_operacion],tblEjecucion[costo_plan_total],0)-tblOrdenes[[#This Row],[costo_servicio]]))</f>
        <v/>
      </c>
      <c r="AN1189" s="18">
        <f>IF(tblOrdenes[[#This Row],[orden]]="","",tblOrdenes[[#This Row],[costo_servicio]]+tblOrdenes[[#This Row],[costo_materiales]])</f>
        <v/>
      </c>
      <c r="AO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5">
        <f>IF(tblOrdenes[[#This Row],[link_checklist]]="","",HYPERLINK(p_ruta_base_checklists&amp;tblOrdenes[[#This Row],[link_checklist]],"abrir"))</f>
        <v/>
      </c>
      <c r="AT1189" s="4" t="n"/>
      <c r="AU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5" t="n"/>
      <c r="K1190" s="5" t="n"/>
      <c r="L1190" s="18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Row],[fecha_inicio]]="","",tblOrdenes[[#This Row],[anio]]&amp;"-"&amp;TEXT(tblOrdenes[[#This Row],[mes]],"00"))</f>
        <v/>
      </c>
      <c r="S1190" s="5">
        <f>IF(tblOrdenes[[#This Row],[fecha_inicio]]="","",INDEX(lista_dias,WEEKDAY(tblOrdenes[[#This Row],[fecha_inicio]],2)))</f>
        <v/>
      </c>
      <c r="T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5">
        <f>IF(tblOrdenes[[#This Row],[tipo_ot]]="","",_xlfn.XLOOKUP(tblOrdenes[[#This Row],[tipo_ot]],tblTiposOT[codigo],tblTiposOT[clasificacion],"sin_clasificar"))</f>
        <v/>
      </c>
      <c r="V1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5">
        <f>IF(tblOrdenes[[#This Row],[centro_costo]]="","",_xlfn.XLOOKUP(tblOrdenes[[#This Row],[centro_costo]],tblCECO[codigo],tblCECO[linea],"(sin catálogo)"))</f>
        <v/>
      </c>
      <c r="Y1190" s="5">
        <f>IF(tblOrdenes[[#This Row],[centro_costo]]="","",_xlfn.XLOOKUP(tblOrdenes[[#This Row],[centro_costo]],tblCECO[codigo],tblCECO[area],"(sin catálogo)"))</f>
        <v/>
      </c>
      <c r="Z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5">
        <f>IF(tblOrdenes[[#This Row],[centro_costo]]="","",_xlfn.XLOOKUP(tblOrdenes[[#This Row],[centro_costo]],tblCECO[codigo],tblCECO[coordinador],"(sin catálogo)"))</f>
        <v/>
      </c>
      <c r="AB1190" s="5">
        <f>IF(tblOrdenes[[#This Row],[puesto_trabajo]]="","",_xlfn.XLOOKUP(tblOrdenes[[#This Row],[puesto_trabajo]],tblPuestos[codigo],tblPuestos[especialidad],"(sin catálogo)"))</f>
        <v/>
      </c>
      <c r="AC1190" s="5">
        <f>IF(tblOrdenes[[#This Row],[cod_actividad]]="","",_xlfn.XLOOKUP(tblOrdenes[[#This Row],[cod_actividad]],tblActividades[codigo],tblActividades[descripcion],"(sin catálogo)"))</f>
        <v/>
      </c>
      <c r="AD1190" s="23">
        <f>IF(tblOrdenes[[#This Row],[fecha_inicio]]="","",TODAY()-tblOrdenes[[#This Row],[fecha_inicio]])</f>
        <v/>
      </c>
      <c r="AE11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5">
        <f>IF(tblOrdenes[[#This Row],[backlog_habiles]]="","",IF(tblOrdenes[[#This Row],[backlog_habiles]]&lt;0,"FUTURO",IF(tblOrdenes[[#This Row],[backlog_habiles]]&gt;p_dias_backlog_max,"BACKLOG","MES CORRIENTE")))</f>
        <v/>
      </c>
      <c r="AG1190" s="5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18">
        <f>IF(tblOrdenes[[#This Row],[orden]]="","",_xlfn.XLOOKUP(tblOrdenes[[#This Row],[id_operacion]],tblEjecucion[id_operacion],tblEjecucion[precio],0))</f>
        <v/>
      </c>
      <c r="AM1190" s="18">
        <f>IF(tblOrdenes[[#This Row],[orden]]="","",MAX(0,_xlfn.XLOOKUP(tblOrdenes[[#This Row],[id_operacion]],tblEjecucion[id_operacion],tblEjecucion[costo_plan_total],0)-tblOrdenes[[#This Row],[costo_servicio]]))</f>
        <v/>
      </c>
      <c r="AN1190" s="18">
        <f>IF(tblOrdenes[[#This Row],[orden]]="","",tblOrdenes[[#This Row],[costo_servicio]]+tblOrdenes[[#This Row],[costo_materiales]])</f>
        <v/>
      </c>
      <c r="AO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5">
        <f>IF(tblOrdenes[[#This Row],[link_checklist]]="","",HYPERLINK(p_ruta_base_checklists&amp;tblOrdenes[[#This Row],[link_checklist]],"abrir"))</f>
        <v/>
      </c>
      <c r="AT1190" s="4" t="n"/>
      <c r="AU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5" t="n"/>
      <c r="K1191" s="5" t="n"/>
      <c r="L1191" s="18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Row],[fecha_inicio]]="","",tblOrdenes[[#This Row],[anio]]&amp;"-"&amp;TEXT(tblOrdenes[[#This Row],[mes]],"00"))</f>
        <v/>
      </c>
      <c r="S1191" s="5">
        <f>IF(tblOrdenes[[#This Row],[fecha_inicio]]="","",INDEX(lista_dias,WEEKDAY(tblOrdenes[[#This Row],[fecha_inicio]],2)))</f>
        <v/>
      </c>
      <c r="T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5">
        <f>IF(tblOrdenes[[#This Row],[tipo_ot]]="","",_xlfn.XLOOKUP(tblOrdenes[[#This Row],[tipo_ot]],tblTiposOT[codigo],tblTiposOT[clasificacion],"sin_clasificar"))</f>
        <v/>
      </c>
      <c r="V1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5">
        <f>IF(tblOrdenes[[#This Row],[centro_costo]]="","",_xlfn.XLOOKUP(tblOrdenes[[#This Row],[centro_costo]],tblCECO[codigo],tblCECO[linea],"(sin catálogo)"))</f>
        <v/>
      </c>
      <c r="Y1191" s="5">
        <f>IF(tblOrdenes[[#This Row],[centro_costo]]="","",_xlfn.XLOOKUP(tblOrdenes[[#This Row],[centro_costo]],tblCECO[codigo],tblCECO[area],"(sin catálogo)"))</f>
        <v/>
      </c>
      <c r="Z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5">
        <f>IF(tblOrdenes[[#This Row],[centro_costo]]="","",_xlfn.XLOOKUP(tblOrdenes[[#This Row],[centro_costo]],tblCECO[codigo],tblCECO[coordinador],"(sin catálogo)"))</f>
        <v/>
      </c>
      <c r="AB1191" s="5">
        <f>IF(tblOrdenes[[#This Row],[puesto_trabajo]]="","",_xlfn.XLOOKUP(tblOrdenes[[#This Row],[puesto_trabajo]],tblPuestos[codigo],tblPuestos[especialidad],"(sin catálogo)"))</f>
        <v/>
      </c>
      <c r="AC1191" s="5">
        <f>IF(tblOrdenes[[#This Row],[cod_actividad]]="","",_xlfn.XLOOKUP(tblOrdenes[[#This Row],[cod_actividad]],tblActividades[codigo],tblActividades[descripcion],"(sin catálogo)"))</f>
        <v/>
      </c>
      <c r="AD1191" s="23">
        <f>IF(tblOrdenes[[#This Row],[fecha_inicio]]="","",TODAY()-tblOrdenes[[#This Row],[fecha_inicio]])</f>
        <v/>
      </c>
      <c r="AE11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5">
        <f>IF(tblOrdenes[[#This Row],[backlog_habiles]]="","",IF(tblOrdenes[[#This Row],[backlog_habiles]]&lt;0,"FUTURO",IF(tblOrdenes[[#This Row],[backlog_habiles]]&gt;p_dias_backlog_max,"BACKLOG","MES CORRIENTE")))</f>
        <v/>
      </c>
      <c r="AG1191" s="5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18">
        <f>IF(tblOrdenes[[#This Row],[orden]]="","",_xlfn.XLOOKUP(tblOrdenes[[#This Row],[id_operacion]],tblEjecucion[id_operacion],tblEjecucion[precio],0))</f>
        <v/>
      </c>
      <c r="AM1191" s="18">
        <f>IF(tblOrdenes[[#This Row],[orden]]="","",MAX(0,_xlfn.XLOOKUP(tblOrdenes[[#This Row],[id_operacion]],tblEjecucion[id_operacion],tblEjecucion[costo_plan_total],0)-tblOrdenes[[#This Row],[costo_servicio]]))</f>
        <v/>
      </c>
      <c r="AN1191" s="18">
        <f>IF(tblOrdenes[[#This Row],[orden]]="","",tblOrdenes[[#This Row],[costo_servicio]]+tblOrdenes[[#This Row],[costo_materiales]])</f>
        <v/>
      </c>
      <c r="AO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5">
        <f>IF(tblOrdenes[[#This Row],[link_checklist]]="","",HYPERLINK(p_ruta_base_checklists&amp;tblOrdenes[[#This Row],[link_checklist]],"abrir"))</f>
        <v/>
      </c>
      <c r="AT1191" s="4" t="n"/>
      <c r="AU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5" t="n"/>
      <c r="K1192" s="5" t="n"/>
      <c r="L1192" s="18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Row],[fecha_inicio]]="","",tblOrdenes[[#This Row],[anio]]&amp;"-"&amp;TEXT(tblOrdenes[[#This Row],[mes]],"00"))</f>
        <v/>
      </c>
      <c r="S1192" s="5">
        <f>IF(tblOrdenes[[#This Row],[fecha_inicio]]="","",INDEX(lista_dias,WEEKDAY(tblOrdenes[[#This Row],[fecha_inicio]],2)))</f>
        <v/>
      </c>
      <c r="T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5">
        <f>IF(tblOrdenes[[#This Row],[tipo_ot]]="","",_xlfn.XLOOKUP(tblOrdenes[[#This Row],[tipo_ot]],tblTiposOT[codigo],tblTiposOT[clasificacion],"sin_clasificar"))</f>
        <v/>
      </c>
      <c r="V1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5">
        <f>IF(tblOrdenes[[#This Row],[centro_costo]]="","",_xlfn.XLOOKUP(tblOrdenes[[#This Row],[centro_costo]],tblCECO[codigo],tblCECO[linea],"(sin catálogo)"))</f>
        <v/>
      </c>
      <c r="Y1192" s="5">
        <f>IF(tblOrdenes[[#This Row],[centro_costo]]="","",_xlfn.XLOOKUP(tblOrdenes[[#This Row],[centro_costo]],tblCECO[codigo],tblCECO[area],"(sin catálogo)"))</f>
        <v/>
      </c>
      <c r="Z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5">
        <f>IF(tblOrdenes[[#This Row],[centro_costo]]="","",_xlfn.XLOOKUP(tblOrdenes[[#This Row],[centro_costo]],tblCECO[codigo],tblCECO[coordinador],"(sin catálogo)"))</f>
        <v/>
      </c>
      <c r="AB1192" s="5">
        <f>IF(tblOrdenes[[#This Row],[puesto_trabajo]]="","",_xlfn.XLOOKUP(tblOrdenes[[#This Row],[puesto_trabajo]],tblPuestos[codigo],tblPuestos[especialidad],"(sin catálogo)"))</f>
        <v/>
      </c>
      <c r="AC1192" s="5">
        <f>IF(tblOrdenes[[#This Row],[cod_actividad]]="","",_xlfn.XLOOKUP(tblOrdenes[[#This Row],[cod_actividad]],tblActividades[codigo],tblActividades[descripcion],"(sin catálogo)"))</f>
        <v/>
      </c>
      <c r="AD1192" s="23">
        <f>IF(tblOrdenes[[#This Row],[fecha_inicio]]="","",TODAY()-tblOrdenes[[#This Row],[fecha_inicio]])</f>
        <v/>
      </c>
      <c r="AE11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5">
        <f>IF(tblOrdenes[[#This Row],[backlog_habiles]]="","",IF(tblOrdenes[[#This Row],[backlog_habiles]]&lt;0,"FUTURO",IF(tblOrdenes[[#This Row],[backlog_habiles]]&gt;p_dias_backlog_max,"BACKLOG","MES CORRIENTE")))</f>
        <v/>
      </c>
      <c r="AG1192" s="5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18">
        <f>IF(tblOrdenes[[#This Row],[orden]]="","",_xlfn.XLOOKUP(tblOrdenes[[#This Row],[id_operacion]],tblEjecucion[id_operacion],tblEjecucion[precio],0))</f>
        <v/>
      </c>
      <c r="AM1192" s="18">
        <f>IF(tblOrdenes[[#This Row],[orden]]="","",MAX(0,_xlfn.XLOOKUP(tblOrdenes[[#This Row],[id_operacion]],tblEjecucion[id_operacion],tblEjecucion[costo_plan_total],0)-tblOrdenes[[#This Row],[costo_servicio]]))</f>
        <v/>
      </c>
      <c r="AN1192" s="18">
        <f>IF(tblOrdenes[[#This Row],[orden]]="","",tblOrdenes[[#This Row],[costo_servicio]]+tblOrdenes[[#This Row],[costo_materiales]])</f>
        <v/>
      </c>
      <c r="AO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5">
        <f>IF(tblOrdenes[[#This Row],[link_checklist]]="","",HYPERLINK(p_ruta_base_checklists&amp;tblOrdenes[[#This Row],[link_checklist]],"abrir"))</f>
        <v/>
      </c>
      <c r="AT1192" s="4" t="n"/>
      <c r="AU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5" t="n"/>
      <c r="K1193" s="5" t="n"/>
      <c r="L1193" s="18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Row],[fecha_inicio]]="","",tblOrdenes[[#This Row],[anio]]&amp;"-"&amp;TEXT(tblOrdenes[[#This Row],[mes]],"00"))</f>
        <v/>
      </c>
      <c r="S1193" s="5">
        <f>IF(tblOrdenes[[#This Row],[fecha_inicio]]="","",INDEX(lista_dias,WEEKDAY(tblOrdenes[[#This Row],[fecha_inicio]],2)))</f>
        <v/>
      </c>
      <c r="T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5">
        <f>IF(tblOrdenes[[#This Row],[tipo_ot]]="","",_xlfn.XLOOKUP(tblOrdenes[[#This Row],[tipo_ot]],tblTiposOT[codigo],tblTiposOT[clasificacion],"sin_clasificar"))</f>
        <v/>
      </c>
      <c r="V1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5">
        <f>IF(tblOrdenes[[#This Row],[centro_costo]]="","",_xlfn.XLOOKUP(tblOrdenes[[#This Row],[centro_costo]],tblCECO[codigo],tblCECO[linea],"(sin catálogo)"))</f>
        <v/>
      </c>
      <c r="Y1193" s="5">
        <f>IF(tblOrdenes[[#This Row],[centro_costo]]="","",_xlfn.XLOOKUP(tblOrdenes[[#This Row],[centro_costo]],tblCECO[codigo],tblCECO[area],"(sin catálogo)"))</f>
        <v/>
      </c>
      <c r="Z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5">
        <f>IF(tblOrdenes[[#This Row],[centro_costo]]="","",_xlfn.XLOOKUP(tblOrdenes[[#This Row],[centro_costo]],tblCECO[codigo],tblCECO[coordinador],"(sin catálogo)"))</f>
        <v/>
      </c>
      <c r="AB1193" s="5">
        <f>IF(tblOrdenes[[#This Row],[puesto_trabajo]]="","",_xlfn.XLOOKUP(tblOrdenes[[#This Row],[puesto_trabajo]],tblPuestos[codigo],tblPuestos[especialidad],"(sin catálogo)"))</f>
        <v/>
      </c>
      <c r="AC1193" s="5">
        <f>IF(tblOrdenes[[#This Row],[cod_actividad]]="","",_xlfn.XLOOKUP(tblOrdenes[[#This Row],[cod_actividad]],tblActividades[codigo],tblActividades[descripcion],"(sin catálogo)"))</f>
        <v/>
      </c>
      <c r="AD1193" s="23">
        <f>IF(tblOrdenes[[#This Row],[fecha_inicio]]="","",TODAY()-tblOrdenes[[#This Row],[fecha_inicio]])</f>
        <v/>
      </c>
      <c r="AE11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5">
        <f>IF(tblOrdenes[[#This Row],[backlog_habiles]]="","",IF(tblOrdenes[[#This Row],[backlog_habiles]]&lt;0,"FUTURO",IF(tblOrdenes[[#This Row],[backlog_habiles]]&gt;p_dias_backlog_max,"BACKLOG","MES CORRIENTE")))</f>
        <v/>
      </c>
      <c r="AG1193" s="5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18">
        <f>IF(tblOrdenes[[#This Row],[orden]]="","",_xlfn.XLOOKUP(tblOrdenes[[#This Row],[id_operacion]],tblEjecucion[id_operacion],tblEjecucion[precio],0))</f>
        <v/>
      </c>
      <c r="AM1193" s="18">
        <f>IF(tblOrdenes[[#This Row],[orden]]="","",MAX(0,_xlfn.XLOOKUP(tblOrdenes[[#This Row],[id_operacion]],tblEjecucion[id_operacion],tblEjecucion[costo_plan_total],0)-tblOrdenes[[#This Row],[costo_servicio]]))</f>
        <v/>
      </c>
      <c r="AN1193" s="18">
        <f>IF(tblOrdenes[[#This Row],[orden]]="","",tblOrdenes[[#This Row],[costo_servicio]]+tblOrdenes[[#This Row],[costo_materiales]])</f>
        <v/>
      </c>
      <c r="AO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5">
        <f>IF(tblOrdenes[[#This Row],[link_checklist]]="","",HYPERLINK(p_ruta_base_checklists&amp;tblOrdenes[[#This Row],[link_checklist]],"abrir"))</f>
        <v/>
      </c>
      <c r="AT1193" s="4" t="n"/>
      <c r="AU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5" t="n"/>
      <c r="K1194" s="5" t="n"/>
      <c r="L1194" s="18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Row],[fecha_inicio]]="","",tblOrdenes[[#This Row],[anio]]&amp;"-"&amp;TEXT(tblOrdenes[[#This Row],[mes]],"00"))</f>
        <v/>
      </c>
      <c r="S1194" s="5">
        <f>IF(tblOrdenes[[#This Row],[fecha_inicio]]="","",INDEX(lista_dias,WEEKDAY(tblOrdenes[[#This Row],[fecha_inicio]],2)))</f>
        <v/>
      </c>
      <c r="T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5">
        <f>IF(tblOrdenes[[#This Row],[tipo_ot]]="","",_xlfn.XLOOKUP(tblOrdenes[[#This Row],[tipo_ot]],tblTiposOT[codigo],tblTiposOT[clasificacion],"sin_clasificar"))</f>
        <v/>
      </c>
      <c r="V1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5">
        <f>IF(tblOrdenes[[#This Row],[centro_costo]]="","",_xlfn.XLOOKUP(tblOrdenes[[#This Row],[centro_costo]],tblCECO[codigo],tblCECO[linea],"(sin catálogo)"))</f>
        <v/>
      </c>
      <c r="Y1194" s="5">
        <f>IF(tblOrdenes[[#This Row],[centro_costo]]="","",_xlfn.XLOOKUP(tblOrdenes[[#This Row],[centro_costo]],tblCECO[codigo],tblCECO[area],"(sin catálogo)"))</f>
        <v/>
      </c>
      <c r="Z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5">
        <f>IF(tblOrdenes[[#This Row],[centro_costo]]="","",_xlfn.XLOOKUP(tblOrdenes[[#This Row],[centro_costo]],tblCECO[codigo],tblCECO[coordinador],"(sin catálogo)"))</f>
        <v/>
      </c>
      <c r="AB1194" s="5">
        <f>IF(tblOrdenes[[#This Row],[puesto_trabajo]]="","",_xlfn.XLOOKUP(tblOrdenes[[#This Row],[puesto_trabajo]],tblPuestos[codigo],tblPuestos[especialidad],"(sin catálogo)"))</f>
        <v/>
      </c>
      <c r="AC1194" s="5">
        <f>IF(tblOrdenes[[#This Row],[cod_actividad]]="","",_xlfn.XLOOKUP(tblOrdenes[[#This Row],[cod_actividad]],tblActividades[codigo],tblActividades[descripcion],"(sin catálogo)"))</f>
        <v/>
      </c>
      <c r="AD1194" s="23">
        <f>IF(tblOrdenes[[#This Row],[fecha_inicio]]="","",TODAY()-tblOrdenes[[#This Row],[fecha_inicio]])</f>
        <v/>
      </c>
      <c r="AE11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5">
        <f>IF(tblOrdenes[[#This Row],[backlog_habiles]]="","",IF(tblOrdenes[[#This Row],[backlog_habiles]]&lt;0,"FUTURO",IF(tblOrdenes[[#This Row],[backlog_habiles]]&gt;p_dias_backlog_max,"BACKLOG","MES CORRIENTE")))</f>
        <v/>
      </c>
      <c r="AG1194" s="5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18">
        <f>IF(tblOrdenes[[#This Row],[orden]]="","",_xlfn.XLOOKUP(tblOrdenes[[#This Row],[id_operacion]],tblEjecucion[id_operacion],tblEjecucion[precio],0))</f>
        <v/>
      </c>
      <c r="AM1194" s="18">
        <f>IF(tblOrdenes[[#This Row],[orden]]="","",MAX(0,_xlfn.XLOOKUP(tblOrdenes[[#This Row],[id_operacion]],tblEjecucion[id_operacion],tblEjecucion[costo_plan_total],0)-tblOrdenes[[#This Row],[costo_servicio]]))</f>
        <v/>
      </c>
      <c r="AN1194" s="18">
        <f>IF(tblOrdenes[[#This Row],[orden]]="","",tblOrdenes[[#This Row],[costo_servicio]]+tblOrdenes[[#This Row],[costo_materiales]])</f>
        <v/>
      </c>
      <c r="AO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5">
        <f>IF(tblOrdenes[[#This Row],[link_checklist]]="","",HYPERLINK(p_ruta_base_checklists&amp;tblOrdenes[[#This Row],[link_checklist]],"abrir"))</f>
        <v/>
      </c>
      <c r="AT1194" s="4" t="n"/>
      <c r="AU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5" t="n"/>
      <c r="K1195" s="5" t="n"/>
      <c r="L1195" s="18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Row],[fecha_inicio]]="","",tblOrdenes[[#This Row],[anio]]&amp;"-"&amp;TEXT(tblOrdenes[[#This Row],[mes]],"00"))</f>
        <v/>
      </c>
      <c r="S1195" s="5">
        <f>IF(tblOrdenes[[#This Row],[fecha_inicio]]="","",INDEX(lista_dias,WEEKDAY(tblOrdenes[[#This Row],[fecha_inicio]],2)))</f>
        <v/>
      </c>
      <c r="T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5">
        <f>IF(tblOrdenes[[#This Row],[tipo_ot]]="","",_xlfn.XLOOKUP(tblOrdenes[[#This Row],[tipo_ot]],tblTiposOT[codigo],tblTiposOT[clasificacion],"sin_clasificar"))</f>
        <v/>
      </c>
      <c r="V1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5">
        <f>IF(tblOrdenes[[#This Row],[centro_costo]]="","",_xlfn.XLOOKUP(tblOrdenes[[#This Row],[centro_costo]],tblCECO[codigo],tblCECO[linea],"(sin catálogo)"))</f>
        <v/>
      </c>
      <c r="Y1195" s="5">
        <f>IF(tblOrdenes[[#This Row],[centro_costo]]="","",_xlfn.XLOOKUP(tblOrdenes[[#This Row],[centro_costo]],tblCECO[codigo],tblCECO[area],"(sin catálogo)"))</f>
        <v/>
      </c>
      <c r="Z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5">
        <f>IF(tblOrdenes[[#This Row],[centro_costo]]="","",_xlfn.XLOOKUP(tblOrdenes[[#This Row],[centro_costo]],tblCECO[codigo],tblCECO[coordinador],"(sin catálogo)"))</f>
        <v/>
      </c>
      <c r="AB1195" s="5">
        <f>IF(tblOrdenes[[#This Row],[puesto_trabajo]]="","",_xlfn.XLOOKUP(tblOrdenes[[#This Row],[puesto_trabajo]],tblPuestos[codigo],tblPuestos[especialidad],"(sin catálogo)"))</f>
        <v/>
      </c>
      <c r="AC1195" s="5">
        <f>IF(tblOrdenes[[#This Row],[cod_actividad]]="","",_xlfn.XLOOKUP(tblOrdenes[[#This Row],[cod_actividad]],tblActividades[codigo],tblActividades[descripcion],"(sin catálogo)"))</f>
        <v/>
      </c>
      <c r="AD1195" s="23">
        <f>IF(tblOrdenes[[#This Row],[fecha_inicio]]="","",TODAY()-tblOrdenes[[#This Row],[fecha_inicio]])</f>
        <v/>
      </c>
      <c r="AE11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5">
        <f>IF(tblOrdenes[[#This Row],[backlog_habiles]]="","",IF(tblOrdenes[[#This Row],[backlog_habiles]]&lt;0,"FUTURO",IF(tblOrdenes[[#This Row],[backlog_habiles]]&gt;p_dias_backlog_max,"BACKLOG","MES CORRIENTE")))</f>
        <v/>
      </c>
      <c r="AG1195" s="5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18">
        <f>IF(tblOrdenes[[#This Row],[orden]]="","",_xlfn.XLOOKUP(tblOrdenes[[#This Row],[id_operacion]],tblEjecucion[id_operacion],tblEjecucion[precio],0))</f>
        <v/>
      </c>
      <c r="AM1195" s="18">
        <f>IF(tblOrdenes[[#This Row],[orden]]="","",MAX(0,_xlfn.XLOOKUP(tblOrdenes[[#This Row],[id_operacion]],tblEjecucion[id_operacion],tblEjecucion[costo_plan_total],0)-tblOrdenes[[#This Row],[costo_servicio]]))</f>
        <v/>
      </c>
      <c r="AN1195" s="18">
        <f>IF(tblOrdenes[[#This Row],[orden]]="","",tblOrdenes[[#This Row],[costo_servicio]]+tblOrdenes[[#This Row],[costo_materiales]])</f>
        <v/>
      </c>
      <c r="AO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5">
        <f>IF(tblOrdenes[[#This Row],[link_checklist]]="","",HYPERLINK(p_ruta_base_checklists&amp;tblOrdenes[[#This Row],[link_checklist]],"abrir"))</f>
        <v/>
      </c>
      <c r="AT1195" s="4" t="n"/>
      <c r="AU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5" t="n"/>
      <c r="K1196" s="5" t="n"/>
      <c r="L1196" s="18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Row],[fecha_inicio]]="","",tblOrdenes[[#This Row],[anio]]&amp;"-"&amp;TEXT(tblOrdenes[[#This Row],[mes]],"00"))</f>
        <v/>
      </c>
      <c r="S1196" s="5">
        <f>IF(tblOrdenes[[#This Row],[fecha_inicio]]="","",INDEX(lista_dias,WEEKDAY(tblOrdenes[[#This Row],[fecha_inicio]],2)))</f>
        <v/>
      </c>
      <c r="T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5">
        <f>IF(tblOrdenes[[#This Row],[tipo_ot]]="","",_xlfn.XLOOKUP(tblOrdenes[[#This Row],[tipo_ot]],tblTiposOT[codigo],tblTiposOT[clasificacion],"sin_clasificar"))</f>
        <v/>
      </c>
      <c r="V1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5">
        <f>IF(tblOrdenes[[#This Row],[centro_costo]]="","",_xlfn.XLOOKUP(tblOrdenes[[#This Row],[centro_costo]],tblCECO[codigo],tblCECO[linea],"(sin catálogo)"))</f>
        <v/>
      </c>
      <c r="Y1196" s="5">
        <f>IF(tblOrdenes[[#This Row],[centro_costo]]="","",_xlfn.XLOOKUP(tblOrdenes[[#This Row],[centro_costo]],tblCECO[codigo],tblCECO[area],"(sin catálogo)"))</f>
        <v/>
      </c>
      <c r="Z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5">
        <f>IF(tblOrdenes[[#This Row],[centro_costo]]="","",_xlfn.XLOOKUP(tblOrdenes[[#This Row],[centro_costo]],tblCECO[codigo],tblCECO[coordinador],"(sin catálogo)"))</f>
        <v/>
      </c>
      <c r="AB1196" s="5">
        <f>IF(tblOrdenes[[#This Row],[puesto_trabajo]]="","",_xlfn.XLOOKUP(tblOrdenes[[#This Row],[puesto_trabajo]],tblPuestos[codigo],tblPuestos[especialidad],"(sin catálogo)"))</f>
        <v/>
      </c>
      <c r="AC1196" s="5">
        <f>IF(tblOrdenes[[#This Row],[cod_actividad]]="","",_xlfn.XLOOKUP(tblOrdenes[[#This Row],[cod_actividad]],tblActividades[codigo],tblActividades[descripcion],"(sin catálogo)"))</f>
        <v/>
      </c>
      <c r="AD1196" s="23">
        <f>IF(tblOrdenes[[#This Row],[fecha_inicio]]="","",TODAY()-tblOrdenes[[#This Row],[fecha_inicio]])</f>
        <v/>
      </c>
      <c r="AE11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5">
        <f>IF(tblOrdenes[[#This Row],[backlog_habiles]]="","",IF(tblOrdenes[[#This Row],[backlog_habiles]]&lt;0,"FUTURO",IF(tblOrdenes[[#This Row],[backlog_habiles]]&gt;p_dias_backlog_max,"BACKLOG","MES CORRIENTE")))</f>
        <v/>
      </c>
      <c r="AG1196" s="5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18">
        <f>IF(tblOrdenes[[#This Row],[orden]]="","",_xlfn.XLOOKUP(tblOrdenes[[#This Row],[id_operacion]],tblEjecucion[id_operacion],tblEjecucion[precio],0))</f>
        <v/>
      </c>
      <c r="AM1196" s="18">
        <f>IF(tblOrdenes[[#This Row],[orden]]="","",MAX(0,_xlfn.XLOOKUP(tblOrdenes[[#This Row],[id_operacion]],tblEjecucion[id_operacion],tblEjecucion[costo_plan_total],0)-tblOrdenes[[#This Row],[costo_servicio]]))</f>
        <v/>
      </c>
      <c r="AN1196" s="18">
        <f>IF(tblOrdenes[[#This Row],[orden]]="","",tblOrdenes[[#This Row],[costo_servicio]]+tblOrdenes[[#This Row],[costo_materiales]])</f>
        <v/>
      </c>
      <c r="AO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5">
        <f>IF(tblOrdenes[[#This Row],[link_checklist]]="","",HYPERLINK(p_ruta_base_checklists&amp;tblOrdenes[[#This Row],[link_checklist]],"abrir"))</f>
        <v/>
      </c>
      <c r="AT1196" s="4" t="n"/>
      <c r="AU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5" t="n"/>
      <c r="K1197" s="5" t="n"/>
      <c r="L1197" s="18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Row],[fecha_inicio]]="","",tblOrdenes[[#This Row],[anio]]&amp;"-"&amp;TEXT(tblOrdenes[[#This Row],[mes]],"00"))</f>
        <v/>
      </c>
      <c r="S1197" s="5">
        <f>IF(tblOrdenes[[#This Row],[fecha_inicio]]="","",INDEX(lista_dias,WEEKDAY(tblOrdenes[[#This Row],[fecha_inicio]],2)))</f>
        <v/>
      </c>
      <c r="T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5">
        <f>IF(tblOrdenes[[#This Row],[tipo_ot]]="","",_xlfn.XLOOKUP(tblOrdenes[[#This Row],[tipo_ot]],tblTiposOT[codigo],tblTiposOT[clasificacion],"sin_clasificar"))</f>
        <v/>
      </c>
      <c r="V1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5">
        <f>IF(tblOrdenes[[#This Row],[centro_costo]]="","",_xlfn.XLOOKUP(tblOrdenes[[#This Row],[centro_costo]],tblCECO[codigo],tblCECO[linea],"(sin catálogo)"))</f>
        <v/>
      </c>
      <c r="Y1197" s="5">
        <f>IF(tblOrdenes[[#This Row],[centro_costo]]="","",_xlfn.XLOOKUP(tblOrdenes[[#This Row],[centro_costo]],tblCECO[codigo],tblCECO[area],"(sin catálogo)"))</f>
        <v/>
      </c>
      <c r="Z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5">
        <f>IF(tblOrdenes[[#This Row],[centro_costo]]="","",_xlfn.XLOOKUP(tblOrdenes[[#This Row],[centro_costo]],tblCECO[codigo],tblCECO[coordinador],"(sin catálogo)"))</f>
        <v/>
      </c>
      <c r="AB1197" s="5">
        <f>IF(tblOrdenes[[#This Row],[puesto_trabajo]]="","",_xlfn.XLOOKUP(tblOrdenes[[#This Row],[puesto_trabajo]],tblPuestos[codigo],tblPuestos[especialidad],"(sin catálogo)"))</f>
        <v/>
      </c>
      <c r="AC1197" s="5">
        <f>IF(tblOrdenes[[#This Row],[cod_actividad]]="","",_xlfn.XLOOKUP(tblOrdenes[[#This Row],[cod_actividad]],tblActividades[codigo],tblActividades[descripcion],"(sin catálogo)"))</f>
        <v/>
      </c>
      <c r="AD1197" s="23">
        <f>IF(tblOrdenes[[#This Row],[fecha_inicio]]="","",TODAY()-tblOrdenes[[#This Row],[fecha_inicio]])</f>
        <v/>
      </c>
      <c r="AE11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5">
        <f>IF(tblOrdenes[[#This Row],[backlog_habiles]]="","",IF(tblOrdenes[[#This Row],[backlog_habiles]]&lt;0,"FUTURO",IF(tblOrdenes[[#This Row],[backlog_habiles]]&gt;p_dias_backlog_max,"BACKLOG","MES CORRIENTE")))</f>
        <v/>
      </c>
      <c r="AG1197" s="5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18">
        <f>IF(tblOrdenes[[#This Row],[orden]]="","",_xlfn.XLOOKUP(tblOrdenes[[#This Row],[id_operacion]],tblEjecucion[id_operacion],tblEjecucion[precio],0))</f>
        <v/>
      </c>
      <c r="AM1197" s="18">
        <f>IF(tblOrdenes[[#This Row],[orden]]="","",MAX(0,_xlfn.XLOOKUP(tblOrdenes[[#This Row],[id_operacion]],tblEjecucion[id_operacion],tblEjecucion[costo_plan_total],0)-tblOrdenes[[#This Row],[costo_servicio]]))</f>
        <v/>
      </c>
      <c r="AN1197" s="18">
        <f>IF(tblOrdenes[[#This Row],[orden]]="","",tblOrdenes[[#This Row],[costo_servicio]]+tblOrdenes[[#This Row],[costo_materiales]])</f>
        <v/>
      </c>
      <c r="AO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5">
        <f>IF(tblOrdenes[[#This Row],[link_checklist]]="","",HYPERLINK(p_ruta_base_checklists&amp;tblOrdenes[[#This Row],[link_checklist]],"abrir"))</f>
        <v/>
      </c>
      <c r="AT1197" s="4" t="n"/>
      <c r="AU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5" t="n"/>
      <c r="K1198" s="5" t="n"/>
      <c r="L1198" s="18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Row],[fecha_inicio]]="","",tblOrdenes[[#This Row],[anio]]&amp;"-"&amp;TEXT(tblOrdenes[[#This Row],[mes]],"00"))</f>
        <v/>
      </c>
      <c r="S1198" s="5">
        <f>IF(tblOrdenes[[#This Row],[fecha_inicio]]="","",INDEX(lista_dias,WEEKDAY(tblOrdenes[[#This Row],[fecha_inicio]],2)))</f>
        <v/>
      </c>
      <c r="T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5">
        <f>IF(tblOrdenes[[#This Row],[tipo_ot]]="","",_xlfn.XLOOKUP(tblOrdenes[[#This Row],[tipo_ot]],tblTiposOT[codigo],tblTiposOT[clasificacion],"sin_clasificar"))</f>
        <v/>
      </c>
      <c r="V1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5">
        <f>IF(tblOrdenes[[#This Row],[centro_costo]]="","",_xlfn.XLOOKUP(tblOrdenes[[#This Row],[centro_costo]],tblCECO[codigo],tblCECO[linea],"(sin catálogo)"))</f>
        <v/>
      </c>
      <c r="Y1198" s="5">
        <f>IF(tblOrdenes[[#This Row],[centro_costo]]="","",_xlfn.XLOOKUP(tblOrdenes[[#This Row],[centro_costo]],tblCECO[codigo],tblCECO[area],"(sin catálogo)"))</f>
        <v/>
      </c>
      <c r="Z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5">
        <f>IF(tblOrdenes[[#This Row],[centro_costo]]="","",_xlfn.XLOOKUP(tblOrdenes[[#This Row],[centro_costo]],tblCECO[codigo],tblCECO[coordinador],"(sin catálogo)"))</f>
        <v/>
      </c>
      <c r="AB1198" s="5">
        <f>IF(tblOrdenes[[#This Row],[puesto_trabajo]]="","",_xlfn.XLOOKUP(tblOrdenes[[#This Row],[puesto_trabajo]],tblPuestos[codigo],tblPuestos[especialidad],"(sin catálogo)"))</f>
        <v/>
      </c>
      <c r="AC1198" s="5">
        <f>IF(tblOrdenes[[#This Row],[cod_actividad]]="","",_xlfn.XLOOKUP(tblOrdenes[[#This Row],[cod_actividad]],tblActividades[codigo],tblActividades[descripcion],"(sin catálogo)"))</f>
        <v/>
      </c>
      <c r="AD1198" s="23">
        <f>IF(tblOrdenes[[#This Row],[fecha_inicio]]="","",TODAY()-tblOrdenes[[#This Row],[fecha_inicio]])</f>
        <v/>
      </c>
      <c r="AE11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5">
        <f>IF(tblOrdenes[[#This Row],[backlog_habiles]]="","",IF(tblOrdenes[[#This Row],[backlog_habiles]]&lt;0,"FUTURO",IF(tblOrdenes[[#This Row],[backlog_habiles]]&gt;p_dias_backlog_max,"BACKLOG","MES CORRIENTE")))</f>
        <v/>
      </c>
      <c r="AG1198" s="5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18">
        <f>IF(tblOrdenes[[#This Row],[orden]]="","",_xlfn.XLOOKUP(tblOrdenes[[#This Row],[id_operacion]],tblEjecucion[id_operacion],tblEjecucion[precio],0))</f>
        <v/>
      </c>
      <c r="AM1198" s="18">
        <f>IF(tblOrdenes[[#This Row],[orden]]="","",MAX(0,_xlfn.XLOOKUP(tblOrdenes[[#This Row],[id_operacion]],tblEjecucion[id_operacion],tblEjecucion[costo_plan_total],0)-tblOrdenes[[#This Row],[costo_servicio]]))</f>
        <v/>
      </c>
      <c r="AN1198" s="18">
        <f>IF(tblOrdenes[[#This Row],[orden]]="","",tblOrdenes[[#This Row],[costo_servicio]]+tblOrdenes[[#This Row],[costo_materiales]])</f>
        <v/>
      </c>
      <c r="AO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5">
        <f>IF(tblOrdenes[[#This Row],[link_checklist]]="","",HYPERLINK(p_ruta_base_checklists&amp;tblOrdenes[[#This Row],[link_checklist]],"abrir"))</f>
        <v/>
      </c>
      <c r="AT1198" s="4" t="n"/>
      <c r="AU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5" t="n"/>
      <c r="K1199" s="5" t="n"/>
      <c r="L1199" s="18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Row],[fecha_inicio]]="","",tblOrdenes[[#This Row],[anio]]&amp;"-"&amp;TEXT(tblOrdenes[[#This Row],[mes]],"00"))</f>
        <v/>
      </c>
      <c r="S1199" s="5">
        <f>IF(tblOrdenes[[#This Row],[fecha_inicio]]="","",INDEX(lista_dias,WEEKDAY(tblOrdenes[[#This Row],[fecha_inicio]],2)))</f>
        <v/>
      </c>
      <c r="T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5">
        <f>IF(tblOrdenes[[#This Row],[tipo_ot]]="","",_xlfn.XLOOKUP(tblOrdenes[[#This Row],[tipo_ot]],tblTiposOT[codigo],tblTiposOT[clasificacion],"sin_clasificar"))</f>
        <v/>
      </c>
      <c r="V1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5">
        <f>IF(tblOrdenes[[#This Row],[centro_costo]]="","",_xlfn.XLOOKUP(tblOrdenes[[#This Row],[centro_costo]],tblCECO[codigo],tblCECO[linea],"(sin catálogo)"))</f>
        <v/>
      </c>
      <c r="Y1199" s="5">
        <f>IF(tblOrdenes[[#This Row],[centro_costo]]="","",_xlfn.XLOOKUP(tblOrdenes[[#This Row],[centro_costo]],tblCECO[codigo],tblCECO[area],"(sin catálogo)"))</f>
        <v/>
      </c>
      <c r="Z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5">
        <f>IF(tblOrdenes[[#This Row],[centro_costo]]="","",_xlfn.XLOOKUP(tblOrdenes[[#This Row],[centro_costo]],tblCECO[codigo],tblCECO[coordinador],"(sin catálogo)"))</f>
        <v/>
      </c>
      <c r="AB1199" s="5">
        <f>IF(tblOrdenes[[#This Row],[puesto_trabajo]]="","",_xlfn.XLOOKUP(tblOrdenes[[#This Row],[puesto_trabajo]],tblPuestos[codigo],tblPuestos[especialidad],"(sin catálogo)"))</f>
        <v/>
      </c>
      <c r="AC1199" s="5">
        <f>IF(tblOrdenes[[#This Row],[cod_actividad]]="","",_xlfn.XLOOKUP(tblOrdenes[[#This Row],[cod_actividad]],tblActividades[codigo],tblActividades[descripcion],"(sin catálogo)"))</f>
        <v/>
      </c>
      <c r="AD1199" s="23">
        <f>IF(tblOrdenes[[#This Row],[fecha_inicio]]="","",TODAY()-tblOrdenes[[#This Row],[fecha_inicio]])</f>
        <v/>
      </c>
      <c r="AE11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5">
        <f>IF(tblOrdenes[[#This Row],[backlog_habiles]]="","",IF(tblOrdenes[[#This Row],[backlog_habiles]]&lt;0,"FUTURO",IF(tblOrdenes[[#This Row],[backlog_habiles]]&gt;p_dias_backlog_max,"BACKLOG","MES CORRIENTE")))</f>
        <v/>
      </c>
      <c r="AG1199" s="5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18">
        <f>IF(tblOrdenes[[#This Row],[orden]]="","",_xlfn.XLOOKUP(tblOrdenes[[#This Row],[id_operacion]],tblEjecucion[id_operacion],tblEjecucion[precio],0))</f>
        <v/>
      </c>
      <c r="AM1199" s="18">
        <f>IF(tblOrdenes[[#This Row],[orden]]="","",MAX(0,_xlfn.XLOOKUP(tblOrdenes[[#This Row],[id_operacion]],tblEjecucion[id_operacion],tblEjecucion[costo_plan_total],0)-tblOrdenes[[#This Row],[costo_servicio]]))</f>
        <v/>
      </c>
      <c r="AN1199" s="18">
        <f>IF(tblOrdenes[[#This Row],[orden]]="","",tblOrdenes[[#This Row],[costo_servicio]]+tblOrdenes[[#This Row],[costo_materiales]])</f>
        <v/>
      </c>
      <c r="AO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5">
        <f>IF(tblOrdenes[[#This Row],[link_checklist]]="","",HYPERLINK(p_ruta_base_checklists&amp;tblOrdenes[[#This Row],[link_checklist]],"abrir"))</f>
        <v/>
      </c>
      <c r="AT1199" s="4" t="n"/>
      <c r="AU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5" t="n"/>
      <c r="K1200" s="5" t="n"/>
      <c r="L1200" s="18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Row],[fecha_inicio]]="","",tblOrdenes[[#This Row],[anio]]&amp;"-"&amp;TEXT(tblOrdenes[[#This Row],[mes]],"00"))</f>
        <v/>
      </c>
      <c r="S1200" s="5">
        <f>IF(tblOrdenes[[#This Row],[fecha_inicio]]="","",INDEX(lista_dias,WEEKDAY(tblOrdenes[[#This Row],[fecha_inicio]],2)))</f>
        <v/>
      </c>
      <c r="T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5">
        <f>IF(tblOrdenes[[#This Row],[tipo_ot]]="","",_xlfn.XLOOKUP(tblOrdenes[[#This Row],[tipo_ot]],tblTiposOT[codigo],tblTiposOT[clasificacion],"sin_clasificar"))</f>
        <v/>
      </c>
      <c r="V1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5">
        <f>IF(tblOrdenes[[#This Row],[centro_costo]]="","",_xlfn.XLOOKUP(tblOrdenes[[#This Row],[centro_costo]],tblCECO[codigo],tblCECO[linea],"(sin catálogo)"))</f>
        <v/>
      </c>
      <c r="Y1200" s="5">
        <f>IF(tblOrdenes[[#This Row],[centro_costo]]="","",_xlfn.XLOOKUP(tblOrdenes[[#This Row],[centro_costo]],tblCECO[codigo],tblCECO[area],"(sin catálogo)"))</f>
        <v/>
      </c>
      <c r="Z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5">
        <f>IF(tblOrdenes[[#This Row],[centro_costo]]="","",_xlfn.XLOOKUP(tblOrdenes[[#This Row],[centro_costo]],tblCECO[codigo],tblCECO[coordinador],"(sin catálogo)"))</f>
        <v/>
      </c>
      <c r="AB1200" s="5">
        <f>IF(tblOrdenes[[#This Row],[puesto_trabajo]]="","",_xlfn.XLOOKUP(tblOrdenes[[#This Row],[puesto_trabajo]],tblPuestos[codigo],tblPuestos[especialidad],"(sin catálogo)"))</f>
        <v/>
      </c>
      <c r="AC1200" s="5">
        <f>IF(tblOrdenes[[#This Row],[cod_actividad]]="","",_xlfn.XLOOKUP(tblOrdenes[[#This Row],[cod_actividad]],tblActividades[codigo],tblActividades[descripcion],"(sin catálogo)"))</f>
        <v/>
      </c>
      <c r="AD1200" s="23">
        <f>IF(tblOrdenes[[#This Row],[fecha_inicio]]="","",TODAY()-tblOrdenes[[#This Row],[fecha_inicio]])</f>
        <v/>
      </c>
      <c r="AE12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5">
        <f>IF(tblOrdenes[[#This Row],[backlog_habiles]]="","",IF(tblOrdenes[[#This Row],[backlog_habiles]]&lt;0,"FUTURO",IF(tblOrdenes[[#This Row],[backlog_habiles]]&gt;p_dias_backlog_max,"BACKLOG","MES CORRIENTE")))</f>
        <v/>
      </c>
      <c r="AG1200" s="5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18">
        <f>IF(tblOrdenes[[#This Row],[orden]]="","",_xlfn.XLOOKUP(tblOrdenes[[#This Row],[id_operacion]],tblEjecucion[id_operacion],tblEjecucion[precio],0))</f>
        <v/>
      </c>
      <c r="AM1200" s="18">
        <f>IF(tblOrdenes[[#This Row],[orden]]="","",MAX(0,_xlfn.XLOOKUP(tblOrdenes[[#This Row],[id_operacion]],tblEjecucion[id_operacion],tblEjecucion[costo_plan_total],0)-tblOrdenes[[#This Row],[costo_servicio]]))</f>
        <v/>
      </c>
      <c r="AN1200" s="18">
        <f>IF(tblOrdenes[[#This Row],[orden]]="","",tblOrdenes[[#This Row],[costo_servicio]]+tblOrdenes[[#This Row],[costo_materiales]])</f>
        <v/>
      </c>
      <c r="AO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5">
        <f>IF(tblOrdenes[[#This Row],[link_checklist]]="","",HYPERLINK(p_ruta_base_checklists&amp;tblOrdenes[[#This Row],[link_checklist]],"abrir"))</f>
        <v/>
      </c>
      <c r="AT1200" s="4" t="n"/>
      <c r="AU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5" t="n"/>
      <c r="K1201" s="5" t="n"/>
      <c r="L1201" s="18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Row],[fecha_inicio]]="","",tblOrdenes[[#This Row],[anio]]&amp;"-"&amp;TEXT(tblOrdenes[[#This Row],[mes]],"00"))</f>
        <v/>
      </c>
      <c r="S1201" s="5">
        <f>IF(tblOrdenes[[#This Row],[fecha_inicio]]="","",INDEX(lista_dias,WEEKDAY(tblOrdenes[[#This Row],[fecha_inicio]],2)))</f>
        <v/>
      </c>
      <c r="T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5">
        <f>IF(tblOrdenes[[#This Row],[tipo_ot]]="","",_xlfn.XLOOKUP(tblOrdenes[[#This Row],[tipo_ot]],tblTiposOT[codigo],tblTiposOT[clasificacion],"sin_clasificar"))</f>
        <v/>
      </c>
      <c r="V1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5">
        <f>IF(tblOrdenes[[#This Row],[centro_costo]]="","",_xlfn.XLOOKUP(tblOrdenes[[#This Row],[centro_costo]],tblCECO[codigo],tblCECO[linea],"(sin catálogo)"))</f>
        <v/>
      </c>
      <c r="Y1201" s="5">
        <f>IF(tblOrdenes[[#This Row],[centro_costo]]="","",_xlfn.XLOOKUP(tblOrdenes[[#This Row],[centro_costo]],tblCECO[codigo],tblCECO[area],"(sin catálogo)"))</f>
        <v/>
      </c>
      <c r="Z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5">
        <f>IF(tblOrdenes[[#This Row],[centro_costo]]="","",_xlfn.XLOOKUP(tblOrdenes[[#This Row],[centro_costo]],tblCECO[codigo],tblCECO[coordinador],"(sin catálogo)"))</f>
        <v/>
      </c>
      <c r="AB1201" s="5">
        <f>IF(tblOrdenes[[#This Row],[puesto_trabajo]]="","",_xlfn.XLOOKUP(tblOrdenes[[#This Row],[puesto_trabajo]],tblPuestos[codigo],tblPuestos[especialidad],"(sin catálogo)"))</f>
        <v/>
      </c>
      <c r="AC1201" s="5">
        <f>IF(tblOrdenes[[#This Row],[cod_actividad]]="","",_xlfn.XLOOKUP(tblOrdenes[[#This Row],[cod_actividad]],tblActividades[codigo],tblActividades[descripcion],"(sin catálogo)"))</f>
        <v/>
      </c>
      <c r="AD1201" s="23">
        <f>IF(tblOrdenes[[#This Row],[fecha_inicio]]="","",TODAY()-tblOrdenes[[#This Row],[fecha_inicio]])</f>
        <v/>
      </c>
      <c r="AE12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5">
        <f>IF(tblOrdenes[[#This Row],[backlog_habiles]]="","",IF(tblOrdenes[[#This Row],[backlog_habiles]]&lt;0,"FUTURO",IF(tblOrdenes[[#This Row],[backlog_habiles]]&gt;p_dias_backlog_max,"BACKLOG","MES CORRIENTE")))</f>
        <v/>
      </c>
      <c r="AG1201" s="5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18">
        <f>IF(tblOrdenes[[#This Row],[orden]]="","",_xlfn.XLOOKUP(tblOrdenes[[#This Row],[id_operacion]],tblEjecucion[id_operacion],tblEjecucion[precio],0))</f>
        <v/>
      </c>
      <c r="AM1201" s="18">
        <f>IF(tblOrdenes[[#This Row],[orden]]="","",MAX(0,_xlfn.XLOOKUP(tblOrdenes[[#This Row],[id_operacion]],tblEjecucion[id_operacion],tblEjecucion[costo_plan_total],0)-tblOrdenes[[#This Row],[costo_servicio]]))</f>
        <v/>
      </c>
      <c r="AN1201" s="18">
        <f>IF(tblOrdenes[[#This Row],[orden]]="","",tblOrdenes[[#This Row],[costo_servicio]]+tblOrdenes[[#This Row],[costo_materiales]])</f>
        <v/>
      </c>
      <c r="AO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5">
        <f>IF(tblOrdenes[[#This Row],[link_checklist]]="","",HYPERLINK(p_ruta_base_checklists&amp;tblOrdenes[[#This Row],[link_checklist]],"abrir"))</f>
        <v/>
      </c>
      <c r="AT1201" s="4" t="n"/>
      <c r="AU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5" t="n"/>
      <c r="K1202" s="5" t="n"/>
      <c r="L1202" s="18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Row],[fecha_inicio]]="","",tblOrdenes[[#This Row],[anio]]&amp;"-"&amp;TEXT(tblOrdenes[[#This Row],[mes]],"00"))</f>
        <v/>
      </c>
      <c r="S1202" s="5">
        <f>IF(tblOrdenes[[#This Row],[fecha_inicio]]="","",INDEX(lista_dias,WEEKDAY(tblOrdenes[[#This Row],[fecha_inicio]],2)))</f>
        <v/>
      </c>
      <c r="T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5">
        <f>IF(tblOrdenes[[#This Row],[tipo_ot]]="","",_xlfn.XLOOKUP(tblOrdenes[[#This Row],[tipo_ot]],tblTiposOT[codigo],tblTiposOT[clasificacion],"sin_clasificar"))</f>
        <v/>
      </c>
      <c r="V1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5">
        <f>IF(tblOrdenes[[#This Row],[centro_costo]]="","",_xlfn.XLOOKUP(tblOrdenes[[#This Row],[centro_costo]],tblCECO[codigo],tblCECO[linea],"(sin catálogo)"))</f>
        <v/>
      </c>
      <c r="Y1202" s="5">
        <f>IF(tblOrdenes[[#This Row],[centro_costo]]="","",_xlfn.XLOOKUP(tblOrdenes[[#This Row],[centro_costo]],tblCECO[codigo],tblCECO[area],"(sin catálogo)"))</f>
        <v/>
      </c>
      <c r="Z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5">
        <f>IF(tblOrdenes[[#This Row],[centro_costo]]="","",_xlfn.XLOOKUP(tblOrdenes[[#This Row],[centro_costo]],tblCECO[codigo],tblCECO[coordinador],"(sin catálogo)"))</f>
        <v/>
      </c>
      <c r="AB1202" s="5">
        <f>IF(tblOrdenes[[#This Row],[puesto_trabajo]]="","",_xlfn.XLOOKUP(tblOrdenes[[#This Row],[puesto_trabajo]],tblPuestos[codigo],tblPuestos[especialidad],"(sin catálogo)"))</f>
        <v/>
      </c>
      <c r="AC1202" s="5">
        <f>IF(tblOrdenes[[#This Row],[cod_actividad]]="","",_xlfn.XLOOKUP(tblOrdenes[[#This Row],[cod_actividad]],tblActividades[codigo],tblActividades[descripcion],"(sin catálogo)"))</f>
        <v/>
      </c>
      <c r="AD1202" s="23">
        <f>IF(tblOrdenes[[#This Row],[fecha_inicio]]="","",TODAY()-tblOrdenes[[#This Row],[fecha_inicio]])</f>
        <v/>
      </c>
      <c r="AE12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5">
        <f>IF(tblOrdenes[[#This Row],[backlog_habiles]]="","",IF(tblOrdenes[[#This Row],[backlog_habiles]]&lt;0,"FUTURO",IF(tblOrdenes[[#This Row],[backlog_habiles]]&gt;p_dias_backlog_max,"BACKLOG","MES CORRIENTE")))</f>
        <v/>
      </c>
      <c r="AG1202" s="5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18">
        <f>IF(tblOrdenes[[#This Row],[orden]]="","",_xlfn.XLOOKUP(tblOrdenes[[#This Row],[id_operacion]],tblEjecucion[id_operacion],tblEjecucion[precio],0))</f>
        <v/>
      </c>
      <c r="AM1202" s="18">
        <f>IF(tblOrdenes[[#This Row],[orden]]="","",MAX(0,_xlfn.XLOOKUP(tblOrdenes[[#This Row],[id_operacion]],tblEjecucion[id_operacion],tblEjecucion[costo_plan_total],0)-tblOrdenes[[#This Row],[costo_servicio]]))</f>
        <v/>
      </c>
      <c r="AN1202" s="18">
        <f>IF(tblOrdenes[[#This Row],[orden]]="","",tblOrdenes[[#This Row],[costo_servicio]]+tblOrdenes[[#This Row],[costo_materiales]])</f>
        <v/>
      </c>
      <c r="AO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5">
        <f>IF(tblOrdenes[[#This Row],[link_checklist]]="","",HYPERLINK(p_ruta_base_checklists&amp;tblOrdenes[[#This Row],[link_checklist]],"abrir"))</f>
        <v/>
      </c>
      <c r="AT1202" s="4" t="n"/>
      <c r="AU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5" t="n"/>
      <c r="K1203" s="5" t="n"/>
      <c r="L1203" s="18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Row],[fecha_inicio]]="","",tblOrdenes[[#This Row],[anio]]&amp;"-"&amp;TEXT(tblOrdenes[[#This Row],[mes]],"00"))</f>
        <v/>
      </c>
      <c r="S1203" s="5">
        <f>IF(tblOrdenes[[#This Row],[fecha_inicio]]="","",INDEX(lista_dias,WEEKDAY(tblOrdenes[[#This Row],[fecha_inicio]],2)))</f>
        <v/>
      </c>
      <c r="T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5">
        <f>IF(tblOrdenes[[#This Row],[tipo_ot]]="","",_xlfn.XLOOKUP(tblOrdenes[[#This Row],[tipo_ot]],tblTiposOT[codigo],tblTiposOT[clasificacion],"sin_clasificar"))</f>
        <v/>
      </c>
      <c r="V1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5">
        <f>IF(tblOrdenes[[#This Row],[centro_costo]]="","",_xlfn.XLOOKUP(tblOrdenes[[#This Row],[centro_costo]],tblCECO[codigo],tblCECO[linea],"(sin catálogo)"))</f>
        <v/>
      </c>
      <c r="Y1203" s="5">
        <f>IF(tblOrdenes[[#This Row],[centro_costo]]="","",_xlfn.XLOOKUP(tblOrdenes[[#This Row],[centro_costo]],tblCECO[codigo],tblCECO[area],"(sin catálogo)"))</f>
        <v/>
      </c>
      <c r="Z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5">
        <f>IF(tblOrdenes[[#This Row],[centro_costo]]="","",_xlfn.XLOOKUP(tblOrdenes[[#This Row],[centro_costo]],tblCECO[codigo],tblCECO[coordinador],"(sin catálogo)"))</f>
        <v/>
      </c>
      <c r="AB1203" s="5">
        <f>IF(tblOrdenes[[#This Row],[puesto_trabajo]]="","",_xlfn.XLOOKUP(tblOrdenes[[#This Row],[puesto_trabajo]],tblPuestos[codigo],tblPuestos[especialidad],"(sin catálogo)"))</f>
        <v/>
      </c>
      <c r="AC1203" s="5">
        <f>IF(tblOrdenes[[#This Row],[cod_actividad]]="","",_xlfn.XLOOKUP(tblOrdenes[[#This Row],[cod_actividad]],tblActividades[codigo],tblActividades[descripcion],"(sin catálogo)"))</f>
        <v/>
      </c>
      <c r="AD1203" s="23">
        <f>IF(tblOrdenes[[#This Row],[fecha_inicio]]="","",TODAY()-tblOrdenes[[#This Row],[fecha_inicio]])</f>
        <v/>
      </c>
      <c r="AE12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5">
        <f>IF(tblOrdenes[[#This Row],[backlog_habiles]]="","",IF(tblOrdenes[[#This Row],[backlog_habiles]]&lt;0,"FUTURO",IF(tblOrdenes[[#This Row],[backlog_habiles]]&gt;p_dias_backlog_max,"BACKLOG","MES CORRIENTE")))</f>
        <v/>
      </c>
      <c r="AG1203" s="5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3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3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18">
        <f>IF(tblOrdenes[[#This Row],[orden]]="","",_xlfn.XLOOKUP(tblOrdenes[[#This Row],[id_operacion]],tblEjecucion[id_operacion],tblEjecucion[precio],0))</f>
        <v/>
      </c>
      <c r="AM1203" s="18">
        <f>IF(tblOrdenes[[#This Row],[orden]]="","",MAX(0,_xlfn.XLOOKUP(tblOrdenes[[#This Row],[id_operacion]],tblEjecucion[id_operacion],tblEjecucion[costo_plan_total],0)-tblOrdenes[[#This Row],[costo_servicio]]))</f>
        <v/>
      </c>
      <c r="AN1203" s="18">
        <f>IF(tblOrdenes[[#This Row],[orden]]="","",tblOrdenes[[#This Row],[costo_servicio]]+tblOrdenes[[#This Row],[costo_materiales]])</f>
        <v/>
      </c>
      <c r="AO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5">
        <f>IF(tblOrdenes[[#This Row],[link_checklist]]="","",HYPERLINK(p_ruta_base_checklists&amp;tblOrdenes[[#This Row],[link_checklist]],"abrir"))</f>
        <v/>
      </c>
      <c r="AT1203" s="4" t="n"/>
      <c r="AU1203" s="5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14" t="inlineStr">
        <is>
          <t>area</t>
        </is>
      </c>
      <c r="E3" s="14" t="inlineStr">
        <is>
          <t>especialidad</t>
        </is>
      </c>
      <c r="F3" s="14" t="inlineStr">
        <is>
          <t>n_ciclo</t>
        </is>
      </c>
      <c r="G3" s="14" t="inlineStr">
        <is>
          <t>posicion_ciclo</t>
        </is>
      </c>
      <c r="H3" s="14" t="inlineStr">
        <is>
          <t>en_vacaciones</t>
        </is>
      </c>
      <c r="I3" s="14" t="inlineStr">
        <is>
          <t>turno_manual</t>
        </is>
      </c>
      <c r="J3" s="14" t="inlineStr">
        <is>
          <t>turno</t>
        </is>
      </c>
      <c r="K3" s="14" t="inlineStr">
        <is>
          <t>supervisor</t>
        </is>
      </c>
      <c r="L3" s="14" t="inlineStr">
        <is>
          <t>fecha</t>
        </is>
      </c>
      <c r="M3" s="14" t="inlineStr">
        <is>
          <t>horas_disponibles</t>
        </is>
      </c>
      <c r="N3" s="14" t="inlineStr">
        <is>
          <t>clave</t>
        </is>
      </c>
      <c r="O3" s="14" t="inlineStr">
        <is>
          <t>hora_inicio</t>
        </is>
      </c>
      <c r="P3" s="14" t="inlineStr">
        <is>
          <t>hora_fin</t>
        </is>
      </c>
      <c r="Q3" s="1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COUNTIFS(tblTecnicos[rotativo],"sí",tblTecnicos[especialidad],tblAsignaciones[[#This Row],[especialidad]],tblTecnicos[area],tblAsignaciones[[#This Row],[area]],tblTecnicos[activo],"sí")</f>
        <v/>
      </c>
      <c r="G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COUNTIFS(tblTecnicos[rotativo],"sí",tblTecnicos[especialidad],tblAsignaciones[[#This Row],[especialidad]],tblTecnicos[area],tblAsignaciones[[#This Row],[area]],tblTecnicos[activo],"sí")</f>
        <v/>
      </c>
      <c r="G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COUNTIFS(tblTecnicos[rotativo],"sí",tblTecnicos[especialidad],tblAsignaciones[[#This Row],[especialidad]],tblTecnicos[area],tblAsignaciones[[#This Row],[area]],tblTecnicos[activo],"sí")</f>
        <v/>
      </c>
      <c r="G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COUNTIFS(tblTecnicos[rotativo],"sí",tblTecnicos[especialidad],tblAsignaciones[[#This Row],[especialidad]],tblTecnicos[area],tblAsignaciones[[#This Row],[area]],tblTecnicos[activo],"sí")</f>
        <v/>
      </c>
      <c r="G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COUNTIFS(tblTecnicos[rotativo],"sí",tblTecnicos[especialidad],tblAsignaciones[[#This Row],[especialidad]],tblTecnicos[area],tblAsignaciones[[#This Row],[area]],tblTecnicos[activo],"sí")</f>
        <v/>
      </c>
      <c r="G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COUNTIFS(tblTecnicos[rotativo],"sí",tblTecnicos[especialidad],tblAsignaciones[[#This Row],[especialidad]],tblTecnicos[area],tblAsignaciones[[#This Row],[area]],tblTecnicos[activo],"sí")</f>
        <v/>
      </c>
      <c r="G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COUNTIFS(tblTecnicos[rotativo],"sí",tblTecnicos[especialidad],tblAsignaciones[[#This Row],[especialidad]],tblTecnicos[area],tblAsignaciones[[#This Row],[area]],tblTecnicos[activo],"sí")</f>
        <v/>
      </c>
      <c r="G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COUNTIFS(tblTecnicos[rotativo],"sí",tblTecnicos[especialidad],tblAsignaciones[[#This Row],[especialidad]],tblTecnicos[area],tblAsignaciones[[#This Row],[area]],tblTecnicos[activo],"sí")</f>
        <v/>
      </c>
      <c r="G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COUNTIFS(tblTecnicos[rotativo],"sí",tblTecnicos[especialidad],tblAsignaciones[[#This Row],[especialidad]],tblTecnicos[area],tblAsignaciones[[#This Row],[area]],tblTecnicos[activo],"sí")</f>
        <v/>
      </c>
      <c r="G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COUNTIFS(tblTecnicos[rotativo],"sí",tblTecnicos[especialidad],tblAsignaciones[[#This Row],[especialidad]],tblTecnicos[area],tblAsignaciones[[#This Row],[area]],tblTecnicos[activo],"sí")</f>
        <v/>
      </c>
      <c r="G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COUNTIFS(tblTecnicos[rotativo],"sí",tblTecnicos[especialidad],tblAsignaciones[[#This Row],[especialidad]],tblTecnicos[area],tblAsignaciones[[#This Row],[area]],tblTecnicos[activo],"sí")</f>
        <v/>
      </c>
      <c r="G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COUNTIFS(tblTecnicos[rotativo],"sí",tblTecnicos[especialidad],tblAsignaciones[[#This Row],[especialidad]],tblTecnicos[area],tblAsignaciones[[#This Row],[area]],tblTecnicos[activo],"sí")</f>
        <v/>
      </c>
      <c r="G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COUNTIFS(tblTecnicos[rotativo],"sí",tblTecnicos[especialidad],tblAsignaciones[[#This Row],[especialidad]],tblTecnicos[area],tblAsignaciones[[#This Row],[area]],tblTecnicos[activo],"sí")</f>
        <v/>
      </c>
      <c r="G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COUNTIFS(tblTecnicos[rotativo],"sí",tblTecnicos[especialidad],tblAsignaciones[[#This Row],[especialidad]],tblTecnicos[area],tblAsignaciones[[#This Row],[area]],tblTecnicos[activo],"sí")</f>
        <v/>
      </c>
      <c r="G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COUNTIFS(tblTecnicos[rotativo],"sí",tblTecnicos[especialidad],tblAsignaciones[[#This Row],[especialidad]],tblTecnicos[area],tblAsignaciones[[#This Row],[area]],tblTecnicos[activo],"sí")</f>
        <v/>
      </c>
      <c r="G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COUNTIFS(tblTecnicos[rotativo],"sí",tblTecnicos[especialidad],tblAsignaciones[[#This Row],[especialidad]],tblTecnicos[area],tblAsignaciones[[#This Row],[area]],tblTecnicos[activo],"sí")</f>
        <v/>
      </c>
      <c r="G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COUNTIFS(tblTecnicos[rotativo],"sí",tblTecnicos[especialidad],tblAsignaciones[[#This Row],[especialidad]],tblTecnicos[area],tblAsignaciones[[#This Row],[area]],tblTecnicos[activo],"sí")</f>
        <v/>
      </c>
      <c r="G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COUNTIFS(tblTecnicos[rotativo],"sí",tblTecnicos[especialidad],tblAsignaciones[[#This Row],[especialidad]],tblTecnicos[area],tblAsignaciones[[#This Row],[area]],tblTecnicos[activo],"sí")</f>
        <v/>
      </c>
      <c r="G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COUNTIFS(tblTecnicos[rotativo],"sí",tblTecnicos[especialidad],tblAsignaciones[[#This Row],[especialidad]],tblTecnicos[area],tblAsignaciones[[#This Row],[area]],tblTecnicos[activo],"sí")</f>
        <v/>
      </c>
      <c r="G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COUNTIFS(tblTecnicos[rotativo],"sí",tblTecnicos[especialidad],tblAsignaciones[[#This Row],[especialidad]],tblTecnicos[area],tblAsignaciones[[#This Row],[area]],tblTecnicos[activo],"sí")</f>
        <v/>
      </c>
      <c r="G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COUNTIFS(tblTecnicos[rotativo],"sí",tblTecnicos[especialidad],tblAsignaciones[[#This Row],[especialidad]],tblTecnicos[area],tblAsignaciones[[#This Row],[area]],tblTecnicos[activo],"sí")</f>
        <v/>
      </c>
      <c r="G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COUNTIFS(tblTecnicos[rotativo],"sí",tblTecnicos[especialidad],tblAsignaciones[[#This Row],[especialidad]],tblTecnicos[area],tblAsignaciones[[#This Row],[area]],tblTecnicos[activo],"sí")</f>
        <v/>
      </c>
      <c r="G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COUNTIFS(tblTecnicos[rotativo],"sí",tblTecnicos[especialidad],tblAsignaciones[[#This Row],[especialidad]],tblTecnicos[area],tblAsignaciones[[#This Row],[area]],tblTecnicos[activo],"sí")</f>
        <v/>
      </c>
      <c r="G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COUNTIFS(tblTecnicos[rotativo],"sí",tblTecnicos[especialidad],tblAsignaciones[[#This Row],[especialidad]],tblTecnicos[area],tblAsignaciones[[#This Row],[area]],tblTecnicos[activo],"sí")</f>
        <v/>
      </c>
      <c r="G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COUNTIFS(tblTecnicos[rotativo],"sí",tblTecnicos[especialidad],tblAsignaciones[[#This Row],[especialidad]],tblTecnicos[area],tblAsignaciones[[#This Row],[area]],tblTecnicos[activo],"sí")</f>
        <v/>
      </c>
      <c r="G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COUNTIFS(tblTecnicos[rotativo],"sí",tblTecnicos[especialidad],tblAsignaciones[[#This Row],[especialidad]],tblTecnicos[area],tblAsignaciones[[#This Row],[area]],tblTecnicos[activo],"sí")</f>
        <v/>
      </c>
      <c r="G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COUNTIFS(tblTecnicos[rotativo],"sí",tblTecnicos[especialidad],tblAsignaciones[[#This Row],[especialidad]],tblTecnicos[area],tblAsignaciones[[#This Row],[area]],tblTecnicos[activo],"sí")</f>
        <v/>
      </c>
      <c r="G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COUNTIFS(tblTecnicos[rotativo],"sí",tblTecnicos[especialidad],tblAsignaciones[[#This Row],[especialidad]],tblTecnicos[area],tblAsignaciones[[#This Row],[area]],tblTecnicos[activo],"sí")</f>
        <v/>
      </c>
      <c r="G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COUNTIFS(tblTecnicos[rotativo],"sí",tblTecnicos[especialidad],tblAsignaciones[[#This Row],[especialidad]],tblTecnicos[area],tblAsignaciones[[#This Row],[area]],tblTecnicos[activo],"sí")</f>
        <v/>
      </c>
      <c r="G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COUNTIFS(tblTecnicos[rotativo],"sí",tblTecnicos[especialidad],tblAsignaciones[[#This Row],[especialidad]],tblTecnicos[area],tblAsignaciones[[#This Row],[area]],tblTecnicos[activo],"sí")</f>
        <v/>
      </c>
      <c r="G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COUNTIFS(tblTecnicos[rotativo],"sí",tblTecnicos[especialidad],tblAsignaciones[[#This Row],[especialidad]],tblTecnicos[area],tblAsignaciones[[#This Row],[area]],tblTecnicos[activo],"sí")</f>
        <v/>
      </c>
      <c r="G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COUNTIFS(tblTecnicos[rotativo],"sí",tblTecnicos[especialidad],tblAsignaciones[[#This Row],[especialidad]],tblTecnicos[area],tblAsignaciones[[#This Row],[area]],tblTecnicos[activo],"sí")</f>
        <v/>
      </c>
      <c r="G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COUNTIFS(tblTecnicos[rotativo],"sí",tblTecnicos[especialidad],tblAsignaciones[[#This Row],[especialidad]],tblTecnicos[area],tblAsignaciones[[#This Row],[area]],tblTecnicos[activo],"sí")</f>
        <v/>
      </c>
      <c r="G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COUNTIFS(tblTecnicos[rotativo],"sí",tblTecnicos[especialidad],tblAsignaciones[[#This Row],[especialidad]],tblTecnicos[area],tblAsignaciones[[#This Row],[area]],tblTecnicos[activo],"sí")</f>
        <v/>
      </c>
      <c r="G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COUNTIFS(tblTecnicos[rotativo],"sí",tblTecnicos[especialidad],tblAsignaciones[[#This Row],[especialidad]],tblTecnicos[area],tblAsignaciones[[#This Row],[area]],tblTecnicos[activo],"sí")</f>
        <v/>
      </c>
      <c r="G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COUNTIFS(tblTecnicos[rotativo],"sí",tblTecnicos[especialidad],tblAsignaciones[[#This Row],[especialidad]],tblTecnicos[area],tblAsignaciones[[#This Row],[area]],tblTecnicos[activo],"sí")</f>
        <v/>
      </c>
      <c r="G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COUNTIFS(tblTecnicos[rotativo],"sí",tblTecnicos[especialidad],tblAsignaciones[[#This Row],[especialidad]],tblTecnicos[area],tblAsignaciones[[#This Row],[area]],tblTecnicos[activo],"sí")</f>
        <v/>
      </c>
      <c r="G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COUNTIFS(tblTecnicos[rotativo],"sí",tblTecnicos[especialidad],tblAsignaciones[[#This Row],[especialidad]],tblTecnicos[area],tblAsignaciones[[#This Row],[area]],tblTecnicos[activo],"sí")</f>
        <v/>
      </c>
      <c r="G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COUNTIFS(tblTecnicos[rotativo],"sí",tblTecnicos[especialidad],tblAsignaciones[[#This Row],[especialidad]],tblTecnicos[area],tblAsignaciones[[#This Row],[area]],tblTecnicos[activo],"sí")</f>
        <v/>
      </c>
      <c r="G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COUNTIFS(tblTecnicos[rotativo],"sí",tblTecnicos[especialidad],tblAsignaciones[[#This Row],[especialidad]],tblTecnicos[area],tblAsignaciones[[#This Row],[area]],tblTecnicos[activo],"sí")</f>
        <v/>
      </c>
      <c r="G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COUNTIFS(tblTecnicos[rotativo],"sí",tblTecnicos[especialidad],tblAsignaciones[[#This Row],[especialidad]],tblTecnicos[area],tblAsignaciones[[#This Row],[area]],tblTecnicos[activo],"sí")</f>
        <v/>
      </c>
      <c r="G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COUNTIFS(tblTecnicos[rotativo],"sí",tblTecnicos[especialidad],tblAsignaciones[[#This Row],[especialidad]],tblTecnicos[area],tblAsignaciones[[#This Row],[area]],tblTecnicos[activo],"sí")</f>
        <v/>
      </c>
      <c r="G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COUNTIFS(tblTecnicos[rotativo],"sí",tblTecnicos[especialidad],tblAsignaciones[[#This Row],[especialidad]],tblTecnicos[area],tblAsignaciones[[#This Row],[area]],tblTecnicos[activo],"sí")</f>
        <v/>
      </c>
      <c r="G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COUNTIFS(tblTecnicos[rotativo],"sí",tblTecnicos[especialidad],tblAsignaciones[[#This Row],[especialidad]],tblTecnicos[area],tblAsignaciones[[#This Row],[area]],tblTecnicos[activo],"sí")</f>
        <v/>
      </c>
      <c r="G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COUNTIFS(tblTecnicos[rotativo],"sí",tblTecnicos[especialidad],tblAsignaciones[[#This Row],[especialidad]],tblTecnicos[area],tblAsignaciones[[#This Row],[area]],tblTecnicos[activo],"sí")</f>
        <v/>
      </c>
      <c r="G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COUNTIFS(tblTecnicos[rotativo],"sí",tblTecnicos[especialidad],tblAsignaciones[[#This Row],[especialidad]],tblTecnicos[area],tblAsignaciones[[#This Row],[area]],tblTecnicos[activo],"sí")</f>
        <v/>
      </c>
      <c r="G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COUNTIFS(tblTecnicos[rotativo],"sí",tblTecnicos[especialidad],tblAsignaciones[[#This Row],[especialidad]],tblTecnicos[area],tblAsignaciones[[#This Row],[area]],tblTecnicos[activo],"sí")</f>
        <v/>
      </c>
      <c r="G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COUNTIFS(tblTecnicos[rotativo],"sí",tblTecnicos[especialidad],tblAsignaciones[[#This Row],[especialidad]],tblTecnicos[area],tblAsignaciones[[#This Row],[area]],tblTecnicos[activo],"sí")</f>
        <v/>
      </c>
      <c r="G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COUNTIFS(tblTecnicos[rotativo],"sí",tblTecnicos[especialidad],tblAsignaciones[[#This Row],[especialidad]],tblTecnicos[area],tblAsignaciones[[#This Row],[area]],tblTecnicos[activo],"sí")</f>
        <v/>
      </c>
      <c r="G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COUNTIFS(tblTecnicos[rotativo],"sí",tblTecnicos[especialidad],tblAsignaciones[[#This Row],[especialidad]],tblTecnicos[area],tblAsignaciones[[#This Row],[area]],tblTecnicos[activo],"sí")</f>
        <v/>
      </c>
      <c r="G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COUNTIFS(tblTecnicos[rotativo],"sí",tblTecnicos[especialidad],tblAsignaciones[[#This Row],[especialidad]],tblTecnicos[area],tblAsignaciones[[#This Row],[area]],tblTecnicos[activo],"sí")</f>
        <v/>
      </c>
      <c r="G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COUNTIFS(tblTecnicos[rotativo],"sí",tblTecnicos[especialidad],tblAsignaciones[[#This Row],[especialidad]],tblTecnicos[area],tblAsignaciones[[#This Row],[area]],tblTecnicos[activo],"sí")</f>
        <v/>
      </c>
      <c r="G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COUNTIFS(tblTecnicos[rotativo],"sí",tblTecnicos[especialidad],tblAsignaciones[[#This Row],[especialidad]],tblTecnicos[area],tblAsignaciones[[#This Row],[area]],tblTecnicos[activo],"sí")</f>
        <v/>
      </c>
      <c r="G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COUNTIFS(tblTecnicos[rotativo],"sí",tblTecnicos[especialidad],tblAsignaciones[[#This Row],[especialidad]],tblTecnicos[area],tblAsignaciones[[#This Row],[area]],tblTecnicos[activo],"sí")</f>
        <v/>
      </c>
      <c r="G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COUNTIFS(tblTecnicos[rotativo],"sí",tblTecnicos[especialidad],tblAsignaciones[[#This Row],[especialidad]],tblTecnicos[area],tblAsignaciones[[#This Row],[area]],tblTecnicos[activo],"sí")</f>
        <v/>
      </c>
      <c r="G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COUNTIFS(tblTecnicos[rotativo],"sí",tblTecnicos[especialidad],tblAsignaciones[[#This Row],[especialidad]],tblTecnicos[area],tblAsignaciones[[#This Row],[area]],tblTecnicos[activo],"sí")</f>
        <v/>
      </c>
      <c r="G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COUNTIFS(tblTecnicos[rotativo],"sí",tblTecnicos[especialidad],tblAsignaciones[[#This Row],[especialidad]],tblTecnicos[area],tblAsignaciones[[#This Row],[area]],tblTecnicos[activo],"sí")</f>
        <v/>
      </c>
      <c r="G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COUNTIFS(tblTecnicos[rotativo],"sí",tblTecnicos[especialidad],tblAsignaciones[[#This Row],[especialidad]],tblTecnicos[area],tblAsignaciones[[#This Row],[area]],tblTecnicos[activo],"sí")</f>
        <v/>
      </c>
      <c r="G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COUNTIFS(tblTecnicos[rotativo],"sí",tblTecnicos[especialidad],tblAsignaciones[[#This Row],[especialidad]],tblTecnicos[area],tblAsignaciones[[#This Row],[area]],tblTecnicos[activo],"sí")</f>
        <v/>
      </c>
      <c r="G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COUNTIFS(tblTecnicos[rotativo],"sí",tblTecnicos[especialidad],tblAsignaciones[[#This Row],[especialidad]],tblTecnicos[area],tblAsignaciones[[#This Row],[area]],tblTecnicos[activo],"sí")</f>
        <v/>
      </c>
      <c r="G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COUNTIFS(tblTecnicos[rotativo],"sí",tblTecnicos[especialidad],tblAsignaciones[[#This Row],[especialidad]],tblTecnicos[area],tblAsignaciones[[#This Row],[area]],tblTecnicos[activo],"sí")</f>
        <v/>
      </c>
      <c r="G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COUNTIFS(tblTecnicos[rotativo],"sí",tblTecnicos[especialidad],tblAsignaciones[[#This Row],[especialidad]],tblTecnicos[area],tblAsignaciones[[#This Row],[area]],tblTecnicos[activo],"sí")</f>
        <v/>
      </c>
      <c r="G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COUNTIFS(tblTecnicos[rotativo],"sí",tblTecnicos[especialidad],tblAsignaciones[[#This Row],[especialidad]],tblTecnicos[area],tblAsignaciones[[#This Row],[area]],tblTecnicos[activo],"sí")</f>
        <v/>
      </c>
      <c r="G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COUNTIFS(tblTecnicos[rotativo],"sí",tblTecnicos[especialidad],tblAsignaciones[[#This Row],[especialidad]],tblTecnicos[area],tblAsignaciones[[#This Row],[area]],tblTecnicos[activo],"sí")</f>
        <v/>
      </c>
      <c r="G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COUNTIFS(tblTecnicos[rotativo],"sí",tblTecnicos[especialidad],tblAsignaciones[[#This Row],[especialidad]],tblTecnicos[area],tblAsignaciones[[#This Row],[area]],tblTecnicos[activo],"sí")</f>
        <v/>
      </c>
      <c r="G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COUNTIFS(tblTecnicos[rotativo],"sí",tblTecnicos[especialidad],tblAsignaciones[[#This Row],[especialidad]],tblTecnicos[area],tblAsignaciones[[#This Row],[area]],tblTecnicos[activo],"sí")</f>
        <v/>
      </c>
      <c r="G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COUNTIFS(tblTecnicos[rotativo],"sí",tblTecnicos[especialidad],tblAsignaciones[[#This Row],[especialidad]],tblTecnicos[area],tblAsignaciones[[#This Row],[area]],tblTecnicos[activo],"sí")</f>
        <v/>
      </c>
      <c r="G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COUNTIFS(tblTecnicos[rotativo],"sí",tblTecnicos[especialidad],tblAsignaciones[[#This Row],[especialidad]],tblTecnicos[area],tblAsignaciones[[#This Row],[area]],tblTecnicos[activo],"sí")</f>
        <v/>
      </c>
      <c r="G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COUNTIFS(tblTecnicos[rotativo],"sí",tblTecnicos[especialidad],tblAsignaciones[[#This Row],[especialidad]],tblTecnicos[area],tblAsignaciones[[#This Row],[area]],tblTecnicos[activo],"sí")</f>
        <v/>
      </c>
      <c r="G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COUNTIFS(tblTecnicos[rotativo],"sí",tblTecnicos[especialidad],tblAsignaciones[[#This Row],[especialidad]],tblTecnicos[area],tblAsignaciones[[#This Row],[area]],tblTecnicos[activo],"sí")</f>
        <v/>
      </c>
      <c r="G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COUNTIFS(tblTecnicos[rotativo],"sí",tblTecnicos[especialidad],tblAsignaciones[[#This Row],[especialidad]],tblTecnicos[area],tblAsignaciones[[#This Row],[area]],tblTecnicos[activo],"sí")</f>
        <v/>
      </c>
      <c r="G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COUNTIFS(tblTecnicos[rotativo],"sí",tblTecnicos[especialidad],tblAsignaciones[[#This Row],[especialidad]],tblTecnicos[area],tblAsignaciones[[#This Row],[area]],tblTecnicos[activo],"sí")</f>
        <v/>
      </c>
      <c r="G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COUNTIFS(tblTecnicos[rotativo],"sí",tblTecnicos[especialidad],tblAsignaciones[[#This Row],[especialidad]],tblTecnicos[area],tblAsignaciones[[#This Row],[area]],tblTecnicos[activo],"sí")</f>
        <v/>
      </c>
      <c r="G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COUNTIFS(tblTecnicos[rotativo],"sí",tblTecnicos[especialidad],tblAsignaciones[[#This Row],[especialidad]],tblTecnicos[area],tblAsignaciones[[#This Row],[area]],tblTecnicos[activo],"sí")</f>
        <v/>
      </c>
      <c r="G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COUNTIFS(tblTecnicos[rotativo],"sí",tblTecnicos[especialidad],tblAsignaciones[[#This Row],[especialidad]],tblTecnicos[area],tblAsignaciones[[#This Row],[area]],tblTecnicos[activo],"sí")</f>
        <v/>
      </c>
      <c r="G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COUNTIFS(tblTecnicos[rotativo],"sí",tblTecnicos[especialidad],tblAsignaciones[[#This Row],[especialidad]],tblTecnicos[area],tblAsignaciones[[#This Row],[area]],tblTecnicos[activo],"sí")</f>
        <v/>
      </c>
      <c r="G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COUNTIFS(tblTecnicos[rotativo],"sí",tblTecnicos[especialidad],tblAsignaciones[[#This Row],[especialidad]],tblTecnicos[area],tblAsignaciones[[#This Row],[area]],tblTecnicos[activo],"sí")</f>
        <v/>
      </c>
      <c r="G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COUNTIFS(tblTecnicos[rotativo],"sí",tblTecnicos[especialidad],tblAsignaciones[[#This Row],[especialidad]],tblTecnicos[area],tblAsignaciones[[#This Row],[area]],tblTecnicos[activo],"sí")</f>
        <v/>
      </c>
      <c r="G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COUNTIFS(tblTecnicos[rotativo],"sí",tblTecnicos[especialidad],tblAsignaciones[[#This Row],[especialidad]],tblTecnicos[area],tblAsignaciones[[#This Row],[area]],tblTecnicos[activo],"sí")</f>
        <v/>
      </c>
      <c r="G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COUNTIFS(tblTecnicos[rotativo],"sí",tblTecnicos[especialidad],tblAsignaciones[[#This Row],[especialidad]],tblTecnicos[area],tblAsignaciones[[#This Row],[area]],tblTecnicos[activo],"sí")</f>
        <v/>
      </c>
      <c r="G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COUNTIFS(tblTecnicos[rotativo],"sí",tblTecnicos[especialidad],tblAsignaciones[[#This Row],[especialidad]],tblTecnicos[area],tblAsignaciones[[#This Row],[area]],tblTecnicos[activo],"sí")</f>
        <v/>
      </c>
      <c r="G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COUNTIFS(tblTecnicos[rotativo],"sí",tblTecnicos[especialidad],tblAsignaciones[[#This Row],[especialidad]],tblTecnicos[area],tblAsignaciones[[#This Row],[area]],tblTecnicos[activo],"sí")</f>
        <v/>
      </c>
      <c r="G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COUNTIFS(tblTecnicos[rotativo],"sí",tblTecnicos[especialidad],tblAsignaciones[[#This Row],[especialidad]],tblTecnicos[area],tblAsignaciones[[#This Row],[area]],tblTecnicos[activo],"sí")</f>
        <v/>
      </c>
      <c r="G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COUNTIFS(tblTecnicos[rotativo],"sí",tblTecnicos[especialidad],tblAsignaciones[[#This Row],[especialidad]],tblTecnicos[area],tblAsignaciones[[#This Row],[area]],tblTecnicos[activo],"sí")</f>
        <v/>
      </c>
      <c r="G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COUNTIFS(tblTecnicos[rotativo],"sí",tblTecnicos[especialidad],tblAsignaciones[[#This Row],[especialidad]],tblTecnicos[area],tblAsignaciones[[#This Row],[area]],tblTecnicos[activo],"sí")</f>
        <v/>
      </c>
      <c r="G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COUNTIFS(tblTecnicos[rotativo],"sí",tblTecnicos[especialidad],tblAsignaciones[[#This Row],[especialidad]],tblTecnicos[area],tblAsignaciones[[#This Row],[area]],tblTecnicos[activo],"sí")</f>
        <v/>
      </c>
      <c r="G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COUNTIFS(tblTecnicos[rotativo],"sí",tblTecnicos[especialidad],tblAsignaciones[[#This Row],[especialidad]],tblTecnicos[area],tblAsignaciones[[#This Row],[area]],tblTecnicos[activo],"sí")</f>
        <v/>
      </c>
      <c r="G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COUNTIFS(tblTecnicos[rotativo],"sí",tblTecnicos[especialidad],tblAsignaciones[[#This Row],[especialidad]],tblTecnicos[area],tblAsignaciones[[#This Row],[area]],tblTecnicos[activo],"sí")</f>
        <v/>
      </c>
      <c r="G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COUNTIFS(tblTecnicos[rotativo],"sí",tblTecnicos[especialidad],tblAsignaciones[[#This Row],[especialidad]],tblTecnicos[area],tblAsignaciones[[#This Row],[area]],tblTecnicos[activo],"sí")</f>
        <v/>
      </c>
      <c r="G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COUNTIFS(tblTecnicos[rotativo],"sí",tblTecnicos[especialidad],tblAsignaciones[[#This Row],[especialidad]],tblTecnicos[area],tblAsignaciones[[#This Row],[area]],tblTecnicos[activo],"sí")</f>
        <v/>
      </c>
      <c r="G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COUNTIFS(tblTecnicos[rotativo],"sí",tblTecnicos[especialidad],tblAsignaciones[[#This Row],[especialidad]],tblTecnicos[area],tblAsignaciones[[#This Row],[area]],tblTecnicos[activo],"sí")</f>
        <v/>
      </c>
      <c r="G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COUNTIFS(tblTecnicos[rotativo],"sí",tblTecnicos[especialidad],tblAsignaciones[[#This Row],[especialidad]],tblTecnicos[area],tblAsignaciones[[#This Row],[area]],tblTecnicos[activo],"sí")</f>
        <v/>
      </c>
      <c r="G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COUNTIFS(tblTecnicos[rotativo],"sí",tblTecnicos[especialidad],tblAsignaciones[[#This Row],[especialidad]],tblTecnicos[area],tblAsignaciones[[#This Row],[area]],tblTecnicos[activo],"sí")</f>
        <v/>
      </c>
      <c r="G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COUNTIFS(tblTecnicos[rotativo],"sí",tblTecnicos[especialidad],tblAsignaciones[[#This Row],[especialidad]],tblTecnicos[area],tblAsignaciones[[#This Row],[area]],tblTecnicos[activo],"sí")</f>
        <v/>
      </c>
      <c r="G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COUNTIFS(tblTecnicos[rotativo],"sí",tblTecnicos[especialidad],tblAsignaciones[[#This Row],[especialidad]],tblTecnicos[area],tblAsignaciones[[#This Row],[area]],tblTecnicos[activo],"sí")</f>
        <v/>
      </c>
      <c r="G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COUNTIFS(tblTecnicos[rotativo],"sí",tblTecnicos[especialidad],tblAsignaciones[[#This Row],[especialidad]],tblTecnicos[area],tblAsignaciones[[#This Row],[area]],tblTecnicos[activo],"sí")</f>
        <v/>
      </c>
      <c r="G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COUNTIFS(tblTecnicos[rotativo],"sí",tblTecnicos[especialidad],tblAsignaciones[[#This Row],[especialidad]],tblTecnicos[area],tblAsignaciones[[#This Row],[area]],tblTecnicos[activo],"sí")</f>
        <v/>
      </c>
      <c r="G1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COUNTIFS(tblTecnicos[rotativo],"sí",tblTecnicos[especialidad],tblAsignaciones[[#This Row],[especialidad]],tblTecnicos[area],tblAsignaciones[[#This Row],[area]],tblTecnicos[activo],"sí")</f>
        <v/>
      </c>
      <c r="G1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COUNTIFS(tblTecnicos[rotativo],"sí",tblTecnicos[especialidad],tblAsignaciones[[#This Row],[especialidad]],tblTecnicos[area],tblAsignaciones[[#This Row],[area]],tblTecnicos[activo],"sí")</f>
        <v/>
      </c>
      <c r="G1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COUNTIFS(tblTecnicos[rotativo],"sí",tblTecnicos[especialidad],tblAsignaciones[[#This Row],[especialidad]],tblTecnicos[area],tblAsignaciones[[#This Row],[area]],tblTecnicos[activo],"sí")</f>
        <v/>
      </c>
      <c r="G1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COUNTIFS(tblTecnicos[rotativo],"sí",tblTecnicos[especialidad],tblAsignaciones[[#This Row],[especialidad]],tblTecnicos[area],tblAsignaciones[[#This Row],[area]],tblTecnicos[activo],"sí")</f>
        <v/>
      </c>
      <c r="G1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COUNTIFS(tblTecnicos[rotativo],"sí",tblTecnicos[especialidad],tblAsignaciones[[#This Row],[especialidad]],tblTecnicos[area],tblAsignaciones[[#This Row],[area]],tblTecnicos[activo],"sí")</f>
        <v/>
      </c>
      <c r="G1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COUNTIFS(tblTecnicos[rotativo],"sí",tblTecnicos[especialidad],tblAsignaciones[[#This Row],[especialidad]],tblTecnicos[area],tblAsignaciones[[#This Row],[area]],tblTecnicos[activo],"sí")</f>
        <v/>
      </c>
      <c r="G1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COUNTIFS(tblTecnicos[rotativo],"sí",tblTecnicos[especialidad],tblAsignaciones[[#This Row],[especialidad]],tblTecnicos[area],tblAsignaciones[[#This Row],[area]],tblTecnicos[activo],"sí")</f>
        <v/>
      </c>
      <c r="G1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COUNTIFS(tblTecnicos[rotativo],"sí",tblTecnicos[especialidad],tblAsignaciones[[#This Row],[especialidad]],tblTecnicos[area],tblAsignaciones[[#This Row],[area]],tblTecnicos[activo],"sí")</f>
        <v/>
      </c>
      <c r="G1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COUNTIFS(tblTecnicos[rotativo],"sí",tblTecnicos[especialidad],tblAsignaciones[[#This Row],[especialidad]],tblTecnicos[area],tblAsignaciones[[#This Row],[area]],tblTecnicos[activo],"sí")</f>
        <v/>
      </c>
      <c r="G1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COUNTIFS(tblTecnicos[rotativo],"sí",tblTecnicos[especialidad],tblAsignaciones[[#This Row],[especialidad]],tblTecnicos[area],tblAsignaciones[[#This Row],[area]],tblTecnicos[activo],"sí")</f>
        <v/>
      </c>
      <c r="G1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COUNTIFS(tblTecnicos[rotativo],"sí",tblTecnicos[especialidad],tblAsignaciones[[#This Row],[especialidad]],tblTecnicos[area],tblAsignaciones[[#This Row],[area]],tblTecnicos[activo],"sí")</f>
        <v/>
      </c>
      <c r="G1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COUNTIFS(tblTecnicos[rotativo],"sí",tblTecnicos[especialidad],tblAsignaciones[[#This Row],[especialidad]],tblTecnicos[area],tblAsignaciones[[#This Row],[area]],tblTecnicos[activo],"sí")</f>
        <v/>
      </c>
      <c r="G1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COUNTIFS(tblTecnicos[rotativo],"sí",tblTecnicos[especialidad],tblAsignaciones[[#This Row],[especialidad]],tblTecnicos[area],tblAsignaciones[[#This Row],[area]],tblTecnicos[activo],"sí")</f>
        <v/>
      </c>
      <c r="G1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COUNTIFS(tblTecnicos[rotativo],"sí",tblTecnicos[especialidad],tblAsignaciones[[#This Row],[especialidad]],tblTecnicos[area],tblAsignaciones[[#This Row],[area]],tblTecnicos[activo],"sí")</f>
        <v/>
      </c>
      <c r="G1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COUNTIFS(tblTecnicos[rotativo],"sí",tblTecnicos[especialidad],tblAsignaciones[[#This Row],[especialidad]],tblTecnicos[area],tblAsignaciones[[#This Row],[area]],tblTecnicos[activo],"sí")</f>
        <v/>
      </c>
      <c r="G1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COUNTIFS(tblTecnicos[rotativo],"sí",tblTecnicos[especialidad],tblAsignaciones[[#This Row],[especialidad]],tblTecnicos[area],tblAsignaciones[[#This Row],[area]],tblTecnicos[activo],"sí")</f>
        <v/>
      </c>
      <c r="G1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COUNTIFS(tblTecnicos[rotativo],"sí",tblTecnicos[especialidad],tblAsignaciones[[#This Row],[especialidad]],tblTecnicos[area],tblAsignaciones[[#This Row],[area]],tblTecnicos[activo],"sí")</f>
        <v/>
      </c>
      <c r="G1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COUNTIFS(tblTecnicos[rotativo],"sí",tblTecnicos[especialidad],tblAsignaciones[[#This Row],[especialidad]],tblTecnicos[area],tblAsignaciones[[#This Row],[area]],tblTecnicos[activo],"sí")</f>
        <v/>
      </c>
      <c r="G1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COUNTIFS(tblTecnicos[rotativo],"sí",tblTecnicos[especialidad],tblAsignaciones[[#This Row],[especialidad]],tblTecnicos[area],tblAsignaciones[[#This Row],[area]],tblTecnicos[activo],"sí")</f>
        <v/>
      </c>
      <c r="G1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COUNTIFS(tblTecnicos[rotativo],"sí",tblTecnicos[especialidad],tblAsignaciones[[#This Row],[especialidad]],tblTecnicos[area],tblAsignaciones[[#This Row],[area]],tblTecnicos[activo],"sí")</f>
        <v/>
      </c>
      <c r="G1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COUNTIFS(tblTecnicos[rotativo],"sí",tblTecnicos[especialidad],tblAsignaciones[[#This Row],[especialidad]],tblTecnicos[area],tblAsignaciones[[#This Row],[area]],tblTecnicos[activo],"sí")</f>
        <v/>
      </c>
      <c r="G1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COUNTIFS(tblTecnicos[rotativo],"sí",tblTecnicos[especialidad],tblAsignaciones[[#This Row],[especialidad]],tblTecnicos[area],tblAsignaciones[[#This Row],[area]],tblTecnicos[activo],"sí")</f>
        <v/>
      </c>
      <c r="G1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COUNTIFS(tblTecnicos[rotativo],"sí",tblTecnicos[especialidad],tblAsignaciones[[#This Row],[especialidad]],tblTecnicos[area],tblAsignaciones[[#This Row],[area]],tblTecnicos[activo],"sí")</f>
        <v/>
      </c>
      <c r="G1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COUNTIFS(tblTecnicos[rotativo],"sí",tblTecnicos[especialidad],tblAsignaciones[[#This Row],[especialidad]],tblTecnicos[area],tblAsignaciones[[#This Row],[area]],tblTecnicos[activo],"sí")</f>
        <v/>
      </c>
      <c r="G1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COUNTIFS(tblTecnicos[rotativo],"sí",tblTecnicos[especialidad],tblAsignaciones[[#This Row],[especialidad]],tblTecnicos[area],tblAsignaciones[[#This Row],[area]],tblTecnicos[activo],"sí")</f>
        <v/>
      </c>
      <c r="G1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COUNTIFS(tblTecnicos[rotativo],"sí",tblTecnicos[especialidad],tblAsignaciones[[#This Row],[especialidad]],tblTecnicos[area],tblAsignaciones[[#This Row],[area]],tblTecnicos[activo],"sí")</f>
        <v/>
      </c>
      <c r="G1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COUNTIFS(tblTecnicos[rotativo],"sí",tblTecnicos[especialidad],tblAsignaciones[[#This Row],[especialidad]],tblTecnicos[area],tblAsignaciones[[#This Row],[area]],tblTecnicos[activo],"sí")</f>
        <v/>
      </c>
      <c r="G1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COUNTIFS(tblTecnicos[rotativo],"sí",tblTecnicos[especialidad],tblAsignaciones[[#This Row],[especialidad]],tblTecnicos[area],tblAsignaciones[[#This Row],[area]],tblTecnicos[activo],"sí")</f>
        <v/>
      </c>
      <c r="G1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COUNTIFS(tblTecnicos[rotativo],"sí",tblTecnicos[especialidad],tblAsignaciones[[#This Row],[especialidad]],tblTecnicos[area],tblAsignaciones[[#This Row],[area]],tblTecnicos[activo],"sí")</f>
        <v/>
      </c>
      <c r="G1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COUNTIFS(tblTecnicos[rotativo],"sí",tblTecnicos[especialidad],tblAsignaciones[[#This Row],[especialidad]],tblTecnicos[area],tblAsignaciones[[#This Row],[area]],tblTecnicos[activo],"sí")</f>
        <v/>
      </c>
      <c r="G1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COUNTIFS(tblTecnicos[rotativo],"sí",tblTecnicos[especialidad],tblAsignaciones[[#This Row],[especialidad]],tblTecnicos[area],tblAsignaciones[[#This Row],[area]],tblTecnicos[activo],"sí")</f>
        <v/>
      </c>
      <c r="G1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COUNTIFS(tblTecnicos[rotativo],"sí",tblTecnicos[especialidad],tblAsignaciones[[#This Row],[especialidad]],tblTecnicos[area],tblAsignaciones[[#This Row],[area]],tblTecnicos[activo],"sí")</f>
        <v/>
      </c>
      <c r="G1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COUNTIFS(tblTecnicos[rotativo],"sí",tblTecnicos[especialidad],tblAsignaciones[[#This Row],[especialidad]],tblTecnicos[area],tblAsignaciones[[#This Row],[area]],tblTecnicos[activo],"sí")</f>
        <v/>
      </c>
      <c r="G1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COUNTIFS(tblTecnicos[rotativo],"sí",tblTecnicos[especialidad],tblAsignaciones[[#This Row],[especialidad]],tblTecnicos[area],tblAsignaciones[[#This Row],[area]],tblTecnicos[activo],"sí")</f>
        <v/>
      </c>
      <c r="G1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COUNTIFS(tblTecnicos[rotativo],"sí",tblTecnicos[especialidad],tblAsignaciones[[#This Row],[especialidad]],tblTecnicos[area],tblAsignaciones[[#This Row],[area]],tblTecnicos[activo],"sí")</f>
        <v/>
      </c>
      <c r="G1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COUNTIFS(tblTecnicos[rotativo],"sí",tblTecnicos[especialidad],tblAsignaciones[[#This Row],[especialidad]],tblTecnicos[area],tblAsignaciones[[#This Row],[area]],tblTecnicos[activo],"sí")</f>
        <v/>
      </c>
      <c r="G1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COUNTIFS(tblTecnicos[rotativo],"sí",tblTecnicos[especialidad],tblAsignaciones[[#This Row],[especialidad]],tblTecnicos[area],tblAsignaciones[[#This Row],[area]],tblTecnicos[activo],"sí")</f>
        <v/>
      </c>
      <c r="G1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COUNTIFS(tblTecnicos[rotativo],"sí",tblTecnicos[especialidad],tblAsignaciones[[#This Row],[especialidad]],tblTecnicos[area],tblAsignaciones[[#This Row],[area]],tblTecnicos[activo],"sí")</f>
        <v/>
      </c>
      <c r="G1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COUNTIFS(tblTecnicos[rotativo],"sí",tblTecnicos[especialidad],tblAsignaciones[[#This Row],[especialidad]],tblTecnicos[area],tblAsignaciones[[#This Row],[area]],tblTecnicos[activo],"sí")</f>
        <v/>
      </c>
      <c r="G1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COUNTIFS(tblTecnicos[rotativo],"sí",tblTecnicos[especialidad],tblAsignaciones[[#This Row],[especialidad]],tblTecnicos[area],tblAsignaciones[[#This Row],[area]],tblTecnicos[activo],"sí")</f>
        <v/>
      </c>
      <c r="G1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COUNTIFS(tblTecnicos[rotativo],"sí",tblTecnicos[especialidad],tblAsignaciones[[#This Row],[especialidad]],tblTecnicos[area],tblAsignaciones[[#This Row],[area]],tblTecnicos[activo],"sí")</f>
        <v/>
      </c>
      <c r="G1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COUNTIFS(tblTecnicos[rotativo],"sí",tblTecnicos[especialidad],tblAsignaciones[[#This Row],[especialidad]],tblTecnicos[area],tblAsignaciones[[#This Row],[area]],tblTecnicos[activo],"sí")</f>
        <v/>
      </c>
      <c r="G1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COUNTIFS(tblTecnicos[rotativo],"sí",tblTecnicos[especialidad],tblAsignaciones[[#This Row],[especialidad]],tblTecnicos[area],tblAsignaciones[[#This Row],[area]],tblTecnicos[activo],"sí")</f>
        <v/>
      </c>
      <c r="G1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COUNTIFS(tblTecnicos[rotativo],"sí",tblTecnicos[especialidad],tblAsignaciones[[#This Row],[especialidad]],tblTecnicos[area],tblAsignaciones[[#This Row],[area]],tblTecnicos[activo],"sí")</f>
        <v/>
      </c>
      <c r="G1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COUNTIFS(tblTecnicos[rotativo],"sí",tblTecnicos[especialidad],tblAsignaciones[[#This Row],[especialidad]],tblTecnicos[area],tblAsignaciones[[#This Row],[area]],tblTecnicos[activo],"sí")</f>
        <v/>
      </c>
      <c r="G1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COUNTIFS(tblTecnicos[rotativo],"sí",tblTecnicos[especialidad],tblAsignaciones[[#This Row],[especialidad]],tblTecnicos[area],tblAsignaciones[[#This Row],[area]],tblTecnicos[activo],"sí")</f>
        <v/>
      </c>
      <c r="G1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COUNTIFS(tblTecnicos[rotativo],"sí",tblTecnicos[especialidad],tblAsignaciones[[#This Row],[especialidad]],tblTecnicos[area],tblAsignaciones[[#This Row],[area]],tblTecnicos[activo],"sí")</f>
        <v/>
      </c>
      <c r="G1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COUNTIFS(tblTecnicos[rotativo],"sí",tblTecnicos[especialidad],tblAsignaciones[[#This Row],[especialidad]],tblTecnicos[area],tblAsignaciones[[#This Row],[area]],tblTecnicos[activo],"sí")</f>
        <v/>
      </c>
      <c r="G1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COUNTIFS(tblTecnicos[rotativo],"sí",tblTecnicos[especialidad],tblAsignaciones[[#This Row],[especialidad]],tblTecnicos[area],tblAsignaciones[[#This Row],[area]],tblTecnicos[activo],"sí")</f>
        <v/>
      </c>
      <c r="G1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COUNTIFS(tblTecnicos[rotativo],"sí",tblTecnicos[especialidad],tblAsignaciones[[#This Row],[especialidad]],tblTecnicos[area],tblAsignaciones[[#This Row],[area]],tblTecnicos[activo],"sí")</f>
        <v/>
      </c>
      <c r="G1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COUNTIFS(tblTecnicos[rotativo],"sí",tblTecnicos[especialidad],tblAsignaciones[[#This Row],[especialidad]],tblTecnicos[area],tblAsignaciones[[#This Row],[area]],tblTecnicos[activo],"sí")</f>
        <v/>
      </c>
      <c r="G1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COUNTIFS(tblTecnicos[rotativo],"sí",tblTecnicos[especialidad],tblAsignaciones[[#This Row],[especialidad]],tblTecnicos[area],tblAsignaciones[[#This Row],[area]],tblTecnicos[activo],"sí")</f>
        <v/>
      </c>
      <c r="G1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COUNTIFS(tblTecnicos[rotativo],"sí",tblTecnicos[especialidad],tblAsignaciones[[#This Row],[especialidad]],tblTecnicos[area],tblAsignaciones[[#This Row],[area]],tblTecnicos[activo],"sí")</f>
        <v/>
      </c>
      <c r="G1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COUNTIFS(tblTecnicos[rotativo],"sí",tblTecnicos[especialidad],tblAsignaciones[[#This Row],[especialidad]],tblTecnicos[area],tblAsignaciones[[#This Row],[area]],tblTecnicos[activo],"sí")</f>
        <v/>
      </c>
      <c r="G1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COUNTIFS(tblTecnicos[rotativo],"sí",tblTecnicos[especialidad],tblAsignaciones[[#This Row],[especialidad]],tblTecnicos[area],tblAsignaciones[[#This Row],[area]],tblTecnicos[activo],"sí")</f>
        <v/>
      </c>
      <c r="G1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COUNTIFS(tblTecnicos[rotativo],"sí",tblTecnicos[especialidad],tblAsignaciones[[#This Row],[especialidad]],tblTecnicos[area],tblAsignaciones[[#This Row],[area]],tblTecnicos[activo],"sí")</f>
        <v/>
      </c>
      <c r="G1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COUNTIFS(tblTecnicos[rotativo],"sí",tblTecnicos[especialidad],tblAsignaciones[[#This Row],[especialidad]],tblTecnicos[area],tblAsignaciones[[#This Row],[area]],tblTecnicos[activo],"sí")</f>
        <v/>
      </c>
      <c r="G1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COUNTIFS(tblTecnicos[rotativo],"sí",tblTecnicos[especialidad],tblAsignaciones[[#This Row],[especialidad]],tblTecnicos[area],tblAsignaciones[[#This Row],[area]],tblTecnicos[activo],"sí")</f>
        <v/>
      </c>
      <c r="G1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COUNTIFS(tblTecnicos[rotativo],"sí",tblTecnicos[especialidad],tblAsignaciones[[#This Row],[especialidad]],tblTecnicos[area],tblAsignaciones[[#This Row],[area]],tblTecnicos[activo],"sí")</f>
        <v/>
      </c>
      <c r="G1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COUNTIFS(tblTecnicos[rotativo],"sí",tblTecnicos[especialidad],tblAsignaciones[[#This Row],[especialidad]],tblTecnicos[area],tblAsignaciones[[#This Row],[area]],tblTecnicos[activo],"sí")</f>
        <v/>
      </c>
      <c r="G1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COUNTIFS(tblTecnicos[rotativo],"sí",tblTecnicos[especialidad],tblAsignaciones[[#This Row],[especialidad]],tblTecnicos[area],tblAsignaciones[[#This Row],[area]],tblTecnicos[activo],"sí")</f>
        <v/>
      </c>
      <c r="G1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COUNTIFS(tblTecnicos[rotativo],"sí",tblTecnicos[especialidad],tblAsignaciones[[#This Row],[especialidad]],tblTecnicos[area],tblAsignaciones[[#This Row],[area]],tblTecnicos[activo],"sí")</f>
        <v/>
      </c>
      <c r="G1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COUNTIFS(tblTecnicos[rotativo],"sí",tblTecnicos[especialidad],tblAsignaciones[[#This Row],[especialidad]],tblTecnicos[area],tblAsignaciones[[#This Row],[area]],tblTecnicos[activo],"sí")</f>
        <v/>
      </c>
      <c r="G1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COUNTIFS(tblTecnicos[rotativo],"sí",tblTecnicos[especialidad],tblAsignaciones[[#This Row],[especialidad]],tblTecnicos[area],tblAsignaciones[[#This Row],[area]],tblTecnicos[activo],"sí")</f>
        <v/>
      </c>
      <c r="G1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COUNTIFS(tblTecnicos[rotativo],"sí",tblTecnicos[especialidad],tblAsignaciones[[#This Row],[especialidad]],tblTecnicos[area],tblAsignaciones[[#This Row],[area]],tblTecnicos[activo],"sí")</f>
        <v/>
      </c>
      <c r="G1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COUNTIFS(tblTecnicos[rotativo],"sí",tblTecnicos[especialidad],tblAsignaciones[[#This Row],[especialidad]],tblTecnicos[area],tblAsignaciones[[#This Row],[area]],tblTecnicos[activo],"sí")</f>
        <v/>
      </c>
      <c r="G1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COUNTIFS(tblTecnicos[rotativo],"sí",tblTecnicos[especialidad],tblAsignaciones[[#This Row],[especialidad]],tblTecnicos[area],tblAsignaciones[[#This Row],[area]],tblTecnicos[activo],"sí")</f>
        <v/>
      </c>
      <c r="G1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COUNTIFS(tblTecnicos[rotativo],"sí",tblTecnicos[especialidad],tblAsignaciones[[#This Row],[especialidad]],tblTecnicos[area],tblAsignaciones[[#This Row],[area]],tblTecnicos[activo],"sí")</f>
        <v/>
      </c>
      <c r="G1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COUNTIFS(tblTecnicos[rotativo],"sí",tblTecnicos[especialidad],tblAsignaciones[[#This Row],[especialidad]],tblTecnicos[area],tblAsignaciones[[#This Row],[area]],tblTecnicos[activo],"sí")</f>
        <v/>
      </c>
      <c r="G1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COUNTIFS(tblTecnicos[rotativo],"sí",tblTecnicos[especialidad],tblAsignaciones[[#This Row],[especialidad]],tblTecnicos[area],tblAsignaciones[[#This Row],[area]],tblTecnicos[activo],"sí")</f>
        <v/>
      </c>
      <c r="G1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COUNTIFS(tblTecnicos[rotativo],"sí",tblTecnicos[especialidad],tblAsignaciones[[#This Row],[especialidad]],tblTecnicos[area],tblAsignaciones[[#This Row],[area]],tblTecnicos[activo],"sí")</f>
        <v/>
      </c>
      <c r="G1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COUNTIFS(tblTecnicos[rotativo],"sí",tblTecnicos[especialidad],tblAsignaciones[[#This Row],[especialidad]],tblTecnicos[area],tblAsignaciones[[#This Row],[area]],tblTecnicos[activo],"sí")</f>
        <v/>
      </c>
      <c r="G1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COUNTIFS(tblTecnicos[rotativo],"sí",tblTecnicos[especialidad],tblAsignaciones[[#This Row],[especialidad]],tblTecnicos[area],tblAsignaciones[[#This Row],[area]],tblTecnicos[activo],"sí")</f>
        <v/>
      </c>
      <c r="G1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COUNTIFS(tblTecnicos[rotativo],"sí",tblTecnicos[especialidad],tblAsignaciones[[#This Row],[especialidad]],tblTecnicos[area],tblAsignaciones[[#This Row],[area]],tblTecnicos[activo],"sí")</f>
        <v/>
      </c>
      <c r="G1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COUNTIFS(tblTecnicos[rotativo],"sí",tblTecnicos[especialidad],tblAsignaciones[[#This Row],[especialidad]],tblTecnicos[area],tblAsignaciones[[#This Row],[area]],tblTecnicos[activo],"sí")</f>
        <v/>
      </c>
      <c r="G1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COUNTIFS(tblTecnicos[rotativo],"sí",tblTecnicos[especialidad],tblAsignaciones[[#This Row],[especialidad]],tblTecnicos[area],tblAsignaciones[[#This Row],[area]],tblTecnicos[activo],"sí")</f>
        <v/>
      </c>
      <c r="G1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COUNTIFS(tblTecnicos[rotativo],"sí",tblTecnicos[especialidad],tblAsignaciones[[#This Row],[especialidad]],tblTecnicos[area],tblAsignaciones[[#This Row],[area]],tblTecnicos[activo],"sí")</f>
        <v/>
      </c>
      <c r="G1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COUNTIFS(tblTecnicos[rotativo],"sí",tblTecnicos[especialidad],tblAsignaciones[[#This Row],[especialidad]],tblTecnicos[area],tblAsignaciones[[#This Row],[area]],tblTecnicos[activo],"sí")</f>
        <v/>
      </c>
      <c r="G1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COUNTIFS(tblTecnicos[rotativo],"sí",tblTecnicos[especialidad],tblAsignaciones[[#This Row],[especialidad]],tblTecnicos[area],tblAsignaciones[[#This Row],[area]],tblTecnicos[activo],"sí")</f>
        <v/>
      </c>
      <c r="G1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COUNTIFS(tblTecnicos[rotativo],"sí",tblTecnicos[especialidad],tblAsignaciones[[#This Row],[especialidad]],tblTecnicos[area],tblAsignaciones[[#This Row],[area]],tblTecnicos[activo],"sí")</f>
        <v/>
      </c>
      <c r="G1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COUNTIFS(tblTecnicos[rotativo],"sí",tblTecnicos[especialidad],tblAsignaciones[[#This Row],[especialidad]],tblTecnicos[area],tblAsignaciones[[#This Row],[area]],tblTecnicos[activo],"sí")</f>
        <v/>
      </c>
      <c r="G1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COUNTIFS(tblTecnicos[rotativo],"sí",tblTecnicos[especialidad],tblAsignaciones[[#This Row],[especialidad]],tblTecnicos[area],tblAsignaciones[[#This Row],[area]],tblTecnicos[activo],"sí")</f>
        <v/>
      </c>
      <c r="G1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COUNTIFS(tblTecnicos[rotativo],"sí",tblTecnicos[especialidad],tblAsignaciones[[#This Row],[especialidad]],tblTecnicos[area],tblAsignaciones[[#This Row],[area]],tblTecnicos[activo],"sí")</f>
        <v/>
      </c>
      <c r="G1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COUNTIFS(tblTecnicos[rotativo],"sí",tblTecnicos[especialidad],tblAsignaciones[[#This Row],[especialidad]],tblTecnicos[area],tblAsignaciones[[#This Row],[area]],tblTecnicos[activo],"sí")</f>
        <v/>
      </c>
      <c r="G1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COUNTIFS(tblTecnicos[rotativo],"sí",tblTecnicos[especialidad],tblAsignaciones[[#This Row],[especialidad]],tblTecnicos[area],tblAsignaciones[[#This Row],[area]],tblTecnicos[activo],"sí")</f>
        <v/>
      </c>
      <c r="G1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COUNTIFS(tblTecnicos[rotativo],"sí",tblTecnicos[especialidad],tblAsignaciones[[#This Row],[especialidad]],tblTecnicos[area],tblAsignaciones[[#This Row],[area]],tblTecnicos[activo],"sí")</f>
        <v/>
      </c>
      <c r="G1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COUNTIFS(tblTecnicos[rotativo],"sí",tblTecnicos[especialidad],tblAsignaciones[[#This Row],[especialidad]],tblTecnicos[area],tblAsignaciones[[#This Row],[area]],tblTecnicos[activo],"sí")</f>
        <v/>
      </c>
      <c r="G1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COUNTIFS(tblTecnicos[rotativo],"sí",tblTecnicos[especialidad],tblAsignaciones[[#This Row],[especialidad]],tblTecnicos[area],tblAsignaciones[[#This Row],[area]],tblTecnicos[activo],"sí")</f>
        <v/>
      </c>
      <c r="G1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COUNTIFS(tblTecnicos[rotativo],"sí",tblTecnicos[especialidad],tblAsignaciones[[#This Row],[especialidad]],tblTecnicos[area],tblAsignaciones[[#This Row],[area]],tblTecnicos[activo],"sí")</f>
        <v/>
      </c>
      <c r="G1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COUNTIFS(tblTecnicos[rotativo],"sí",tblTecnicos[especialidad],tblAsignaciones[[#This Row],[especialidad]],tblTecnicos[area],tblAsignaciones[[#This Row],[area]],tblTecnicos[activo],"sí")</f>
        <v/>
      </c>
      <c r="G1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COUNTIFS(tblTecnicos[rotativo],"sí",tblTecnicos[especialidad],tblAsignaciones[[#This Row],[especialidad]],tblTecnicos[area],tblAsignaciones[[#This Row],[area]],tblTecnicos[activo],"sí")</f>
        <v/>
      </c>
      <c r="G1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COUNTIFS(tblTecnicos[rotativo],"sí",tblTecnicos[especialidad],tblAsignaciones[[#This Row],[especialidad]],tblTecnicos[area],tblAsignaciones[[#This Row],[area]],tblTecnicos[activo],"sí")</f>
        <v/>
      </c>
      <c r="G1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COUNTIFS(tblTecnicos[rotativo],"sí",tblTecnicos[especialidad],tblAsignaciones[[#This Row],[especialidad]],tblTecnicos[area],tblAsignaciones[[#This Row],[area]],tblTecnicos[activo],"sí")</f>
        <v/>
      </c>
      <c r="G1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COUNTIFS(tblTecnicos[rotativo],"sí",tblTecnicos[especialidad],tblAsignaciones[[#This Row],[especialidad]],tblTecnicos[area],tblAsignaciones[[#This Row],[area]],tblTecnicos[activo],"sí")</f>
        <v/>
      </c>
      <c r="G1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COUNTIFS(tblTecnicos[rotativo],"sí",tblTecnicos[especialidad],tblAsignaciones[[#This Row],[especialidad]],tblTecnicos[area],tblAsignaciones[[#This Row],[area]],tblTecnicos[activo],"sí")</f>
        <v/>
      </c>
      <c r="G1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COUNTIFS(tblTecnicos[rotativo],"sí",tblTecnicos[especialidad],tblAsignaciones[[#This Row],[especialidad]],tblTecnicos[area],tblAsignaciones[[#This Row],[area]],tblTecnicos[activo],"sí")</f>
        <v/>
      </c>
      <c r="G1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COUNTIFS(tblTecnicos[rotativo],"sí",tblTecnicos[especialidad],tblAsignaciones[[#This Row],[especialidad]],tblTecnicos[area],tblAsignaciones[[#This Row],[area]],tblTecnicos[activo],"sí")</f>
        <v/>
      </c>
      <c r="G1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COUNTIFS(tblTecnicos[rotativo],"sí",tblTecnicos[especialidad],tblAsignaciones[[#This Row],[especialidad]],tblTecnicos[area],tblAsignaciones[[#This Row],[area]],tblTecnicos[activo],"sí")</f>
        <v/>
      </c>
      <c r="G1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COUNTIFS(tblTecnicos[rotativo],"sí",tblTecnicos[especialidad],tblAsignaciones[[#This Row],[especialidad]],tblTecnicos[area],tblAsignaciones[[#This Row],[area]],tblTecnicos[activo],"sí")</f>
        <v/>
      </c>
      <c r="G1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COUNTIFS(tblTecnicos[rotativo],"sí",tblTecnicos[especialidad],tblAsignaciones[[#This Row],[especialidad]],tblTecnicos[area],tblAsignaciones[[#This Row],[area]],tblTecnicos[activo],"sí")</f>
        <v/>
      </c>
      <c r="G2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COUNTIFS(tblTecnicos[rotativo],"sí",tblTecnicos[especialidad],tblAsignaciones[[#This Row],[especialidad]],tblTecnicos[area],tblAsignaciones[[#This Row],[area]],tblTecnicos[activo],"sí")</f>
        <v/>
      </c>
      <c r="G2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COUNTIFS(tblTecnicos[rotativo],"sí",tblTecnicos[especialidad],tblAsignaciones[[#This Row],[especialidad]],tblTecnicos[area],tblAsignaciones[[#This Row],[area]],tblTecnicos[activo],"sí")</f>
        <v/>
      </c>
      <c r="G2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COUNTIFS(tblTecnicos[rotativo],"sí",tblTecnicos[especialidad],tblAsignaciones[[#This Row],[especialidad]],tblTecnicos[area],tblAsignaciones[[#This Row],[area]],tblTecnicos[activo],"sí")</f>
        <v/>
      </c>
      <c r="G2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COUNTIFS(tblTecnicos[rotativo],"sí",tblTecnicos[especialidad],tblAsignaciones[[#This Row],[especialidad]],tblTecnicos[area],tblAsignaciones[[#This Row],[area]],tblTecnicos[activo],"sí")</f>
        <v/>
      </c>
      <c r="G2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COUNTIFS(tblTecnicos[rotativo],"sí",tblTecnicos[especialidad],tblAsignaciones[[#This Row],[especialidad]],tblTecnicos[area],tblAsignaciones[[#This Row],[area]],tblTecnicos[activo],"sí")</f>
        <v/>
      </c>
      <c r="G2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COUNTIFS(tblTecnicos[rotativo],"sí",tblTecnicos[especialidad],tblAsignaciones[[#This Row],[especialidad]],tblTecnicos[area],tblAsignaciones[[#This Row],[area]],tblTecnicos[activo],"sí")</f>
        <v/>
      </c>
      <c r="G2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COUNTIFS(tblTecnicos[rotativo],"sí",tblTecnicos[especialidad],tblAsignaciones[[#This Row],[especialidad]],tblTecnicos[area],tblAsignaciones[[#This Row],[area]],tblTecnicos[activo],"sí")</f>
        <v/>
      </c>
      <c r="G2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COUNTIFS(tblTecnicos[rotativo],"sí",tblTecnicos[especialidad],tblAsignaciones[[#This Row],[especialidad]],tblTecnicos[area],tblAsignaciones[[#This Row],[area]],tblTecnicos[activo],"sí")</f>
        <v/>
      </c>
      <c r="G2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COUNTIFS(tblTecnicos[rotativo],"sí",tblTecnicos[especialidad],tblAsignaciones[[#This Row],[especialidad]],tblTecnicos[area],tblAsignaciones[[#This Row],[area]],tblTecnicos[activo],"sí")</f>
        <v/>
      </c>
      <c r="G2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COUNTIFS(tblTecnicos[rotativo],"sí",tblTecnicos[especialidad],tblAsignaciones[[#This Row],[especialidad]],tblTecnicos[area],tblAsignaciones[[#This Row],[area]],tblTecnicos[activo],"sí")</f>
        <v/>
      </c>
      <c r="G2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COUNTIFS(tblTecnicos[rotativo],"sí",tblTecnicos[especialidad],tblAsignaciones[[#This Row],[especialidad]],tblTecnicos[area],tblAsignaciones[[#This Row],[area]],tblTecnicos[activo],"sí")</f>
        <v/>
      </c>
      <c r="G2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COUNTIFS(tblTecnicos[rotativo],"sí",tblTecnicos[especialidad],tblAsignaciones[[#This Row],[especialidad]],tblTecnicos[area],tblAsignaciones[[#This Row],[area]],tblTecnicos[activo],"sí")</f>
        <v/>
      </c>
      <c r="G2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COUNTIFS(tblTecnicos[rotativo],"sí",tblTecnicos[especialidad],tblAsignaciones[[#This Row],[especialidad]],tblTecnicos[area],tblAsignaciones[[#This Row],[area]],tblTecnicos[activo],"sí")</f>
        <v/>
      </c>
      <c r="G2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COUNTIFS(tblTecnicos[rotativo],"sí",tblTecnicos[especialidad],tblAsignaciones[[#This Row],[especialidad]],tblTecnicos[area],tblAsignaciones[[#This Row],[area]],tblTecnicos[activo],"sí")</f>
        <v/>
      </c>
      <c r="G2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COUNTIFS(tblTecnicos[rotativo],"sí",tblTecnicos[especialidad],tblAsignaciones[[#This Row],[especialidad]],tblTecnicos[area],tblAsignaciones[[#This Row],[area]],tblTecnicos[activo],"sí")</f>
        <v/>
      </c>
      <c r="G2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COUNTIFS(tblTecnicos[rotativo],"sí",tblTecnicos[especialidad],tblAsignaciones[[#This Row],[especialidad]],tblTecnicos[area],tblAsignaciones[[#This Row],[area]],tblTecnicos[activo],"sí")</f>
        <v/>
      </c>
      <c r="G2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COUNTIFS(tblTecnicos[rotativo],"sí",tblTecnicos[especialidad],tblAsignaciones[[#This Row],[especialidad]],tblTecnicos[area],tblAsignaciones[[#This Row],[area]],tblTecnicos[activo],"sí")</f>
        <v/>
      </c>
      <c r="G2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COUNTIFS(tblTecnicos[rotativo],"sí",tblTecnicos[especialidad],tblAsignaciones[[#This Row],[especialidad]],tblTecnicos[area],tblAsignaciones[[#This Row],[area]],tblTecnicos[activo],"sí")</f>
        <v/>
      </c>
      <c r="G2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COUNTIFS(tblTecnicos[rotativo],"sí",tblTecnicos[especialidad],tblAsignaciones[[#This Row],[especialidad]],tblTecnicos[area],tblAsignaciones[[#This Row],[area]],tblTecnicos[activo],"sí")</f>
        <v/>
      </c>
      <c r="G2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COUNTIFS(tblTecnicos[rotativo],"sí",tblTecnicos[especialidad],tblAsignaciones[[#This Row],[especialidad]],tblTecnicos[area],tblAsignaciones[[#This Row],[area]],tblTecnicos[activo],"sí")</f>
        <v/>
      </c>
      <c r="G2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COUNTIFS(tblTecnicos[rotativo],"sí",tblTecnicos[especialidad],tblAsignaciones[[#This Row],[especialidad]],tblTecnicos[area],tblAsignaciones[[#This Row],[area]],tblTecnicos[activo],"sí")</f>
        <v/>
      </c>
      <c r="G2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COUNTIFS(tblTecnicos[rotativo],"sí",tblTecnicos[especialidad],tblAsignaciones[[#This Row],[especialidad]],tblTecnicos[area],tblAsignaciones[[#This Row],[area]],tblTecnicos[activo],"sí")</f>
        <v/>
      </c>
      <c r="G2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COUNTIFS(tblTecnicos[rotativo],"sí",tblTecnicos[especialidad],tblAsignaciones[[#This Row],[especialidad]],tblTecnicos[area],tblAsignaciones[[#This Row],[area]],tblTecnicos[activo],"sí")</f>
        <v/>
      </c>
      <c r="G2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COUNTIFS(tblTecnicos[rotativo],"sí",tblTecnicos[especialidad],tblAsignaciones[[#This Row],[especialidad]],tblTecnicos[area],tblAsignaciones[[#This Row],[area]],tblTecnicos[activo],"sí")</f>
        <v/>
      </c>
      <c r="G2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COUNTIFS(tblTecnicos[rotativo],"sí",tblTecnicos[especialidad],tblAsignaciones[[#This Row],[especialidad]],tblTecnicos[area],tblAsignaciones[[#This Row],[area]],tblTecnicos[activo],"sí")</f>
        <v/>
      </c>
      <c r="G2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COUNTIFS(tblTecnicos[rotativo],"sí",tblTecnicos[especialidad],tblAsignaciones[[#This Row],[especialidad]],tblTecnicos[area],tblAsignaciones[[#This Row],[area]],tblTecnicos[activo],"sí")</f>
        <v/>
      </c>
      <c r="G2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COUNTIFS(tblTecnicos[rotativo],"sí",tblTecnicos[especialidad],tblAsignaciones[[#This Row],[especialidad]],tblTecnicos[area],tblAsignaciones[[#This Row],[area]],tblTecnicos[activo],"sí")</f>
        <v/>
      </c>
      <c r="G2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COUNTIFS(tblTecnicos[rotativo],"sí",tblTecnicos[especialidad],tblAsignaciones[[#This Row],[especialidad]],tblTecnicos[area],tblAsignaciones[[#This Row],[area]],tblTecnicos[activo],"sí")</f>
        <v/>
      </c>
      <c r="G2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COUNTIFS(tblTecnicos[rotativo],"sí",tblTecnicos[especialidad],tblAsignaciones[[#This Row],[especialidad]],tblTecnicos[area],tblAsignaciones[[#This Row],[area]],tblTecnicos[activo],"sí")</f>
        <v/>
      </c>
      <c r="G2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COUNTIFS(tblTecnicos[rotativo],"sí",tblTecnicos[especialidad],tblAsignaciones[[#This Row],[especialidad]],tblTecnicos[area],tblAsignaciones[[#This Row],[area]],tblTecnicos[activo],"sí")</f>
        <v/>
      </c>
      <c r="G2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COUNTIFS(tblTecnicos[rotativo],"sí",tblTecnicos[especialidad],tblAsignaciones[[#This Row],[especialidad]],tblTecnicos[area],tblAsignaciones[[#This Row],[area]],tblTecnicos[activo],"sí")</f>
        <v/>
      </c>
      <c r="G2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COUNTIFS(tblTecnicos[rotativo],"sí",tblTecnicos[especialidad],tblAsignaciones[[#This Row],[especialidad]],tblTecnicos[area],tblAsignaciones[[#This Row],[area]],tblTecnicos[activo],"sí")</f>
        <v/>
      </c>
      <c r="G2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COUNTIFS(tblTecnicos[rotativo],"sí",tblTecnicos[especialidad],tblAsignaciones[[#This Row],[especialidad]],tblTecnicos[area],tblAsignaciones[[#This Row],[area]],tblTecnicos[activo],"sí")</f>
        <v/>
      </c>
      <c r="G2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COUNTIFS(tblTecnicos[rotativo],"sí",tblTecnicos[especialidad],tblAsignaciones[[#This Row],[especialidad]],tblTecnicos[area],tblAsignaciones[[#This Row],[area]],tblTecnicos[activo],"sí")</f>
        <v/>
      </c>
      <c r="G2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COUNTIFS(tblTecnicos[rotativo],"sí",tblTecnicos[especialidad],tblAsignaciones[[#This Row],[especialidad]],tblTecnicos[area],tblAsignaciones[[#This Row],[area]],tblTecnicos[activo],"sí")</f>
        <v/>
      </c>
      <c r="G2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COUNTIFS(tblTecnicos[rotativo],"sí",tblTecnicos[especialidad],tblAsignaciones[[#This Row],[especialidad]],tblTecnicos[area],tblAsignaciones[[#This Row],[area]],tblTecnicos[activo],"sí")</f>
        <v/>
      </c>
      <c r="G2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COUNTIFS(tblTecnicos[rotativo],"sí",tblTecnicos[especialidad],tblAsignaciones[[#This Row],[especialidad]],tblTecnicos[area],tblAsignaciones[[#This Row],[area]],tblTecnicos[activo],"sí")</f>
        <v/>
      </c>
      <c r="G2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COUNTIFS(tblTecnicos[rotativo],"sí",tblTecnicos[especialidad],tblAsignaciones[[#This Row],[especialidad]],tblTecnicos[area],tblAsignaciones[[#This Row],[area]],tblTecnicos[activo],"sí")</f>
        <v/>
      </c>
      <c r="G2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COUNTIFS(tblTecnicos[rotativo],"sí",tblTecnicos[especialidad],tblAsignaciones[[#This Row],[especialidad]],tblTecnicos[area],tblAsignaciones[[#This Row],[area]],tblTecnicos[activo],"sí")</f>
        <v/>
      </c>
      <c r="G2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COUNTIFS(tblTecnicos[rotativo],"sí",tblTecnicos[especialidad],tblAsignaciones[[#This Row],[especialidad]],tblTecnicos[area],tblAsignaciones[[#This Row],[area]],tblTecnicos[activo],"sí")</f>
        <v/>
      </c>
      <c r="G2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COUNTIFS(tblTecnicos[rotativo],"sí",tblTecnicos[especialidad],tblAsignaciones[[#This Row],[especialidad]],tblTecnicos[area],tblAsignaciones[[#This Row],[area]],tblTecnicos[activo],"sí")</f>
        <v/>
      </c>
      <c r="G2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COUNTIFS(tblTecnicos[rotativo],"sí",tblTecnicos[especialidad],tblAsignaciones[[#This Row],[especialidad]],tblTecnicos[area],tblAsignaciones[[#This Row],[area]],tblTecnicos[activo],"sí")</f>
        <v/>
      </c>
      <c r="G2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COUNTIFS(tblTecnicos[rotativo],"sí",tblTecnicos[especialidad],tblAsignaciones[[#This Row],[especialidad]],tblTecnicos[area],tblAsignaciones[[#This Row],[area]],tblTecnicos[activo],"sí")</f>
        <v/>
      </c>
      <c r="G2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COUNTIFS(tblTecnicos[rotativo],"sí",tblTecnicos[especialidad],tblAsignaciones[[#This Row],[especialidad]],tblTecnicos[area],tblAsignaciones[[#This Row],[area]],tblTecnicos[activo],"sí")</f>
        <v/>
      </c>
      <c r="G2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COUNTIFS(tblTecnicos[rotativo],"sí",tblTecnicos[especialidad],tblAsignaciones[[#This Row],[especialidad]],tblTecnicos[area],tblAsignaciones[[#This Row],[area]],tblTecnicos[activo],"sí")</f>
        <v/>
      </c>
      <c r="G2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COUNTIFS(tblTecnicos[rotativo],"sí",tblTecnicos[especialidad],tblAsignaciones[[#This Row],[especialidad]],tblTecnicos[area],tblAsignaciones[[#This Row],[area]],tblTecnicos[activo],"sí")</f>
        <v/>
      </c>
      <c r="G2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COUNTIFS(tblTecnicos[rotativo],"sí",tblTecnicos[especialidad],tblAsignaciones[[#This Row],[especialidad]],tblTecnicos[area],tblAsignaciones[[#This Row],[area]],tblTecnicos[activo],"sí")</f>
        <v/>
      </c>
      <c r="G2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COUNTIFS(tblTecnicos[rotativo],"sí",tblTecnicos[especialidad],tblAsignaciones[[#This Row],[especialidad]],tblTecnicos[area],tblAsignaciones[[#This Row],[area]],tblTecnicos[activo],"sí")</f>
        <v/>
      </c>
      <c r="G2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COUNTIFS(tblTecnicos[rotativo],"sí",tblTecnicos[especialidad],tblAsignaciones[[#This Row],[especialidad]],tblTecnicos[area],tblAsignaciones[[#This Row],[area]],tblTecnicos[activo],"sí")</f>
        <v/>
      </c>
      <c r="G2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COUNTIFS(tblTecnicos[rotativo],"sí",tblTecnicos[especialidad],tblAsignaciones[[#This Row],[especialidad]],tblTecnicos[area],tblAsignaciones[[#This Row],[area]],tblTecnicos[activo],"sí")</f>
        <v/>
      </c>
      <c r="G2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COUNTIFS(tblTecnicos[rotativo],"sí",tblTecnicos[especialidad],tblAsignaciones[[#This Row],[especialidad]],tblTecnicos[area],tblAsignaciones[[#This Row],[area]],tblTecnicos[activo],"sí")</f>
        <v/>
      </c>
      <c r="G2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COUNTIFS(tblTecnicos[rotativo],"sí",tblTecnicos[especialidad],tblAsignaciones[[#This Row],[especialidad]],tblTecnicos[area],tblAsignaciones[[#This Row],[area]],tblTecnicos[activo],"sí")</f>
        <v/>
      </c>
      <c r="G2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COUNTIFS(tblTecnicos[rotativo],"sí",tblTecnicos[especialidad],tblAsignaciones[[#This Row],[especialidad]],tblTecnicos[area],tblAsignaciones[[#This Row],[area]],tblTecnicos[activo],"sí")</f>
        <v/>
      </c>
      <c r="G2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COUNTIFS(tblTecnicos[rotativo],"sí",tblTecnicos[especialidad],tblAsignaciones[[#This Row],[especialidad]],tblTecnicos[area],tblAsignaciones[[#This Row],[area]],tblTecnicos[activo],"sí")</f>
        <v/>
      </c>
      <c r="G2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COUNTIFS(tblTecnicos[rotativo],"sí",tblTecnicos[especialidad],tblAsignaciones[[#This Row],[especialidad]],tblTecnicos[area],tblAsignaciones[[#This Row],[area]],tblTecnicos[activo],"sí")</f>
        <v/>
      </c>
      <c r="G2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COUNTIFS(tblTecnicos[rotativo],"sí",tblTecnicos[especialidad],tblAsignaciones[[#This Row],[especialidad]],tblTecnicos[area],tblAsignaciones[[#This Row],[area]],tblTecnicos[activo],"sí")</f>
        <v/>
      </c>
      <c r="G2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COUNTIFS(tblTecnicos[rotativo],"sí",tblTecnicos[especialidad],tblAsignaciones[[#This Row],[especialidad]],tblTecnicos[area],tblAsignaciones[[#This Row],[area]],tblTecnicos[activo],"sí")</f>
        <v/>
      </c>
      <c r="G2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COUNTIFS(tblTecnicos[rotativo],"sí",tblTecnicos[especialidad],tblAsignaciones[[#This Row],[especialidad]],tblTecnicos[area],tblAsignaciones[[#This Row],[area]],tblTecnicos[activo],"sí")</f>
        <v/>
      </c>
      <c r="G2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COUNTIFS(tblTecnicos[rotativo],"sí",tblTecnicos[especialidad],tblAsignaciones[[#This Row],[especialidad]],tblTecnicos[area],tblAsignaciones[[#This Row],[area]],tblTecnicos[activo],"sí")</f>
        <v/>
      </c>
      <c r="G2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COUNTIFS(tblTecnicos[rotativo],"sí",tblTecnicos[especialidad],tblAsignaciones[[#This Row],[especialidad]],tblTecnicos[area],tblAsignaciones[[#This Row],[area]],tblTecnicos[activo],"sí")</f>
        <v/>
      </c>
      <c r="G2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COUNTIFS(tblTecnicos[rotativo],"sí",tblTecnicos[especialidad],tblAsignaciones[[#This Row],[especialidad]],tblTecnicos[area],tblAsignaciones[[#This Row],[area]],tblTecnicos[activo],"sí")</f>
        <v/>
      </c>
      <c r="G2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COUNTIFS(tblTecnicos[rotativo],"sí",tblTecnicos[especialidad],tblAsignaciones[[#This Row],[especialidad]],tblTecnicos[area],tblAsignaciones[[#This Row],[area]],tblTecnicos[activo],"sí")</f>
        <v/>
      </c>
      <c r="G2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COUNTIFS(tblTecnicos[rotativo],"sí",tblTecnicos[especialidad],tblAsignaciones[[#This Row],[especialidad]],tblTecnicos[area],tblAsignaciones[[#This Row],[area]],tblTecnicos[activo],"sí")</f>
        <v/>
      </c>
      <c r="G2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COUNTIFS(tblTecnicos[rotativo],"sí",tblTecnicos[especialidad],tblAsignaciones[[#This Row],[especialidad]],tblTecnicos[area],tblAsignaciones[[#This Row],[area]],tblTecnicos[activo],"sí")</f>
        <v/>
      </c>
      <c r="G2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COUNTIFS(tblTecnicos[rotativo],"sí",tblTecnicos[especialidad],tblAsignaciones[[#This Row],[especialidad]],tblTecnicos[area],tblAsignaciones[[#This Row],[area]],tblTecnicos[activo],"sí")</f>
        <v/>
      </c>
      <c r="G2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COUNTIFS(tblTecnicos[rotativo],"sí",tblTecnicos[especialidad],tblAsignaciones[[#This Row],[especialidad]],tblTecnicos[area],tblAsignaciones[[#This Row],[area]],tblTecnicos[activo],"sí")</f>
        <v/>
      </c>
      <c r="G2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COUNTIFS(tblTecnicos[rotativo],"sí",tblTecnicos[especialidad],tblAsignaciones[[#This Row],[especialidad]],tblTecnicos[area],tblAsignaciones[[#This Row],[area]],tblTecnicos[activo],"sí")</f>
        <v/>
      </c>
      <c r="G2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COUNTIFS(tblTecnicos[rotativo],"sí",tblTecnicos[especialidad],tblAsignaciones[[#This Row],[especialidad]],tblTecnicos[area],tblAsignaciones[[#This Row],[area]],tblTecnicos[activo],"sí")</f>
        <v/>
      </c>
      <c r="G2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COUNTIFS(tblTecnicos[rotativo],"sí",tblTecnicos[especialidad],tblAsignaciones[[#This Row],[especialidad]],tblTecnicos[area],tblAsignaciones[[#This Row],[area]],tblTecnicos[activo],"sí")</f>
        <v/>
      </c>
      <c r="G2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COUNTIFS(tblTecnicos[rotativo],"sí",tblTecnicos[especialidad],tblAsignaciones[[#This Row],[especialidad]],tblTecnicos[area],tblAsignaciones[[#This Row],[area]],tblTecnicos[activo],"sí")</f>
        <v/>
      </c>
      <c r="G2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COUNTIFS(tblTecnicos[rotativo],"sí",tblTecnicos[especialidad],tblAsignaciones[[#This Row],[especialidad]],tblTecnicos[area],tblAsignaciones[[#This Row],[area]],tblTecnicos[activo],"sí")</f>
        <v/>
      </c>
      <c r="G2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COUNTIFS(tblTecnicos[rotativo],"sí",tblTecnicos[especialidad],tblAsignaciones[[#This Row],[especialidad]],tblTecnicos[area],tblAsignaciones[[#This Row],[area]],tblTecnicos[activo],"sí")</f>
        <v/>
      </c>
      <c r="G2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COUNTIFS(tblTecnicos[rotativo],"sí",tblTecnicos[especialidad],tblAsignaciones[[#This Row],[especialidad]],tblTecnicos[area],tblAsignaciones[[#This Row],[area]],tblTecnicos[activo],"sí")</f>
        <v/>
      </c>
      <c r="G2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COUNTIFS(tblTecnicos[rotativo],"sí",tblTecnicos[especialidad],tblAsignaciones[[#This Row],[especialidad]],tblTecnicos[area],tblAsignaciones[[#This Row],[area]],tblTecnicos[activo],"sí")</f>
        <v/>
      </c>
      <c r="G2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COUNTIFS(tblTecnicos[rotativo],"sí",tblTecnicos[especialidad],tblAsignaciones[[#This Row],[especialidad]],tblTecnicos[area],tblAsignaciones[[#This Row],[area]],tblTecnicos[activo],"sí")</f>
        <v/>
      </c>
      <c r="G2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COUNTIFS(tblTecnicos[rotativo],"sí",tblTecnicos[especialidad],tblAsignaciones[[#This Row],[especialidad]],tblTecnicos[area],tblAsignaciones[[#This Row],[area]],tblTecnicos[activo],"sí")</f>
        <v/>
      </c>
      <c r="G2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COUNTIFS(tblTecnicos[rotativo],"sí",tblTecnicos[especialidad],tblAsignaciones[[#This Row],[especialidad]],tblTecnicos[area],tblAsignaciones[[#This Row],[area]],tblTecnicos[activo],"sí")</f>
        <v/>
      </c>
      <c r="G2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COUNTIFS(tblTecnicos[rotativo],"sí",tblTecnicos[especialidad],tblAsignaciones[[#This Row],[especialidad]],tblTecnicos[area],tblAsignaciones[[#This Row],[area]],tblTecnicos[activo],"sí")</f>
        <v/>
      </c>
      <c r="G2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COUNTIFS(tblTecnicos[rotativo],"sí",tblTecnicos[especialidad],tblAsignaciones[[#This Row],[especialidad]],tblTecnicos[area],tblAsignaciones[[#This Row],[area]],tblTecnicos[activo],"sí")</f>
        <v/>
      </c>
      <c r="G2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COUNTIFS(tblTecnicos[rotativo],"sí",tblTecnicos[especialidad],tblAsignaciones[[#This Row],[especialidad]],tblTecnicos[area],tblAsignaciones[[#This Row],[area]],tblTecnicos[activo],"sí")</f>
        <v/>
      </c>
      <c r="G2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COUNTIFS(tblTecnicos[rotativo],"sí",tblTecnicos[especialidad],tblAsignaciones[[#This Row],[especialidad]],tblTecnicos[area],tblAsignaciones[[#This Row],[area]],tblTecnicos[activo],"sí")</f>
        <v/>
      </c>
      <c r="G2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COUNTIFS(tblTecnicos[rotativo],"sí",tblTecnicos[especialidad],tblAsignaciones[[#This Row],[especialidad]],tblTecnicos[area],tblAsignaciones[[#This Row],[area]],tblTecnicos[activo],"sí")</f>
        <v/>
      </c>
      <c r="G2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COUNTIFS(tblTecnicos[rotativo],"sí",tblTecnicos[especialidad],tblAsignaciones[[#This Row],[especialidad]],tblTecnicos[area],tblAsignaciones[[#This Row],[area]],tblTecnicos[activo],"sí")</f>
        <v/>
      </c>
      <c r="G2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COUNTIFS(tblTecnicos[rotativo],"sí",tblTecnicos[especialidad],tblAsignaciones[[#This Row],[especialidad]],tblTecnicos[area],tblAsignaciones[[#This Row],[area]],tblTecnicos[activo],"sí")</f>
        <v/>
      </c>
      <c r="G2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COUNTIFS(tblTecnicos[rotativo],"sí",tblTecnicos[especialidad],tblAsignaciones[[#This Row],[especialidad]],tblTecnicos[area],tblAsignaciones[[#This Row],[area]],tblTecnicos[activo],"sí")</f>
        <v/>
      </c>
      <c r="G2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COUNTIFS(tblTecnicos[rotativo],"sí",tblTecnicos[especialidad],tblAsignaciones[[#This Row],[especialidad]],tblTecnicos[area],tblAsignaciones[[#This Row],[area]],tblTecnicos[activo],"sí")</f>
        <v/>
      </c>
      <c r="G2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COUNTIFS(tblTecnicos[rotativo],"sí",tblTecnicos[especialidad],tblAsignaciones[[#This Row],[especialidad]],tblTecnicos[area],tblAsignaciones[[#This Row],[area]],tblTecnicos[activo],"sí")</f>
        <v/>
      </c>
      <c r="G2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COUNTIFS(tblTecnicos[rotativo],"sí",tblTecnicos[especialidad],tblAsignaciones[[#This Row],[especialidad]],tblTecnicos[area],tblAsignaciones[[#This Row],[area]],tblTecnicos[activo],"sí")</f>
        <v/>
      </c>
      <c r="G2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COUNTIFS(tblTecnicos[rotativo],"sí",tblTecnicos[especialidad],tblAsignaciones[[#This Row],[especialidad]],tblTecnicos[area],tblAsignaciones[[#This Row],[area]],tblTecnicos[activo],"sí")</f>
        <v/>
      </c>
      <c r="G2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COUNTIFS(tblTecnicos[rotativo],"sí",tblTecnicos[especialidad],tblAsignaciones[[#This Row],[especialidad]],tblTecnicos[area],tblAsignaciones[[#This Row],[area]],tblTecnicos[activo],"sí")</f>
        <v/>
      </c>
      <c r="G2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COUNTIFS(tblTecnicos[rotativo],"sí",tblTecnicos[especialidad],tblAsignaciones[[#This Row],[especialidad]],tblTecnicos[area],tblAsignaciones[[#This Row],[area]],tblTecnicos[activo],"sí")</f>
        <v/>
      </c>
      <c r="G2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COUNTIFS(tblTecnicos[rotativo],"sí",tblTecnicos[especialidad],tblAsignaciones[[#This Row],[especialidad]],tblTecnicos[area],tblAsignaciones[[#This Row],[area]],tblTecnicos[activo],"sí")</f>
        <v/>
      </c>
      <c r="G2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COUNTIFS(tblTecnicos[rotativo],"sí",tblTecnicos[especialidad],tblAsignaciones[[#This Row],[especialidad]],tblTecnicos[area],tblAsignaciones[[#This Row],[area]],tblTecnicos[activo],"sí")</f>
        <v/>
      </c>
      <c r="G2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COUNTIFS(tblTecnicos[rotativo],"sí",tblTecnicos[especialidad],tblAsignaciones[[#This Row],[especialidad]],tblTecnicos[area],tblAsignaciones[[#This Row],[area]],tblTecnicos[activo],"sí")</f>
        <v/>
      </c>
      <c r="G2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COUNTIFS(tblTecnicos[rotativo],"sí",tblTecnicos[especialidad],tblAsignaciones[[#This Row],[especialidad]],tblTecnicos[area],tblAsignaciones[[#This Row],[area]],tblTecnicos[activo],"sí")</f>
        <v/>
      </c>
      <c r="G2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COUNTIFS(tblTecnicos[rotativo],"sí",tblTecnicos[especialidad],tblAsignaciones[[#This Row],[especialidad]],tblTecnicos[area],tblAsignaciones[[#This Row],[area]],tblTecnicos[activo],"sí")</f>
        <v/>
      </c>
      <c r="G2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COUNTIFS(tblTecnicos[rotativo],"sí",tblTecnicos[especialidad],tblAsignaciones[[#This Row],[especialidad]],tblTecnicos[area],tblAsignaciones[[#This Row],[area]],tblTecnicos[activo],"sí")</f>
        <v/>
      </c>
      <c r="G2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COUNTIFS(tblTecnicos[rotativo],"sí",tblTecnicos[especialidad],tblAsignaciones[[#This Row],[especialidad]],tblTecnicos[area],tblAsignaciones[[#This Row],[area]],tblTecnicos[activo],"sí")</f>
        <v/>
      </c>
      <c r="G2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COUNTIFS(tblTecnicos[rotativo],"sí",tblTecnicos[especialidad],tblAsignaciones[[#This Row],[especialidad]],tblTecnicos[area],tblAsignaciones[[#This Row],[area]],tblTecnicos[activo],"sí")</f>
        <v/>
      </c>
      <c r="G2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COUNTIFS(tblTecnicos[rotativo],"sí",tblTecnicos[especialidad],tblAsignaciones[[#This Row],[especialidad]],tblTecnicos[area],tblAsignaciones[[#This Row],[area]],tblTecnicos[activo],"sí")</f>
        <v/>
      </c>
      <c r="G3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COUNTIFS(tblTecnicos[rotativo],"sí",tblTecnicos[especialidad],tblAsignaciones[[#This Row],[especialidad]],tblTecnicos[area],tblAsignaciones[[#This Row],[area]],tblTecnicos[activo],"sí")</f>
        <v/>
      </c>
      <c r="G3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COUNTIFS(tblTecnicos[rotativo],"sí",tblTecnicos[especialidad],tblAsignaciones[[#This Row],[especialidad]],tblTecnicos[area],tblAsignaciones[[#This Row],[area]],tblTecnicos[activo],"sí")</f>
        <v/>
      </c>
      <c r="G3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COUNTIFS(tblTecnicos[rotativo],"sí",tblTecnicos[especialidad],tblAsignaciones[[#This Row],[especialidad]],tblTecnicos[area],tblAsignaciones[[#This Row],[area]],tblTecnicos[activo],"sí")</f>
        <v/>
      </c>
      <c r="G3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COUNTIFS(tblTecnicos[rotativo],"sí",tblTecnicos[especialidad],tblAsignaciones[[#This Row],[especialidad]],tblTecnicos[area],tblAsignaciones[[#This Row],[area]],tblTecnicos[activo],"sí")</f>
        <v/>
      </c>
      <c r="G3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COUNTIFS(tblTecnicos[rotativo],"sí",tblTecnicos[especialidad],tblAsignaciones[[#This Row],[especialidad]],tblTecnicos[area],tblAsignaciones[[#This Row],[area]],tblTecnicos[activo],"sí")</f>
        <v/>
      </c>
      <c r="G3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COUNTIFS(tblTecnicos[rotativo],"sí",tblTecnicos[especialidad],tblAsignaciones[[#This Row],[especialidad]],tblTecnicos[area],tblAsignaciones[[#This Row],[area]],tblTecnicos[activo],"sí")</f>
        <v/>
      </c>
      <c r="G3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COUNTIFS(tblTecnicos[rotativo],"sí",tblTecnicos[especialidad],tblAsignaciones[[#This Row],[especialidad]],tblTecnicos[area],tblAsignaciones[[#This Row],[area]],tblTecnicos[activo],"sí")</f>
        <v/>
      </c>
      <c r="G3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COUNTIFS(tblTecnicos[rotativo],"sí",tblTecnicos[especialidad],tblAsignaciones[[#This Row],[especialidad]],tblTecnicos[area],tblAsignaciones[[#This Row],[area]],tblTecnicos[activo],"sí")</f>
        <v/>
      </c>
      <c r="G3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COUNTIFS(tblTecnicos[rotativo],"sí",tblTecnicos[especialidad],tblAsignaciones[[#This Row],[especialidad]],tblTecnicos[area],tblAsignaciones[[#This Row],[area]],tblTecnicos[activo],"sí")</f>
        <v/>
      </c>
      <c r="G3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COUNTIFS(tblTecnicos[rotativo],"sí",tblTecnicos[especialidad],tblAsignaciones[[#This Row],[especialidad]],tblTecnicos[area],tblAsignaciones[[#This Row],[area]],tblTecnicos[activo],"sí")</f>
        <v/>
      </c>
      <c r="G3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COUNTIFS(tblTecnicos[rotativo],"sí",tblTecnicos[especialidad],tblAsignaciones[[#This Row],[especialidad]],tblTecnicos[area],tblAsignaciones[[#This Row],[area]],tblTecnicos[activo],"sí")</f>
        <v/>
      </c>
      <c r="G3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COUNTIFS(tblTecnicos[rotativo],"sí",tblTecnicos[especialidad],tblAsignaciones[[#This Row],[especialidad]],tblTecnicos[area],tblAsignaciones[[#This Row],[area]],tblTecnicos[activo],"sí")</f>
        <v/>
      </c>
      <c r="G3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COUNTIFS(tblTecnicos[rotativo],"sí",tblTecnicos[especialidad],tblAsignaciones[[#This Row],[especialidad]],tblTecnicos[area],tblAsignaciones[[#This Row],[area]],tblTecnicos[activo],"sí")</f>
        <v/>
      </c>
      <c r="G3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COUNTIFS(tblTecnicos[rotativo],"sí",tblTecnicos[especialidad],tblAsignaciones[[#This Row],[especialidad]],tblTecnicos[area],tblAsignaciones[[#This Row],[area]],tblTecnicos[activo],"sí")</f>
        <v/>
      </c>
      <c r="G3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COUNTIFS(tblTecnicos[rotativo],"sí",tblTecnicos[especialidad],tblAsignaciones[[#This Row],[especialidad]],tblTecnicos[area],tblAsignaciones[[#This Row],[area]],tblTecnicos[activo],"sí")</f>
        <v/>
      </c>
      <c r="G3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COUNTIFS(tblTecnicos[rotativo],"sí",tblTecnicos[especialidad],tblAsignaciones[[#This Row],[especialidad]],tblTecnicos[area],tblAsignaciones[[#This Row],[area]],tblTecnicos[activo],"sí")</f>
        <v/>
      </c>
      <c r="G3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COUNTIFS(tblTecnicos[rotativo],"sí",tblTecnicos[especialidad],tblAsignaciones[[#This Row],[especialidad]],tblTecnicos[area],tblAsignaciones[[#This Row],[area]],tblTecnicos[activo],"sí")</f>
        <v/>
      </c>
      <c r="G3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COUNTIFS(tblTecnicos[rotativo],"sí",tblTecnicos[especialidad],tblAsignaciones[[#This Row],[especialidad]],tblTecnicos[area],tblAsignaciones[[#This Row],[area]],tblTecnicos[activo],"sí")</f>
        <v/>
      </c>
      <c r="G3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COUNTIFS(tblTecnicos[rotativo],"sí",tblTecnicos[especialidad],tblAsignaciones[[#This Row],[especialidad]],tblTecnicos[area],tblAsignaciones[[#This Row],[area]],tblTecnicos[activo],"sí")</f>
        <v/>
      </c>
      <c r="G3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COUNTIFS(tblTecnicos[rotativo],"sí",tblTecnicos[especialidad],tblAsignaciones[[#This Row],[especialidad]],tblTecnicos[area],tblAsignaciones[[#This Row],[area]],tblTecnicos[activo],"sí")</f>
        <v/>
      </c>
      <c r="G3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COUNTIFS(tblTecnicos[rotativo],"sí",tblTecnicos[especialidad],tblAsignaciones[[#This Row],[especialidad]],tblTecnicos[area],tblAsignaciones[[#This Row],[area]],tblTecnicos[activo],"sí")</f>
        <v/>
      </c>
      <c r="G3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COUNTIFS(tblTecnicos[rotativo],"sí",tblTecnicos[especialidad],tblAsignaciones[[#This Row],[especialidad]],tblTecnicos[area],tblAsignaciones[[#This Row],[area]],tblTecnicos[activo],"sí")</f>
        <v/>
      </c>
      <c r="G3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COUNTIFS(tblTecnicos[rotativo],"sí",tblTecnicos[especialidad],tblAsignaciones[[#This Row],[especialidad]],tblTecnicos[area],tblAsignaciones[[#This Row],[area]],tblTecnicos[activo],"sí")</f>
        <v/>
      </c>
      <c r="G3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COUNTIFS(tblTecnicos[rotativo],"sí",tblTecnicos[especialidad],tblAsignaciones[[#This Row],[especialidad]],tblTecnicos[area],tblAsignaciones[[#This Row],[area]],tblTecnicos[activo],"sí")</f>
        <v/>
      </c>
      <c r="G3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COUNTIFS(tblTecnicos[rotativo],"sí",tblTecnicos[especialidad],tblAsignaciones[[#This Row],[especialidad]],tblTecnicos[area],tblAsignaciones[[#This Row],[area]],tblTecnicos[activo],"sí")</f>
        <v/>
      </c>
      <c r="G3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COUNTIFS(tblTecnicos[rotativo],"sí",tblTecnicos[especialidad],tblAsignaciones[[#This Row],[especialidad]],tblTecnicos[area],tblAsignaciones[[#This Row],[area]],tblTecnicos[activo],"sí")</f>
        <v/>
      </c>
      <c r="G3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COUNTIFS(tblTecnicos[rotativo],"sí",tblTecnicos[especialidad],tblAsignaciones[[#This Row],[especialidad]],tblTecnicos[area],tblAsignaciones[[#This Row],[area]],tblTecnicos[activo],"sí")</f>
        <v/>
      </c>
      <c r="G3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COUNTIFS(tblTecnicos[rotativo],"sí",tblTecnicos[especialidad],tblAsignaciones[[#This Row],[especialidad]],tblTecnicos[area],tblAsignaciones[[#This Row],[area]],tblTecnicos[activo],"sí")</f>
        <v/>
      </c>
      <c r="G3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COUNTIFS(tblTecnicos[rotativo],"sí",tblTecnicos[especialidad],tblAsignaciones[[#This Row],[especialidad]],tblTecnicos[area],tblAsignaciones[[#This Row],[area]],tblTecnicos[activo],"sí")</f>
        <v/>
      </c>
      <c r="G3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COUNTIFS(tblTecnicos[rotativo],"sí",tblTecnicos[especialidad],tblAsignaciones[[#This Row],[especialidad]],tblTecnicos[area],tblAsignaciones[[#This Row],[area]],tblTecnicos[activo],"sí")</f>
        <v/>
      </c>
      <c r="G3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COUNTIFS(tblTecnicos[rotativo],"sí",tblTecnicos[especialidad],tblAsignaciones[[#This Row],[especialidad]],tblTecnicos[area],tblAsignaciones[[#This Row],[area]],tblTecnicos[activo],"sí")</f>
        <v/>
      </c>
      <c r="G3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COUNTIFS(tblTecnicos[rotativo],"sí",tblTecnicos[especialidad],tblAsignaciones[[#This Row],[especialidad]],tblTecnicos[area],tblAsignaciones[[#This Row],[area]],tblTecnicos[activo],"sí")</f>
        <v/>
      </c>
      <c r="G3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COUNTIFS(tblTecnicos[rotativo],"sí",tblTecnicos[especialidad],tblAsignaciones[[#This Row],[especialidad]],tblTecnicos[area],tblAsignaciones[[#This Row],[area]],tblTecnicos[activo],"sí")</f>
        <v/>
      </c>
      <c r="G3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COUNTIFS(tblTecnicos[rotativo],"sí",tblTecnicos[especialidad],tblAsignaciones[[#This Row],[especialidad]],tblTecnicos[area],tblAsignaciones[[#This Row],[area]],tblTecnicos[activo],"sí")</f>
        <v/>
      </c>
      <c r="G3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COUNTIFS(tblTecnicos[rotativo],"sí",tblTecnicos[especialidad],tblAsignaciones[[#This Row],[especialidad]],tblTecnicos[area],tblAsignaciones[[#This Row],[area]],tblTecnicos[activo],"sí")</f>
        <v/>
      </c>
      <c r="G3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COUNTIFS(tblTecnicos[rotativo],"sí",tblTecnicos[especialidad],tblAsignaciones[[#This Row],[especialidad]],tblTecnicos[area],tblAsignaciones[[#This Row],[area]],tblTecnicos[activo],"sí")</f>
        <v/>
      </c>
      <c r="G3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COUNTIFS(tblTecnicos[rotativo],"sí",tblTecnicos[especialidad],tblAsignaciones[[#This Row],[especialidad]],tblTecnicos[area],tblAsignaciones[[#This Row],[area]],tblTecnicos[activo],"sí")</f>
        <v/>
      </c>
      <c r="G3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COUNTIFS(tblTecnicos[rotativo],"sí",tblTecnicos[especialidad],tblAsignaciones[[#This Row],[especialidad]],tblTecnicos[area],tblAsignaciones[[#This Row],[area]],tblTecnicos[activo],"sí")</f>
        <v/>
      </c>
      <c r="G3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COUNTIFS(tblTecnicos[rotativo],"sí",tblTecnicos[especialidad],tblAsignaciones[[#This Row],[especialidad]],tblTecnicos[area],tblAsignaciones[[#This Row],[area]],tblTecnicos[activo],"sí")</f>
        <v/>
      </c>
      <c r="G3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COUNTIFS(tblTecnicos[rotativo],"sí",tblTecnicos[especialidad],tblAsignaciones[[#This Row],[especialidad]],tblTecnicos[area],tblAsignaciones[[#This Row],[area]],tblTecnicos[activo],"sí")</f>
        <v/>
      </c>
      <c r="G3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COUNTIFS(tblTecnicos[rotativo],"sí",tblTecnicos[especialidad],tblAsignaciones[[#This Row],[especialidad]],tblTecnicos[area],tblAsignaciones[[#This Row],[area]],tblTecnicos[activo],"sí")</f>
        <v/>
      </c>
      <c r="G3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COUNTIFS(tblTecnicos[rotativo],"sí",tblTecnicos[especialidad],tblAsignaciones[[#This Row],[especialidad]],tblTecnicos[area],tblAsignaciones[[#This Row],[area]],tblTecnicos[activo],"sí")</f>
        <v/>
      </c>
      <c r="G3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COUNTIFS(tblTecnicos[rotativo],"sí",tblTecnicos[especialidad],tblAsignaciones[[#This Row],[especialidad]],tblTecnicos[area],tblAsignaciones[[#This Row],[area]],tblTecnicos[activo],"sí")</f>
        <v/>
      </c>
      <c r="G3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COUNTIFS(tblTecnicos[rotativo],"sí",tblTecnicos[especialidad],tblAsignaciones[[#This Row],[especialidad]],tblTecnicos[area],tblAsignaciones[[#This Row],[area]],tblTecnicos[activo],"sí")</f>
        <v/>
      </c>
      <c r="G3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COUNTIFS(tblTecnicos[rotativo],"sí",tblTecnicos[especialidad],tblAsignaciones[[#This Row],[especialidad]],tblTecnicos[area],tblAsignaciones[[#This Row],[area]],tblTecnicos[activo],"sí")</f>
        <v/>
      </c>
      <c r="G3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COUNTIFS(tblTecnicos[rotativo],"sí",tblTecnicos[especialidad],tblAsignaciones[[#This Row],[especialidad]],tblTecnicos[area],tblAsignaciones[[#This Row],[area]],tblTecnicos[activo],"sí")</f>
        <v/>
      </c>
      <c r="G3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COUNTIFS(tblTecnicos[rotativo],"sí",tblTecnicos[especialidad],tblAsignaciones[[#This Row],[especialidad]],tblTecnicos[area],tblAsignaciones[[#This Row],[area]],tblTecnicos[activo],"sí")</f>
        <v/>
      </c>
      <c r="G3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COUNTIFS(tblTecnicos[rotativo],"sí",tblTecnicos[especialidad],tblAsignaciones[[#This Row],[especialidad]],tblTecnicos[area],tblAsignaciones[[#This Row],[area]],tblTecnicos[activo],"sí")</f>
        <v/>
      </c>
      <c r="G3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COUNTIFS(tblTecnicos[rotativo],"sí",tblTecnicos[especialidad],tblAsignaciones[[#This Row],[especialidad]],tblTecnicos[area],tblAsignaciones[[#This Row],[area]],tblTecnicos[activo],"sí")</f>
        <v/>
      </c>
      <c r="G3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COUNTIFS(tblTecnicos[rotativo],"sí",tblTecnicos[especialidad],tblAsignaciones[[#This Row],[especialidad]],tblTecnicos[area],tblAsignaciones[[#This Row],[area]],tblTecnicos[activo],"sí")</f>
        <v/>
      </c>
      <c r="G3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COUNTIFS(tblTecnicos[rotativo],"sí",tblTecnicos[especialidad],tblAsignaciones[[#This Row],[especialidad]],tblTecnicos[area],tblAsignaciones[[#This Row],[area]],tblTecnicos[activo],"sí")</f>
        <v/>
      </c>
      <c r="G3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COUNTIFS(tblTecnicos[rotativo],"sí",tblTecnicos[especialidad],tblAsignaciones[[#This Row],[especialidad]],tblTecnicos[area],tblAsignaciones[[#This Row],[area]],tblTecnicos[activo],"sí")</f>
        <v/>
      </c>
      <c r="G3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COUNTIFS(tblTecnicos[rotativo],"sí",tblTecnicos[especialidad],tblAsignaciones[[#This Row],[especialidad]],tblTecnicos[area],tblAsignaciones[[#This Row],[area]],tblTecnicos[activo],"sí")</f>
        <v/>
      </c>
      <c r="G3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COUNTIFS(tblTecnicos[rotativo],"sí",tblTecnicos[especialidad],tblAsignaciones[[#This Row],[especialidad]],tblTecnicos[area],tblAsignaciones[[#This Row],[area]],tblTecnicos[activo],"sí")</f>
        <v/>
      </c>
      <c r="G3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COUNTIFS(tblTecnicos[rotativo],"sí",tblTecnicos[especialidad],tblAsignaciones[[#This Row],[especialidad]],tblTecnicos[area],tblAsignaciones[[#This Row],[area]],tblTecnicos[activo],"sí")</f>
        <v/>
      </c>
      <c r="G3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COUNTIFS(tblTecnicos[rotativo],"sí",tblTecnicos[especialidad],tblAsignaciones[[#This Row],[especialidad]],tblTecnicos[area],tblAsignaciones[[#This Row],[area]],tblTecnicos[activo],"sí")</f>
        <v/>
      </c>
      <c r="G3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COUNTIFS(tblTecnicos[rotativo],"sí",tblTecnicos[especialidad],tblAsignaciones[[#This Row],[especialidad]],tblTecnicos[area],tblAsignaciones[[#This Row],[area]],tblTecnicos[activo],"sí")</f>
        <v/>
      </c>
      <c r="G3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COUNTIFS(tblTecnicos[rotativo],"sí",tblTecnicos[especialidad],tblAsignaciones[[#This Row],[especialidad]],tblTecnicos[area],tblAsignaciones[[#This Row],[area]],tblTecnicos[activo],"sí")</f>
        <v/>
      </c>
      <c r="G3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COUNTIFS(tblTecnicos[rotativo],"sí",tblTecnicos[especialidad],tblAsignaciones[[#This Row],[especialidad]],tblTecnicos[area],tblAsignaciones[[#This Row],[area]],tblTecnicos[activo],"sí")</f>
        <v/>
      </c>
      <c r="G3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COUNTIFS(tblTecnicos[rotativo],"sí",tblTecnicos[especialidad],tblAsignaciones[[#This Row],[especialidad]],tblTecnicos[area],tblAsignaciones[[#This Row],[area]],tblTecnicos[activo],"sí")</f>
        <v/>
      </c>
      <c r="G3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COUNTIFS(tblTecnicos[rotativo],"sí",tblTecnicos[especialidad],tblAsignaciones[[#This Row],[especialidad]],tblTecnicos[area],tblAsignaciones[[#This Row],[area]],tblTecnicos[activo],"sí")</f>
        <v/>
      </c>
      <c r="G3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COUNTIFS(tblTecnicos[rotativo],"sí",tblTecnicos[especialidad],tblAsignaciones[[#This Row],[especialidad]],tblTecnicos[area],tblAsignaciones[[#This Row],[area]],tblTecnicos[activo],"sí")</f>
        <v/>
      </c>
      <c r="G3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COUNTIFS(tblTecnicos[rotativo],"sí",tblTecnicos[especialidad],tblAsignaciones[[#This Row],[especialidad]],tblTecnicos[area],tblAsignaciones[[#This Row],[area]],tblTecnicos[activo],"sí")</f>
        <v/>
      </c>
      <c r="G3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COUNTIFS(tblTecnicos[rotativo],"sí",tblTecnicos[especialidad],tblAsignaciones[[#This Row],[especialidad]],tblTecnicos[area],tblAsignaciones[[#This Row],[area]],tblTecnicos[activo],"sí")</f>
        <v/>
      </c>
      <c r="G3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COUNTIFS(tblTecnicos[rotativo],"sí",tblTecnicos[especialidad],tblAsignaciones[[#This Row],[especialidad]],tblTecnicos[area],tblAsignaciones[[#This Row],[area]],tblTecnicos[activo],"sí")</f>
        <v/>
      </c>
      <c r="G3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COUNTIFS(tblTecnicos[rotativo],"sí",tblTecnicos[especialidad],tblAsignaciones[[#This Row],[especialidad]],tblTecnicos[area],tblAsignaciones[[#This Row],[area]],tblTecnicos[activo],"sí")</f>
        <v/>
      </c>
      <c r="G3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COUNTIFS(tblTecnicos[rotativo],"sí",tblTecnicos[especialidad],tblAsignaciones[[#This Row],[especialidad]],tblTecnicos[area],tblAsignaciones[[#This Row],[area]],tblTecnicos[activo],"sí")</f>
        <v/>
      </c>
      <c r="G3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COUNTIFS(tblTecnicos[rotativo],"sí",tblTecnicos[especialidad],tblAsignaciones[[#This Row],[especialidad]],tblTecnicos[area],tblAsignaciones[[#This Row],[area]],tblTecnicos[activo],"sí")</f>
        <v/>
      </c>
      <c r="G3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COUNTIFS(tblTecnicos[rotativo],"sí",tblTecnicos[especialidad],tblAsignaciones[[#This Row],[especialidad]],tblTecnicos[area],tblAsignaciones[[#This Row],[area]],tblTecnicos[activo],"sí")</f>
        <v/>
      </c>
      <c r="G3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COUNTIFS(tblTecnicos[rotativo],"sí",tblTecnicos[especialidad],tblAsignaciones[[#This Row],[especialidad]],tblTecnicos[area],tblAsignaciones[[#This Row],[area]],tblTecnicos[activo],"sí")</f>
        <v/>
      </c>
      <c r="G3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COUNTIFS(tblTecnicos[rotativo],"sí",tblTecnicos[especialidad],tblAsignaciones[[#This Row],[especialidad]],tblTecnicos[area],tblAsignaciones[[#This Row],[area]],tblTecnicos[activo],"sí")</f>
        <v/>
      </c>
      <c r="G3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COUNTIFS(tblTecnicos[rotativo],"sí",tblTecnicos[especialidad],tblAsignaciones[[#This Row],[especialidad]],tblTecnicos[area],tblAsignaciones[[#This Row],[area]],tblTecnicos[activo],"sí")</f>
        <v/>
      </c>
      <c r="G3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COUNTIFS(tblTecnicos[rotativo],"sí",tblTecnicos[especialidad],tblAsignaciones[[#This Row],[especialidad]],tblTecnicos[area],tblAsignaciones[[#This Row],[area]],tblTecnicos[activo],"sí")</f>
        <v/>
      </c>
      <c r="G3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COUNTIFS(tblTecnicos[rotativo],"sí",tblTecnicos[especialidad],tblAsignaciones[[#This Row],[especialidad]],tblTecnicos[area],tblAsignaciones[[#This Row],[area]],tblTecnicos[activo],"sí")</f>
        <v/>
      </c>
      <c r="G3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COUNTIFS(tblTecnicos[rotativo],"sí",tblTecnicos[especialidad],tblAsignaciones[[#This Row],[especialidad]],tblTecnicos[area],tblAsignaciones[[#This Row],[area]],tblTecnicos[activo],"sí")</f>
        <v/>
      </c>
      <c r="G3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COUNTIFS(tblTecnicos[rotativo],"sí",tblTecnicos[especialidad],tblAsignaciones[[#This Row],[especialidad]],tblTecnicos[area],tblAsignaciones[[#This Row],[area]],tblTecnicos[activo],"sí")</f>
        <v/>
      </c>
      <c r="G3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COUNTIFS(tblTecnicos[rotativo],"sí",tblTecnicos[especialidad],tblAsignaciones[[#This Row],[especialidad]],tblTecnicos[area],tblAsignaciones[[#This Row],[area]],tblTecnicos[activo],"sí")</f>
        <v/>
      </c>
      <c r="G3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COUNTIFS(tblTecnicos[rotativo],"sí",tblTecnicos[especialidad],tblAsignaciones[[#This Row],[especialidad]],tblTecnicos[area],tblAsignaciones[[#This Row],[area]],tblTecnicos[activo],"sí")</f>
        <v/>
      </c>
      <c r="G3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COUNTIFS(tblTecnicos[rotativo],"sí",tblTecnicos[especialidad],tblAsignaciones[[#This Row],[especialidad]],tblTecnicos[area],tblAsignaciones[[#This Row],[area]],tblTecnicos[activo],"sí")</f>
        <v/>
      </c>
      <c r="G3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COUNTIFS(tblTecnicos[rotativo],"sí",tblTecnicos[especialidad],tblAsignaciones[[#This Row],[especialidad]],tblTecnicos[area],tblAsignaciones[[#This Row],[area]],tblTecnicos[activo],"sí")</f>
        <v/>
      </c>
      <c r="G3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COUNTIFS(tblTecnicos[rotativo],"sí",tblTecnicos[especialidad],tblAsignaciones[[#This Row],[especialidad]],tblTecnicos[area],tblAsignaciones[[#This Row],[area]],tblTecnicos[activo],"sí")</f>
        <v/>
      </c>
      <c r="G3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COUNTIFS(tblTecnicos[rotativo],"sí",tblTecnicos[especialidad],tblAsignaciones[[#This Row],[especialidad]],tblTecnicos[area],tblAsignaciones[[#This Row],[area]],tblTecnicos[activo],"sí")</f>
        <v/>
      </c>
      <c r="G3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COUNTIFS(tblTecnicos[rotativo],"sí",tblTecnicos[especialidad],tblAsignaciones[[#This Row],[especialidad]],tblTecnicos[area],tblAsignaciones[[#This Row],[area]],tblTecnicos[activo],"sí")</f>
        <v/>
      </c>
      <c r="G3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COUNTIFS(tblTecnicos[rotativo],"sí",tblTecnicos[especialidad],tblAsignaciones[[#This Row],[especialidad]],tblTecnicos[area],tblAsignaciones[[#This Row],[area]],tblTecnicos[activo],"sí")</f>
        <v/>
      </c>
      <c r="G3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COUNTIFS(tblTecnicos[rotativo],"sí",tblTecnicos[especialidad],tblAsignaciones[[#This Row],[especialidad]],tblTecnicos[area],tblAsignaciones[[#This Row],[area]],tblTecnicos[activo],"sí")</f>
        <v/>
      </c>
      <c r="G3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COUNTIFS(tblTecnicos[rotativo],"sí",tblTecnicos[especialidad],tblAsignaciones[[#This Row],[especialidad]],tblTecnicos[area],tblAsignaciones[[#This Row],[area]],tblTecnicos[activo],"sí")</f>
        <v/>
      </c>
      <c r="G3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COUNTIFS(tblTecnicos[rotativo],"sí",tblTecnicos[especialidad],tblAsignaciones[[#This Row],[especialidad]],tblTecnicos[area],tblAsignaciones[[#This Row],[area]],tblTecnicos[activo],"sí")</f>
        <v/>
      </c>
      <c r="G3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COUNTIFS(tblTecnicos[rotativo],"sí",tblTecnicos[especialidad],tblAsignaciones[[#This Row],[especialidad]],tblTecnicos[area],tblAsignaciones[[#This Row],[area]],tblTecnicos[activo],"sí")</f>
        <v/>
      </c>
      <c r="G3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COUNTIFS(tblTecnicos[rotativo],"sí",tblTecnicos[especialidad],tblAsignaciones[[#This Row],[especialidad]],tblTecnicos[area],tblAsignaciones[[#This Row],[area]],tblTecnicos[activo],"sí")</f>
        <v/>
      </c>
      <c r="G3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COUNTIFS(tblTecnicos[rotativo],"sí",tblTecnicos[especialidad],tblAsignaciones[[#This Row],[especialidad]],tblTecnicos[area],tblAsignaciones[[#This Row],[area]],tblTecnicos[activo],"sí")</f>
        <v/>
      </c>
      <c r="G3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COUNTIFS(tblTecnicos[rotativo],"sí",tblTecnicos[especialidad],tblAsignaciones[[#This Row],[especialidad]],tblTecnicos[area],tblAsignaciones[[#This Row],[area]],tblTecnicos[activo],"sí")</f>
        <v/>
      </c>
      <c r="G3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COUNTIFS(tblTecnicos[rotativo],"sí",tblTecnicos[especialidad],tblAsignaciones[[#This Row],[especialidad]],tblTecnicos[area],tblAsignaciones[[#This Row],[area]],tblTecnicos[activo],"sí")</f>
        <v/>
      </c>
      <c r="G3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COUNTIFS(tblTecnicos[rotativo],"sí",tblTecnicos[especialidad],tblAsignaciones[[#This Row],[especialidad]],tblTecnicos[area],tblAsignaciones[[#This Row],[area]],tblTecnicos[activo],"sí")</f>
        <v/>
      </c>
      <c r="G3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COUNTIFS(tblTecnicos[rotativo],"sí",tblTecnicos[especialidad],tblAsignaciones[[#This Row],[especialidad]],tblTecnicos[area],tblAsignaciones[[#This Row],[area]],tblTecnicos[activo],"sí")</f>
        <v/>
      </c>
      <c r="G3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COUNTIFS(tblTecnicos[rotativo],"sí",tblTecnicos[especialidad],tblAsignaciones[[#This Row],[especialidad]],tblTecnicos[area],tblAsignaciones[[#This Row],[area]],tblTecnicos[activo],"sí")</f>
        <v/>
      </c>
      <c r="G3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COUNTIFS(tblTecnicos[rotativo],"sí",tblTecnicos[especialidad],tblAsignaciones[[#This Row],[especialidad]],tblTecnicos[area],tblAsignaciones[[#This Row],[area]],tblTecnicos[activo],"sí")</f>
        <v/>
      </c>
      <c r="G3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COUNTIFS(tblTecnicos[rotativo],"sí",tblTecnicos[especialidad],tblAsignaciones[[#This Row],[especialidad]],tblTecnicos[area],tblAsignaciones[[#This Row],[area]],tblTecnicos[activo],"sí")</f>
        <v/>
      </c>
      <c r="G3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COUNTIFS(tblTecnicos[rotativo],"sí",tblTecnicos[especialidad],tblAsignaciones[[#This Row],[especialidad]],tblTecnicos[area],tblAsignaciones[[#This Row],[area]],tblTecnicos[activo],"sí")</f>
        <v/>
      </c>
      <c r="G3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COUNTIFS(tblTecnicos[rotativo],"sí",tblTecnicos[especialidad],tblAsignaciones[[#This Row],[especialidad]],tblTecnicos[area],tblAsignaciones[[#This Row],[area]],tblTecnicos[activo],"sí")</f>
        <v/>
      </c>
      <c r="G3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COUNTIFS(tblTecnicos[rotativo],"sí",tblTecnicos[especialidad],tblAsignaciones[[#This Row],[especialidad]],tblTecnicos[area],tblAsignaciones[[#This Row],[area]],tblTecnicos[activo],"sí")</f>
        <v/>
      </c>
      <c r="G4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COUNTIFS(tblTecnicos[rotativo],"sí",tblTecnicos[especialidad],tblAsignaciones[[#This Row],[especialidad]],tblTecnicos[area],tblAsignaciones[[#This Row],[area]],tblTecnicos[activo],"sí")</f>
        <v/>
      </c>
      <c r="G4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COUNTIFS(tblTecnicos[rotativo],"sí",tblTecnicos[especialidad],tblAsignaciones[[#This Row],[especialidad]],tblTecnicos[area],tblAsignaciones[[#This Row],[area]],tblTecnicos[activo],"sí")</f>
        <v/>
      </c>
      <c r="G4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COUNTIFS(tblTecnicos[rotativo],"sí",tblTecnicos[especialidad],tblAsignaciones[[#This Row],[especialidad]],tblTecnicos[area],tblAsignaciones[[#This Row],[area]],tblTecnicos[activo],"sí")</f>
        <v/>
      </c>
      <c r="G4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COUNTIFS(tblTecnicos[rotativo],"sí",tblTecnicos[especialidad],tblAsignaciones[[#This Row],[especialidad]],tblTecnicos[area],tblAsignaciones[[#This Row],[area]],tblTecnicos[activo],"sí")</f>
        <v/>
      </c>
      <c r="G4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COUNTIFS(tblTecnicos[rotativo],"sí",tblTecnicos[especialidad],tblAsignaciones[[#This Row],[especialidad]],tblTecnicos[area],tblAsignaciones[[#This Row],[area]],tblTecnicos[activo],"sí")</f>
        <v/>
      </c>
      <c r="G4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COUNTIFS(tblTecnicos[rotativo],"sí",tblTecnicos[especialidad],tblAsignaciones[[#This Row],[especialidad]],tblTecnicos[area],tblAsignaciones[[#This Row],[area]],tblTecnicos[activo],"sí")</f>
        <v/>
      </c>
      <c r="G4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COUNTIFS(tblTecnicos[rotativo],"sí",tblTecnicos[especialidad],tblAsignaciones[[#This Row],[especialidad]],tblTecnicos[area],tblAsignaciones[[#This Row],[area]],tblTecnicos[activo],"sí")</f>
        <v/>
      </c>
      <c r="G4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COUNTIFS(tblTecnicos[rotativo],"sí",tblTecnicos[especialidad],tblAsignaciones[[#This Row],[especialidad]],tblTecnicos[area],tblAsignaciones[[#This Row],[area]],tblTecnicos[activo],"sí")</f>
        <v/>
      </c>
      <c r="G4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COUNTIFS(tblTecnicos[rotativo],"sí",tblTecnicos[especialidad],tblAsignaciones[[#This Row],[especialidad]],tblTecnicos[area],tblAsignaciones[[#This Row],[area]],tblTecnicos[activo],"sí")</f>
        <v/>
      </c>
      <c r="G4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COUNTIFS(tblTecnicos[rotativo],"sí",tblTecnicos[especialidad],tblAsignaciones[[#This Row],[especialidad]],tblTecnicos[area],tblAsignaciones[[#This Row],[area]],tblTecnicos[activo],"sí")</f>
        <v/>
      </c>
      <c r="G4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COUNTIFS(tblTecnicos[rotativo],"sí",tblTecnicos[especialidad],tblAsignaciones[[#This Row],[especialidad]],tblTecnicos[area],tblAsignaciones[[#This Row],[area]],tblTecnicos[activo],"sí")</f>
        <v/>
      </c>
      <c r="G4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COUNTIFS(tblTecnicos[rotativo],"sí",tblTecnicos[especialidad],tblAsignaciones[[#This Row],[especialidad]],tblTecnicos[area],tblAsignaciones[[#This Row],[area]],tblTecnicos[activo],"sí")</f>
        <v/>
      </c>
      <c r="G4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COUNTIFS(tblTecnicos[rotativo],"sí",tblTecnicos[especialidad],tblAsignaciones[[#This Row],[especialidad]],tblTecnicos[area],tblAsignaciones[[#This Row],[area]],tblTecnicos[activo],"sí")</f>
        <v/>
      </c>
      <c r="G4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COUNTIFS(tblTecnicos[rotativo],"sí",tblTecnicos[especialidad],tblAsignaciones[[#This Row],[especialidad]],tblTecnicos[area],tblAsignaciones[[#This Row],[area]],tblTecnicos[activo],"sí")</f>
        <v/>
      </c>
      <c r="G4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COUNTIFS(tblTecnicos[rotativo],"sí",tblTecnicos[especialidad],tblAsignaciones[[#This Row],[especialidad]],tblTecnicos[area],tblAsignaciones[[#This Row],[area]],tblTecnicos[activo],"sí")</f>
        <v/>
      </c>
      <c r="G4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COUNTIFS(tblTecnicos[rotativo],"sí",tblTecnicos[especialidad],tblAsignaciones[[#This Row],[especialidad]],tblTecnicos[area],tblAsignaciones[[#This Row],[area]],tblTecnicos[activo],"sí")</f>
        <v/>
      </c>
      <c r="G4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COUNTIFS(tblTecnicos[rotativo],"sí",tblTecnicos[especialidad],tblAsignaciones[[#This Row],[especialidad]],tblTecnicos[area],tblAsignaciones[[#This Row],[area]],tblTecnicos[activo],"sí")</f>
        <v/>
      </c>
      <c r="G4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COUNTIFS(tblTecnicos[rotativo],"sí",tblTecnicos[especialidad],tblAsignaciones[[#This Row],[especialidad]],tblTecnicos[area],tblAsignaciones[[#This Row],[area]],tblTecnicos[activo],"sí")</f>
        <v/>
      </c>
      <c r="G4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COUNTIFS(tblTecnicos[rotativo],"sí",tblTecnicos[especialidad],tblAsignaciones[[#This Row],[especialidad]],tblTecnicos[area],tblAsignaciones[[#This Row],[area]],tblTecnicos[activo],"sí")</f>
        <v/>
      </c>
      <c r="G4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COUNTIFS(tblTecnicos[rotativo],"sí",tblTecnicos[especialidad],tblAsignaciones[[#This Row],[especialidad]],tblTecnicos[area],tblAsignaciones[[#This Row],[area]],tblTecnicos[activo],"sí")</f>
        <v/>
      </c>
      <c r="G4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COUNTIFS(tblTecnicos[rotativo],"sí",tblTecnicos[especialidad],tblAsignaciones[[#This Row],[especialidad]],tblTecnicos[area],tblAsignaciones[[#This Row],[area]],tblTecnicos[activo],"sí")</f>
        <v/>
      </c>
      <c r="G4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COUNTIFS(tblTecnicos[rotativo],"sí",tblTecnicos[especialidad],tblAsignaciones[[#This Row],[especialidad]],tblTecnicos[area],tblAsignaciones[[#This Row],[area]],tblTecnicos[activo],"sí")</f>
        <v/>
      </c>
      <c r="G4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COUNTIFS(tblTecnicos[rotativo],"sí",tblTecnicos[especialidad],tblAsignaciones[[#This Row],[especialidad]],tblTecnicos[area],tblAsignaciones[[#This Row],[area]],tblTecnicos[activo],"sí")</f>
        <v/>
      </c>
      <c r="G4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COUNTIFS(tblTecnicos[rotativo],"sí",tblTecnicos[especialidad],tblAsignaciones[[#This Row],[especialidad]],tblTecnicos[area],tblAsignaciones[[#This Row],[area]],tblTecnicos[activo],"sí")</f>
        <v/>
      </c>
      <c r="G4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COUNTIFS(tblTecnicos[rotativo],"sí",tblTecnicos[especialidad],tblAsignaciones[[#This Row],[especialidad]],tblTecnicos[area],tblAsignaciones[[#This Row],[area]],tblTecnicos[activo],"sí")</f>
        <v/>
      </c>
      <c r="G4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COUNTIFS(tblTecnicos[rotativo],"sí",tblTecnicos[especialidad],tblAsignaciones[[#This Row],[especialidad]],tblTecnicos[area],tblAsignaciones[[#This Row],[area]],tblTecnicos[activo],"sí")</f>
        <v/>
      </c>
      <c r="G4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COUNTIFS(tblTecnicos[rotativo],"sí",tblTecnicos[especialidad],tblAsignaciones[[#This Row],[especialidad]],tblTecnicos[area],tblAsignaciones[[#This Row],[area]],tblTecnicos[activo],"sí")</f>
        <v/>
      </c>
      <c r="G4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COUNTIFS(tblTecnicos[rotativo],"sí",tblTecnicos[especialidad],tblAsignaciones[[#This Row],[especialidad]],tblTecnicos[area],tblAsignaciones[[#This Row],[area]],tblTecnicos[activo],"sí")</f>
        <v/>
      </c>
      <c r="G4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COUNTIFS(tblTecnicos[rotativo],"sí",tblTecnicos[especialidad],tblAsignaciones[[#This Row],[especialidad]],tblTecnicos[area],tblAsignaciones[[#This Row],[area]],tblTecnicos[activo],"sí")</f>
        <v/>
      </c>
      <c r="G4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COUNTIFS(tblTecnicos[rotativo],"sí",tblTecnicos[especialidad],tblAsignaciones[[#This Row],[especialidad]],tblTecnicos[area],tblAsignaciones[[#This Row],[area]],tblTecnicos[activo],"sí")</f>
        <v/>
      </c>
      <c r="G4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COUNTIFS(tblTecnicos[rotativo],"sí",tblTecnicos[especialidad],tblAsignaciones[[#This Row],[especialidad]],tblTecnicos[area],tblAsignaciones[[#This Row],[area]],tblTecnicos[activo],"sí")</f>
        <v/>
      </c>
      <c r="G4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COUNTIFS(tblTecnicos[rotativo],"sí",tblTecnicos[especialidad],tblAsignaciones[[#This Row],[especialidad]],tblTecnicos[area],tblAsignaciones[[#This Row],[area]],tblTecnicos[activo],"sí")</f>
        <v/>
      </c>
      <c r="G4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COUNTIFS(tblTecnicos[rotativo],"sí",tblTecnicos[especialidad],tblAsignaciones[[#This Row],[especialidad]],tblTecnicos[area],tblAsignaciones[[#This Row],[area]],tblTecnicos[activo],"sí")</f>
        <v/>
      </c>
      <c r="G4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COUNTIFS(tblTecnicos[rotativo],"sí",tblTecnicos[especialidad],tblAsignaciones[[#This Row],[especialidad]],tblTecnicos[area],tblAsignaciones[[#This Row],[area]],tblTecnicos[activo],"sí")</f>
        <v/>
      </c>
      <c r="G4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COUNTIFS(tblTecnicos[rotativo],"sí",tblTecnicos[especialidad],tblAsignaciones[[#This Row],[especialidad]],tblTecnicos[area],tblAsignaciones[[#This Row],[area]],tblTecnicos[activo],"sí")</f>
        <v/>
      </c>
      <c r="G4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COUNTIFS(tblTecnicos[rotativo],"sí",tblTecnicos[especialidad],tblAsignaciones[[#This Row],[especialidad]],tblTecnicos[area],tblAsignaciones[[#This Row],[area]],tblTecnicos[activo],"sí")</f>
        <v/>
      </c>
      <c r="G4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COUNTIFS(tblTecnicos[rotativo],"sí",tblTecnicos[especialidad],tblAsignaciones[[#This Row],[especialidad]],tblTecnicos[area],tblAsignaciones[[#This Row],[area]],tblTecnicos[activo],"sí")</f>
        <v/>
      </c>
      <c r="G4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COUNTIFS(tblTecnicos[rotativo],"sí",tblTecnicos[especialidad],tblAsignaciones[[#This Row],[especialidad]],tblTecnicos[area],tblAsignaciones[[#This Row],[area]],tblTecnicos[activo],"sí")</f>
        <v/>
      </c>
      <c r="G4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COUNTIFS(tblTecnicos[rotativo],"sí",tblTecnicos[especialidad],tblAsignaciones[[#This Row],[especialidad]],tblTecnicos[area],tblAsignaciones[[#This Row],[area]],tblTecnicos[activo],"sí")</f>
        <v/>
      </c>
      <c r="G4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COUNTIFS(tblTecnicos[rotativo],"sí",tblTecnicos[especialidad],tblAsignaciones[[#This Row],[especialidad]],tblTecnicos[area],tblAsignaciones[[#This Row],[area]],tblTecnicos[activo],"sí")</f>
        <v/>
      </c>
      <c r="G4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COUNTIFS(tblTecnicos[rotativo],"sí",tblTecnicos[especialidad],tblAsignaciones[[#This Row],[especialidad]],tblTecnicos[area],tblAsignaciones[[#This Row],[area]],tblTecnicos[activo],"sí")</f>
        <v/>
      </c>
      <c r="G4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COUNTIFS(tblTecnicos[rotativo],"sí",tblTecnicos[especialidad],tblAsignaciones[[#This Row],[especialidad]],tblTecnicos[area],tblAsignaciones[[#This Row],[area]],tblTecnicos[activo],"sí")</f>
        <v/>
      </c>
      <c r="G4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COUNTIFS(tblTecnicos[rotativo],"sí",tblTecnicos[especialidad],tblAsignaciones[[#This Row],[especialidad]],tblTecnicos[area],tblAsignaciones[[#This Row],[area]],tblTecnicos[activo],"sí")</f>
        <v/>
      </c>
      <c r="G4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COUNTIFS(tblTecnicos[rotativo],"sí",tblTecnicos[especialidad],tblAsignaciones[[#This Row],[especialidad]],tblTecnicos[area],tblAsignaciones[[#This Row],[area]],tblTecnicos[activo],"sí")</f>
        <v/>
      </c>
      <c r="G4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COUNTIFS(tblTecnicos[rotativo],"sí",tblTecnicos[especialidad],tblAsignaciones[[#This Row],[especialidad]],tblTecnicos[area],tblAsignaciones[[#This Row],[area]],tblTecnicos[activo],"sí")</f>
        <v/>
      </c>
      <c r="G4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COUNTIFS(tblTecnicos[rotativo],"sí",tblTecnicos[especialidad],tblAsignaciones[[#This Row],[especialidad]],tblTecnicos[area],tblAsignaciones[[#This Row],[area]],tblTecnicos[activo],"sí")</f>
        <v/>
      </c>
      <c r="G4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COUNTIFS(tblTecnicos[rotativo],"sí",tblTecnicos[especialidad],tblAsignaciones[[#This Row],[especialidad]],tblTecnicos[area],tblAsignaciones[[#This Row],[area]],tblTecnicos[activo],"sí")</f>
        <v/>
      </c>
      <c r="G4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COUNTIFS(tblTecnicos[rotativo],"sí",tblTecnicos[especialidad],tblAsignaciones[[#This Row],[especialidad]],tblTecnicos[area],tblAsignaciones[[#This Row],[area]],tblTecnicos[activo],"sí")</f>
        <v/>
      </c>
      <c r="G4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COUNTIFS(tblTecnicos[rotativo],"sí",tblTecnicos[especialidad],tblAsignaciones[[#This Row],[especialidad]],tblTecnicos[area],tblAsignaciones[[#This Row],[area]],tblTecnicos[activo],"sí")</f>
        <v/>
      </c>
      <c r="G4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COUNTIFS(tblTecnicos[rotativo],"sí",tblTecnicos[especialidad],tblAsignaciones[[#This Row],[especialidad]],tblTecnicos[area],tblAsignaciones[[#This Row],[area]],tblTecnicos[activo],"sí")</f>
        <v/>
      </c>
      <c r="G4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COUNTIFS(tblTecnicos[rotativo],"sí",tblTecnicos[especialidad],tblAsignaciones[[#This Row],[especialidad]],tblTecnicos[area],tblAsignaciones[[#This Row],[area]],tblTecnicos[activo],"sí")</f>
        <v/>
      </c>
      <c r="G4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14" t="inlineStr">
        <is>
          <t>descripcion</t>
        </is>
      </c>
      <c r="F3" s="14" t="inlineStr">
        <is>
          <t>estado_ajuste</t>
        </is>
      </c>
      <c r="G3" s="14" t="inlineStr">
        <is>
          <t>desviacion_h</t>
        </is>
      </c>
    </row>
    <row r="4">
      <c r="A4" s="4" t="n"/>
      <c r="B4" s="34" t="n"/>
      <c r="C4" s="4" t="n"/>
      <c r="D4" s="35" t="n"/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n"/>
      <c r="B5" s="34" t="n"/>
      <c r="C5" s="4" t="n"/>
      <c r="D5" s="35" t="n"/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n"/>
      <c r="B6" s="34" t="n"/>
      <c r="C6" s="4" t="n"/>
      <c r="D6" s="35" t="n"/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n"/>
      <c r="B7" s="34" t="n"/>
      <c r="C7" s="4" t="n"/>
      <c r="D7" s="35" t="n"/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34" t="n"/>
      <c r="C8" s="4" t="n"/>
      <c r="D8" s="35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34" t="n"/>
      <c r="C9" s="4" t="n"/>
      <c r="D9" s="35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34" t="n"/>
      <c r="C10" s="4" t="n"/>
      <c r="D10" s="35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34" t="n"/>
      <c r="C11" s="4" t="n"/>
      <c r="D11" s="35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34" t="n"/>
      <c r="C12" s="4" t="n"/>
      <c r="D12" s="35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34" t="n"/>
      <c r="C13" s="4" t="n"/>
      <c r="D13" s="35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34" t="n"/>
      <c r="C14" s="4" t="n"/>
      <c r="D14" s="35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34" t="n"/>
      <c r="C15" s="4" t="n"/>
      <c r="D15" s="35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34" t="n"/>
      <c r="C16" s="4" t="n"/>
      <c r="D16" s="35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34" t="n"/>
      <c r="C17" s="4" t="n"/>
      <c r="D17" s="35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34" t="n"/>
      <c r="C18" s="4" t="n"/>
      <c r="D18" s="35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34" t="n"/>
      <c r="C19" s="4" t="n"/>
      <c r="D19" s="35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34" t="n"/>
      <c r="C20" s="4" t="n"/>
      <c r="D20" s="35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34" t="n"/>
      <c r="C21" s="4" t="n"/>
      <c r="D21" s="35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34" t="n"/>
      <c r="C22" s="4" t="n"/>
      <c r="D22" s="35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34" t="n"/>
      <c r="C23" s="4" t="n"/>
      <c r="D23" s="35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34" t="n"/>
      <c r="C24" s="4" t="n"/>
      <c r="D24" s="35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34" t="n"/>
      <c r="C25" s="4" t="n"/>
      <c r="D25" s="35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34" t="n"/>
      <c r="C26" s="4" t="n"/>
      <c r="D26" s="35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34" t="n"/>
      <c r="C27" s="4" t="n"/>
      <c r="D27" s="35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34" t="n"/>
      <c r="C28" s="4" t="n"/>
      <c r="D28" s="35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34" t="n"/>
      <c r="C29" s="4" t="n"/>
      <c r="D29" s="35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34" t="n"/>
      <c r="C30" s="4" t="n"/>
      <c r="D30" s="35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34" t="n"/>
      <c r="C31" s="4" t="n"/>
      <c r="D31" s="35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34" t="n"/>
      <c r="C32" s="4" t="n"/>
      <c r="D32" s="35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34" t="n"/>
      <c r="C33" s="4" t="n"/>
      <c r="D33" s="35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34" t="n"/>
      <c r="C34" s="4" t="n"/>
      <c r="D34" s="35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34" t="n"/>
      <c r="C35" s="4" t="n"/>
      <c r="D35" s="35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34" t="n"/>
      <c r="C36" s="4" t="n"/>
      <c r="D36" s="35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34" t="n"/>
      <c r="C37" s="4" t="n"/>
      <c r="D37" s="35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34" t="n"/>
      <c r="C38" s="4" t="n"/>
      <c r="D38" s="35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34" t="n"/>
      <c r="C39" s="4" t="n"/>
      <c r="D39" s="35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34" t="n"/>
      <c r="C40" s="4" t="n"/>
      <c r="D40" s="35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34" t="n"/>
      <c r="C41" s="4" t="n"/>
      <c r="D41" s="35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34" t="n"/>
      <c r="C42" s="4" t="n"/>
      <c r="D42" s="35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34" t="n"/>
      <c r="C43" s="4" t="n"/>
      <c r="D43" s="35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34" t="n"/>
      <c r="C44" s="4" t="n"/>
      <c r="D44" s="35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34" t="n"/>
      <c r="C45" s="4" t="n"/>
      <c r="D45" s="35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34" t="n"/>
      <c r="C46" s="4" t="n"/>
      <c r="D46" s="35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34" t="n"/>
      <c r="C47" s="4" t="n"/>
      <c r="D47" s="35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34" t="n"/>
      <c r="C48" s="4" t="n"/>
      <c r="D48" s="35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34" t="n"/>
      <c r="C49" s="4" t="n"/>
      <c r="D49" s="35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34" t="n"/>
      <c r="C50" s="4" t="n"/>
      <c r="D50" s="35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34" t="n"/>
      <c r="C51" s="4" t="n"/>
      <c r="D51" s="35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34" t="n"/>
      <c r="C52" s="4" t="n"/>
      <c r="D52" s="35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34" t="n"/>
      <c r="C53" s="4" t="n"/>
      <c r="D53" s="35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34" t="n"/>
      <c r="C54" s="4" t="n"/>
      <c r="D54" s="35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34" t="n"/>
      <c r="C55" s="4" t="n"/>
      <c r="D55" s="35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34" t="n"/>
      <c r="C56" s="4" t="n"/>
      <c r="D56" s="35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34" t="n"/>
      <c r="C57" s="4" t="n"/>
      <c r="D57" s="35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34" t="n"/>
      <c r="C58" s="4" t="n"/>
      <c r="D58" s="35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34" t="n"/>
      <c r="C59" s="4" t="n"/>
      <c r="D59" s="35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34" t="n"/>
      <c r="C60" s="4" t="n"/>
      <c r="D60" s="35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34" t="n"/>
      <c r="C61" s="4" t="n"/>
      <c r="D61" s="35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34" t="n"/>
      <c r="C62" s="4" t="n"/>
      <c r="D62" s="35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34" t="n"/>
      <c r="C63" s="4" t="n"/>
      <c r="D63" s="35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34" t="n"/>
      <c r="C64" s="4" t="n"/>
      <c r="D64" s="35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34" t="n"/>
      <c r="C65" s="4" t="n"/>
      <c r="D65" s="35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34" t="n"/>
      <c r="C66" s="4" t="n"/>
      <c r="D66" s="35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34" t="n"/>
      <c r="C67" s="4" t="n"/>
      <c r="D67" s="35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34" t="n"/>
      <c r="C68" s="4" t="n"/>
      <c r="D68" s="35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34" t="n"/>
      <c r="C69" s="4" t="n"/>
      <c r="D69" s="35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34" t="n"/>
      <c r="C70" s="4" t="n"/>
      <c r="D70" s="35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34" t="n"/>
      <c r="C71" s="4" t="n"/>
      <c r="D71" s="35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34" t="n"/>
      <c r="C72" s="4" t="n"/>
      <c r="D72" s="35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34" t="n"/>
      <c r="C73" s="4" t="n"/>
      <c r="D73" s="35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34" t="n"/>
      <c r="C74" s="4" t="n"/>
      <c r="D74" s="35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34" t="n"/>
      <c r="C75" s="4" t="n"/>
      <c r="D75" s="35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34" t="n"/>
      <c r="C76" s="4" t="n"/>
      <c r="D76" s="35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34" t="n"/>
      <c r="C77" s="4" t="n"/>
      <c r="D77" s="35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34" t="n"/>
      <c r="C78" s="4" t="n"/>
      <c r="D78" s="35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34" t="n"/>
      <c r="C79" s="4" t="n"/>
      <c r="D79" s="35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34" t="n"/>
      <c r="C80" s="4" t="n"/>
      <c r="D80" s="35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34" t="n"/>
      <c r="C81" s="4" t="n"/>
      <c r="D81" s="35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34" t="n"/>
      <c r="C82" s="4" t="n"/>
      <c r="D82" s="35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34" t="n"/>
      <c r="C83" s="4" t="n"/>
      <c r="D83" s="35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34" t="n"/>
      <c r="C84" s="4" t="n"/>
      <c r="D84" s="35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34" t="n"/>
      <c r="C85" s="4" t="n"/>
      <c r="D85" s="35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34" t="n"/>
      <c r="C86" s="4" t="n"/>
      <c r="D86" s="35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34" t="n"/>
      <c r="C87" s="4" t="n"/>
      <c r="D87" s="35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34" t="n"/>
      <c r="C88" s="4" t="n"/>
      <c r="D88" s="35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34" t="n"/>
      <c r="C89" s="4" t="n"/>
      <c r="D89" s="35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34" t="n"/>
      <c r="C90" s="4" t="n"/>
      <c r="D90" s="35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34" t="n"/>
      <c r="C91" s="4" t="n"/>
      <c r="D91" s="35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34" t="n"/>
      <c r="C92" s="4" t="n"/>
      <c r="D92" s="35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34" t="n"/>
      <c r="C93" s="4" t="n"/>
      <c r="D93" s="35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34" t="n"/>
      <c r="C94" s="4" t="n"/>
      <c r="D94" s="35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34" t="n"/>
      <c r="C95" s="4" t="n"/>
      <c r="D95" s="35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34" t="n"/>
      <c r="C96" s="4" t="n"/>
      <c r="D96" s="35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34" t="n"/>
      <c r="C97" s="4" t="n"/>
      <c r="D97" s="35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34" t="n"/>
      <c r="C98" s="4" t="n"/>
      <c r="D98" s="35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34" t="n"/>
      <c r="C99" s="4" t="n"/>
      <c r="D99" s="35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34" t="n"/>
      <c r="C100" s="4" t="n"/>
      <c r="D100" s="35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34" t="n"/>
      <c r="C101" s="4" t="n"/>
      <c r="D101" s="35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34" t="n"/>
      <c r="C102" s="4" t="n"/>
      <c r="D102" s="35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34" t="n"/>
      <c r="C103" s="4" t="n"/>
      <c r="D103" s="35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34" t="n"/>
      <c r="C104" s="4" t="n"/>
      <c r="D104" s="35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34" t="n"/>
      <c r="C105" s="4" t="n"/>
      <c r="D105" s="35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34" t="n"/>
      <c r="C106" s="4" t="n"/>
      <c r="D106" s="35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34" t="n"/>
      <c r="C107" s="4" t="n"/>
      <c r="D107" s="35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34" t="n"/>
      <c r="C108" s="4" t="n"/>
      <c r="D108" s="35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34" t="n"/>
      <c r="C109" s="4" t="n"/>
      <c r="D109" s="35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34" t="n"/>
      <c r="C110" s="4" t="n"/>
      <c r="D110" s="35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34" t="n"/>
      <c r="C111" s="4" t="n"/>
      <c r="D111" s="35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34" t="n"/>
      <c r="C112" s="4" t="n"/>
      <c r="D112" s="35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34" t="n"/>
      <c r="C113" s="4" t="n"/>
      <c r="D113" s="35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34" t="n"/>
      <c r="C114" s="4" t="n"/>
      <c r="D114" s="35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34" t="n"/>
      <c r="C115" s="4" t="n"/>
      <c r="D115" s="35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34" t="n"/>
      <c r="C116" s="4" t="n"/>
      <c r="D116" s="35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34" t="n"/>
      <c r="C117" s="4" t="n"/>
      <c r="D117" s="35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34" t="n"/>
      <c r="C118" s="4" t="n"/>
      <c r="D118" s="35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34" t="n"/>
      <c r="C119" s="4" t="n"/>
      <c r="D119" s="35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34" t="n"/>
      <c r="C120" s="4" t="n"/>
      <c r="D120" s="35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34" t="n"/>
      <c r="C121" s="4" t="n"/>
      <c r="D121" s="35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34" t="n"/>
      <c r="C122" s="4" t="n"/>
      <c r="D122" s="35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34" t="n"/>
      <c r="C123" s="4" t="n"/>
      <c r="D123" s="35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34" t="n"/>
      <c r="C124" s="4" t="n"/>
      <c r="D124" s="35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34" t="n"/>
      <c r="C125" s="4" t="n"/>
      <c r="D125" s="35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34" t="n"/>
      <c r="C126" s="4" t="n"/>
      <c r="D126" s="35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34" t="n"/>
      <c r="C127" s="4" t="n"/>
      <c r="D127" s="35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34" t="n"/>
      <c r="C128" s="4" t="n"/>
      <c r="D128" s="35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34" t="n"/>
      <c r="C129" s="4" t="n"/>
      <c r="D129" s="35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34" t="n"/>
      <c r="C130" s="4" t="n"/>
      <c r="D130" s="35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34" t="n"/>
      <c r="C131" s="4" t="n"/>
      <c r="D131" s="35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34" t="n"/>
      <c r="C132" s="4" t="n"/>
      <c r="D132" s="35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34" t="n"/>
      <c r="C133" s="4" t="n"/>
      <c r="D133" s="35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34" t="n"/>
      <c r="C134" s="4" t="n"/>
      <c r="D134" s="35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34" t="n"/>
      <c r="C135" s="4" t="n"/>
      <c r="D135" s="35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34" t="n"/>
      <c r="C136" s="4" t="n"/>
      <c r="D136" s="35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34" t="n"/>
      <c r="C137" s="4" t="n"/>
      <c r="D137" s="35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34" t="n"/>
      <c r="C138" s="4" t="n"/>
      <c r="D138" s="35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34" t="n"/>
      <c r="C139" s="4" t="n"/>
      <c r="D139" s="35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34" t="n"/>
      <c r="C140" s="4" t="n"/>
      <c r="D140" s="35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34" t="n"/>
      <c r="C141" s="4" t="n"/>
      <c r="D141" s="35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34" t="n"/>
      <c r="C142" s="4" t="n"/>
      <c r="D142" s="35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34" t="n"/>
      <c r="C143" s="4" t="n"/>
      <c r="D143" s="35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34" t="n"/>
      <c r="C144" s="4" t="n"/>
      <c r="D144" s="35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34" t="n"/>
      <c r="C145" s="4" t="n"/>
      <c r="D145" s="35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34" t="n"/>
      <c r="C146" s="4" t="n"/>
      <c r="D146" s="35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34" t="n"/>
      <c r="C147" s="4" t="n"/>
      <c r="D147" s="35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34" t="n"/>
      <c r="C148" s="4" t="n"/>
      <c r="D148" s="35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34" t="n"/>
      <c r="C149" s="4" t="n"/>
      <c r="D149" s="35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34" t="n"/>
      <c r="C150" s="4" t="n"/>
      <c r="D150" s="35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34" t="n"/>
      <c r="C151" s="4" t="n"/>
      <c r="D151" s="35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34" t="n"/>
      <c r="C152" s="4" t="n"/>
      <c r="D152" s="35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34" t="n"/>
      <c r="C153" s="4" t="n"/>
      <c r="D153" s="35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34" t="n"/>
      <c r="C154" s="4" t="n"/>
      <c r="D154" s="35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34" t="n"/>
      <c r="C155" s="4" t="n"/>
      <c r="D155" s="35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34" t="n"/>
      <c r="C156" s="4" t="n"/>
      <c r="D156" s="35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34" t="n"/>
      <c r="C157" s="4" t="n"/>
      <c r="D157" s="35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34" t="n"/>
      <c r="C158" s="4" t="n"/>
      <c r="D158" s="35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34" t="n"/>
      <c r="C159" s="4" t="n"/>
      <c r="D159" s="35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34" t="n"/>
      <c r="C160" s="4" t="n"/>
      <c r="D160" s="35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34" t="n"/>
      <c r="C161" s="4" t="n"/>
      <c r="D161" s="35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34" t="n"/>
      <c r="C162" s="4" t="n"/>
      <c r="D162" s="35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34" t="n"/>
      <c r="C163" s="4" t="n"/>
      <c r="D163" s="35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34" t="n"/>
      <c r="C164" s="4" t="n"/>
      <c r="D164" s="35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34" t="n"/>
      <c r="C165" s="4" t="n"/>
      <c r="D165" s="35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34" t="n"/>
      <c r="C166" s="4" t="n"/>
      <c r="D166" s="35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34" t="n"/>
      <c r="C167" s="4" t="n"/>
      <c r="D167" s="35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34" t="n"/>
      <c r="C168" s="4" t="n"/>
      <c r="D168" s="35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34" t="n"/>
      <c r="C169" s="4" t="n"/>
      <c r="D169" s="35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34" t="n"/>
      <c r="C170" s="4" t="n"/>
      <c r="D170" s="35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34" t="n"/>
      <c r="C171" s="4" t="n"/>
      <c r="D171" s="35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34" t="n"/>
      <c r="C172" s="4" t="n"/>
      <c r="D172" s="35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34" t="n"/>
      <c r="C173" s="4" t="n"/>
      <c r="D173" s="35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34" t="n"/>
      <c r="C174" s="4" t="n"/>
      <c r="D174" s="35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34" t="n"/>
      <c r="C175" s="4" t="n"/>
      <c r="D175" s="35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34" t="n"/>
      <c r="C176" s="4" t="n"/>
      <c r="D176" s="35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34" t="n"/>
      <c r="C177" s="4" t="n"/>
      <c r="D177" s="35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34" t="n"/>
      <c r="C178" s="4" t="n"/>
      <c r="D178" s="35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34" t="n"/>
      <c r="C179" s="4" t="n"/>
      <c r="D179" s="35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34" t="n"/>
      <c r="C180" s="4" t="n"/>
      <c r="D180" s="35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34" t="n"/>
      <c r="C181" s="4" t="n"/>
      <c r="D181" s="35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34" t="n"/>
      <c r="C182" s="4" t="n"/>
      <c r="D182" s="35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34" t="n"/>
      <c r="C183" s="4" t="n"/>
      <c r="D183" s="35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34" t="n"/>
      <c r="C184" s="4" t="n"/>
      <c r="D184" s="35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34" t="n"/>
      <c r="C185" s="4" t="n"/>
      <c r="D185" s="35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34" t="n"/>
      <c r="C186" s="4" t="n"/>
      <c r="D186" s="35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34" t="n"/>
      <c r="C187" s="4" t="n"/>
      <c r="D187" s="35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34" t="n"/>
      <c r="C188" s="4" t="n"/>
      <c r="D188" s="35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34" t="n"/>
      <c r="C189" s="4" t="n"/>
      <c r="D189" s="35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34" t="n"/>
      <c r="C190" s="4" t="n"/>
      <c r="D190" s="35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34" t="n"/>
      <c r="C191" s="4" t="n"/>
      <c r="D191" s="35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34" t="n"/>
      <c r="C192" s="4" t="n"/>
      <c r="D192" s="35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34" t="n"/>
      <c r="C193" s="4" t="n"/>
      <c r="D193" s="35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34" t="n"/>
      <c r="C194" s="4" t="n"/>
      <c r="D194" s="35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34" t="n"/>
      <c r="C195" s="4" t="n"/>
      <c r="D195" s="35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34" t="n"/>
      <c r="C196" s="4" t="n"/>
      <c r="D196" s="35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34" t="n"/>
      <c r="C197" s="4" t="n"/>
      <c r="D197" s="35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34" t="n"/>
      <c r="C198" s="4" t="n"/>
      <c r="D198" s="35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34" t="n"/>
      <c r="C199" s="4" t="n"/>
      <c r="D199" s="35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34" t="n"/>
      <c r="C200" s="4" t="n"/>
      <c r="D200" s="35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34" t="n"/>
      <c r="C201" s="4" t="n"/>
      <c r="D201" s="35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34" t="n"/>
      <c r="C202" s="4" t="n"/>
      <c r="D202" s="35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34" t="n"/>
      <c r="C203" s="4" t="n"/>
      <c r="D203" s="35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34" t="n"/>
      <c r="C204" s="4" t="n"/>
      <c r="D204" s="35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34" t="n"/>
      <c r="C205" s="4" t="n"/>
      <c r="D205" s="35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34" t="n"/>
      <c r="C206" s="4" t="n"/>
      <c r="D206" s="35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34" t="n"/>
      <c r="C207" s="4" t="n"/>
      <c r="D207" s="35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34" t="n"/>
      <c r="C208" s="4" t="n"/>
      <c r="D208" s="35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34" t="n"/>
      <c r="C209" s="4" t="n"/>
      <c r="D209" s="35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34" t="n"/>
      <c r="C210" s="4" t="n"/>
      <c r="D210" s="35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34" t="n"/>
      <c r="C211" s="4" t="n"/>
      <c r="D211" s="35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34" t="n"/>
      <c r="C212" s="4" t="n"/>
      <c r="D212" s="35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34" t="n"/>
      <c r="C213" s="4" t="n"/>
      <c r="D213" s="35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34" t="n"/>
      <c r="C214" s="4" t="n"/>
      <c r="D214" s="35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34" t="n"/>
      <c r="C215" s="4" t="n"/>
      <c r="D215" s="35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34" t="n"/>
      <c r="C216" s="4" t="n"/>
      <c r="D216" s="35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34" t="n"/>
      <c r="C217" s="4" t="n"/>
      <c r="D217" s="35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34" t="n"/>
      <c r="C218" s="4" t="n"/>
      <c r="D218" s="35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34" t="n"/>
      <c r="C219" s="4" t="n"/>
      <c r="D219" s="35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34" t="n"/>
      <c r="C220" s="4" t="n"/>
      <c r="D220" s="35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34" t="n"/>
      <c r="C221" s="4" t="n"/>
      <c r="D221" s="35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34" t="n"/>
      <c r="C222" s="4" t="n"/>
      <c r="D222" s="35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34" t="n"/>
      <c r="C223" s="4" t="n"/>
      <c r="D223" s="35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34" t="n"/>
      <c r="C224" s="4" t="n"/>
      <c r="D224" s="35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34" t="n"/>
      <c r="C225" s="4" t="n"/>
      <c r="D225" s="35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34" t="n"/>
      <c r="C226" s="4" t="n"/>
      <c r="D226" s="35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34" t="n"/>
      <c r="C227" s="4" t="n"/>
      <c r="D227" s="35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34" t="n"/>
      <c r="C228" s="4" t="n"/>
      <c r="D228" s="35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34" t="n"/>
      <c r="C229" s="4" t="n"/>
      <c r="D229" s="35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34" t="n"/>
      <c r="C230" s="4" t="n"/>
      <c r="D230" s="35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34" t="n"/>
      <c r="C231" s="4" t="n"/>
      <c r="D231" s="35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34" t="n"/>
      <c r="C232" s="4" t="n"/>
      <c r="D232" s="35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34" t="n"/>
      <c r="C233" s="4" t="n"/>
      <c r="D233" s="35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34" t="n"/>
      <c r="C234" s="4" t="n"/>
      <c r="D234" s="35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34" t="n"/>
      <c r="C235" s="4" t="n"/>
      <c r="D235" s="35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34" t="n"/>
      <c r="C236" s="4" t="n"/>
      <c r="D236" s="35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34" t="n"/>
      <c r="C237" s="4" t="n"/>
      <c r="D237" s="35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34" t="n"/>
      <c r="C238" s="4" t="n"/>
      <c r="D238" s="35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34" t="n"/>
      <c r="C239" s="4" t="n"/>
      <c r="D239" s="35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34" t="n"/>
      <c r="C240" s="4" t="n"/>
      <c r="D240" s="35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34" t="n"/>
      <c r="C241" s="4" t="n"/>
      <c r="D241" s="35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34" t="n"/>
      <c r="C242" s="4" t="n"/>
      <c r="D242" s="35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34" t="n"/>
      <c r="C243" s="4" t="n"/>
      <c r="D243" s="35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34" t="n"/>
      <c r="C244" s="4" t="n"/>
      <c r="D244" s="35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34" t="n"/>
      <c r="C245" s="4" t="n"/>
      <c r="D245" s="35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34" t="n"/>
      <c r="C246" s="4" t="n"/>
      <c r="D246" s="35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34" t="n"/>
      <c r="C247" s="4" t="n"/>
      <c r="D247" s="35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34" t="n"/>
      <c r="C248" s="4" t="n"/>
      <c r="D248" s="35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34" t="n"/>
      <c r="C249" s="4" t="n"/>
      <c r="D249" s="35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34" t="n"/>
      <c r="C250" s="4" t="n"/>
      <c r="D250" s="35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34" t="n"/>
      <c r="C251" s="4" t="n"/>
      <c r="D251" s="35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34" t="n"/>
      <c r="C252" s="4" t="n"/>
      <c r="D252" s="35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34" t="n"/>
      <c r="C253" s="4" t="n"/>
      <c r="D253" s="35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34" t="n"/>
      <c r="C254" s="4" t="n"/>
      <c r="D254" s="35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34" t="n"/>
      <c r="C255" s="4" t="n"/>
      <c r="D255" s="35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34" t="n"/>
      <c r="C256" s="4" t="n"/>
      <c r="D256" s="35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34" t="n"/>
      <c r="C257" s="4" t="n"/>
      <c r="D257" s="35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34" t="n"/>
      <c r="C258" s="4" t="n"/>
      <c r="D258" s="35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34" t="n"/>
      <c r="C259" s="4" t="n"/>
      <c r="D259" s="35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34" t="n"/>
      <c r="C260" s="4" t="n"/>
      <c r="D260" s="35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34" t="n"/>
      <c r="C261" s="4" t="n"/>
      <c r="D261" s="35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34" t="n"/>
      <c r="C262" s="4" t="n"/>
      <c r="D262" s="35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34" t="n"/>
      <c r="C263" s="4" t="n"/>
      <c r="D263" s="35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34" t="n"/>
      <c r="C264" s="4" t="n"/>
      <c r="D264" s="35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34" t="n"/>
      <c r="C265" s="4" t="n"/>
      <c r="D265" s="35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34" t="n"/>
      <c r="C266" s="4" t="n"/>
      <c r="D266" s="35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34" t="n"/>
      <c r="C267" s="4" t="n"/>
      <c r="D267" s="35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34" t="n"/>
      <c r="C268" s="4" t="n"/>
      <c r="D268" s="35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34" t="n"/>
      <c r="C269" s="4" t="n"/>
      <c r="D269" s="35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34" t="n"/>
      <c r="C270" s="4" t="n"/>
      <c r="D270" s="35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34" t="n"/>
      <c r="C271" s="4" t="n"/>
      <c r="D271" s="35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34" t="n"/>
      <c r="C272" s="4" t="n"/>
      <c r="D272" s="35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34" t="n"/>
      <c r="C273" s="4" t="n"/>
      <c r="D273" s="35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34" t="n"/>
      <c r="C274" s="4" t="n"/>
      <c r="D274" s="35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34" t="n"/>
      <c r="C275" s="4" t="n"/>
      <c r="D275" s="35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34" t="n"/>
      <c r="C276" s="4" t="n"/>
      <c r="D276" s="35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34" t="n"/>
      <c r="C277" s="4" t="n"/>
      <c r="D277" s="35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34" t="n"/>
      <c r="C278" s="4" t="n"/>
      <c r="D278" s="35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34" t="n"/>
      <c r="C279" s="4" t="n"/>
      <c r="D279" s="35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34" t="n"/>
      <c r="C280" s="4" t="n"/>
      <c r="D280" s="35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34" t="n"/>
      <c r="C281" s="4" t="n"/>
      <c r="D281" s="35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34" t="n"/>
      <c r="C282" s="4" t="n"/>
      <c r="D282" s="35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34" t="n"/>
      <c r="C283" s="4" t="n"/>
      <c r="D283" s="35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34" t="n"/>
      <c r="C284" s="4" t="n"/>
      <c r="D284" s="35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34" t="n"/>
      <c r="C285" s="4" t="n"/>
      <c r="D285" s="35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34" t="n"/>
      <c r="C286" s="4" t="n"/>
      <c r="D286" s="35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34" t="n"/>
      <c r="C287" s="4" t="n"/>
      <c r="D287" s="35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34" t="n"/>
      <c r="C288" s="4" t="n"/>
      <c r="D288" s="35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34" t="n"/>
      <c r="C289" s="4" t="n"/>
      <c r="D289" s="35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34" t="n"/>
      <c r="C290" s="4" t="n"/>
      <c r="D290" s="35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34" t="n"/>
      <c r="C291" s="4" t="n"/>
      <c r="D291" s="35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34" t="n"/>
      <c r="C292" s="4" t="n"/>
      <c r="D292" s="35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34" t="n"/>
      <c r="C293" s="4" t="n"/>
      <c r="D293" s="35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34" t="n"/>
      <c r="C294" s="4" t="n"/>
      <c r="D294" s="35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34" t="n"/>
      <c r="C295" s="4" t="n"/>
      <c r="D295" s="35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34" t="n"/>
      <c r="C296" s="4" t="n"/>
      <c r="D296" s="35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34" t="n"/>
      <c r="C297" s="4" t="n"/>
      <c r="D297" s="35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34" t="n"/>
      <c r="C298" s="4" t="n"/>
      <c r="D298" s="35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34" t="n"/>
      <c r="C299" s="4" t="n"/>
      <c r="D299" s="35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34" t="n"/>
      <c r="C300" s="4" t="n"/>
      <c r="D300" s="35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34" t="n"/>
      <c r="C301" s="4" t="n"/>
      <c r="D301" s="35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34" t="n"/>
      <c r="C302" s="4" t="n"/>
      <c r="D302" s="35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34" t="n"/>
      <c r="C303" s="4" t="n"/>
      <c r="D303" s="35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3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31" t="inlineStr">
        <is>
          <t>Ana Sánchez</t>
        </is>
      </c>
      <c r="B4" s="37" t="n">
        <v>46251</v>
      </c>
      <c r="C4" s="37" t="n">
        <v>46257</v>
      </c>
      <c r="D4" s="31" t="inlineStr">
        <is>
          <t>Vacaciones anuales</t>
        </is>
      </c>
    </row>
    <row r="5">
      <c r="A5" s="4" t="n"/>
      <c r="B5" s="35" t="n"/>
      <c r="C5" s="35" t="n"/>
      <c r="D5" s="4" t="n"/>
    </row>
    <row r="6">
      <c r="A6" s="4" t="n"/>
      <c r="B6" s="35" t="n"/>
      <c r="C6" s="35" t="n"/>
      <c r="D6" s="4" t="n"/>
    </row>
    <row r="7">
      <c r="A7" s="4" t="n"/>
      <c r="B7" s="35" t="n"/>
      <c r="C7" s="35" t="n"/>
      <c r="D7" s="4" t="n"/>
    </row>
    <row r="8">
      <c r="A8" s="4" t="n"/>
      <c r="B8" s="35" t="n"/>
      <c r="C8" s="35" t="n"/>
      <c r="D8" s="4" t="n"/>
    </row>
    <row r="9">
      <c r="A9" s="4" t="n"/>
      <c r="B9" s="35" t="n"/>
      <c r="C9" s="35" t="n"/>
      <c r="D9" s="4" t="n"/>
    </row>
    <row r="10">
      <c r="A10" s="4" t="n"/>
      <c r="B10" s="35" t="n"/>
      <c r="C10" s="35" t="n"/>
      <c r="D10" s="4" t="n"/>
    </row>
    <row r="11">
      <c r="A11" s="4" t="n"/>
      <c r="B11" s="35" t="n"/>
      <c r="C11" s="35" t="n"/>
      <c r="D11" s="4" t="n"/>
    </row>
    <row r="12">
      <c r="A12" s="4" t="n"/>
      <c r="B12" s="35" t="n"/>
      <c r="C12" s="35" t="n"/>
      <c r="D12" s="4" t="n"/>
    </row>
    <row r="13">
      <c r="A13" s="4" t="n"/>
      <c r="B13" s="35" t="n"/>
      <c r="C13" s="35" t="n"/>
      <c r="D13" s="4" t="n"/>
    </row>
    <row r="14">
      <c r="A14" s="4" t="n"/>
      <c r="B14" s="35" t="n"/>
      <c r="C14" s="35" t="n"/>
      <c r="D14" s="4" t="n"/>
    </row>
    <row r="15">
      <c r="A15" s="4" t="n"/>
      <c r="B15" s="35" t="n"/>
      <c r="C15" s="35" t="n"/>
      <c r="D15" s="4" t="n"/>
    </row>
    <row r="16">
      <c r="A16" s="4" t="n"/>
      <c r="B16" s="35" t="n"/>
      <c r="C16" s="35" t="n"/>
      <c r="D16" s="4" t="n"/>
    </row>
    <row r="17">
      <c r="A17" s="4" t="n"/>
      <c r="B17" s="35" t="n"/>
      <c r="C17" s="35" t="n"/>
      <c r="D17" s="4" t="n"/>
    </row>
    <row r="18">
      <c r="A18" s="4" t="n"/>
      <c r="B18" s="35" t="n"/>
      <c r="C18" s="35" t="n"/>
      <c r="D18" s="4" t="n"/>
    </row>
    <row r="19">
      <c r="A19" s="4" t="n"/>
      <c r="B19" s="35" t="n"/>
      <c r="C19" s="35" t="n"/>
      <c r="D19" s="4" t="n"/>
    </row>
    <row r="20">
      <c r="A20" s="4" t="n"/>
      <c r="B20" s="35" t="n"/>
      <c r="C20" s="35" t="n"/>
      <c r="D20" s="4" t="n"/>
    </row>
    <row r="21">
      <c r="A21" s="4" t="n"/>
      <c r="B21" s="35" t="n"/>
      <c r="C21" s="35" t="n"/>
      <c r="D21" s="4" t="n"/>
    </row>
    <row r="22">
      <c r="A22" s="4" t="n"/>
      <c r="B22" s="35" t="n"/>
      <c r="C22" s="35" t="n"/>
      <c r="D22" s="4" t="n"/>
    </row>
    <row r="23">
      <c r="A23" s="4" t="n"/>
      <c r="B23" s="35" t="n"/>
      <c r="C23" s="35" t="n"/>
      <c r="D23" s="4" t="n"/>
    </row>
    <row r="24">
      <c r="A24" s="4" t="n"/>
      <c r="B24" s="35" t="n"/>
      <c r="C24" s="35" t="n"/>
      <c r="D24" s="4" t="n"/>
    </row>
    <row r="25">
      <c r="A25" s="4" t="n"/>
      <c r="B25" s="35" t="n"/>
      <c r="C25" s="35" t="n"/>
      <c r="D25" s="4" t="n"/>
    </row>
    <row r="26">
      <c r="A26" s="4" t="n"/>
      <c r="B26" s="35" t="n"/>
      <c r="C26" s="35" t="n"/>
      <c r="D26" s="4" t="n"/>
    </row>
    <row r="27">
      <c r="A27" s="4" t="n"/>
      <c r="B27" s="35" t="n"/>
      <c r="C27" s="35" t="n"/>
      <c r="D27" s="4" t="n"/>
    </row>
    <row r="28">
      <c r="A28" s="4" t="n"/>
      <c r="B28" s="35" t="n"/>
      <c r="C28" s="35" t="n"/>
      <c r="D28" s="4" t="n"/>
    </row>
    <row r="29">
      <c r="A29" s="4" t="n"/>
      <c r="B29" s="35" t="n"/>
      <c r="C29" s="35" t="n"/>
      <c r="D29" s="4" t="n"/>
    </row>
    <row r="30">
      <c r="A30" s="4" t="n"/>
      <c r="B30" s="35" t="n"/>
      <c r="C30" s="35" t="n"/>
      <c r="D30" s="4" t="n"/>
    </row>
    <row r="31">
      <c r="A31" s="4" t="n"/>
      <c r="B31" s="35" t="n"/>
      <c r="C31" s="35" t="n"/>
      <c r="D31" s="4" t="n"/>
    </row>
    <row r="32">
      <c r="A32" s="4" t="n"/>
      <c r="B32" s="35" t="n"/>
      <c r="C32" s="35" t="n"/>
      <c r="D32" s="4" t="n"/>
    </row>
    <row r="33">
      <c r="A33" s="4" t="n"/>
      <c r="B33" s="35" t="n"/>
      <c r="C33" s="35" t="n"/>
      <c r="D33" s="4" t="n"/>
    </row>
    <row r="34">
      <c r="A34" s="4" t="n"/>
      <c r="B34" s="35" t="n"/>
      <c r="C34" s="35" t="n"/>
      <c r="D34" s="4" t="n"/>
    </row>
    <row r="35">
      <c r="A35" s="4" t="n"/>
      <c r="B35" s="35" t="n"/>
      <c r="C35" s="35" t="n"/>
      <c r="D35" s="4" t="n"/>
    </row>
    <row r="36">
      <c r="A36" s="4" t="n"/>
      <c r="B36" s="35" t="n"/>
      <c r="C36" s="35" t="n"/>
      <c r="D36" s="4" t="n"/>
    </row>
    <row r="37">
      <c r="A37" s="4" t="n"/>
      <c r="B37" s="35" t="n"/>
      <c r="C37" s="35" t="n"/>
      <c r="D37" s="4" t="n"/>
    </row>
    <row r="38">
      <c r="A38" s="4" t="n"/>
      <c r="B38" s="35" t="n"/>
      <c r="C38" s="35" t="n"/>
      <c r="D38" s="4" t="n"/>
    </row>
    <row r="39">
      <c r="A39" s="4" t="n"/>
      <c r="B39" s="35" t="n"/>
      <c r="C39" s="35" t="n"/>
      <c r="D39" s="4" t="n"/>
    </row>
    <row r="40">
      <c r="A40" s="4" t="n"/>
      <c r="B40" s="35" t="n"/>
      <c r="C40" s="35" t="n"/>
      <c r="D40" s="4" t="n"/>
    </row>
    <row r="41">
      <c r="A41" s="4" t="n"/>
      <c r="B41" s="35" t="n"/>
      <c r="C41" s="35" t="n"/>
      <c r="D41" s="4" t="n"/>
    </row>
    <row r="42">
      <c r="A42" s="4" t="n"/>
      <c r="B42" s="35" t="n"/>
      <c r="C42" s="35" t="n"/>
      <c r="D42" s="4" t="n"/>
    </row>
    <row r="43">
      <c r="A43" s="4" t="n"/>
      <c r="B43" s="35" t="n"/>
      <c r="C43" s="35" t="n"/>
      <c r="D43" s="4" t="n"/>
    </row>
    <row r="44">
      <c r="A44" s="4" t="n"/>
      <c r="B44" s="35" t="n"/>
      <c r="C44" s="35" t="n"/>
      <c r="D44" s="4" t="n"/>
    </row>
    <row r="45">
      <c r="A45" s="4" t="n"/>
      <c r="B45" s="35" t="n"/>
      <c r="C45" s="35" t="n"/>
      <c r="D45" s="4" t="n"/>
    </row>
    <row r="46">
      <c r="A46" s="4" t="n"/>
      <c r="B46" s="35" t="n"/>
      <c r="C46" s="35" t="n"/>
      <c r="D46" s="4" t="n"/>
    </row>
    <row r="47">
      <c r="A47" s="4" t="n"/>
      <c r="B47" s="35" t="n"/>
      <c r="C47" s="35" t="n"/>
      <c r="D47" s="4" t="n"/>
    </row>
    <row r="48">
      <c r="A48" s="4" t="n"/>
      <c r="B48" s="35" t="n"/>
      <c r="C48" s="35" t="n"/>
      <c r="D48" s="4" t="n"/>
    </row>
    <row r="49">
      <c r="A49" s="4" t="n"/>
      <c r="B49" s="35" t="n"/>
      <c r="C49" s="35" t="n"/>
      <c r="D49" s="4" t="n"/>
    </row>
    <row r="50">
      <c r="A50" s="4" t="n"/>
      <c r="B50" s="35" t="n"/>
      <c r="C50" s="35" t="n"/>
      <c r="D50" s="4" t="n"/>
    </row>
    <row r="51">
      <c r="A51" s="4" t="n"/>
      <c r="B51" s="35" t="n"/>
      <c r="C51" s="35" t="n"/>
      <c r="D51" s="4" t="n"/>
    </row>
    <row r="52">
      <c r="A52" s="4" t="n"/>
      <c r="B52" s="35" t="n"/>
      <c r="C52" s="35" t="n"/>
      <c r="D52" s="4" t="n"/>
    </row>
    <row r="53">
      <c r="A53" s="4" t="n"/>
      <c r="B53" s="35" t="n"/>
      <c r="C53" s="35" t="n"/>
      <c r="D53" s="4" t="n"/>
    </row>
    <row r="54">
      <c r="A54" s="4" t="n"/>
      <c r="B54" s="35" t="n"/>
      <c r="C54" s="35" t="n"/>
      <c r="D54" s="4" t="n"/>
    </row>
    <row r="55">
      <c r="A55" s="4" t="n"/>
      <c r="B55" s="35" t="n"/>
      <c r="C55" s="35" t="n"/>
      <c r="D55" s="4" t="n"/>
    </row>
    <row r="56">
      <c r="A56" s="4" t="n"/>
      <c r="B56" s="35" t="n"/>
      <c r="C56" s="35" t="n"/>
      <c r="D56" s="4" t="n"/>
    </row>
    <row r="57">
      <c r="A57" s="4" t="n"/>
      <c r="B57" s="35" t="n"/>
      <c r="C57" s="35" t="n"/>
      <c r="D57" s="4" t="n"/>
    </row>
    <row r="58">
      <c r="A58" s="4" t="n"/>
      <c r="B58" s="35" t="n"/>
      <c r="C58" s="35" t="n"/>
      <c r="D58" s="4" t="n"/>
    </row>
    <row r="59">
      <c r="A59" s="4" t="n"/>
      <c r="B59" s="35" t="n"/>
      <c r="C59" s="35" t="n"/>
      <c r="D59" s="4" t="n"/>
    </row>
    <row r="60">
      <c r="A60" s="4" t="n"/>
      <c r="B60" s="35" t="n"/>
      <c r="C60" s="35" t="n"/>
      <c r="D60" s="4" t="n"/>
    </row>
    <row r="61">
      <c r="A61" s="4" t="n"/>
      <c r="B61" s="35" t="n"/>
      <c r="C61" s="35" t="n"/>
      <c r="D61" s="4" t="n"/>
    </row>
    <row r="62">
      <c r="A62" s="4" t="n"/>
      <c r="B62" s="35" t="n"/>
      <c r="C62" s="35" t="n"/>
      <c r="D62" s="4" t="n"/>
    </row>
    <row r="63">
      <c r="A63" s="4" t="n"/>
      <c r="B63" s="35" t="n"/>
      <c r="C63" s="35" t="n"/>
      <c r="D63" s="4" t="n"/>
    </row>
    <row r="64">
      <c r="A64" s="4" t="n"/>
      <c r="B64" s="35" t="n"/>
      <c r="C64" s="35" t="n"/>
      <c r="D64" s="4" t="n"/>
    </row>
    <row r="65">
      <c r="A65" s="4" t="n"/>
      <c r="B65" s="35" t="n"/>
      <c r="C65" s="35" t="n"/>
      <c r="D65" s="4" t="n"/>
    </row>
    <row r="66">
      <c r="A66" s="4" t="n"/>
      <c r="B66" s="35" t="n"/>
      <c r="C66" s="35" t="n"/>
      <c r="D66" s="4" t="n"/>
    </row>
    <row r="67">
      <c r="A67" s="4" t="n"/>
      <c r="B67" s="35" t="n"/>
      <c r="C67" s="35" t="n"/>
      <c r="D67" s="4" t="n"/>
    </row>
    <row r="68">
      <c r="A68" s="4" t="n"/>
      <c r="B68" s="35" t="n"/>
      <c r="C68" s="35" t="n"/>
      <c r="D68" s="4" t="n"/>
    </row>
    <row r="69">
      <c r="A69" s="4" t="n"/>
      <c r="B69" s="35" t="n"/>
      <c r="C69" s="35" t="n"/>
      <c r="D69" s="4" t="n"/>
    </row>
    <row r="70">
      <c r="A70" s="4" t="n"/>
      <c r="B70" s="35" t="n"/>
      <c r="C70" s="35" t="n"/>
      <c r="D70" s="4" t="n"/>
    </row>
    <row r="71">
      <c r="A71" s="4" t="n"/>
      <c r="B71" s="35" t="n"/>
      <c r="C71" s="35" t="n"/>
      <c r="D71" s="4" t="n"/>
    </row>
    <row r="72">
      <c r="A72" s="4" t="n"/>
      <c r="B72" s="35" t="n"/>
      <c r="C72" s="35" t="n"/>
      <c r="D72" s="4" t="n"/>
    </row>
    <row r="73">
      <c r="A73" s="4" t="n"/>
      <c r="B73" s="35" t="n"/>
      <c r="C73" s="35" t="n"/>
      <c r="D73" s="4" t="n"/>
    </row>
    <row r="74">
      <c r="A74" s="4" t="n"/>
      <c r="B74" s="35" t="n"/>
      <c r="C74" s="35" t="n"/>
      <c r="D74" s="4" t="n"/>
    </row>
    <row r="75">
      <c r="A75" s="4" t="n"/>
      <c r="B75" s="35" t="n"/>
      <c r="C75" s="35" t="n"/>
      <c r="D75" s="4" t="n"/>
    </row>
    <row r="76">
      <c r="A76" s="4" t="n"/>
      <c r="B76" s="35" t="n"/>
      <c r="C76" s="35" t="n"/>
      <c r="D76" s="4" t="n"/>
    </row>
    <row r="77">
      <c r="A77" s="4" t="n"/>
      <c r="B77" s="35" t="n"/>
      <c r="C77" s="35" t="n"/>
      <c r="D77" s="4" t="n"/>
    </row>
    <row r="78">
      <c r="A78" s="4" t="n"/>
      <c r="B78" s="35" t="n"/>
      <c r="C78" s="35" t="n"/>
      <c r="D78" s="4" t="n"/>
    </row>
    <row r="79">
      <c r="A79" s="4" t="n"/>
      <c r="B79" s="35" t="n"/>
      <c r="C79" s="35" t="n"/>
      <c r="D79" s="4" t="n"/>
    </row>
    <row r="80">
      <c r="A80" s="4" t="n"/>
      <c r="B80" s="35" t="n"/>
      <c r="C80" s="35" t="n"/>
      <c r="D80" s="4" t="n"/>
    </row>
    <row r="81">
      <c r="A81" s="4" t="n"/>
      <c r="B81" s="35" t="n"/>
      <c r="C81" s="35" t="n"/>
      <c r="D81" s="4" t="n"/>
    </row>
    <row r="82">
      <c r="A82" s="4" t="n"/>
      <c r="B82" s="35" t="n"/>
      <c r="C82" s="35" t="n"/>
      <c r="D82" s="4" t="n"/>
    </row>
    <row r="83">
      <c r="A83" s="4" t="n"/>
      <c r="B83" s="35" t="n"/>
      <c r="C83" s="35" t="n"/>
      <c r="D83" s="4" t="n"/>
    </row>
    <row r="84">
      <c r="A84" s="4" t="n"/>
      <c r="B84" s="35" t="n"/>
      <c r="C84" s="35" t="n"/>
      <c r="D84" s="4" t="n"/>
    </row>
    <row r="85">
      <c r="A85" s="4" t="n"/>
      <c r="B85" s="35" t="n"/>
      <c r="C85" s="35" t="n"/>
      <c r="D85" s="4" t="n"/>
    </row>
    <row r="86">
      <c r="A86" s="4" t="n"/>
      <c r="B86" s="35" t="n"/>
      <c r="C86" s="35" t="n"/>
      <c r="D86" s="4" t="n"/>
    </row>
    <row r="87">
      <c r="A87" s="4" t="n"/>
      <c r="B87" s="35" t="n"/>
      <c r="C87" s="35" t="n"/>
      <c r="D87" s="4" t="n"/>
    </row>
    <row r="88">
      <c r="A88" s="4" t="n"/>
      <c r="B88" s="35" t="n"/>
      <c r="C88" s="35" t="n"/>
      <c r="D88" s="4" t="n"/>
    </row>
    <row r="89">
      <c r="A89" s="4" t="n"/>
      <c r="B89" s="35" t="n"/>
      <c r="C89" s="35" t="n"/>
      <c r="D89" s="4" t="n"/>
    </row>
    <row r="90">
      <c r="A90" s="4" t="n"/>
      <c r="B90" s="35" t="n"/>
      <c r="C90" s="35" t="n"/>
      <c r="D90" s="4" t="n"/>
    </row>
    <row r="91">
      <c r="A91" s="4" t="n"/>
      <c r="B91" s="35" t="n"/>
      <c r="C91" s="35" t="n"/>
      <c r="D91" s="4" t="n"/>
    </row>
    <row r="92">
      <c r="A92" s="4" t="n"/>
      <c r="B92" s="35" t="n"/>
      <c r="C92" s="35" t="n"/>
      <c r="D92" s="4" t="n"/>
    </row>
    <row r="93">
      <c r="A93" s="4" t="n"/>
      <c r="B93" s="35" t="n"/>
      <c r="C93" s="35" t="n"/>
      <c r="D93" s="4" t="n"/>
    </row>
    <row r="94">
      <c r="A94" s="4" t="n"/>
      <c r="B94" s="35" t="n"/>
      <c r="C94" s="35" t="n"/>
      <c r="D94" s="4" t="n"/>
    </row>
    <row r="95">
      <c r="A95" s="4" t="n"/>
      <c r="B95" s="35" t="n"/>
      <c r="C95" s="35" t="n"/>
      <c r="D95" s="4" t="n"/>
    </row>
    <row r="96">
      <c r="A96" s="4" t="n"/>
      <c r="B96" s="35" t="n"/>
      <c r="C96" s="35" t="n"/>
      <c r="D96" s="4" t="n"/>
    </row>
    <row r="97">
      <c r="A97" s="4" t="n"/>
      <c r="B97" s="35" t="n"/>
      <c r="C97" s="35" t="n"/>
      <c r="D97" s="4" t="n"/>
    </row>
    <row r="98">
      <c r="A98" s="4" t="n"/>
      <c r="B98" s="35" t="n"/>
      <c r="C98" s="35" t="n"/>
      <c r="D98" s="4" t="n"/>
    </row>
    <row r="99">
      <c r="A99" s="4" t="n"/>
      <c r="B99" s="35" t="n"/>
      <c r="C99" s="35" t="n"/>
      <c r="D99" s="4" t="n"/>
    </row>
    <row r="100">
      <c r="A100" s="4" t="n"/>
      <c r="B100" s="35" t="n"/>
      <c r="C100" s="35" t="n"/>
      <c r="D100" s="4" t="n"/>
    </row>
    <row r="101">
      <c r="A101" s="4" t="n"/>
      <c r="B101" s="35" t="n"/>
      <c r="C101" s="35" t="n"/>
      <c r="D101" s="4" t="n"/>
    </row>
    <row r="102">
      <c r="A102" s="4" t="n"/>
      <c r="B102" s="35" t="n"/>
      <c r="C102" s="35" t="n"/>
      <c r="D102" s="4" t="n"/>
    </row>
    <row r="103">
      <c r="A103" s="4" t="n"/>
      <c r="B103" s="35" t="n"/>
      <c r="C103" s="35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14" t="inlineStr">
        <is>
          <t>id_operacion</t>
        </is>
      </c>
    </row>
    <row r="9">
      <c r="A9" s="27" t="inlineStr">
        <is>
          <t>OT-EJEMPLO-001</t>
        </is>
      </c>
      <c r="B9" s="27" t="inlineStr">
        <is>
          <t>0010</t>
        </is>
      </c>
      <c r="C9" s="27" t="inlineStr">
        <is>
          <t>CERR</t>
        </is>
      </c>
      <c r="D9" s="27" t="inlineStr">
        <is>
          <t>2-MEDIA</t>
        </is>
      </c>
      <c r="E9" s="27" t="inlineStr"/>
      <c r="F9" s="29" t="n">
        <v>60</v>
      </c>
      <c r="G9" s="29" t="n">
        <v>150</v>
      </c>
      <c r="H9" s="29" t="n">
        <v>150</v>
      </c>
      <c r="I9" s="27" t="inlineStr"/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27" t="inlineStr">
        <is>
          <t>OT-EJEMPLO-002</t>
        </is>
      </c>
      <c r="B10" s="27" t="inlineStr">
        <is>
          <t>0010</t>
        </is>
      </c>
      <c r="C10" s="27" t="inlineStr">
        <is>
          <t>CERR</t>
        </is>
      </c>
      <c r="D10" s="27" t="inlineStr">
        <is>
          <t>2-MEDIA</t>
        </is>
      </c>
      <c r="E10" s="27" t="inlineStr"/>
      <c r="F10" s="29" t="n">
        <v>40</v>
      </c>
      <c r="G10" s="29" t="n">
        <v>100</v>
      </c>
      <c r="H10" s="29" t="n">
        <v>100</v>
      </c>
      <c r="I10" s="27" t="inlineStr"/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27" t="inlineStr">
        <is>
          <t>OT-EJEMPLO-003</t>
        </is>
      </c>
      <c r="B11" s="27" t="inlineStr">
        <is>
          <t>0010</t>
        </is>
      </c>
      <c r="C11" s="27" t="inlineStr">
        <is>
          <t>CERR</t>
        </is>
      </c>
      <c r="D11" s="27" t="inlineStr">
        <is>
          <t>2-MEDIA</t>
        </is>
      </c>
      <c r="E11" s="27" t="inlineStr"/>
      <c r="F11" s="29" t="n">
        <v>80</v>
      </c>
      <c r="G11" s="29" t="n">
        <v>200</v>
      </c>
      <c r="H11" s="29" t="n">
        <v>200</v>
      </c>
      <c r="I11" s="27" t="inlineStr"/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27" t="inlineStr">
        <is>
          <t>OT-EJEMPLO-004</t>
        </is>
      </c>
      <c r="B12" s="27" t="inlineStr">
        <is>
          <t>0010</t>
        </is>
      </c>
      <c r="C12" s="27" t="inlineStr">
        <is>
          <t>CERR</t>
        </is>
      </c>
      <c r="D12" s="27" t="inlineStr">
        <is>
          <t>2-MEDIA</t>
        </is>
      </c>
      <c r="E12" s="27" t="inlineStr"/>
      <c r="F12" s="29" t="n">
        <v>80</v>
      </c>
      <c r="G12" s="29" t="n">
        <v>200</v>
      </c>
      <c r="H12" s="29" t="n">
        <v>200</v>
      </c>
      <c r="I12" s="27" t="inlineStr"/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27" t="inlineStr">
        <is>
          <t>OT-EJEMPLO-005</t>
        </is>
      </c>
      <c r="B13" s="27" t="inlineStr">
        <is>
          <t>0010</t>
        </is>
      </c>
      <c r="C13" s="27" t="inlineStr">
        <is>
          <t>CERR</t>
        </is>
      </c>
      <c r="D13" s="27" t="inlineStr">
        <is>
          <t>2-MEDIA</t>
        </is>
      </c>
      <c r="E13" s="27" t="inlineStr"/>
      <c r="F13" s="29" t="n">
        <v>60</v>
      </c>
      <c r="G13" s="29" t="n">
        <v>150</v>
      </c>
      <c r="H13" s="29" t="n">
        <v>150</v>
      </c>
      <c r="I13" s="27" t="inlineStr"/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27" t="inlineStr">
        <is>
          <t>OT-EJEMPLO-006</t>
        </is>
      </c>
      <c r="B14" s="27" t="inlineStr">
        <is>
          <t>0010</t>
        </is>
      </c>
      <c r="C14" s="27" t="inlineStr">
        <is>
          <t>CERR</t>
        </is>
      </c>
      <c r="D14" s="27" t="inlineStr">
        <is>
          <t>2-MEDIA</t>
        </is>
      </c>
      <c r="E14" s="27" t="inlineStr"/>
      <c r="F14" s="29" t="n">
        <v>48</v>
      </c>
      <c r="G14" s="29" t="n">
        <v>120</v>
      </c>
      <c r="H14" s="29" t="n">
        <v>120</v>
      </c>
      <c r="I14" s="27" t="inlineStr"/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27" t="inlineStr">
        <is>
          <t>OT-EJEMPLO-007</t>
        </is>
      </c>
      <c r="B15" s="27" t="inlineStr">
        <is>
          <t>0010</t>
        </is>
      </c>
      <c r="C15" s="27" t="inlineStr">
        <is>
          <t>LIB</t>
        </is>
      </c>
      <c r="D15" s="27" t="inlineStr">
        <is>
          <t>2-MEDIA</t>
        </is>
      </c>
      <c r="E15" s="27" t="inlineStr"/>
      <c r="F15" s="29" t="n">
        <v>40</v>
      </c>
      <c r="G15" s="29" t="n">
        <v>100</v>
      </c>
      <c r="H15" s="29" t="n">
        <v>100</v>
      </c>
      <c r="I15" s="27" t="inlineStr"/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27" t="inlineStr">
        <is>
          <t>OT-EJEMPLO-008</t>
        </is>
      </c>
      <c r="B16" s="27" t="inlineStr">
        <is>
          <t>0010</t>
        </is>
      </c>
      <c r="C16" s="27" t="inlineStr">
        <is>
          <t>LIB</t>
        </is>
      </c>
      <c r="D16" s="27" t="inlineStr">
        <is>
          <t>2-MEDIA</t>
        </is>
      </c>
      <c r="E16" s="27" t="inlineStr"/>
      <c r="F16" s="29" t="n">
        <v>80</v>
      </c>
      <c r="G16" s="29" t="n">
        <v>200</v>
      </c>
      <c r="H16" s="29" t="n">
        <v>200</v>
      </c>
      <c r="I16" s="27" t="inlineStr"/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n"/>
      <c r="B17" s="5" t="n"/>
      <c r="C17" s="5" t="n"/>
      <c r="D17" s="5" t="n"/>
      <c r="E17" s="5" t="n"/>
      <c r="F17" s="18" t="n"/>
      <c r="G17" s="18" t="n"/>
      <c r="H17" s="18" t="n"/>
      <c r="I17" s="5" t="n"/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n"/>
      <c r="B18" s="5" t="n"/>
      <c r="C18" s="5" t="n"/>
      <c r="D18" s="5" t="n"/>
      <c r="E18" s="5" t="n"/>
      <c r="F18" s="18" t="n"/>
      <c r="G18" s="18" t="n"/>
      <c r="H18" s="18" t="n"/>
      <c r="I18" s="5" t="n"/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n"/>
      <c r="B19" s="5" t="n"/>
      <c r="C19" s="5" t="n"/>
      <c r="D19" s="5" t="n"/>
      <c r="E19" s="5" t="n"/>
      <c r="F19" s="18" t="n"/>
      <c r="G19" s="18" t="n"/>
      <c r="H19" s="18" t="n"/>
      <c r="I19" s="5" t="n"/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n"/>
      <c r="B20" s="5" t="n"/>
      <c r="C20" s="5" t="n"/>
      <c r="D20" s="5" t="n"/>
      <c r="E20" s="5" t="n"/>
      <c r="F20" s="18" t="n"/>
      <c r="G20" s="18" t="n"/>
      <c r="H20" s="18" t="n"/>
      <c r="I20" s="5" t="n"/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n"/>
      <c r="B21" s="5" t="n"/>
      <c r="C21" s="5" t="n"/>
      <c r="D21" s="5" t="n"/>
      <c r="E21" s="5" t="n"/>
      <c r="F21" s="18" t="n"/>
      <c r="G21" s="18" t="n"/>
      <c r="H21" s="18" t="n"/>
      <c r="I21" s="5" t="n"/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n"/>
      <c r="B22" s="5" t="n"/>
      <c r="C22" s="5" t="n"/>
      <c r="D22" s="5" t="n"/>
      <c r="E22" s="5" t="n"/>
      <c r="F22" s="18" t="n"/>
      <c r="G22" s="18" t="n"/>
      <c r="H22" s="18" t="n"/>
      <c r="I22" s="5" t="n"/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n"/>
      <c r="B23" s="5" t="n"/>
      <c r="C23" s="5" t="n"/>
      <c r="D23" s="5" t="n"/>
      <c r="E23" s="5" t="n"/>
      <c r="F23" s="18" t="n"/>
      <c r="G23" s="18" t="n"/>
      <c r="H23" s="18" t="n"/>
      <c r="I23" s="5" t="n"/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n"/>
      <c r="B24" s="5" t="n"/>
      <c r="C24" s="5" t="n"/>
      <c r="D24" s="5" t="n"/>
      <c r="E24" s="5" t="n"/>
      <c r="F24" s="18" t="n"/>
      <c r="G24" s="18" t="n"/>
      <c r="H24" s="18" t="n"/>
      <c r="I24" s="5" t="n"/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n"/>
      <c r="B25" s="5" t="n"/>
      <c r="C25" s="5" t="n"/>
      <c r="D25" s="5" t="n"/>
      <c r="E25" s="5" t="n"/>
      <c r="F25" s="18" t="n"/>
      <c r="G25" s="18" t="n"/>
      <c r="H25" s="18" t="n"/>
      <c r="I25" s="5" t="n"/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n"/>
      <c r="B26" s="5" t="n"/>
      <c r="C26" s="5" t="n"/>
      <c r="D26" s="5" t="n"/>
      <c r="E26" s="5" t="n"/>
      <c r="F26" s="18" t="n"/>
      <c r="G26" s="18" t="n"/>
      <c r="H26" s="18" t="n"/>
      <c r="I26" s="5" t="n"/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n"/>
      <c r="B27" s="5" t="n"/>
      <c r="C27" s="5" t="n"/>
      <c r="D27" s="5" t="n"/>
      <c r="E27" s="5" t="n"/>
      <c r="F27" s="18" t="n"/>
      <c r="G27" s="18" t="n"/>
      <c r="H27" s="18" t="n"/>
      <c r="I27" s="5" t="n"/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n"/>
      <c r="B28" s="5" t="n"/>
      <c r="C28" s="5" t="n"/>
      <c r="D28" s="5" t="n"/>
      <c r="E28" s="5" t="n"/>
      <c r="F28" s="18" t="n"/>
      <c r="G28" s="18" t="n"/>
      <c r="H28" s="18" t="n"/>
      <c r="I28" s="5" t="n"/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n"/>
      <c r="B29" s="5" t="n"/>
      <c r="C29" s="5" t="n"/>
      <c r="D29" s="5" t="n"/>
      <c r="E29" s="5" t="n"/>
      <c r="F29" s="18" t="n"/>
      <c r="G29" s="18" t="n"/>
      <c r="H29" s="18" t="n"/>
      <c r="I29" s="5" t="n"/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n"/>
      <c r="B30" s="5" t="n"/>
      <c r="C30" s="5" t="n"/>
      <c r="D30" s="5" t="n"/>
      <c r="E30" s="5" t="n"/>
      <c r="F30" s="18" t="n"/>
      <c r="G30" s="18" t="n"/>
      <c r="H30" s="18" t="n"/>
      <c r="I30" s="5" t="n"/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n"/>
      <c r="B31" s="5" t="n"/>
      <c r="C31" s="5" t="n"/>
      <c r="D31" s="5" t="n"/>
      <c r="E31" s="5" t="n"/>
      <c r="F31" s="18" t="n"/>
      <c r="G31" s="18" t="n"/>
      <c r="H31" s="18" t="n"/>
      <c r="I31" s="5" t="n"/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n"/>
      <c r="B32" s="5" t="n"/>
      <c r="C32" s="5" t="n"/>
      <c r="D32" s="5" t="n"/>
      <c r="E32" s="5" t="n"/>
      <c r="F32" s="18" t="n"/>
      <c r="G32" s="18" t="n"/>
      <c r="H32" s="18" t="n"/>
      <c r="I32" s="5" t="n"/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n"/>
      <c r="B33" s="5" t="n"/>
      <c r="C33" s="5" t="n"/>
      <c r="D33" s="5" t="n"/>
      <c r="E33" s="5" t="n"/>
      <c r="F33" s="18" t="n"/>
      <c r="G33" s="18" t="n"/>
      <c r="H33" s="18" t="n"/>
      <c r="I33" s="5" t="n"/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n"/>
      <c r="B34" s="5" t="n"/>
      <c r="C34" s="5" t="n"/>
      <c r="D34" s="5" t="n"/>
      <c r="E34" s="5" t="n"/>
      <c r="F34" s="18" t="n"/>
      <c r="G34" s="18" t="n"/>
      <c r="H34" s="18" t="n"/>
      <c r="I34" s="5" t="n"/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n"/>
      <c r="B35" s="5" t="n"/>
      <c r="C35" s="5" t="n"/>
      <c r="D35" s="5" t="n"/>
      <c r="E35" s="5" t="n"/>
      <c r="F35" s="18" t="n"/>
      <c r="G35" s="18" t="n"/>
      <c r="H35" s="18" t="n"/>
      <c r="I35" s="5" t="n"/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n"/>
      <c r="B36" s="5" t="n"/>
      <c r="C36" s="5" t="n"/>
      <c r="D36" s="5" t="n"/>
      <c r="E36" s="5" t="n"/>
      <c r="F36" s="18" t="n"/>
      <c r="G36" s="18" t="n"/>
      <c r="H36" s="18" t="n"/>
      <c r="I36" s="5" t="n"/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n"/>
      <c r="B37" s="5" t="n"/>
      <c r="C37" s="5" t="n"/>
      <c r="D37" s="5" t="n"/>
      <c r="E37" s="5" t="n"/>
      <c r="F37" s="18" t="n"/>
      <c r="G37" s="18" t="n"/>
      <c r="H37" s="18" t="n"/>
      <c r="I37" s="5" t="n"/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n"/>
      <c r="B38" s="5" t="n"/>
      <c r="C38" s="5" t="n"/>
      <c r="D38" s="5" t="n"/>
      <c r="E38" s="5" t="n"/>
      <c r="F38" s="18" t="n"/>
      <c r="G38" s="18" t="n"/>
      <c r="H38" s="18" t="n"/>
      <c r="I38" s="5" t="n"/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n"/>
      <c r="B39" s="5" t="n"/>
      <c r="C39" s="5" t="n"/>
      <c r="D39" s="5" t="n"/>
      <c r="E39" s="5" t="n"/>
      <c r="F39" s="18" t="n"/>
      <c r="G39" s="18" t="n"/>
      <c r="H39" s="18" t="n"/>
      <c r="I39" s="5" t="n"/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n"/>
      <c r="B40" s="5" t="n"/>
      <c r="C40" s="5" t="n"/>
      <c r="D40" s="5" t="n"/>
      <c r="E40" s="5" t="n"/>
      <c r="F40" s="18" t="n"/>
      <c r="G40" s="18" t="n"/>
      <c r="H40" s="18" t="n"/>
      <c r="I40" s="5" t="n"/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n"/>
      <c r="B41" s="5" t="n"/>
      <c r="C41" s="5" t="n"/>
      <c r="D41" s="5" t="n"/>
      <c r="E41" s="5" t="n"/>
      <c r="F41" s="18" t="n"/>
      <c r="G41" s="18" t="n"/>
      <c r="H41" s="18" t="n"/>
      <c r="I41" s="5" t="n"/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n"/>
      <c r="B42" s="5" t="n"/>
      <c r="C42" s="5" t="n"/>
      <c r="D42" s="5" t="n"/>
      <c r="E42" s="5" t="n"/>
      <c r="F42" s="18" t="n"/>
      <c r="G42" s="18" t="n"/>
      <c r="H42" s="18" t="n"/>
      <c r="I42" s="5" t="n"/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n"/>
      <c r="B43" s="5" t="n"/>
      <c r="C43" s="5" t="n"/>
      <c r="D43" s="5" t="n"/>
      <c r="E43" s="5" t="n"/>
      <c r="F43" s="18" t="n"/>
      <c r="G43" s="18" t="n"/>
      <c r="H43" s="18" t="n"/>
      <c r="I43" s="5" t="n"/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n"/>
      <c r="B44" s="5" t="n"/>
      <c r="C44" s="5" t="n"/>
      <c r="D44" s="5" t="n"/>
      <c r="E44" s="5" t="n"/>
      <c r="F44" s="18" t="n"/>
      <c r="G44" s="18" t="n"/>
      <c r="H44" s="18" t="n"/>
      <c r="I44" s="5" t="n"/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n"/>
      <c r="B45" s="5" t="n"/>
      <c r="C45" s="5" t="n"/>
      <c r="D45" s="5" t="n"/>
      <c r="E45" s="5" t="n"/>
      <c r="F45" s="18" t="n"/>
      <c r="G45" s="18" t="n"/>
      <c r="H45" s="18" t="n"/>
      <c r="I45" s="5" t="n"/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n"/>
      <c r="B46" s="5" t="n"/>
      <c r="C46" s="5" t="n"/>
      <c r="D46" s="5" t="n"/>
      <c r="E46" s="5" t="n"/>
      <c r="F46" s="18" t="n"/>
      <c r="G46" s="18" t="n"/>
      <c r="H46" s="18" t="n"/>
      <c r="I46" s="5" t="n"/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n"/>
      <c r="B47" s="5" t="n"/>
      <c r="C47" s="5" t="n"/>
      <c r="D47" s="5" t="n"/>
      <c r="E47" s="5" t="n"/>
      <c r="F47" s="18" t="n"/>
      <c r="G47" s="18" t="n"/>
      <c r="H47" s="18" t="n"/>
      <c r="I47" s="5" t="n"/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n"/>
      <c r="B48" s="5" t="n"/>
      <c r="C48" s="5" t="n"/>
      <c r="D48" s="5" t="n"/>
      <c r="E48" s="5" t="n"/>
      <c r="F48" s="18" t="n"/>
      <c r="G48" s="18" t="n"/>
      <c r="H48" s="18" t="n"/>
      <c r="I48" s="5" t="n"/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n"/>
      <c r="B49" s="5" t="n"/>
      <c r="C49" s="5" t="n"/>
      <c r="D49" s="5" t="n"/>
      <c r="E49" s="5" t="n"/>
      <c r="F49" s="18" t="n"/>
      <c r="G49" s="18" t="n"/>
      <c r="H49" s="18" t="n"/>
      <c r="I49" s="5" t="n"/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n"/>
      <c r="B50" s="5" t="n"/>
      <c r="C50" s="5" t="n"/>
      <c r="D50" s="5" t="n"/>
      <c r="E50" s="5" t="n"/>
      <c r="F50" s="18" t="n"/>
      <c r="G50" s="18" t="n"/>
      <c r="H50" s="18" t="n"/>
      <c r="I50" s="5" t="n"/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n"/>
      <c r="B51" s="5" t="n"/>
      <c r="C51" s="5" t="n"/>
      <c r="D51" s="5" t="n"/>
      <c r="E51" s="5" t="n"/>
      <c r="F51" s="18" t="n"/>
      <c r="G51" s="18" t="n"/>
      <c r="H51" s="18" t="n"/>
      <c r="I51" s="5" t="n"/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n"/>
      <c r="B52" s="5" t="n"/>
      <c r="C52" s="5" t="n"/>
      <c r="D52" s="5" t="n"/>
      <c r="E52" s="5" t="n"/>
      <c r="F52" s="18" t="n"/>
      <c r="G52" s="18" t="n"/>
      <c r="H52" s="18" t="n"/>
      <c r="I52" s="5" t="n"/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n"/>
      <c r="B53" s="5" t="n"/>
      <c r="C53" s="5" t="n"/>
      <c r="D53" s="5" t="n"/>
      <c r="E53" s="5" t="n"/>
      <c r="F53" s="18" t="n"/>
      <c r="G53" s="18" t="n"/>
      <c r="H53" s="18" t="n"/>
      <c r="I53" s="5" t="n"/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n"/>
      <c r="B54" s="5" t="n"/>
      <c r="C54" s="5" t="n"/>
      <c r="D54" s="5" t="n"/>
      <c r="E54" s="5" t="n"/>
      <c r="F54" s="18" t="n"/>
      <c r="G54" s="18" t="n"/>
      <c r="H54" s="18" t="n"/>
      <c r="I54" s="5" t="n"/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n"/>
      <c r="B55" s="5" t="n"/>
      <c r="C55" s="5" t="n"/>
      <c r="D55" s="5" t="n"/>
      <c r="E55" s="5" t="n"/>
      <c r="F55" s="18" t="n"/>
      <c r="G55" s="18" t="n"/>
      <c r="H55" s="18" t="n"/>
      <c r="I55" s="5" t="n"/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n"/>
      <c r="B56" s="5" t="n"/>
      <c r="C56" s="5" t="n"/>
      <c r="D56" s="5" t="n"/>
      <c r="E56" s="5" t="n"/>
      <c r="F56" s="18" t="n"/>
      <c r="G56" s="18" t="n"/>
      <c r="H56" s="18" t="n"/>
      <c r="I56" s="5" t="n"/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n"/>
      <c r="B57" s="5" t="n"/>
      <c r="C57" s="5" t="n"/>
      <c r="D57" s="5" t="n"/>
      <c r="E57" s="5" t="n"/>
      <c r="F57" s="18" t="n"/>
      <c r="G57" s="18" t="n"/>
      <c r="H57" s="18" t="n"/>
      <c r="I57" s="5" t="n"/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n"/>
      <c r="B58" s="5" t="n"/>
      <c r="C58" s="5" t="n"/>
      <c r="D58" s="5" t="n"/>
      <c r="E58" s="5" t="n"/>
      <c r="F58" s="18" t="n"/>
      <c r="G58" s="18" t="n"/>
      <c r="H58" s="18" t="n"/>
      <c r="I58" s="5" t="n"/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n"/>
      <c r="B59" s="5" t="n"/>
      <c r="C59" s="5" t="n"/>
      <c r="D59" s="5" t="n"/>
      <c r="E59" s="5" t="n"/>
      <c r="F59" s="18" t="n"/>
      <c r="G59" s="18" t="n"/>
      <c r="H59" s="18" t="n"/>
      <c r="I59" s="5" t="n"/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n"/>
      <c r="B60" s="5" t="n"/>
      <c r="C60" s="5" t="n"/>
      <c r="D60" s="5" t="n"/>
      <c r="E60" s="5" t="n"/>
      <c r="F60" s="18" t="n"/>
      <c r="G60" s="18" t="n"/>
      <c r="H60" s="18" t="n"/>
      <c r="I60" s="5" t="n"/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n"/>
      <c r="B61" s="5" t="n"/>
      <c r="C61" s="5" t="n"/>
      <c r="D61" s="5" t="n"/>
      <c r="E61" s="5" t="n"/>
      <c r="F61" s="18" t="n"/>
      <c r="G61" s="18" t="n"/>
      <c r="H61" s="18" t="n"/>
      <c r="I61" s="5" t="n"/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n"/>
      <c r="B62" s="5" t="n"/>
      <c r="C62" s="5" t="n"/>
      <c r="D62" s="5" t="n"/>
      <c r="E62" s="5" t="n"/>
      <c r="F62" s="18" t="n"/>
      <c r="G62" s="18" t="n"/>
      <c r="H62" s="18" t="n"/>
      <c r="I62" s="5" t="n"/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n"/>
      <c r="B63" s="5" t="n"/>
      <c r="C63" s="5" t="n"/>
      <c r="D63" s="5" t="n"/>
      <c r="E63" s="5" t="n"/>
      <c r="F63" s="18" t="n"/>
      <c r="G63" s="18" t="n"/>
      <c r="H63" s="18" t="n"/>
      <c r="I63" s="5" t="n"/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n"/>
      <c r="B64" s="5" t="n"/>
      <c r="C64" s="5" t="n"/>
      <c r="D64" s="5" t="n"/>
      <c r="E64" s="5" t="n"/>
      <c r="F64" s="18" t="n"/>
      <c r="G64" s="18" t="n"/>
      <c r="H64" s="18" t="n"/>
      <c r="I64" s="5" t="n"/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n"/>
      <c r="B65" s="5" t="n"/>
      <c r="C65" s="5" t="n"/>
      <c r="D65" s="5" t="n"/>
      <c r="E65" s="5" t="n"/>
      <c r="F65" s="18" t="n"/>
      <c r="G65" s="18" t="n"/>
      <c r="H65" s="18" t="n"/>
      <c r="I65" s="5" t="n"/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n"/>
      <c r="B66" s="5" t="n"/>
      <c r="C66" s="5" t="n"/>
      <c r="D66" s="5" t="n"/>
      <c r="E66" s="5" t="n"/>
      <c r="F66" s="18" t="n"/>
      <c r="G66" s="18" t="n"/>
      <c r="H66" s="18" t="n"/>
      <c r="I66" s="5" t="n"/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n"/>
      <c r="B67" s="5" t="n"/>
      <c r="C67" s="5" t="n"/>
      <c r="D67" s="5" t="n"/>
      <c r="E67" s="5" t="n"/>
      <c r="F67" s="18" t="n"/>
      <c r="G67" s="18" t="n"/>
      <c r="H67" s="18" t="n"/>
      <c r="I67" s="5" t="n"/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n"/>
      <c r="B68" s="5" t="n"/>
      <c r="C68" s="5" t="n"/>
      <c r="D68" s="5" t="n"/>
      <c r="E68" s="5" t="n"/>
      <c r="F68" s="18" t="n"/>
      <c r="G68" s="18" t="n"/>
      <c r="H68" s="18" t="n"/>
      <c r="I68" s="5" t="n"/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n"/>
      <c r="B69" s="5" t="n"/>
      <c r="C69" s="5" t="n"/>
      <c r="D69" s="5" t="n"/>
      <c r="E69" s="5" t="n"/>
      <c r="F69" s="18" t="n"/>
      <c r="G69" s="18" t="n"/>
      <c r="H69" s="18" t="n"/>
      <c r="I69" s="5" t="n"/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n"/>
      <c r="B70" s="5" t="n"/>
      <c r="C70" s="5" t="n"/>
      <c r="D70" s="5" t="n"/>
      <c r="E70" s="5" t="n"/>
      <c r="F70" s="18" t="n"/>
      <c r="G70" s="18" t="n"/>
      <c r="H70" s="18" t="n"/>
      <c r="I70" s="5" t="n"/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n"/>
      <c r="B71" s="5" t="n"/>
      <c r="C71" s="5" t="n"/>
      <c r="D71" s="5" t="n"/>
      <c r="E71" s="5" t="n"/>
      <c r="F71" s="18" t="n"/>
      <c r="G71" s="18" t="n"/>
      <c r="H71" s="18" t="n"/>
      <c r="I71" s="5" t="n"/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n"/>
      <c r="B72" s="5" t="n"/>
      <c r="C72" s="5" t="n"/>
      <c r="D72" s="5" t="n"/>
      <c r="E72" s="5" t="n"/>
      <c r="F72" s="18" t="n"/>
      <c r="G72" s="18" t="n"/>
      <c r="H72" s="18" t="n"/>
      <c r="I72" s="5" t="n"/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n"/>
      <c r="B73" s="5" t="n"/>
      <c r="C73" s="5" t="n"/>
      <c r="D73" s="5" t="n"/>
      <c r="E73" s="5" t="n"/>
      <c r="F73" s="18" t="n"/>
      <c r="G73" s="18" t="n"/>
      <c r="H73" s="18" t="n"/>
      <c r="I73" s="5" t="n"/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n"/>
      <c r="B74" s="5" t="n"/>
      <c r="C74" s="5" t="n"/>
      <c r="D74" s="5" t="n"/>
      <c r="E74" s="5" t="n"/>
      <c r="F74" s="18" t="n"/>
      <c r="G74" s="18" t="n"/>
      <c r="H74" s="18" t="n"/>
      <c r="I74" s="5" t="n"/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n"/>
      <c r="B75" s="5" t="n"/>
      <c r="C75" s="5" t="n"/>
      <c r="D75" s="5" t="n"/>
      <c r="E75" s="5" t="n"/>
      <c r="F75" s="18" t="n"/>
      <c r="G75" s="18" t="n"/>
      <c r="H75" s="18" t="n"/>
      <c r="I75" s="5" t="n"/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n"/>
      <c r="B76" s="5" t="n"/>
      <c r="C76" s="5" t="n"/>
      <c r="D76" s="5" t="n"/>
      <c r="E76" s="5" t="n"/>
      <c r="F76" s="18" t="n"/>
      <c r="G76" s="18" t="n"/>
      <c r="H76" s="18" t="n"/>
      <c r="I76" s="5" t="n"/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n"/>
      <c r="B77" s="5" t="n"/>
      <c r="C77" s="5" t="n"/>
      <c r="D77" s="5" t="n"/>
      <c r="E77" s="5" t="n"/>
      <c r="F77" s="18" t="n"/>
      <c r="G77" s="18" t="n"/>
      <c r="H77" s="18" t="n"/>
      <c r="I77" s="5" t="n"/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n"/>
      <c r="B78" s="5" t="n"/>
      <c r="C78" s="5" t="n"/>
      <c r="D78" s="5" t="n"/>
      <c r="E78" s="5" t="n"/>
      <c r="F78" s="18" t="n"/>
      <c r="G78" s="18" t="n"/>
      <c r="H78" s="18" t="n"/>
      <c r="I78" s="5" t="n"/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n"/>
      <c r="B79" s="5" t="n"/>
      <c r="C79" s="5" t="n"/>
      <c r="D79" s="5" t="n"/>
      <c r="E79" s="5" t="n"/>
      <c r="F79" s="18" t="n"/>
      <c r="G79" s="18" t="n"/>
      <c r="H79" s="18" t="n"/>
      <c r="I79" s="5" t="n"/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n"/>
      <c r="B80" s="5" t="n"/>
      <c r="C80" s="5" t="n"/>
      <c r="D80" s="5" t="n"/>
      <c r="E80" s="5" t="n"/>
      <c r="F80" s="18" t="n"/>
      <c r="G80" s="18" t="n"/>
      <c r="H80" s="18" t="n"/>
      <c r="I80" s="5" t="n"/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n"/>
      <c r="B81" s="5" t="n"/>
      <c r="C81" s="5" t="n"/>
      <c r="D81" s="5" t="n"/>
      <c r="E81" s="5" t="n"/>
      <c r="F81" s="18" t="n"/>
      <c r="G81" s="18" t="n"/>
      <c r="H81" s="18" t="n"/>
      <c r="I81" s="5" t="n"/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n"/>
      <c r="B82" s="5" t="n"/>
      <c r="C82" s="5" t="n"/>
      <c r="D82" s="5" t="n"/>
      <c r="E82" s="5" t="n"/>
      <c r="F82" s="18" t="n"/>
      <c r="G82" s="18" t="n"/>
      <c r="H82" s="18" t="n"/>
      <c r="I82" s="5" t="n"/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n"/>
      <c r="B83" s="5" t="n"/>
      <c r="C83" s="5" t="n"/>
      <c r="D83" s="5" t="n"/>
      <c r="E83" s="5" t="n"/>
      <c r="F83" s="18" t="n"/>
      <c r="G83" s="18" t="n"/>
      <c r="H83" s="18" t="n"/>
      <c r="I83" s="5" t="n"/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n"/>
      <c r="B84" s="5" t="n"/>
      <c r="C84" s="5" t="n"/>
      <c r="D84" s="5" t="n"/>
      <c r="E84" s="5" t="n"/>
      <c r="F84" s="18" t="n"/>
      <c r="G84" s="18" t="n"/>
      <c r="H84" s="18" t="n"/>
      <c r="I84" s="5" t="n"/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n"/>
      <c r="B85" s="5" t="n"/>
      <c r="C85" s="5" t="n"/>
      <c r="D85" s="5" t="n"/>
      <c r="E85" s="5" t="n"/>
      <c r="F85" s="18" t="n"/>
      <c r="G85" s="18" t="n"/>
      <c r="H85" s="18" t="n"/>
      <c r="I85" s="5" t="n"/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n"/>
      <c r="B86" s="5" t="n"/>
      <c r="C86" s="5" t="n"/>
      <c r="D86" s="5" t="n"/>
      <c r="E86" s="5" t="n"/>
      <c r="F86" s="18" t="n"/>
      <c r="G86" s="18" t="n"/>
      <c r="H86" s="18" t="n"/>
      <c r="I86" s="5" t="n"/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n"/>
      <c r="B87" s="5" t="n"/>
      <c r="C87" s="5" t="n"/>
      <c r="D87" s="5" t="n"/>
      <c r="E87" s="5" t="n"/>
      <c r="F87" s="18" t="n"/>
      <c r="G87" s="18" t="n"/>
      <c r="H87" s="18" t="n"/>
      <c r="I87" s="5" t="n"/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n"/>
      <c r="B88" s="5" t="n"/>
      <c r="C88" s="5" t="n"/>
      <c r="D88" s="5" t="n"/>
      <c r="E88" s="5" t="n"/>
      <c r="F88" s="18" t="n"/>
      <c r="G88" s="18" t="n"/>
      <c r="H88" s="18" t="n"/>
      <c r="I88" s="5" t="n"/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n"/>
      <c r="B89" s="5" t="n"/>
      <c r="C89" s="5" t="n"/>
      <c r="D89" s="5" t="n"/>
      <c r="E89" s="5" t="n"/>
      <c r="F89" s="18" t="n"/>
      <c r="G89" s="18" t="n"/>
      <c r="H89" s="18" t="n"/>
      <c r="I89" s="5" t="n"/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n"/>
      <c r="B90" s="5" t="n"/>
      <c r="C90" s="5" t="n"/>
      <c r="D90" s="5" t="n"/>
      <c r="E90" s="5" t="n"/>
      <c r="F90" s="18" t="n"/>
      <c r="G90" s="18" t="n"/>
      <c r="H90" s="18" t="n"/>
      <c r="I90" s="5" t="n"/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n"/>
      <c r="B91" s="5" t="n"/>
      <c r="C91" s="5" t="n"/>
      <c r="D91" s="5" t="n"/>
      <c r="E91" s="5" t="n"/>
      <c r="F91" s="18" t="n"/>
      <c r="G91" s="18" t="n"/>
      <c r="H91" s="18" t="n"/>
      <c r="I91" s="5" t="n"/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n"/>
      <c r="B92" s="5" t="n"/>
      <c r="C92" s="5" t="n"/>
      <c r="D92" s="5" t="n"/>
      <c r="E92" s="5" t="n"/>
      <c r="F92" s="18" t="n"/>
      <c r="G92" s="18" t="n"/>
      <c r="H92" s="18" t="n"/>
      <c r="I92" s="5" t="n"/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n"/>
      <c r="B93" s="5" t="n"/>
      <c r="C93" s="5" t="n"/>
      <c r="D93" s="5" t="n"/>
      <c r="E93" s="5" t="n"/>
      <c r="F93" s="18" t="n"/>
      <c r="G93" s="18" t="n"/>
      <c r="H93" s="18" t="n"/>
      <c r="I93" s="5" t="n"/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n"/>
      <c r="B94" s="5" t="n"/>
      <c r="C94" s="5" t="n"/>
      <c r="D94" s="5" t="n"/>
      <c r="E94" s="5" t="n"/>
      <c r="F94" s="18" t="n"/>
      <c r="G94" s="18" t="n"/>
      <c r="H94" s="18" t="n"/>
      <c r="I94" s="5" t="n"/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n"/>
      <c r="B95" s="5" t="n"/>
      <c r="C95" s="5" t="n"/>
      <c r="D95" s="5" t="n"/>
      <c r="E95" s="5" t="n"/>
      <c r="F95" s="18" t="n"/>
      <c r="G95" s="18" t="n"/>
      <c r="H95" s="18" t="n"/>
      <c r="I95" s="5" t="n"/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n"/>
      <c r="B96" s="5" t="n"/>
      <c r="C96" s="5" t="n"/>
      <c r="D96" s="5" t="n"/>
      <c r="E96" s="5" t="n"/>
      <c r="F96" s="18" t="n"/>
      <c r="G96" s="18" t="n"/>
      <c r="H96" s="18" t="n"/>
      <c r="I96" s="5" t="n"/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n"/>
      <c r="B97" s="5" t="n"/>
      <c r="C97" s="5" t="n"/>
      <c r="D97" s="5" t="n"/>
      <c r="E97" s="5" t="n"/>
      <c r="F97" s="18" t="n"/>
      <c r="G97" s="18" t="n"/>
      <c r="H97" s="18" t="n"/>
      <c r="I97" s="5" t="n"/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n"/>
      <c r="B98" s="5" t="n"/>
      <c r="C98" s="5" t="n"/>
      <c r="D98" s="5" t="n"/>
      <c r="E98" s="5" t="n"/>
      <c r="F98" s="18" t="n"/>
      <c r="G98" s="18" t="n"/>
      <c r="H98" s="18" t="n"/>
      <c r="I98" s="5" t="n"/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n"/>
      <c r="B99" s="5" t="n"/>
      <c r="C99" s="5" t="n"/>
      <c r="D99" s="5" t="n"/>
      <c r="E99" s="5" t="n"/>
      <c r="F99" s="18" t="n"/>
      <c r="G99" s="18" t="n"/>
      <c r="H99" s="18" t="n"/>
      <c r="I99" s="5" t="n"/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n"/>
      <c r="B100" s="5" t="n"/>
      <c r="C100" s="5" t="n"/>
      <c r="D100" s="5" t="n"/>
      <c r="E100" s="5" t="n"/>
      <c r="F100" s="18" t="n"/>
      <c r="G100" s="18" t="n"/>
      <c r="H100" s="18" t="n"/>
      <c r="I100" s="5" t="n"/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n"/>
      <c r="B101" s="5" t="n"/>
      <c r="C101" s="5" t="n"/>
      <c r="D101" s="5" t="n"/>
      <c r="E101" s="5" t="n"/>
      <c r="F101" s="18" t="n"/>
      <c r="G101" s="18" t="n"/>
      <c r="H101" s="18" t="n"/>
      <c r="I101" s="5" t="n"/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n"/>
      <c r="B102" s="5" t="n"/>
      <c r="C102" s="5" t="n"/>
      <c r="D102" s="5" t="n"/>
      <c r="E102" s="5" t="n"/>
      <c r="F102" s="18" t="n"/>
      <c r="G102" s="18" t="n"/>
      <c r="H102" s="18" t="n"/>
      <c r="I102" s="5" t="n"/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n"/>
      <c r="B103" s="5" t="n"/>
      <c r="C103" s="5" t="n"/>
      <c r="D103" s="5" t="n"/>
      <c r="E103" s="5" t="n"/>
      <c r="F103" s="18" t="n"/>
      <c r="G103" s="18" t="n"/>
      <c r="H103" s="18" t="n"/>
      <c r="I103" s="5" t="n"/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n"/>
      <c r="B104" s="5" t="n"/>
      <c r="C104" s="5" t="n"/>
      <c r="D104" s="5" t="n"/>
      <c r="E104" s="5" t="n"/>
      <c r="F104" s="18" t="n"/>
      <c r="G104" s="18" t="n"/>
      <c r="H104" s="18" t="n"/>
      <c r="I104" s="5" t="n"/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n"/>
      <c r="B105" s="5" t="n"/>
      <c r="C105" s="5" t="n"/>
      <c r="D105" s="5" t="n"/>
      <c r="E105" s="5" t="n"/>
      <c r="F105" s="18" t="n"/>
      <c r="G105" s="18" t="n"/>
      <c r="H105" s="18" t="n"/>
      <c r="I105" s="5" t="n"/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n"/>
      <c r="B106" s="5" t="n"/>
      <c r="C106" s="5" t="n"/>
      <c r="D106" s="5" t="n"/>
      <c r="E106" s="5" t="n"/>
      <c r="F106" s="18" t="n"/>
      <c r="G106" s="18" t="n"/>
      <c r="H106" s="18" t="n"/>
      <c r="I106" s="5" t="n"/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n"/>
      <c r="B107" s="5" t="n"/>
      <c r="C107" s="5" t="n"/>
      <c r="D107" s="5" t="n"/>
      <c r="E107" s="5" t="n"/>
      <c r="F107" s="18" t="n"/>
      <c r="G107" s="18" t="n"/>
      <c r="H107" s="18" t="n"/>
      <c r="I107" s="5" t="n"/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n"/>
      <c r="B108" s="5" t="n"/>
      <c r="C108" s="5" t="n"/>
      <c r="D108" s="5" t="n"/>
      <c r="E108" s="5" t="n"/>
      <c r="F108" s="18" t="n"/>
      <c r="G108" s="18" t="n"/>
      <c r="H108" s="18" t="n"/>
      <c r="I108" s="5" t="n"/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n"/>
      <c r="B109" s="5" t="n"/>
      <c r="C109" s="5" t="n"/>
      <c r="D109" s="5" t="n"/>
      <c r="E109" s="5" t="n"/>
      <c r="F109" s="18" t="n"/>
      <c r="G109" s="18" t="n"/>
      <c r="H109" s="18" t="n"/>
      <c r="I109" s="5" t="n"/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n"/>
      <c r="B110" s="5" t="n"/>
      <c r="C110" s="5" t="n"/>
      <c r="D110" s="5" t="n"/>
      <c r="E110" s="5" t="n"/>
      <c r="F110" s="18" t="n"/>
      <c r="G110" s="18" t="n"/>
      <c r="H110" s="18" t="n"/>
      <c r="I110" s="5" t="n"/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n"/>
      <c r="B111" s="5" t="n"/>
      <c r="C111" s="5" t="n"/>
      <c r="D111" s="5" t="n"/>
      <c r="E111" s="5" t="n"/>
      <c r="F111" s="18" t="n"/>
      <c r="G111" s="18" t="n"/>
      <c r="H111" s="18" t="n"/>
      <c r="I111" s="5" t="n"/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n"/>
      <c r="B112" s="5" t="n"/>
      <c r="C112" s="5" t="n"/>
      <c r="D112" s="5" t="n"/>
      <c r="E112" s="5" t="n"/>
      <c r="F112" s="18" t="n"/>
      <c r="G112" s="18" t="n"/>
      <c r="H112" s="18" t="n"/>
      <c r="I112" s="5" t="n"/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n"/>
      <c r="B113" s="5" t="n"/>
      <c r="C113" s="5" t="n"/>
      <c r="D113" s="5" t="n"/>
      <c r="E113" s="5" t="n"/>
      <c r="F113" s="18" t="n"/>
      <c r="G113" s="18" t="n"/>
      <c r="H113" s="18" t="n"/>
      <c r="I113" s="5" t="n"/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n"/>
      <c r="B114" s="5" t="n"/>
      <c r="C114" s="5" t="n"/>
      <c r="D114" s="5" t="n"/>
      <c r="E114" s="5" t="n"/>
      <c r="F114" s="18" t="n"/>
      <c r="G114" s="18" t="n"/>
      <c r="H114" s="18" t="n"/>
      <c r="I114" s="5" t="n"/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n"/>
      <c r="B115" s="5" t="n"/>
      <c r="C115" s="5" t="n"/>
      <c r="D115" s="5" t="n"/>
      <c r="E115" s="5" t="n"/>
      <c r="F115" s="18" t="n"/>
      <c r="G115" s="18" t="n"/>
      <c r="H115" s="18" t="n"/>
      <c r="I115" s="5" t="n"/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n"/>
      <c r="B116" s="5" t="n"/>
      <c r="C116" s="5" t="n"/>
      <c r="D116" s="5" t="n"/>
      <c r="E116" s="5" t="n"/>
      <c r="F116" s="18" t="n"/>
      <c r="G116" s="18" t="n"/>
      <c r="H116" s="18" t="n"/>
      <c r="I116" s="5" t="n"/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n"/>
      <c r="B117" s="5" t="n"/>
      <c r="C117" s="5" t="n"/>
      <c r="D117" s="5" t="n"/>
      <c r="E117" s="5" t="n"/>
      <c r="F117" s="18" t="n"/>
      <c r="G117" s="18" t="n"/>
      <c r="H117" s="18" t="n"/>
      <c r="I117" s="5" t="n"/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n"/>
      <c r="B118" s="5" t="n"/>
      <c r="C118" s="5" t="n"/>
      <c r="D118" s="5" t="n"/>
      <c r="E118" s="5" t="n"/>
      <c r="F118" s="18" t="n"/>
      <c r="G118" s="18" t="n"/>
      <c r="H118" s="18" t="n"/>
      <c r="I118" s="5" t="n"/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n"/>
      <c r="B119" s="5" t="n"/>
      <c r="C119" s="5" t="n"/>
      <c r="D119" s="5" t="n"/>
      <c r="E119" s="5" t="n"/>
      <c r="F119" s="18" t="n"/>
      <c r="G119" s="18" t="n"/>
      <c r="H119" s="18" t="n"/>
      <c r="I119" s="5" t="n"/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n"/>
      <c r="B120" s="5" t="n"/>
      <c r="C120" s="5" t="n"/>
      <c r="D120" s="5" t="n"/>
      <c r="E120" s="5" t="n"/>
      <c r="F120" s="18" t="n"/>
      <c r="G120" s="18" t="n"/>
      <c r="H120" s="18" t="n"/>
      <c r="I120" s="5" t="n"/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n"/>
      <c r="B121" s="5" t="n"/>
      <c r="C121" s="5" t="n"/>
      <c r="D121" s="5" t="n"/>
      <c r="E121" s="5" t="n"/>
      <c r="F121" s="18" t="n"/>
      <c r="G121" s="18" t="n"/>
      <c r="H121" s="18" t="n"/>
      <c r="I121" s="5" t="n"/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n"/>
      <c r="B122" s="5" t="n"/>
      <c r="C122" s="5" t="n"/>
      <c r="D122" s="5" t="n"/>
      <c r="E122" s="5" t="n"/>
      <c r="F122" s="18" t="n"/>
      <c r="G122" s="18" t="n"/>
      <c r="H122" s="18" t="n"/>
      <c r="I122" s="5" t="n"/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n"/>
      <c r="B123" s="5" t="n"/>
      <c r="C123" s="5" t="n"/>
      <c r="D123" s="5" t="n"/>
      <c r="E123" s="5" t="n"/>
      <c r="F123" s="18" t="n"/>
      <c r="G123" s="18" t="n"/>
      <c r="H123" s="18" t="n"/>
      <c r="I123" s="5" t="n"/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n"/>
      <c r="B124" s="5" t="n"/>
      <c r="C124" s="5" t="n"/>
      <c r="D124" s="5" t="n"/>
      <c r="E124" s="5" t="n"/>
      <c r="F124" s="18" t="n"/>
      <c r="G124" s="18" t="n"/>
      <c r="H124" s="18" t="n"/>
      <c r="I124" s="5" t="n"/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n"/>
      <c r="B125" s="5" t="n"/>
      <c r="C125" s="5" t="n"/>
      <c r="D125" s="5" t="n"/>
      <c r="E125" s="5" t="n"/>
      <c r="F125" s="18" t="n"/>
      <c r="G125" s="18" t="n"/>
      <c r="H125" s="18" t="n"/>
      <c r="I125" s="5" t="n"/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n"/>
      <c r="B126" s="5" t="n"/>
      <c r="C126" s="5" t="n"/>
      <c r="D126" s="5" t="n"/>
      <c r="E126" s="5" t="n"/>
      <c r="F126" s="18" t="n"/>
      <c r="G126" s="18" t="n"/>
      <c r="H126" s="18" t="n"/>
      <c r="I126" s="5" t="n"/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n"/>
      <c r="B127" s="5" t="n"/>
      <c r="C127" s="5" t="n"/>
      <c r="D127" s="5" t="n"/>
      <c r="E127" s="5" t="n"/>
      <c r="F127" s="18" t="n"/>
      <c r="G127" s="18" t="n"/>
      <c r="H127" s="18" t="n"/>
      <c r="I127" s="5" t="n"/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n"/>
      <c r="B128" s="5" t="n"/>
      <c r="C128" s="5" t="n"/>
      <c r="D128" s="5" t="n"/>
      <c r="E128" s="5" t="n"/>
      <c r="F128" s="18" t="n"/>
      <c r="G128" s="18" t="n"/>
      <c r="H128" s="18" t="n"/>
      <c r="I128" s="5" t="n"/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n"/>
      <c r="B129" s="5" t="n"/>
      <c r="C129" s="5" t="n"/>
      <c r="D129" s="5" t="n"/>
      <c r="E129" s="5" t="n"/>
      <c r="F129" s="18" t="n"/>
      <c r="G129" s="18" t="n"/>
      <c r="H129" s="18" t="n"/>
      <c r="I129" s="5" t="n"/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n"/>
      <c r="B130" s="5" t="n"/>
      <c r="C130" s="5" t="n"/>
      <c r="D130" s="5" t="n"/>
      <c r="E130" s="5" t="n"/>
      <c r="F130" s="18" t="n"/>
      <c r="G130" s="18" t="n"/>
      <c r="H130" s="18" t="n"/>
      <c r="I130" s="5" t="n"/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n"/>
      <c r="B131" s="5" t="n"/>
      <c r="C131" s="5" t="n"/>
      <c r="D131" s="5" t="n"/>
      <c r="E131" s="5" t="n"/>
      <c r="F131" s="18" t="n"/>
      <c r="G131" s="18" t="n"/>
      <c r="H131" s="18" t="n"/>
      <c r="I131" s="5" t="n"/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n"/>
      <c r="B132" s="5" t="n"/>
      <c r="C132" s="5" t="n"/>
      <c r="D132" s="5" t="n"/>
      <c r="E132" s="5" t="n"/>
      <c r="F132" s="18" t="n"/>
      <c r="G132" s="18" t="n"/>
      <c r="H132" s="18" t="n"/>
      <c r="I132" s="5" t="n"/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n"/>
      <c r="B133" s="5" t="n"/>
      <c r="C133" s="5" t="n"/>
      <c r="D133" s="5" t="n"/>
      <c r="E133" s="5" t="n"/>
      <c r="F133" s="18" t="n"/>
      <c r="G133" s="18" t="n"/>
      <c r="H133" s="18" t="n"/>
      <c r="I133" s="5" t="n"/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n"/>
      <c r="B134" s="5" t="n"/>
      <c r="C134" s="5" t="n"/>
      <c r="D134" s="5" t="n"/>
      <c r="E134" s="5" t="n"/>
      <c r="F134" s="18" t="n"/>
      <c r="G134" s="18" t="n"/>
      <c r="H134" s="18" t="n"/>
      <c r="I134" s="5" t="n"/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n"/>
      <c r="B135" s="5" t="n"/>
      <c r="C135" s="5" t="n"/>
      <c r="D135" s="5" t="n"/>
      <c r="E135" s="5" t="n"/>
      <c r="F135" s="18" t="n"/>
      <c r="G135" s="18" t="n"/>
      <c r="H135" s="18" t="n"/>
      <c r="I135" s="5" t="n"/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n"/>
      <c r="B136" s="5" t="n"/>
      <c r="C136" s="5" t="n"/>
      <c r="D136" s="5" t="n"/>
      <c r="E136" s="5" t="n"/>
      <c r="F136" s="18" t="n"/>
      <c r="G136" s="18" t="n"/>
      <c r="H136" s="18" t="n"/>
      <c r="I136" s="5" t="n"/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n"/>
      <c r="B137" s="5" t="n"/>
      <c r="C137" s="5" t="n"/>
      <c r="D137" s="5" t="n"/>
      <c r="E137" s="5" t="n"/>
      <c r="F137" s="18" t="n"/>
      <c r="G137" s="18" t="n"/>
      <c r="H137" s="18" t="n"/>
      <c r="I137" s="5" t="n"/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n"/>
      <c r="B138" s="5" t="n"/>
      <c r="C138" s="5" t="n"/>
      <c r="D138" s="5" t="n"/>
      <c r="E138" s="5" t="n"/>
      <c r="F138" s="18" t="n"/>
      <c r="G138" s="18" t="n"/>
      <c r="H138" s="18" t="n"/>
      <c r="I138" s="5" t="n"/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n"/>
      <c r="B139" s="5" t="n"/>
      <c r="C139" s="5" t="n"/>
      <c r="D139" s="5" t="n"/>
      <c r="E139" s="5" t="n"/>
      <c r="F139" s="18" t="n"/>
      <c r="G139" s="18" t="n"/>
      <c r="H139" s="18" t="n"/>
      <c r="I139" s="5" t="n"/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n"/>
      <c r="B140" s="5" t="n"/>
      <c r="C140" s="5" t="n"/>
      <c r="D140" s="5" t="n"/>
      <c r="E140" s="5" t="n"/>
      <c r="F140" s="18" t="n"/>
      <c r="G140" s="18" t="n"/>
      <c r="H140" s="18" t="n"/>
      <c r="I140" s="5" t="n"/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n"/>
      <c r="B141" s="5" t="n"/>
      <c r="C141" s="5" t="n"/>
      <c r="D141" s="5" t="n"/>
      <c r="E141" s="5" t="n"/>
      <c r="F141" s="18" t="n"/>
      <c r="G141" s="18" t="n"/>
      <c r="H141" s="18" t="n"/>
      <c r="I141" s="5" t="n"/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n"/>
      <c r="B142" s="5" t="n"/>
      <c r="C142" s="5" t="n"/>
      <c r="D142" s="5" t="n"/>
      <c r="E142" s="5" t="n"/>
      <c r="F142" s="18" t="n"/>
      <c r="G142" s="18" t="n"/>
      <c r="H142" s="18" t="n"/>
      <c r="I142" s="5" t="n"/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n"/>
      <c r="B143" s="5" t="n"/>
      <c r="C143" s="5" t="n"/>
      <c r="D143" s="5" t="n"/>
      <c r="E143" s="5" t="n"/>
      <c r="F143" s="18" t="n"/>
      <c r="G143" s="18" t="n"/>
      <c r="H143" s="18" t="n"/>
      <c r="I143" s="5" t="n"/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n"/>
      <c r="B144" s="5" t="n"/>
      <c r="C144" s="5" t="n"/>
      <c r="D144" s="5" t="n"/>
      <c r="E144" s="5" t="n"/>
      <c r="F144" s="18" t="n"/>
      <c r="G144" s="18" t="n"/>
      <c r="H144" s="18" t="n"/>
      <c r="I144" s="5" t="n"/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n"/>
      <c r="B145" s="5" t="n"/>
      <c r="C145" s="5" t="n"/>
      <c r="D145" s="5" t="n"/>
      <c r="E145" s="5" t="n"/>
      <c r="F145" s="18" t="n"/>
      <c r="G145" s="18" t="n"/>
      <c r="H145" s="18" t="n"/>
      <c r="I145" s="5" t="n"/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n"/>
      <c r="B146" s="5" t="n"/>
      <c r="C146" s="5" t="n"/>
      <c r="D146" s="5" t="n"/>
      <c r="E146" s="5" t="n"/>
      <c r="F146" s="18" t="n"/>
      <c r="G146" s="18" t="n"/>
      <c r="H146" s="18" t="n"/>
      <c r="I146" s="5" t="n"/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n"/>
      <c r="B147" s="5" t="n"/>
      <c r="C147" s="5" t="n"/>
      <c r="D147" s="5" t="n"/>
      <c r="E147" s="5" t="n"/>
      <c r="F147" s="18" t="n"/>
      <c r="G147" s="18" t="n"/>
      <c r="H147" s="18" t="n"/>
      <c r="I147" s="5" t="n"/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n"/>
      <c r="B148" s="5" t="n"/>
      <c r="C148" s="5" t="n"/>
      <c r="D148" s="5" t="n"/>
      <c r="E148" s="5" t="n"/>
      <c r="F148" s="18" t="n"/>
      <c r="G148" s="18" t="n"/>
      <c r="H148" s="18" t="n"/>
      <c r="I148" s="5" t="n"/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n"/>
      <c r="B149" s="5" t="n"/>
      <c r="C149" s="5" t="n"/>
      <c r="D149" s="5" t="n"/>
      <c r="E149" s="5" t="n"/>
      <c r="F149" s="18" t="n"/>
      <c r="G149" s="18" t="n"/>
      <c r="H149" s="18" t="n"/>
      <c r="I149" s="5" t="n"/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n"/>
      <c r="B150" s="5" t="n"/>
      <c r="C150" s="5" t="n"/>
      <c r="D150" s="5" t="n"/>
      <c r="E150" s="5" t="n"/>
      <c r="F150" s="18" t="n"/>
      <c r="G150" s="18" t="n"/>
      <c r="H150" s="18" t="n"/>
      <c r="I150" s="5" t="n"/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n"/>
      <c r="B151" s="5" t="n"/>
      <c r="C151" s="5" t="n"/>
      <c r="D151" s="5" t="n"/>
      <c r="E151" s="5" t="n"/>
      <c r="F151" s="18" t="n"/>
      <c r="G151" s="18" t="n"/>
      <c r="H151" s="18" t="n"/>
      <c r="I151" s="5" t="n"/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n"/>
      <c r="B152" s="5" t="n"/>
      <c r="C152" s="5" t="n"/>
      <c r="D152" s="5" t="n"/>
      <c r="E152" s="5" t="n"/>
      <c r="F152" s="18" t="n"/>
      <c r="G152" s="18" t="n"/>
      <c r="H152" s="18" t="n"/>
      <c r="I152" s="5" t="n"/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n"/>
      <c r="B153" s="5" t="n"/>
      <c r="C153" s="5" t="n"/>
      <c r="D153" s="5" t="n"/>
      <c r="E153" s="5" t="n"/>
      <c r="F153" s="18" t="n"/>
      <c r="G153" s="18" t="n"/>
      <c r="H153" s="18" t="n"/>
      <c r="I153" s="5" t="n"/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n"/>
      <c r="B154" s="5" t="n"/>
      <c r="C154" s="5" t="n"/>
      <c r="D154" s="5" t="n"/>
      <c r="E154" s="5" t="n"/>
      <c r="F154" s="18" t="n"/>
      <c r="G154" s="18" t="n"/>
      <c r="H154" s="18" t="n"/>
      <c r="I154" s="5" t="n"/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n"/>
      <c r="B155" s="5" t="n"/>
      <c r="C155" s="5" t="n"/>
      <c r="D155" s="5" t="n"/>
      <c r="E155" s="5" t="n"/>
      <c r="F155" s="18" t="n"/>
      <c r="G155" s="18" t="n"/>
      <c r="H155" s="18" t="n"/>
      <c r="I155" s="5" t="n"/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n"/>
      <c r="B156" s="5" t="n"/>
      <c r="C156" s="5" t="n"/>
      <c r="D156" s="5" t="n"/>
      <c r="E156" s="5" t="n"/>
      <c r="F156" s="18" t="n"/>
      <c r="G156" s="18" t="n"/>
      <c r="H156" s="18" t="n"/>
      <c r="I156" s="5" t="n"/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n"/>
      <c r="B157" s="5" t="n"/>
      <c r="C157" s="5" t="n"/>
      <c r="D157" s="5" t="n"/>
      <c r="E157" s="5" t="n"/>
      <c r="F157" s="18" t="n"/>
      <c r="G157" s="18" t="n"/>
      <c r="H157" s="18" t="n"/>
      <c r="I157" s="5" t="n"/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n"/>
      <c r="B158" s="5" t="n"/>
      <c r="C158" s="5" t="n"/>
      <c r="D158" s="5" t="n"/>
      <c r="E158" s="5" t="n"/>
      <c r="F158" s="18" t="n"/>
      <c r="G158" s="18" t="n"/>
      <c r="H158" s="18" t="n"/>
      <c r="I158" s="5" t="n"/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n"/>
      <c r="B159" s="5" t="n"/>
      <c r="C159" s="5" t="n"/>
      <c r="D159" s="5" t="n"/>
      <c r="E159" s="5" t="n"/>
      <c r="F159" s="18" t="n"/>
      <c r="G159" s="18" t="n"/>
      <c r="H159" s="18" t="n"/>
      <c r="I159" s="5" t="n"/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n"/>
      <c r="B160" s="5" t="n"/>
      <c r="C160" s="5" t="n"/>
      <c r="D160" s="5" t="n"/>
      <c r="E160" s="5" t="n"/>
      <c r="F160" s="18" t="n"/>
      <c r="G160" s="18" t="n"/>
      <c r="H160" s="18" t="n"/>
      <c r="I160" s="5" t="n"/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n"/>
      <c r="B161" s="5" t="n"/>
      <c r="C161" s="5" t="n"/>
      <c r="D161" s="5" t="n"/>
      <c r="E161" s="5" t="n"/>
      <c r="F161" s="18" t="n"/>
      <c r="G161" s="18" t="n"/>
      <c r="H161" s="18" t="n"/>
      <c r="I161" s="5" t="n"/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n"/>
      <c r="B162" s="5" t="n"/>
      <c r="C162" s="5" t="n"/>
      <c r="D162" s="5" t="n"/>
      <c r="E162" s="5" t="n"/>
      <c r="F162" s="18" t="n"/>
      <c r="G162" s="18" t="n"/>
      <c r="H162" s="18" t="n"/>
      <c r="I162" s="5" t="n"/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n"/>
      <c r="B163" s="5" t="n"/>
      <c r="C163" s="5" t="n"/>
      <c r="D163" s="5" t="n"/>
      <c r="E163" s="5" t="n"/>
      <c r="F163" s="18" t="n"/>
      <c r="G163" s="18" t="n"/>
      <c r="H163" s="18" t="n"/>
      <c r="I163" s="5" t="n"/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n"/>
      <c r="B164" s="5" t="n"/>
      <c r="C164" s="5" t="n"/>
      <c r="D164" s="5" t="n"/>
      <c r="E164" s="5" t="n"/>
      <c r="F164" s="18" t="n"/>
      <c r="G164" s="18" t="n"/>
      <c r="H164" s="18" t="n"/>
      <c r="I164" s="5" t="n"/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n"/>
      <c r="B165" s="5" t="n"/>
      <c r="C165" s="5" t="n"/>
      <c r="D165" s="5" t="n"/>
      <c r="E165" s="5" t="n"/>
      <c r="F165" s="18" t="n"/>
      <c r="G165" s="18" t="n"/>
      <c r="H165" s="18" t="n"/>
      <c r="I165" s="5" t="n"/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n"/>
      <c r="B166" s="5" t="n"/>
      <c r="C166" s="5" t="n"/>
      <c r="D166" s="5" t="n"/>
      <c r="E166" s="5" t="n"/>
      <c r="F166" s="18" t="n"/>
      <c r="G166" s="18" t="n"/>
      <c r="H166" s="18" t="n"/>
      <c r="I166" s="5" t="n"/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n"/>
      <c r="B167" s="5" t="n"/>
      <c r="C167" s="5" t="n"/>
      <c r="D167" s="5" t="n"/>
      <c r="E167" s="5" t="n"/>
      <c r="F167" s="18" t="n"/>
      <c r="G167" s="18" t="n"/>
      <c r="H167" s="18" t="n"/>
      <c r="I167" s="5" t="n"/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n"/>
      <c r="B168" s="5" t="n"/>
      <c r="C168" s="5" t="n"/>
      <c r="D168" s="5" t="n"/>
      <c r="E168" s="5" t="n"/>
      <c r="F168" s="18" t="n"/>
      <c r="G168" s="18" t="n"/>
      <c r="H168" s="18" t="n"/>
      <c r="I168" s="5" t="n"/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n"/>
      <c r="B169" s="5" t="n"/>
      <c r="C169" s="5" t="n"/>
      <c r="D169" s="5" t="n"/>
      <c r="E169" s="5" t="n"/>
      <c r="F169" s="18" t="n"/>
      <c r="G169" s="18" t="n"/>
      <c r="H169" s="18" t="n"/>
      <c r="I169" s="5" t="n"/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n"/>
      <c r="B170" s="5" t="n"/>
      <c r="C170" s="5" t="n"/>
      <c r="D170" s="5" t="n"/>
      <c r="E170" s="5" t="n"/>
      <c r="F170" s="18" t="n"/>
      <c r="G170" s="18" t="n"/>
      <c r="H170" s="18" t="n"/>
      <c r="I170" s="5" t="n"/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14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5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5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5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5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5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5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5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25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5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25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35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25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35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25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35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25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35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25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35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25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35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25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35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25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35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25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35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25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35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25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35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25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35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25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35" t="n"/>
      <c r="B27" s="4" t="n"/>
      <c r="C27" s="4" t="n"/>
      <c r="D27" s="4" t="n"/>
      <c r="E27" s="4" t="n"/>
      <c r="F27" s="4" t="n"/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25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35" t="n"/>
      <c r="B28" s="4" t="n"/>
      <c r="C28" s="4" t="n"/>
      <c r="D28" s="4" t="n"/>
      <c r="E28" s="4" t="n"/>
      <c r="F28" s="4" t="n"/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25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35" t="n"/>
      <c r="B29" s="4" t="n"/>
      <c r="C29" s="4" t="n"/>
      <c r="D29" s="4" t="n"/>
      <c r="E29" s="4" t="n"/>
      <c r="F29" s="4" t="n"/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25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35" t="n"/>
      <c r="B30" s="4" t="n"/>
      <c r="C30" s="4" t="n"/>
      <c r="D30" s="4" t="n"/>
      <c r="E30" s="4" t="n"/>
      <c r="F30" s="4" t="n"/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25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35" t="n"/>
      <c r="B31" s="4" t="n"/>
      <c r="C31" s="4" t="n"/>
      <c r="D31" s="4" t="n"/>
      <c r="E31" s="4" t="n"/>
      <c r="F31" s="4" t="n"/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25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35" t="n"/>
      <c r="B32" s="4" t="n"/>
      <c r="C32" s="4" t="n"/>
      <c r="D32" s="4" t="n"/>
      <c r="E32" s="4" t="n"/>
      <c r="F32" s="4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25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35" t="n"/>
      <c r="B33" s="4" t="n"/>
      <c r="C33" s="4" t="n"/>
      <c r="D33" s="4" t="n"/>
      <c r="E33" s="4" t="n"/>
      <c r="F33" s="4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25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35" t="n"/>
      <c r="B34" s="4" t="n"/>
      <c r="C34" s="4" t="n"/>
      <c r="D34" s="4" t="n"/>
      <c r="E34" s="4" t="n"/>
      <c r="F34" s="4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25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35" t="n"/>
      <c r="B35" s="4" t="n"/>
      <c r="C35" s="4" t="n"/>
      <c r="D35" s="4" t="n"/>
      <c r="E35" s="4" t="n"/>
      <c r="F35" s="4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25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35" t="n"/>
      <c r="B36" s="4" t="n"/>
      <c r="C36" s="4" t="n"/>
      <c r="D36" s="4" t="n"/>
      <c r="E36" s="4" t="n"/>
      <c r="F36" s="4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25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35" t="n"/>
      <c r="B37" s="4" t="n"/>
      <c r="C37" s="4" t="n"/>
      <c r="D37" s="4" t="n"/>
      <c r="E37" s="4" t="n"/>
      <c r="F37" s="4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25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35" t="n"/>
      <c r="B38" s="4" t="n"/>
      <c r="C38" s="4" t="n"/>
      <c r="D38" s="4" t="n"/>
      <c r="E38" s="4" t="n"/>
      <c r="F38" s="4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25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35" t="n"/>
      <c r="B39" s="4" t="n"/>
      <c r="C39" s="4" t="n"/>
      <c r="D39" s="4" t="n"/>
      <c r="E39" s="4" t="n"/>
      <c r="F39" s="4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25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35" t="n"/>
      <c r="B40" s="4" t="n"/>
      <c r="C40" s="4" t="n"/>
      <c r="D40" s="4" t="n"/>
      <c r="E40" s="4" t="n"/>
      <c r="F40" s="4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25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35" t="n"/>
      <c r="B41" s="4" t="n"/>
      <c r="C41" s="4" t="n"/>
      <c r="D41" s="4" t="n"/>
      <c r="E41" s="4" t="n"/>
      <c r="F41" s="4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25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35" t="n"/>
      <c r="B42" s="4" t="n"/>
      <c r="C42" s="4" t="n"/>
      <c r="D42" s="4" t="n"/>
      <c r="E42" s="4" t="n"/>
      <c r="F42" s="4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25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35" t="n"/>
      <c r="B43" s="4" t="n"/>
      <c r="C43" s="4" t="n"/>
      <c r="D43" s="4" t="n"/>
      <c r="E43" s="4" t="n"/>
      <c r="F43" s="4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25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35" t="n"/>
      <c r="B44" s="4" t="n"/>
      <c r="C44" s="4" t="n"/>
      <c r="D44" s="4" t="n"/>
      <c r="E44" s="4" t="n"/>
      <c r="F44" s="4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25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35" t="n"/>
      <c r="B45" s="4" t="n"/>
      <c r="C45" s="4" t="n"/>
      <c r="D45" s="4" t="n"/>
      <c r="E45" s="4" t="n"/>
      <c r="F45" s="4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25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35" t="n"/>
      <c r="B46" s="4" t="n"/>
      <c r="C46" s="4" t="n"/>
      <c r="D46" s="4" t="n"/>
      <c r="E46" s="4" t="n"/>
      <c r="F46" s="4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25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35" t="n"/>
      <c r="B47" s="4" t="n"/>
      <c r="C47" s="4" t="n"/>
      <c r="D47" s="4" t="n"/>
      <c r="E47" s="4" t="n"/>
      <c r="F47" s="4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25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35" t="n"/>
      <c r="B48" s="4" t="n"/>
      <c r="C48" s="4" t="n"/>
      <c r="D48" s="4" t="n"/>
      <c r="E48" s="4" t="n"/>
      <c r="F48" s="4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25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35" t="n"/>
      <c r="B49" s="4" t="n"/>
      <c r="C49" s="4" t="n"/>
      <c r="D49" s="4" t="n"/>
      <c r="E49" s="4" t="n"/>
      <c r="F49" s="4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25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35" t="n"/>
      <c r="B50" s="4" t="n"/>
      <c r="C50" s="4" t="n"/>
      <c r="D50" s="4" t="n"/>
      <c r="E50" s="4" t="n"/>
      <c r="F50" s="4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25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35" t="n"/>
      <c r="B51" s="4" t="n"/>
      <c r="C51" s="4" t="n"/>
      <c r="D51" s="4" t="n"/>
      <c r="E51" s="4" t="n"/>
      <c r="F51" s="4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25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35" t="n"/>
      <c r="B52" s="4" t="n"/>
      <c r="C52" s="4" t="n"/>
      <c r="D52" s="4" t="n"/>
      <c r="E52" s="4" t="n"/>
      <c r="F52" s="4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25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35" t="n"/>
      <c r="B53" s="4" t="n"/>
      <c r="C53" s="4" t="n"/>
      <c r="D53" s="4" t="n"/>
      <c r="E53" s="4" t="n"/>
      <c r="F53" s="4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25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35" t="n"/>
      <c r="B54" s="4" t="n"/>
      <c r="C54" s="4" t="n"/>
      <c r="D54" s="4" t="n"/>
      <c r="E54" s="4" t="n"/>
      <c r="F54" s="4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25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35" t="n"/>
      <c r="B55" s="4" t="n"/>
      <c r="C55" s="4" t="n"/>
      <c r="D55" s="4" t="n"/>
      <c r="E55" s="4" t="n"/>
      <c r="F55" s="4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25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35" t="n"/>
      <c r="B56" s="4" t="n"/>
      <c r="C56" s="4" t="n"/>
      <c r="D56" s="4" t="n"/>
      <c r="E56" s="4" t="n"/>
      <c r="F56" s="4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25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35" t="n"/>
      <c r="B57" s="4" t="n"/>
      <c r="C57" s="4" t="n"/>
      <c r="D57" s="4" t="n"/>
      <c r="E57" s="4" t="n"/>
      <c r="F57" s="4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25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35" t="n"/>
      <c r="B58" s="4" t="n"/>
      <c r="C58" s="4" t="n"/>
      <c r="D58" s="4" t="n"/>
      <c r="E58" s="4" t="n"/>
      <c r="F58" s="4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25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35" t="n"/>
      <c r="B59" s="4" t="n"/>
      <c r="C59" s="4" t="n"/>
      <c r="D59" s="4" t="n"/>
      <c r="E59" s="4" t="n"/>
      <c r="F59" s="4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25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35" t="n"/>
      <c r="B60" s="4" t="n"/>
      <c r="C60" s="4" t="n"/>
      <c r="D60" s="4" t="n"/>
      <c r="E60" s="4" t="n"/>
      <c r="F60" s="4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25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35" t="n"/>
      <c r="B61" s="4" t="n"/>
      <c r="C61" s="4" t="n"/>
      <c r="D61" s="4" t="n"/>
      <c r="E61" s="4" t="n"/>
      <c r="F61" s="4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25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35" t="n"/>
      <c r="B62" s="4" t="n"/>
      <c r="C62" s="4" t="n"/>
      <c r="D62" s="4" t="n"/>
      <c r="E62" s="4" t="n"/>
      <c r="F62" s="4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25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35" t="n"/>
      <c r="B63" s="4" t="n"/>
      <c r="C63" s="4" t="n"/>
      <c r="D63" s="4" t="n"/>
      <c r="E63" s="4" t="n"/>
      <c r="F63" s="4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25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35" t="n"/>
      <c r="B64" s="4" t="n"/>
      <c r="C64" s="4" t="n"/>
      <c r="D64" s="4" t="n"/>
      <c r="E64" s="4" t="n"/>
      <c r="F64" s="4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25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35" t="n"/>
      <c r="B65" s="4" t="n"/>
      <c r="C65" s="4" t="n"/>
      <c r="D65" s="4" t="n"/>
      <c r="E65" s="4" t="n"/>
      <c r="F65" s="4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25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35" t="n"/>
      <c r="B66" s="4" t="n"/>
      <c r="C66" s="4" t="n"/>
      <c r="D66" s="4" t="n"/>
      <c r="E66" s="4" t="n"/>
      <c r="F66" s="4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25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35" t="n"/>
      <c r="B67" s="4" t="n"/>
      <c r="C67" s="4" t="n"/>
      <c r="D67" s="4" t="n"/>
      <c r="E67" s="4" t="n"/>
      <c r="F67" s="4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25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35" t="n"/>
      <c r="B68" s="4" t="n"/>
      <c r="C68" s="4" t="n"/>
      <c r="D68" s="4" t="n"/>
      <c r="E68" s="4" t="n"/>
      <c r="F68" s="4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25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35" t="n"/>
      <c r="B69" s="4" t="n"/>
      <c r="C69" s="4" t="n"/>
      <c r="D69" s="4" t="n"/>
      <c r="E69" s="4" t="n"/>
      <c r="F69" s="4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25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35" t="n"/>
      <c r="B70" s="4" t="n"/>
      <c r="C70" s="4" t="n"/>
      <c r="D70" s="4" t="n"/>
      <c r="E70" s="4" t="n"/>
      <c r="F70" s="4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25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35" t="n"/>
      <c r="B71" s="4" t="n"/>
      <c r="C71" s="4" t="n"/>
      <c r="D71" s="4" t="n"/>
      <c r="E71" s="4" t="n"/>
      <c r="F71" s="4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25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35" t="n"/>
      <c r="B72" s="4" t="n"/>
      <c r="C72" s="4" t="n"/>
      <c r="D72" s="4" t="n"/>
      <c r="E72" s="4" t="n"/>
      <c r="F72" s="4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25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35" t="n"/>
      <c r="B73" s="4" t="n"/>
      <c r="C73" s="4" t="n"/>
      <c r="D73" s="4" t="n"/>
      <c r="E73" s="4" t="n"/>
      <c r="F73" s="4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25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35" t="n"/>
      <c r="B74" s="4" t="n"/>
      <c r="C74" s="4" t="n"/>
      <c r="D74" s="4" t="n"/>
      <c r="E74" s="4" t="n"/>
      <c r="F74" s="4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25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35" t="n"/>
      <c r="B75" s="4" t="n"/>
      <c r="C75" s="4" t="n"/>
      <c r="D75" s="4" t="n"/>
      <c r="E75" s="4" t="n"/>
      <c r="F75" s="4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25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35" t="n"/>
      <c r="B76" s="4" t="n"/>
      <c r="C76" s="4" t="n"/>
      <c r="D76" s="4" t="n"/>
      <c r="E76" s="4" t="n"/>
      <c r="F76" s="4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25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35" t="n"/>
      <c r="B77" s="4" t="n"/>
      <c r="C77" s="4" t="n"/>
      <c r="D77" s="4" t="n"/>
      <c r="E77" s="4" t="n"/>
      <c r="F77" s="4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25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35" t="n"/>
      <c r="B78" s="4" t="n"/>
      <c r="C78" s="4" t="n"/>
      <c r="D78" s="4" t="n"/>
      <c r="E78" s="4" t="n"/>
      <c r="F78" s="4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25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35" t="n"/>
      <c r="B79" s="4" t="n"/>
      <c r="C79" s="4" t="n"/>
      <c r="D79" s="4" t="n"/>
      <c r="E79" s="4" t="n"/>
      <c r="F79" s="4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25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35" t="n"/>
      <c r="B80" s="4" t="n"/>
      <c r="C80" s="4" t="n"/>
      <c r="D80" s="4" t="n"/>
      <c r="E80" s="4" t="n"/>
      <c r="F80" s="4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25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35" t="n"/>
      <c r="B81" s="4" t="n"/>
      <c r="C81" s="4" t="n"/>
      <c r="D81" s="4" t="n"/>
      <c r="E81" s="4" t="n"/>
      <c r="F81" s="4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25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35" t="n"/>
      <c r="B82" s="4" t="n"/>
      <c r="C82" s="4" t="n"/>
      <c r="D82" s="4" t="n"/>
      <c r="E82" s="4" t="n"/>
      <c r="F82" s="4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25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35" t="n"/>
      <c r="B83" s="4" t="n"/>
      <c r="C83" s="4" t="n"/>
      <c r="D83" s="4" t="n"/>
      <c r="E83" s="4" t="n"/>
      <c r="F83" s="4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25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35" t="n"/>
      <c r="B84" s="4" t="n"/>
      <c r="C84" s="4" t="n"/>
      <c r="D84" s="4" t="n"/>
      <c r="E84" s="4" t="n"/>
      <c r="F84" s="4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25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35" t="n"/>
      <c r="B85" s="4" t="n"/>
      <c r="C85" s="4" t="n"/>
      <c r="D85" s="4" t="n"/>
      <c r="E85" s="4" t="n"/>
      <c r="F85" s="4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25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35" t="n"/>
      <c r="B86" s="4" t="n"/>
      <c r="C86" s="4" t="n"/>
      <c r="D86" s="4" t="n"/>
      <c r="E86" s="4" t="n"/>
      <c r="F86" s="4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25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35" t="n"/>
      <c r="B87" s="4" t="n"/>
      <c r="C87" s="4" t="n"/>
      <c r="D87" s="4" t="n"/>
      <c r="E87" s="4" t="n"/>
      <c r="F87" s="4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25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35" t="n"/>
      <c r="B88" s="4" t="n"/>
      <c r="C88" s="4" t="n"/>
      <c r="D88" s="4" t="n"/>
      <c r="E88" s="4" t="n"/>
      <c r="F88" s="4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25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35" t="n"/>
      <c r="B89" s="4" t="n"/>
      <c r="C89" s="4" t="n"/>
      <c r="D89" s="4" t="n"/>
      <c r="E89" s="4" t="n"/>
      <c r="F89" s="4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25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35" t="n"/>
      <c r="B90" s="4" t="n"/>
      <c r="C90" s="4" t="n"/>
      <c r="D90" s="4" t="n"/>
      <c r="E90" s="4" t="n"/>
      <c r="F90" s="4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25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35" t="n"/>
      <c r="B91" s="4" t="n"/>
      <c r="C91" s="4" t="n"/>
      <c r="D91" s="4" t="n"/>
      <c r="E91" s="4" t="n"/>
      <c r="F91" s="4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25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35" t="n"/>
      <c r="B92" s="4" t="n"/>
      <c r="C92" s="4" t="n"/>
      <c r="D92" s="4" t="n"/>
      <c r="E92" s="4" t="n"/>
      <c r="F92" s="4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25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35" t="n"/>
      <c r="B93" s="4" t="n"/>
      <c r="C93" s="4" t="n"/>
      <c r="D93" s="4" t="n"/>
      <c r="E93" s="4" t="n"/>
      <c r="F93" s="4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25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35" t="n"/>
      <c r="B94" s="4" t="n"/>
      <c r="C94" s="4" t="n"/>
      <c r="D94" s="4" t="n"/>
      <c r="E94" s="4" t="n"/>
      <c r="F94" s="4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25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35" t="n"/>
      <c r="B95" s="4" t="n"/>
      <c r="C95" s="4" t="n"/>
      <c r="D95" s="4" t="n"/>
      <c r="E95" s="4" t="n"/>
      <c r="F95" s="4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25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35" t="n"/>
      <c r="B96" s="4" t="n"/>
      <c r="C96" s="4" t="n"/>
      <c r="D96" s="4" t="n"/>
      <c r="E96" s="4" t="n"/>
      <c r="F96" s="4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25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35" t="n"/>
      <c r="B97" s="4" t="n"/>
      <c r="C97" s="4" t="n"/>
      <c r="D97" s="4" t="n"/>
      <c r="E97" s="4" t="n"/>
      <c r="F97" s="4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25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35" t="n"/>
      <c r="B98" s="4" t="n"/>
      <c r="C98" s="4" t="n"/>
      <c r="D98" s="4" t="n"/>
      <c r="E98" s="4" t="n"/>
      <c r="F98" s="4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25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35" t="n"/>
      <c r="B99" s="4" t="n"/>
      <c r="C99" s="4" t="n"/>
      <c r="D99" s="4" t="n"/>
      <c r="E99" s="4" t="n"/>
      <c r="F99" s="4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25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35" t="n"/>
      <c r="B100" s="4" t="n"/>
      <c r="C100" s="4" t="n"/>
      <c r="D100" s="4" t="n"/>
      <c r="E100" s="4" t="n"/>
      <c r="F100" s="4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25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35" t="n"/>
      <c r="B101" s="4" t="n"/>
      <c r="C101" s="4" t="n"/>
      <c r="D101" s="4" t="n"/>
      <c r="E101" s="4" t="n"/>
      <c r="F101" s="4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25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35" t="n"/>
      <c r="B102" s="4" t="n"/>
      <c r="C102" s="4" t="n"/>
      <c r="D102" s="4" t="n"/>
      <c r="E102" s="4" t="n"/>
      <c r="F102" s="4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25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35" t="n"/>
      <c r="B103" s="4" t="n"/>
      <c r="C103" s="4" t="n"/>
      <c r="D103" s="4" t="n"/>
      <c r="E103" s="4" t="n"/>
      <c r="F103" s="4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25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35" t="n"/>
      <c r="B104" s="4" t="n"/>
      <c r="C104" s="4" t="n"/>
      <c r="D104" s="4" t="n"/>
      <c r="E104" s="4" t="n"/>
      <c r="F104" s="4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25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35" t="n"/>
      <c r="B105" s="4" t="n"/>
      <c r="C105" s="4" t="n"/>
      <c r="D105" s="4" t="n"/>
      <c r="E105" s="4" t="n"/>
      <c r="F105" s="4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25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35" t="n"/>
      <c r="B106" s="4" t="n"/>
      <c r="C106" s="4" t="n"/>
      <c r="D106" s="4" t="n"/>
      <c r="E106" s="4" t="n"/>
      <c r="F106" s="4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25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35" t="n"/>
      <c r="B107" s="4" t="n"/>
      <c r="C107" s="4" t="n"/>
      <c r="D107" s="4" t="n"/>
      <c r="E107" s="4" t="n"/>
      <c r="F107" s="4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25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35" t="n"/>
      <c r="B108" s="4" t="n"/>
      <c r="C108" s="4" t="n"/>
      <c r="D108" s="4" t="n"/>
      <c r="E108" s="4" t="n"/>
      <c r="F108" s="4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25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35" t="n"/>
      <c r="B109" s="4" t="n"/>
      <c r="C109" s="4" t="n"/>
      <c r="D109" s="4" t="n"/>
      <c r="E109" s="4" t="n"/>
      <c r="F109" s="4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25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35" t="n"/>
      <c r="B110" s="4" t="n"/>
      <c r="C110" s="4" t="n"/>
      <c r="D110" s="4" t="n"/>
      <c r="E110" s="4" t="n"/>
      <c r="F110" s="4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25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35" t="n"/>
      <c r="B111" s="4" t="n"/>
      <c r="C111" s="4" t="n"/>
      <c r="D111" s="4" t="n"/>
      <c r="E111" s="4" t="n"/>
      <c r="F111" s="4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25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35" t="n"/>
      <c r="B112" s="4" t="n"/>
      <c r="C112" s="4" t="n"/>
      <c r="D112" s="4" t="n"/>
      <c r="E112" s="4" t="n"/>
      <c r="F112" s="4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25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35" t="n"/>
      <c r="B113" s="4" t="n"/>
      <c r="C113" s="4" t="n"/>
      <c r="D113" s="4" t="n"/>
      <c r="E113" s="4" t="n"/>
      <c r="F113" s="4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25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35" t="n"/>
      <c r="B114" s="4" t="n"/>
      <c r="C114" s="4" t="n"/>
      <c r="D114" s="4" t="n"/>
      <c r="E114" s="4" t="n"/>
      <c r="F114" s="4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25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35" t="n"/>
      <c r="B115" s="4" t="n"/>
      <c r="C115" s="4" t="n"/>
      <c r="D115" s="4" t="n"/>
      <c r="E115" s="4" t="n"/>
      <c r="F115" s="4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25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35" t="n"/>
      <c r="B116" s="4" t="n"/>
      <c r="C116" s="4" t="n"/>
      <c r="D116" s="4" t="n"/>
      <c r="E116" s="4" t="n"/>
      <c r="F116" s="4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25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35" t="n"/>
      <c r="B117" s="4" t="n"/>
      <c r="C117" s="4" t="n"/>
      <c r="D117" s="4" t="n"/>
      <c r="E117" s="4" t="n"/>
      <c r="F117" s="4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25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35" t="n"/>
      <c r="B118" s="4" t="n"/>
      <c r="C118" s="4" t="n"/>
      <c r="D118" s="4" t="n"/>
      <c r="E118" s="4" t="n"/>
      <c r="F118" s="4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25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35" t="n"/>
      <c r="B119" s="4" t="n"/>
      <c r="C119" s="4" t="n"/>
      <c r="D119" s="4" t="n"/>
      <c r="E119" s="4" t="n"/>
      <c r="F119" s="4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25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35" t="n"/>
      <c r="B120" s="4" t="n"/>
      <c r="C120" s="4" t="n"/>
      <c r="D120" s="4" t="n"/>
      <c r="E120" s="4" t="n"/>
      <c r="F120" s="4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25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35" t="n"/>
      <c r="B121" s="4" t="n"/>
      <c r="C121" s="4" t="n"/>
      <c r="D121" s="4" t="n"/>
      <c r="E121" s="4" t="n"/>
      <c r="F121" s="4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25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35" t="n"/>
      <c r="B122" s="4" t="n"/>
      <c r="C122" s="4" t="n"/>
      <c r="D122" s="4" t="n"/>
      <c r="E122" s="4" t="n"/>
      <c r="F122" s="4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25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35" t="n"/>
      <c r="B123" s="4" t="n"/>
      <c r="C123" s="4" t="n"/>
      <c r="D123" s="4" t="n"/>
      <c r="E123" s="4" t="n"/>
      <c r="F123" s="4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25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35" t="n"/>
      <c r="B124" s="4" t="n"/>
      <c r="C124" s="4" t="n"/>
      <c r="D124" s="4" t="n"/>
      <c r="E124" s="4" t="n"/>
      <c r="F124" s="4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25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35" t="n"/>
      <c r="B125" s="4" t="n"/>
      <c r="C125" s="4" t="n"/>
      <c r="D125" s="4" t="n"/>
      <c r="E125" s="4" t="n"/>
      <c r="F125" s="4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25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35" t="n"/>
      <c r="B126" s="4" t="n"/>
      <c r="C126" s="4" t="n"/>
      <c r="D126" s="4" t="n"/>
      <c r="E126" s="4" t="n"/>
      <c r="F126" s="4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25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35" t="n"/>
      <c r="B127" s="4" t="n"/>
      <c r="C127" s="4" t="n"/>
      <c r="D127" s="4" t="n"/>
      <c r="E127" s="4" t="n"/>
      <c r="F127" s="4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25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35" t="n"/>
      <c r="B128" s="4" t="n"/>
      <c r="C128" s="4" t="n"/>
      <c r="D128" s="4" t="n"/>
      <c r="E128" s="4" t="n"/>
      <c r="F128" s="4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25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35" t="n"/>
      <c r="B129" s="4" t="n"/>
      <c r="C129" s="4" t="n"/>
      <c r="D129" s="4" t="n"/>
      <c r="E129" s="4" t="n"/>
      <c r="F129" s="4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25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35" t="n"/>
      <c r="B130" s="4" t="n"/>
      <c r="C130" s="4" t="n"/>
      <c r="D130" s="4" t="n"/>
      <c r="E130" s="4" t="n"/>
      <c r="F130" s="4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25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35" t="n"/>
      <c r="B131" s="4" t="n"/>
      <c r="C131" s="4" t="n"/>
      <c r="D131" s="4" t="n"/>
      <c r="E131" s="4" t="n"/>
      <c r="F131" s="4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25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35" t="n"/>
      <c r="B132" s="4" t="n"/>
      <c r="C132" s="4" t="n"/>
      <c r="D132" s="4" t="n"/>
      <c r="E132" s="4" t="n"/>
      <c r="F132" s="4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25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35" t="n"/>
      <c r="B133" s="4" t="n"/>
      <c r="C133" s="4" t="n"/>
      <c r="D133" s="4" t="n"/>
      <c r="E133" s="4" t="n"/>
      <c r="F133" s="4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25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35" t="n"/>
      <c r="B134" s="4" t="n"/>
      <c r="C134" s="4" t="n"/>
      <c r="D134" s="4" t="n"/>
      <c r="E134" s="4" t="n"/>
      <c r="F134" s="4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25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35" t="n"/>
      <c r="B135" s="4" t="n"/>
      <c r="C135" s="4" t="n"/>
      <c r="D135" s="4" t="n"/>
      <c r="E135" s="4" t="n"/>
      <c r="F135" s="4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25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35" t="n"/>
      <c r="B136" s="4" t="n"/>
      <c r="C136" s="4" t="n"/>
      <c r="D136" s="4" t="n"/>
      <c r="E136" s="4" t="n"/>
      <c r="F136" s="4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25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35" t="n"/>
      <c r="B137" s="4" t="n"/>
      <c r="C137" s="4" t="n"/>
      <c r="D137" s="4" t="n"/>
      <c r="E137" s="4" t="n"/>
      <c r="F137" s="4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25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35" t="n"/>
      <c r="B138" s="4" t="n"/>
      <c r="C138" s="4" t="n"/>
      <c r="D138" s="4" t="n"/>
      <c r="E138" s="4" t="n"/>
      <c r="F138" s="4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25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35" t="n"/>
      <c r="B139" s="4" t="n"/>
      <c r="C139" s="4" t="n"/>
      <c r="D139" s="4" t="n"/>
      <c r="E139" s="4" t="n"/>
      <c r="F139" s="4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25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35" t="n"/>
      <c r="B140" s="4" t="n"/>
      <c r="C140" s="4" t="n"/>
      <c r="D140" s="4" t="n"/>
      <c r="E140" s="4" t="n"/>
      <c r="F140" s="4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25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35" t="n"/>
      <c r="B141" s="4" t="n"/>
      <c r="C141" s="4" t="n"/>
      <c r="D141" s="4" t="n"/>
      <c r="E141" s="4" t="n"/>
      <c r="F141" s="4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25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35" t="n"/>
      <c r="B142" s="4" t="n"/>
      <c r="C142" s="4" t="n"/>
      <c r="D142" s="4" t="n"/>
      <c r="E142" s="4" t="n"/>
      <c r="F142" s="4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25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35" t="n"/>
      <c r="B143" s="4" t="n"/>
      <c r="C143" s="4" t="n"/>
      <c r="D143" s="4" t="n"/>
      <c r="E143" s="4" t="n"/>
      <c r="F143" s="4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25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35" t="n"/>
      <c r="B144" s="4" t="n"/>
      <c r="C144" s="4" t="n"/>
      <c r="D144" s="4" t="n"/>
      <c r="E144" s="4" t="n"/>
      <c r="F144" s="4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25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35" t="n"/>
      <c r="B145" s="4" t="n"/>
      <c r="C145" s="4" t="n"/>
      <c r="D145" s="4" t="n"/>
      <c r="E145" s="4" t="n"/>
      <c r="F145" s="4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25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35" t="n"/>
      <c r="B146" s="4" t="n"/>
      <c r="C146" s="4" t="n"/>
      <c r="D146" s="4" t="n"/>
      <c r="E146" s="4" t="n"/>
      <c r="F146" s="4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25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35" t="n"/>
      <c r="B147" s="4" t="n"/>
      <c r="C147" s="4" t="n"/>
      <c r="D147" s="4" t="n"/>
      <c r="E147" s="4" t="n"/>
      <c r="F147" s="4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25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35" t="n"/>
      <c r="B148" s="4" t="n"/>
      <c r="C148" s="4" t="n"/>
      <c r="D148" s="4" t="n"/>
      <c r="E148" s="4" t="n"/>
      <c r="F148" s="4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25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35" t="n"/>
      <c r="B149" s="4" t="n"/>
      <c r="C149" s="4" t="n"/>
      <c r="D149" s="4" t="n"/>
      <c r="E149" s="4" t="n"/>
      <c r="F149" s="4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25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35" t="n"/>
      <c r="B150" s="4" t="n"/>
      <c r="C150" s="4" t="n"/>
      <c r="D150" s="4" t="n"/>
      <c r="E150" s="4" t="n"/>
      <c r="F150" s="4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25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35" t="n"/>
      <c r="B151" s="4" t="n"/>
      <c r="C151" s="4" t="n"/>
      <c r="D151" s="4" t="n"/>
      <c r="E151" s="4" t="n"/>
      <c r="F151" s="4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25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35" t="n"/>
      <c r="B152" s="4" t="n"/>
      <c r="C152" s="4" t="n"/>
      <c r="D152" s="4" t="n"/>
      <c r="E152" s="4" t="n"/>
      <c r="F152" s="4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25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35" t="n"/>
      <c r="B153" s="4" t="n"/>
      <c r="C153" s="4" t="n"/>
      <c r="D153" s="4" t="n"/>
      <c r="E153" s="4" t="n"/>
      <c r="F153" s="4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25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35" t="n"/>
      <c r="B154" s="4" t="n"/>
      <c r="C154" s="4" t="n"/>
      <c r="D154" s="4" t="n"/>
      <c r="E154" s="4" t="n"/>
      <c r="F154" s="4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25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35" t="n"/>
      <c r="B155" s="4" t="n"/>
      <c r="C155" s="4" t="n"/>
      <c r="D155" s="4" t="n"/>
      <c r="E155" s="4" t="n"/>
      <c r="F155" s="4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25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35" t="n"/>
      <c r="B156" s="4" t="n"/>
      <c r="C156" s="4" t="n"/>
      <c r="D156" s="4" t="n"/>
      <c r="E156" s="4" t="n"/>
      <c r="F156" s="4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25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35" t="n"/>
      <c r="B157" s="4" t="n"/>
      <c r="C157" s="4" t="n"/>
      <c r="D157" s="4" t="n"/>
      <c r="E157" s="4" t="n"/>
      <c r="F157" s="4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25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35" t="n"/>
      <c r="B158" s="4" t="n"/>
      <c r="C158" s="4" t="n"/>
      <c r="D158" s="4" t="n"/>
      <c r="E158" s="4" t="n"/>
      <c r="F158" s="4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25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35" t="n"/>
      <c r="B159" s="4" t="n"/>
      <c r="C159" s="4" t="n"/>
      <c r="D159" s="4" t="n"/>
      <c r="E159" s="4" t="n"/>
      <c r="F159" s="4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25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35" t="n"/>
      <c r="B160" s="4" t="n"/>
      <c r="C160" s="4" t="n"/>
      <c r="D160" s="4" t="n"/>
      <c r="E160" s="4" t="n"/>
      <c r="F160" s="4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25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35" t="n"/>
      <c r="B161" s="4" t="n"/>
      <c r="C161" s="4" t="n"/>
      <c r="D161" s="4" t="n"/>
      <c r="E161" s="4" t="n"/>
      <c r="F161" s="4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25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35" t="n"/>
      <c r="B162" s="4" t="n"/>
      <c r="C162" s="4" t="n"/>
      <c r="D162" s="4" t="n"/>
      <c r="E162" s="4" t="n"/>
      <c r="F162" s="4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25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35" t="n"/>
      <c r="B163" s="4" t="n"/>
      <c r="C163" s="4" t="n"/>
      <c r="D163" s="4" t="n"/>
      <c r="E163" s="4" t="n"/>
      <c r="F163" s="4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25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35" t="n"/>
      <c r="B164" s="4" t="n"/>
      <c r="C164" s="4" t="n"/>
      <c r="D164" s="4" t="n"/>
      <c r="E164" s="4" t="n"/>
      <c r="F164" s="4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25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35" t="n"/>
      <c r="B165" s="4" t="n"/>
      <c r="C165" s="4" t="n"/>
      <c r="D165" s="4" t="n"/>
      <c r="E165" s="4" t="n"/>
      <c r="F165" s="4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25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35" t="n"/>
      <c r="B166" s="4" t="n"/>
      <c r="C166" s="4" t="n"/>
      <c r="D166" s="4" t="n"/>
      <c r="E166" s="4" t="n"/>
      <c r="F166" s="4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25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35" t="n"/>
      <c r="B167" s="4" t="n"/>
      <c r="C167" s="4" t="n"/>
      <c r="D167" s="4" t="n"/>
      <c r="E167" s="4" t="n"/>
      <c r="F167" s="4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25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35" t="n"/>
      <c r="B168" s="4" t="n"/>
      <c r="C168" s="4" t="n"/>
      <c r="D168" s="4" t="n"/>
      <c r="E168" s="4" t="n"/>
      <c r="F168" s="4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25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35" t="n"/>
      <c r="B169" s="4" t="n"/>
      <c r="C169" s="4" t="n"/>
      <c r="D169" s="4" t="n"/>
      <c r="E169" s="4" t="n"/>
      <c r="F169" s="4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25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35" t="n"/>
      <c r="B170" s="4" t="n"/>
      <c r="C170" s="4" t="n"/>
      <c r="D170" s="4" t="n"/>
      <c r="E170" s="4" t="n"/>
      <c r="F170" s="4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25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35" t="n"/>
      <c r="B171" s="4" t="n"/>
      <c r="C171" s="4" t="n"/>
      <c r="D171" s="4" t="n"/>
      <c r="E171" s="4" t="n"/>
      <c r="F171" s="4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25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35" t="n"/>
      <c r="B172" s="4" t="n"/>
      <c r="C172" s="4" t="n"/>
      <c r="D172" s="4" t="n"/>
      <c r="E172" s="4" t="n"/>
      <c r="F172" s="4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25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35" t="n"/>
      <c r="B173" s="4" t="n"/>
      <c r="C173" s="4" t="n"/>
      <c r="D173" s="4" t="n"/>
      <c r="E173" s="4" t="n"/>
      <c r="F173" s="4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25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35" t="n"/>
      <c r="B174" s="4" t="n"/>
      <c r="C174" s="4" t="n"/>
      <c r="D174" s="4" t="n"/>
      <c r="E174" s="4" t="n"/>
      <c r="F174" s="4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25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35" t="n"/>
      <c r="B175" s="4" t="n"/>
      <c r="C175" s="4" t="n"/>
      <c r="D175" s="4" t="n"/>
      <c r="E175" s="4" t="n"/>
      <c r="F175" s="4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25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35" t="n"/>
      <c r="B176" s="4" t="n"/>
      <c r="C176" s="4" t="n"/>
      <c r="D176" s="4" t="n"/>
      <c r="E176" s="4" t="n"/>
      <c r="F176" s="4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25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35" t="n"/>
      <c r="B177" s="4" t="n"/>
      <c r="C177" s="4" t="n"/>
      <c r="D177" s="4" t="n"/>
      <c r="E177" s="4" t="n"/>
      <c r="F177" s="4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25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35" t="n"/>
      <c r="B178" s="4" t="n"/>
      <c r="C178" s="4" t="n"/>
      <c r="D178" s="4" t="n"/>
      <c r="E178" s="4" t="n"/>
      <c r="F178" s="4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25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35" t="n"/>
      <c r="B179" s="4" t="n"/>
      <c r="C179" s="4" t="n"/>
      <c r="D179" s="4" t="n"/>
      <c r="E179" s="4" t="n"/>
      <c r="F179" s="4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25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35" t="n"/>
      <c r="B180" s="4" t="n"/>
      <c r="C180" s="4" t="n"/>
      <c r="D180" s="4" t="n"/>
      <c r="E180" s="4" t="n"/>
      <c r="F180" s="4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25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35" t="n"/>
      <c r="B181" s="4" t="n"/>
      <c r="C181" s="4" t="n"/>
      <c r="D181" s="4" t="n"/>
      <c r="E181" s="4" t="n"/>
      <c r="F181" s="4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25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35" t="n"/>
      <c r="B182" s="4" t="n"/>
      <c r="C182" s="4" t="n"/>
      <c r="D182" s="4" t="n"/>
      <c r="E182" s="4" t="n"/>
      <c r="F182" s="4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25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35" t="n"/>
      <c r="B183" s="4" t="n"/>
      <c r="C183" s="4" t="n"/>
      <c r="D183" s="4" t="n"/>
      <c r="E183" s="4" t="n"/>
      <c r="F183" s="4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25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35" t="n"/>
      <c r="B184" s="4" t="n"/>
      <c r="C184" s="4" t="n"/>
      <c r="D184" s="4" t="n"/>
      <c r="E184" s="4" t="n"/>
      <c r="F184" s="4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25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35" t="n"/>
      <c r="B185" s="4" t="n"/>
      <c r="C185" s="4" t="n"/>
      <c r="D185" s="4" t="n"/>
      <c r="E185" s="4" t="n"/>
      <c r="F185" s="4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25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35" t="n"/>
      <c r="B186" s="4" t="n"/>
      <c r="C186" s="4" t="n"/>
      <c r="D186" s="4" t="n"/>
      <c r="E186" s="4" t="n"/>
      <c r="F186" s="4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25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35" t="n"/>
      <c r="B187" s="4" t="n"/>
      <c r="C187" s="4" t="n"/>
      <c r="D187" s="4" t="n"/>
      <c r="E187" s="4" t="n"/>
      <c r="F187" s="4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25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35" t="n"/>
      <c r="B188" s="4" t="n"/>
      <c r="C188" s="4" t="n"/>
      <c r="D188" s="4" t="n"/>
      <c r="E188" s="4" t="n"/>
      <c r="F188" s="4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25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35" t="n"/>
      <c r="B189" s="4" t="n"/>
      <c r="C189" s="4" t="n"/>
      <c r="D189" s="4" t="n"/>
      <c r="E189" s="4" t="n"/>
      <c r="F189" s="4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25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35" t="n"/>
      <c r="B190" s="4" t="n"/>
      <c r="C190" s="4" t="n"/>
      <c r="D190" s="4" t="n"/>
      <c r="E190" s="4" t="n"/>
      <c r="F190" s="4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25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35" t="n"/>
      <c r="B191" s="4" t="n"/>
      <c r="C191" s="4" t="n"/>
      <c r="D191" s="4" t="n"/>
      <c r="E191" s="4" t="n"/>
      <c r="F191" s="4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25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35" t="n"/>
      <c r="B192" s="4" t="n"/>
      <c r="C192" s="4" t="n"/>
      <c r="D192" s="4" t="n"/>
      <c r="E192" s="4" t="n"/>
      <c r="F192" s="4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25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35" t="n"/>
      <c r="B193" s="4" t="n"/>
      <c r="C193" s="4" t="n"/>
      <c r="D193" s="4" t="n"/>
      <c r="E193" s="4" t="n"/>
      <c r="F193" s="4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25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35" t="n"/>
      <c r="B194" s="4" t="n"/>
      <c r="C194" s="4" t="n"/>
      <c r="D194" s="4" t="n"/>
      <c r="E194" s="4" t="n"/>
      <c r="F194" s="4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25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35" t="n"/>
      <c r="B195" s="4" t="n"/>
      <c r="C195" s="4" t="n"/>
      <c r="D195" s="4" t="n"/>
      <c r="E195" s="4" t="n"/>
      <c r="F195" s="4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25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35" t="n"/>
      <c r="B196" s="4" t="n"/>
      <c r="C196" s="4" t="n"/>
      <c r="D196" s="4" t="n"/>
      <c r="E196" s="4" t="n"/>
      <c r="F196" s="4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25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35" t="n"/>
      <c r="B197" s="4" t="n"/>
      <c r="C197" s="4" t="n"/>
      <c r="D197" s="4" t="n"/>
      <c r="E197" s="4" t="n"/>
      <c r="F197" s="4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25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35" t="n"/>
      <c r="B198" s="4" t="n"/>
      <c r="C198" s="4" t="n"/>
      <c r="D198" s="4" t="n"/>
      <c r="E198" s="4" t="n"/>
      <c r="F198" s="4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25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35" t="n"/>
      <c r="B199" s="4" t="n"/>
      <c r="C199" s="4" t="n"/>
      <c r="D199" s="4" t="n"/>
      <c r="E199" s="4" t="n"/>
      <c r="F199" s="4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25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35" t="n"/>
      <c r="B200" s="4" t="n"/>
      <c r="C200" s="4" t="n"/>
      <c r="D200" s="4" t="n"/>
      <c r="E200" s="4" t="n"/>
      <c r="F200" s="4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25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35" t="n"/>
      <c r="B201" s="4" t="n"/>
      <c r="C201" s="4" t="n"/>
      <c r="D201" s="4" t="n"/>
      <c r="E201" s="4" t="n"/>
      <c r="F201" s="4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25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35" t="n"/>
      <c r="B202" s="4" t="n"/>
      <c r="C202" s="4" t="n"/>
      <c r="D202" s="4" t="n"/>
      <c r="E202" s="4" t="n"/>
      <c r="F202" s="4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25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35" t="n"/>
      <c r="B203" s="4" t="n"/>
      <c r="C203" s="4" t="n"/>
      <c r="D203" s="4" t="n"/>
      <c r="E203" s="4" t="n"/>
      <c r="F203" s="4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25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35" t="n"/>
      <c r="B204" s="4" t="n"/>
      <c r="C204" s="4" t="n"/>
      <c r="D204" s="4" t="n"/>
      <c r="E204" s="4" t="n"/>
      <c r="F204" s="4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25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35" t="n"/>
      <c r="B205" s="4" t="n"/>
      <c r="C205" s="4" t="n"/>
      <c r="D205" s="4" t="n"/>
      <c r="E205" s="4" t="n"/>
      <c r="F205" s="4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25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35" t="n"/>
      <c r="B206" s="4" t="n"/>
      <c r="C206" s="4" t="n"/>
      <c r="D206" s="4" t="n"/>
      <c r="E206" s="4" t="n"/>
      <c r="F206" s="4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25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35" t="n"/>
      <c r="B207" s="4" t="n"/>
      <c r="C207" s="4" t="n"/>
      <c r="D207" s="4" t="n"/>
      <c r="E207" s="4" t="n"/>
      <c r="F207" s="4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25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35" t="n"/>
      <c r="B208" s="4" t="n"/>
      <c r="C208" s="4" t="n"/>
      <c r="D208" s="4" t="n"/>
      <c r="E208" s="4" t="n"/>
      <c r="F208" s="4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25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35" t="n"/>
      <c r="B209" s="4" t="n"/>
      <c r="C209" s="4" t="n"/>
      <c r="D209" s="4" t="n"/>
      <c r="E209" s="4" t="n"/>
      <c r="F209" s="4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25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35" t="n"/>
      <c r="B210" s="4" t="n"/>
      <c r="C210" s="4" t="n"/>
      <c r="D210" s="4" t="n"/>
      <c r="E210" s="4" t="n"/>
      <c r="F210" s="4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25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35" t="n"/>
      <c r="B211" s="4" t="n"/>
      <c r="C211" s="4" t="n"/>
      <c r="D211" s="4" t="n"/>
      <c r="E211" s="4" t="n"/>
      <c r="F211" s="4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25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35" t="n"/>
      <c r="B212" s="4" t="n"/>
      <c r="C212" s="4" t="n"/>
      <c r="D212" s="4" t="n"/>
      <c r="E212" s="4" t="n"/>
      <c r="F212" s="4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25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35" t="n"/>
      <c r="B213" s="4" t="n"/>
      <c r="C213" s="4" t="n"/>
      <c r="D213" s="4" t="n"/>
      <c r="E213" s="4" t="n"/>
      <c r="F213" s="4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25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35" t="n"/>
      <c r="B214" s="4" t="n"/>
      <c r="C214" s="4" t="n"/>
      <c r="D214" s="4" t="n"/>
      <c r="E214" s="4" t="n"/>
      <c r="F214" s="4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25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25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25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25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25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25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25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25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25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25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25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25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25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25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25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25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25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25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25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25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25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25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25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25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25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25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25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25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25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25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25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25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25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25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25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25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25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25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25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25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25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25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25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25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25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25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25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25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25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25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25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25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25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25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25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25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25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25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25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25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25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25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25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25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25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25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25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25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25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25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25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25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25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25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25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25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25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25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25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25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25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25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25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25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25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25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25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25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25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25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25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25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25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25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25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25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25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25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25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25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25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25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25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25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25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25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25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25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25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25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25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25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25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25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25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25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25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25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25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25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25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25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25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25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25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25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25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25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25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25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25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25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25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25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25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25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25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25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25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25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25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25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25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25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25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25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25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25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25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25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25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25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25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25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25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25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25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25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25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25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25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25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25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25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25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25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25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25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25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25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25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25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25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25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25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25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25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25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25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25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25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25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25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25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25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25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25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25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25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25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25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25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25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25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25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25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25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25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25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25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25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25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25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25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25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25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25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25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25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25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25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25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25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25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25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25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25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25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25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25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25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25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25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25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25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25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25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25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25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25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25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25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25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25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25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25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25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25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25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25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25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25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25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25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25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25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25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25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25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25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25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25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25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25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25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25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25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25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25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25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25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25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25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25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25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25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25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25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25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25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25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25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25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25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25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25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25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25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25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25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25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25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25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25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25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25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25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25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25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25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25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25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25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25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25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25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25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25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25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25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25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25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25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25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25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25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25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25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25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25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25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25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25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25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25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25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25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25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25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25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25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25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25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25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25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25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25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25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25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25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25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25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25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25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25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25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25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25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25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25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25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25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25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25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25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25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25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25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25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25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25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25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25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25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25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25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25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25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25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25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25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25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25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25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25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25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25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25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25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25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25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25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25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25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25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25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25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25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25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25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25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25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25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25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25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25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25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25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25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25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25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25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25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25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25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25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25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25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25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25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25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25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25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25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25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25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25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25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25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25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25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25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25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25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25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25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25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25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25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25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25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25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25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25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25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25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25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25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25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25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25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25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25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25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25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25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25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25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25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25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25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25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25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25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25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25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25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25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25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25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25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25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25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25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25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25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25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25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25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25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25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25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25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25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25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25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25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25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25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25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25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25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25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25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25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25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25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25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25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25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25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25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25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25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25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25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25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25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25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25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25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25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25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25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25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25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25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25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25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25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25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25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25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25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25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25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25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25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25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25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25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25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25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25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25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25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25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25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25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25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25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25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25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25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25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25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25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25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25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25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25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25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25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25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25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25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25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25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25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25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25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25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25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25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25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25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25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25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25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25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25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14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38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38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38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35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38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35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</row>
  </sheetData>
  <dataValidations count="2">
    <dataValidation sqref="C4:C11" showDropDown="0" showInputMessage="0" showErrorMessage="0" allowBlank="0" type="list">
      <formula1>"correctivo,preventivo,predictivo,legal"</formula1>
    </dataValidation>
    <dataValidation sqref="F4:F11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9" t="inlineStr">
        <is>
          <t>OT-EJEMPLO-001</t>
        </is>
      </c>
      <c r="D14" s="39" t="inlineStr">
        <is>
          <t>OT-EJEMPLO-002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9" t="inlineStr">
        <is>
          <t>0010</t>
        </is>
      </c>
      <c r="D15" s="39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9" t="inlineStr">
        <is>
          <t>EJEMPLO — BORRAR ANTES DE USAR — Inspección de rutina</t>
        </is>
      </c>
      <c r="D16" s="39" t="inlineStr">
        <is>
          <t>EJEMPLO — BORRAR ANTES DE USAR — Lubricación programada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9" t="inlineStr">
        <is>
          <t>EJEMPLO — BORRAR ANTES DE USAR — Inspección de rutina en EQ-EJEMPLO</t>
        </is>
      </c>
      <c r="D17" s="39" t="inlineStr">
        <is>
          <t>EJEMPLO — BORRAR ANTES DE USAR — Lubricación programada en EQ-EJEMPLO</t>
        </is>
      </c>
    </row>
    <row r="18">
      <c r="A18" s="5" t="inlineStr">
        <is>
          <t>E</t>
        </is>
      </c>
      <c r="B18" s="5" t="inlineStr">
        <is>
          <t>equipo</t>
        </is>
      </c>
      <c r="C18" s="39" t="inlineStr">
        <is>
          <t>EQ-EJEMPLO</t>
        </is>
      </c>
      <c r="D18" s="39" t="inlineStr">
        <is>
          <t>EQ-EJEMPLO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9" t="inlineStr">
        <is>
          <t>CC-110</t>
        </is>
      </c>
      <c r="D19" s="39" t="inlineStr">
        <is>
          <t>CC-110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9" t="inlineStr">
        <is>
          <t>PU-MEC</t>
        </is>
      </c>
      <c r="D20" s="39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9" t="inlineStr">
        <is>
          <t>ACT-01</t>
        </is>
      </c>
      <c r="D21" s="39" t="inlineStr">
        <is>
          <t>ACT-02</t>
        </is>
      </c>
    </row>
    <row r="22">
      <c r="A22" s="5" t="inlineStr">
        <is>
          <t>I</t>
        </is>
      </c>
      <c r="B22" s="5" t="inlineStr">
        <is>
          <t>tipo_ot</t>
        </is>
      </c>
      <c r="C22" s="39" t="inlineStr">
        <is>
          <t>TIPO-P1</t>
        </is>
      </c>
      <c r="D22" s="39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0" t="n">
        <v>46230</v>
      </c>
      <c r="D23" s="40" t="n">
        <v>46231</v>
      </c>
    </row>
    <row r="24">
      <c r="A24" s="5" t="inlineStr">
        <is>
          <t>K</t>
        </is>
      </c>
      <c r="B24" s="5" t="inlineStr">
        <is>
          <t>horas_estimadas</t>
        </is>
      </c>
      <c r="C24" s="39" t="n">
        <v>6</v>
      </c>
      <c r="D24" s="39" t="n">
        <v>4</v>
      </c>
    </row>
    <row r="25">
      <c r="A25" s="5" t="inlineStr">
        <is>
          <t>L</t>
        </is>
      </c>
      <c r="B25" s="5" t="inlineStr">
        <is>
          <t>costo_plan</t>
        </is>
      </c>
      <c r="C25" s="39" t="n">
        <v>150</v>
      </c>
      <c r="D25" s="39" t="n">
        <v>100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1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1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1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41" t="inlineStr">
        <is>
          <t>IF(tblOrdenes[[#This Row],[tipo_ot]]="","",XLOOKUP(tblOrdenes[[#This Row],[tipo_ot]],tblTiposOT[codigo],tblTiposOT[clasificacion],"sin_clasificar"))</t>
        </is>
      </c>
      <c r="C6" s="41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41" t="inlineStr">
        <is>
          <t>IF(tblOrdenes[[#This Row],[centro_costo]]="","",XLOOKUP(tblOrdenes[[#This Row],[centro_costo]],tblCECO[codigo],tblCECO[linea],"(sin catálogo)"))</t>
        </is>
      </c>
      <c r="C7" s="41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41" t="inlineStr">
        <is>
          <t>IF(tblOrdenes[[#This Row],[centro_costo]]="","",XLOOKUP(tblOrdenes[[#This Row],[centro_costo]],tblCECO[codigo],tblCECO[area],"(sin catálogo)"))</t>
        </is>
      </c>
      <c r="C8" s="41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41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1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41" t="inlineStr">
        <is>
          <t>IF(tblOrdenes[[#This Row],[centro_costo]]="","",XLOOKUP(tblOrdenes[[#This Row],[centro_costo]],tblCECO[codigo],tblCECO[coordinador],"(sin catálogo)"))</t>
        </is>
      </c>
      <c r="C10" s="41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41" t="inlineStr">
        <is>
          <t>IF(tblOrdenes[[#This Row],[puesto_trabajo]]="","",XLOOKUP(tblOrdenes[[#This Row],[puesto_trabajo]],tblPuestos[codigo],tblPuestos[especialidad],"(sin catálogo)"))</t>
        </is>
      </c>
      <c r="C11" s="41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41" t="inlineStr">
        <is>
          <t>IF(tblOrdenes[[#This Row],[cod_actividad]]="","",XLOOKUP(tblOrdenes[[#This Row],[cod_actividad]],tblActividades[codigo],tblActividades[descripcion],"(sin catálogo)"))</t>
        </is>
      </c>
      <c r="C12" s="41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41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1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1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1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41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1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41" t="inlineStr">
        <is>
          <t>IF(tblOrdenes[[#This Row],[orden]]="","",XLOOKUP(tblOrdenes[[#This Row],[id_operacion]],tblEjecucion[id_operacion],tblEjecucion[precio],0))</t>
        </is>
      </c>
      <c r="C16" s="41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41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1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2026-07-28T05:43:12Z</dcterms:created>
  <dcterms:modified xsi:type="dcterms:W3CDTF">2026-07-28T05:43:13Z</dcterms:modified>
</cp:coreProperties>
</file>